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lmoxarifado\PCP\COMPRAS\"/>
    </mc:Choice>
  </mc:AlternateContent>
  <xr:revisionPtr revIDLastSave="0" documentId="13_ncr:1_{E568BAC2-88D7-4DAB-8EAE-9EF4EC2C369D}" xr6:coauthVersionLast="47" xr6:coauthVersionMax="47" xr10:uidLastSave="{00000000-0000-0000-0000-000000000000}"/>
  <bookViews>
    <workbookView xWindow="-120" yWindow="-120" windowWidth="29040" windowHeight="15720" activeTab="2" xr2:uid="{3F51E6E9-3852-4E8B-8CAC-D1B75599B45B}"/>
  </bookViews>
  <sheets>
    <sheet name="LISTA TECNICA" sheetId="1" r:id="rId1"/>
    <sheet name="PROGRAMA MES " sheetId="2" r:id="rId2"/>
    <sheet name="STATUS" sheetId="3" r:id="rId3"/>
    <sheet name="0802" sheetId="4" r:id="rId4"/>
    <sheet name="0805" sheetId="5" r:id="rId5"/>
    <sheet name="0806" sheetId="6" r:id="rId6"/>
  </sheets>
  <definedNames>
    <definedName name="_xlnm._FilterDatabase" localSheetId="2" hidden="1">STATUS!$A$5:$J$5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5" i="3" l="1"/>
  <c r="C35" i="3"/>
  <c r="C33" i="3"/>
  <c r="C32" i="3"/>
  <c r="D33" i="3"/>
  <c r="D32" i="3"/>
  <c r="C293" i="3"/>
  <c r="C292" i="3"/>
  <c r="C291" i="3"/>
  <c r="C290" i="3"/>
  <c r="C289" i="3"/>
  <c r="C288" i="3"/>
  <c r="C287" i="3"/>
  <c r="C286" i="3"/>
  <c r="C285" i="3"/>
  <c r="C281" i="3"/>
  <c r="C280" i="3"/>
  <c r="C279" i="3"/>
  <c r="C278" i="3"/>
  <c r="C277" i="3"/>
  <c r="C276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3" i="3"/>
  <c r="C252" i="3"/>
  <c r="C251" i="3"/>
  <c r="C250" i="3"/>
  <c r="C249" i="3"/>
  <c r="C248" i="3"/>
  <c r="C247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0" i="3"/>
  <c r="C149" i="3"/>
  <c r="C148" i="3"/>
  <c r="C147" i="3"/>
  <c r="C146" i="3"/>
  <c r="C145" i="3"/>
  <c r="C144" i="3"/>
  <c r="C143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6" i="3"/>
  <c r="C34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D293" i="3"/>
  <c r="E293" i="3" s="1"/>
  <c r="D292" i="3"/>
  <c r="D291" i="3"/>
  <c r="D290" i="3"/>
  <c r="D289" i="3"/>
  <c r="D288" i="3"/>
  <c r="D287" i="3"/>
  <c r="D286" i="3"/>
  <c r="D285" i="3"/>
  <c r="D281" i="3"/>
  <c r="D280" i="3"/>
  <c r="D279" i="3"/>
  <c r="D278" i="3"/>
  <c r="D277" i="3"/>
  <c r="D276" i="3"/>
  <c r="D272" i="3"/>
  <c r="D271" i="3"/>
  <c r="D270" i="3"/>
  <c r="D269" i="3"/>
  <c r="D268" i="3"/>
  <c r="D267" i="3"/>
  <c r="E267" i="3" s="1"/>
  <c r="D266" i="3"/>
  <c r="D265" i="3"/>
  <c r="D264" i="3"/>
  <c r="D263" i="3"/>
  <c r="D262" i="3"/>
  <c r="D261" i="3"/>
  <c r="D260" i="3"/>
  <c r="D259" i="3"/>
  <c r="D258" i="3"/>
  <c r="D257" i="3"/>
  <c r="D253" i="3"/>
  <c r="D252" i="3"/>
  <c r="D251" i="3"/>
  <c r="D250" i="3"/>
  <c r="D249" i="3"/>
  <c r="D248" i="3"/>
  <c r="D247" i="3"/>
  <c r="D243" i="3"/>
  <c r="D242" i="3"/>
  <c r="D241" i="3"/>
  <c r="D240" i="3"/>
  <c r="D239" i="3"/>
  <c r="D238" i="3"/>
  <c r="D237" i="3"/>
  <c r="E237" i="3" s="1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78" i="3"/>
  <c r="E178" i="3" s="1"/>
  <c r="D177" i="3"/>
  <c r="D176" i="3"/>
  <c r="D175" i="3"/>
  <c r="D174" i="3"/>
  <c r="D173" i="3"/>
  <c r="D172" i="3"/>
  <c r="D171" i="3"/>
  <c r="D170" i="3"/>
  <c r="D169" i="3"/>
  <c r="D168" i="3"/>
  <c r="D167" i="3"/>
  <c r="D166" i="3"/>
  <c r="E166" i="3" s="1"/>
  <c r="D165" i="3"/>
  <c r="D164" i="3"/>
  <c r="D163" i="3"/>
  <c r="D162" i="3"/>
  <c r="D161" i="3"/>
  <c r="D160" i="3"/>
  <c r="D159" i="3"/>
  <c r="D158" i="3"/>
  <c r="D157" i="3"/>
  <c r="D156" i="3"/>
  <c r="D155" i="3"/>
  <c r="D154" i="3"/>
  <c r="D150" i="3"/>
  <c r="D149" i="3"/>
  <c r="D148" i="3"/>
  <c r="D147" i="3"/>
  <c r="D146" i="3"/>
  <c r="D145" i="3"/>
  <c r="D144" i="3"/>
  <c r="D143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E48" i="3" s="1"/>
  <c r="D47" i="3"/>
  <c r="D46" i="3"/>
  <c r="D45" i="3"/>
  <c r="D44" i="3"/>
  <c r="D43" i="3"/>
  <c r="D42" i="3"/>
  <c r="D41" i="3"/>
  <c r="D40" i="3"/>
  <c r="D36" i="3"/>
  <c r="D34" i="3"/>
  <c r="D31" i="3"/>
  <c r="D30" i="3"/>
  <c r="D29" i="3"/>
  <c r="D28" i="3"/>
  <c r="D27" i="3"/>
  <c r="E27" i="3" s="1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P349" i="3"/>
  <c r="O349" i="3"/>
  <c r="N349" i="3"/>
  <c r="P348" i="3"/>
  <c r="O348" i="3"/>
  <c r="N348" i="3"/>
  <c r="P347" i="3"/>
  <c r="O347" i="3"/>
  <c r="N347" i="3"/>
  <c r="P346" i="3"/>
  <c r="O346" i="3"/>
  <c r="N346" i="3"/>
  <c r="P345" i="3"/>
  <c r="O345" i="3"/>
  <c r="N345" i="3"/>
  <c r="P340" i="3"/>
  <c r="O340" i="3"/>
  <c r="N340" i="3"/>
  <c r="P339" i="3"/>
  <c r="O339" i="3"/>
  <c r="N339" i="3"/>
  <c r="P338" i="3"/>
  <c r="O338" i="3"/>
  <c r="N338" i="3"/>
  <c r="P337" i="3"/>
  <c r="O337" i="3"/>
  <c r="Q337" i="3" s="1"/>
  <c r="N337" i="3"/>
  <c r="P336" i="3"/>
  <c r="O336" i="3"/>
  <c r="N336" i="3"/>
  <c r="P335" i="3"/>
  <c r="O335" i="3"/>
  <c r="N335" i="3"/>
  <c r="P334" i="3"/>
  <c r="O334" i="3"/>
  <c r="N334" i="3"/>
  <c r="P333" i="3"/>
  <c r="O333" i="3"/>
  <c r="N333" i="3"/>
  <c r="P332" i="3"/>
  <c r="O332" i="3"/>
  <c r="N332" i="3"/>
  <c r="P331" i="3"/>
  <c r="O331" i="3"/>
  <c r="N331" i="3"/>
  <c r="P330" i="3"/>
  <c r="O330" i="3"/>
  <c r="N330" i="3"/>
  <c r="P329" i="3"/>
  <c r="O329" i="3"/>
  <c r="N329" i="3"/>
  <c r="P328" i="3"/>
  <c r="O328" i="3"/>
  <c r="N328" i="3"/>
  <c r="P327" i="3"/>
  <c r="O327" i="3"/>
  <c r="N327" i="3"/>
  <c r="P326" i="3"/>
  <c r="O326" i="3"/>
  <c r="N326" i="3"/>
  <c r="P325" i="3"/>
  <c r="O325" i="3"/>
  <c r="N325" i="3"/>
  <c r="P324" i="3"/>
  <c r="O324" i="3"/>
  <c r="N324" i="3"/>
  <c r="P323" i="3"/>
  <c r="O323" i="3"/>
  <c r="N323" i="3"/>
  <c r="P322" i="3"/>
  <c r="O322" i="3"/>
  <c r="N322" i="3"/>
  <c r="P321" i="3"/>
  <c r="O321" i="3"/>
  <c r="N321" i="3"/>
  <c r="P320" i="3"/>
  <c r="O320" i="3"/>
  <c r="N320" i="3"/>
  <c r="P319" i="3"/>
  <c r="O319" i="3"/>
  <c r="N319" i="3"/>
  <c r="P318" i="3"/>
  <c r="O318" i="3"/>
  <c r="N318" i="3"/>
  <c r="P317" i="3"/>
  <c r="O317" i="3"/>
  <c r="N317" i="3"/>
  <c r="P316" i="3"/>
  <c r="O316" i="3"/>
  <c r="N316" i="3"/>
  <c r="P315" i="3"/>
  <c r="O315" i="3"/>
  <c r="N315" i="3"/>
  <c r="P314" i="3"/>
  <c r="O314" i="3"/>
  <c r="N314" i="3"/>
  <c r="P313" i="3"/>
  <c r="O313" i="3"/>
  <c r="N313" i="3"/>
  <c r="P312" i="3"/>
  <c r="O312" i="3"/>
  <c r="N312" i="3"/>
  <c r="P311" i="3"/>
  <c r="O311" i="3"/>
  <c r="N311" i="3"/>
  <c r="P310" i="3"/>
  <c r="O310" i="3"/>
  <c r="N310" i="3"/>
  <c r="P309" i="3"/>
  <c r="O309" i="3"/>
  <c r="N309" i="3"/>
  <c r="P308" i="3"/>
  <c r="O308" i="3"/>
  <c r="N308" i="3"/>
  <c r="P303" i="3"/>
  <c r="O303" i="3"/>
  <c r="N303" i="3"/>
  <c r="P302" i="3"/>
  <c r="O302" i="3"/>
  <c r="N302" i="3"/>
  <c r="P301" i="3"/>
  <c r="O301" i="3"/>
  <c r="N301" i="3"/>
  <c r="P300" i="3"/>
  <c r="O300" i="3"/>
  <c r="N300" i="3"/>
  <c r="P299" i="3"/>
  <c r="O299" i="3"/>
  <c r="N299" i="3"/>
  <c r="P298" i="3"/>
  <c r="O298" i="3"/>
  <c r="N298" i="3"/>
  <c r="P297" i="3"/>
  <c r="O297" i="3"/>
  <c r="N297" i="3"/>
  <c r="P296" i="3"/>
  <c r="O296" i="3"/>
  <c r="N296" i="3"/>
  <c r="P295" i="3"/>
  <c r="O295" i="3"/>
  <c r="N295" i="3"/>
  <c r="P294" i="3"/>
  <c r="O294" i="3"/>
  <c r="N294" i="3"/>
  <c r="P293" i="3"/>
  <c r="O293" i="3"/>
  <c r="N293" i="3"/>
  <c r="P292" i="3"/>
  <c r="O292" i="3"/>
  <c r="N292" i="3"/>
  <c r="P291" i="3"/>
  <c r="O291" i="3"/>
  <c r="N291" i="3"/>
  <c r="P290" i="3"/>
  <c r="O290" i="3"/>
  <c r="N290" i="3"/>
  <c r="P289" i="3"/>
  <c r="O289" i="3"/>
  <c r="N289" i="3"/>
  <c r="P288" i="3"/>
  <c r="O288" i="3"/>
  <c r="N288" i="3"/>
  <c r="P287" i="3"/>
  <c r="O287" i="3"/>
  <c r="N287" i="3"/>
  <c r="P286" i="3"/>
  <c r="O286" i="3"/>
  <c r="N286" i="3"/>
  <c r="P285" i="3"/>
  <c r="O285" i="3"/>
  <c r="N285" i="3"/>
  <c r="P284" i="3"/>
  <c r="O284" i="3"/>
  <c r="N284" i="3"/>
  <c r="P283" i="3"/>
  <c r="O283" i="3"/>
  <c r="N283" i="3"/>
  <c r="P282" i="3"/>
  <c r="O282" i="3"/>
  <c r="N282" i="3"/>
  <c r="P281" i="3"/>
  <c r="O281" i="3"/>
  <c r="N281" i="3"/>
  <c r="P280" i="3"/>
  <c r="O280" i="3"/>
  <c r="N280" i="3"/>
  <c r="P279" i="3"/>
  <c r="O279" i="3"/>
  <c r="N279" i="3"/>
  <c r="P278" i="3"/>
  <c r="O278" i="3"/>
  <c r="N278" i="3"/>
  <c r="P277" i="3"/>
  <c r="O277" i="3"/>
  <c r="N277" i="3"/>
  <c r="P276" i="3"/>
  <c r="O276" i="3"/>
  <c r="N276" i="3"/>
  <c r="P275" i="3"/>
  <c r="O275" i="3"/>
  <c r="N275" i="3"/>
  <c r="P270" i="3"/>
  <c r="O270" i="3"/>
  <c r="N270" i="3"/>
  <c r="P269" i="3"/>
  <c r="O269" i="3"/>
  <c r="N269" i="3"/>
  <c r="P268" i="3"/>
  <c r="O268" i="3"/>
  <c r="N268" i="3"/>
  <c r="P267" i="3"/>
  <c r="O267" i="3"/>
  <c r="N267" i="3"/>
  <c r="P266" i="3"/>
  <c r="O266" i="3"/>
  <c r="N266" i="3"/>
  <c r="P265" i="3"/>
  <c r="O265" i="3"/>
  <c r="N265" i="3"/>
  <c r="P264" i="3"/>
  <c r="O264" i="3"/>
  <c r="N264" i="3"/>
  <c r="P263" i="3"/>
  <c r="O263" i="3"/>
  <c r="N263" i="3"/>
  <c r="P262" i="3"/>
  <c r="O262" i="3"/>
  <c r="N262" i="3"/>
  <c r="P261" i="3"/>
  <c r="O261" i="3"/>
  <c r="N261" i="3"/>
  <c r="P260" i="3"/>
  <c r="O260" i="3"/>
  <c r="N260" i="3"/>
  <c r="P259" i="3"/>
  <c r="O259" i="3"/>
  <c r="N259" i="3"/>
  <c r="P258" i="3"/>
  <c r="O258" i="3"/>
  <c r="N258" i="3"/>
  <c r="P257" i="3"/>
  <c r="O257" i="3"/>
  <c r="N257" i="3"/>
  <c r="P256" i="3"/>
  <c r="O256" i="3"/>
  <c r="N256" i="3"/>
  <c r="P255" i="3"/>
  <c r="O255" i="3"/>
  <c r="N255" i="3"/>
  <c r="P254" i="3"/>
  <c r="O254" i="3"/>
  <c r="N254" i="3"/>
  <c r="P249" i="3"/>
  <c r="O249" i="3"/>
  <c r="N249" i="3"/>
  <c r="P248" i="3"/>
  <c r="O248" i="3"/>
  <c r="N248" i="3"/>
  <c r="P247" i="3"/>
  <c r="O247" i="3"/>
  <c r="N247" i="3"/>
  <c r="P246" i="3"/>
  <c r="O246" i="3"/>
  <c r="N246" i="3"/>
  <c r="P245" i="3"/>
  <c r="O245" i="3"/>
  <c r="N245" i="3"/>
  <c r="P244" i="3"/>
  <c r="O244" i="3"/>
  <c r="N244" i="3"/>
  <c r="P243" i="3"/>
  <c r="O243" i="3"/>
  <c r="N243" i="3"/>
  <c r="P242" i="3"/>
  <c r="O242" i="3"/>
  <c r="N242" i="3"/>
  <c r="P241" i="3"/>
  <c r="O241" i="3"/>
  <c r="N241" i="3"/>
  <c r="P240" i="3"/>
  <c r="O240" i="3"/>
  <c r="N240" i="3"/>
  <c r="P239" i="3"/>
  <c r="O239" i="3"/>
  <c r="N239" i="3"/>
  <c r="P238" i="3"/>
  <c r="O238" i="3"/>
  <c r="N238" i="3"/>
  <c r="P237" i="3"/>
  <c r="O237" i="3"/>
  <c r="N237" i="3"/>
  <c r="P236" i="3"/>
  <c r="O236" i="3"/>
  <c r="N236" i="3"/>
  <c r="P235" i="3"/>
  <c r="O235" i="3"/>
  <c r="N235" i="3"/>
  <c r="P234" i="3"/>
  <c r="O234" i="3"/>
  <c r="N234" i="3"/>
  <c r="P233" i="3"/>
  <c r="O233" i="3"/>
  <c r="N233" i="3"/>
  <c r="P232" i="3"/>
  <c r="O232" i="3"/>
  <c r="N232" i="3"/>
  <c r="P231" i="3"/>
  <c r="O231" i="3"/>
  <c r="N231" i="3"/>
  <c r="P230" i="3"/>
  <c r="O230" i="3"/>
  <c r="N230" i="3"/>
  <c r="P229" i="3"/>
  <c r="O229" i="3"/>
  <c r="N229" i="3"/>
  <c r="P228" i="3"/>
  <c r="O228" i="3"/>
  <c r="N228" i="3"/>
  <c r="P227" i="3"/>
  <c r="O227" i="3"/>
  <c r="N227" i="3"/>
  <c r="P226" i="3"/>
  <c r="O226" i="3"/>
  <c r="N226" i="3"/>
  <c r="P225" i="3"/>
  <c r="O225" i="3"/>
  <c r="N225" i="3"/>
  <c r="P224" i="3"/>
  <c r="O224" i="3"/>
  <c r="N224" i="3"/>
  <c r="P223" i="3"/>
  <c r="O223" i="3"/>
  <c r="N223" i="3"/>
  <c r="P222" i="3"/>
  <c r="O222" i="3"/>
  <c r="N222" i="3"/>
  <c r="P221" i="3"/>
  <c r="O221" i="3"/>
  <c r="N221" i="3"/>
  <c r="P220" i="3"/>
  <c r="O220" i="3"/>
  <c r="N220" i="3"/>
  <c r="P219" i="3"/>
  <c r="O219" i="3"/>
  <c r="N219" i="3"/>
  <c r="P218" i="3"/>
  <c r="O218" i="3"/>
  <c r="N218" i="3"/>
  <c r="P217" i="3"/>
  <c r="O217" i="3"/>
  <c r="N217" i="3"/>
  <c r="P216" i="3"/>
  <c r="O216" i="3"/>
  <c r="N216" i="3"/>
  <c r="P215" i="3"/>
  <c r="O215" i="3"/>
  <c r="N215" i="3"/>
  <c r="P214" i="3"/>
  <c r="O214" i="3"/>
  <c r="N214" i="3"/>
  <c r="P213" i="3"/>
  <c r="O213" i="3"/>
  <c r="N213" i="3"/>
  <c r="P212" i="3"/>
  <c r="O212" i="3"/>
  <c r="N212" i="3"/>
  <c r="P211" i="3"/>
  <c r="O211" i="3"/>
  <c r="N211" i="3"/>
  <c r="P210" i="3"/>
  <c r="O210" i="3"/>
  <c r="N210" i="3"/>
  <c r="P209" i="3"/>
  <c r="O209" i="3"/>
  <c r="N209" i="3"/>
  <c r="P208" i="3"/>
  <c r="O208" i="3"/>
  <c r="N208" i="3"/>
  <c r="P207" i="3"/>
  <c r="O207" i="3"/>
  <c r="N207" i="3"/>
  <c r="P206" i="3"/>
  <c r="O206" i="3"/>
  <c r="N206" i="3"/>
  <c r="P205" i="3"/>
  <c r="O205" i="3"/>
  <c r="N205" i="3"/>
  <c r="P204" i="3"/>
  <c r="O204" i="3"/>
  <c r="N204" i="3"/>
  <c r="P203" i="3"/>
  <c r="O203" i="3"/>
  <c r="N203" i="3"/>
  <c r="P202" i="3"/>
  <c r="O202" i="3"/>
  <c r="N202" i="3"/>
  <c r="P201" i="3"/>
  <c r="O201" i="3"/>
  <c r="N201" i="3"/>
  <c r="P200" i="3"/>
  <c r="O200" i="3"/>
  <c r="N200" i="3"/>
  <c r="P199" i="3"/>
  <c r="O199" i="3"/>
  <c r="N199" i="3"/>
  <c r="P198" i="3"/>
  <c r="O198" i="3"/>
  <c r="N198" i="3"/>
  <c r="P197" i="3"/>
  <c r="O197" i="3"/>
  <c r="N197" i="3"/>
  <c r="P196" i="3"/>
  <c r="O196" i="3"/>
  <c r="N196" i="3"/>
  <c r="P195" i="3"/>
  <c r="O195" i="3"/>
  <c r="N195" i="3"/>
  <c r="P194" i="3"/>
  <c r="O194" i="3"/>
  <c r="N194" i="3"/>
  <c r="P193" i="3"/>
  <c r="O193" i="3"/>
  <c r="N193" i="3"/>
  <c r="P192" i="3"/>
  <c r="O192" i="3"/>
  <c r="N192" i="3"/>
  <c r="P191" i="3"/>
  <c r="O191" i="3"/>
  <c r="N191" i="3"/>
  <c r="P190" i="3"/>
  <c r="O190" i="3"/>
  <c r="N190" i="3"/>
  <c r="P189" i="3"/>
  <c r="O189" i="3"/>
  <c r="N189" i="3"/>
  <c r="P188" i="3"/>
  <c r="O188" i="3"/>
  <c r="N188" i="3"/>
  <c r="P187" i="3"/>
  <c r="O187" i="3"/>
  <c r="N187" i="3"/>
  <c r="P186" i="3"/>
  <c r="O186" i="3"/>
  <c r="N186" i="3"/>
  <c r="P185" i="3"/>
  <c r="O185" i="3"/>
  <c r="N185" i="3"/>
  <c r="P184" i="3"/>
  <c r="O184" i="3"/>
  <c r="N184" i="3"/>
  <c r="P183" i="3"/>
  <c r="O183" i="3"/>
  <c r="N183" i="3"/>
  <c r="P182" i="3"/>
  <c r="O182" i="3"/>
  <c r="N182" i="3"/>
  <c r="P181" i="3"/>
  <c r="O181" i="3"/>
  <c r="N181" i="3"/>
  <c r="P180" i="3"/>
  <c r="O180" i="3"/>
  <c r="N180" i="3"/>
  <c r="P179" i="3"/>
  <c r="O179" i="3"/>
  <c r="N179" i="3"/>
  <c r="P178" i="3"/>
  <c r="O178" i="3"/>
  <c r="N178" i="3"/>
  <c r="P177" i="3"/>
  <c r="O177" i="3"/>
  <c r="N177" i="3"/>
  <c r="P176" i="3"/>
  <c r="O176" i="3"/>
  <c r="N176" i="3"/>
  <c r="P175" i="3"/>
  <c r="O175" i="3"/>
  <c r="N175" i="3"/>
  <c r="P174" i="3"/>
  <c r="O174" i="3"/>
  <c r="N174" i="3"/>
  <c r="P173" i="3"/>
  <c r="O173" i="3"/>
  <c r="N173" i="3"/>
  <c r="P172" i="3"/>
  <c r="O172" i="3"/>
  <c r="N172" i="3"/>
  <c r="P171" i="3"/>
  <c r="O171" i="3"/>
  <c r="N171" i="3"/>
  <c r="P170" i="3"/>
  <c r="O170" i="3"/>
  <c r="N170" i="3"/>
  <c r="P169" i="3"/>
  <c r="O169" i="3"/>
  <c r="N169" i="3"/>
  <c r="P168" i="3"/>
  <c r="O168" i="3"/>
  <c r="N168" i="3"/>
  <c r="P167" i="3"/>
  <c r="O167" i="3"/>
  <c r="N167" i="3"/>
  <c r="P166" i="3"/>
  <c r="O166" i="3"/>
  <c r="N166" i="3"/>
  <c r="P165" i="3"/>
  <c r="O165" i="3"/>
  <c r="N165" i="3"/>
  <c r="P164" i="3"/>
  <c r="O164" i="3"/>
  <c r="N164" i="3"/>
  <c r="P163" i="3"/>
  <c r="O163" i="3"/>
  <c r="N163" i="3"/>
  <c r="P162" i="3"/>
  <c r="O162" i="3"/>
  <c r="N162" i="3"/>
  <c r="P157" i="3"/>
  <c r="O157" i="3"/>
  <c r="N157" i="3"/>
  <c r="P156" i="3"/>
  <c r="O156" i="3"/>
  <c r="N156" i="3"/>
  <c r="P155" i="3"/>
  <c r="O155" i="3"/>
  <c r="N155" i="3"/>
  <c r="P154" i="3"/>
  <c r="O154" i="3"/>
  <c r="N154" i="3"/>
  <c r="P153" i="3"/>
  <c r="O153" i="3"/>
  <c r="N153" i="3"/>
  <c r="P152" i="3"/>
  <c r="O152" i="3"/>
  <c r="N152" i="3"/>
  <c r="P151" i="3"/>
  <c r="O151" i="3"/>
  <c r="N151" i="3"/>
  <c r="P150" i="3"/>
  <c r="O150" i="3"/>
  <c r="N150" i="3"/>
  <c r="P149" i="3"/>
  <c r="O149" i="3"/>
  <c r="N149" i="3"/>
  <c r="P148" i="3"/>
  <c r="O148" i="3"/>
  <c r="N148" i="3"/>
  <c r="P147" i="3"/>
  <c r="O147" i="3"/>
  <c r="N147" i="3"/>
  <c r="P146" i="3"/>
  <c r="O146" i="3"/>
  <c r="N146" i="3"/>
  <c r="P145" i="3"/>
  <c r="O145" i="3"/>
  <c r="N145" i="3"/>
  <c r="P144" i="3"/>
  <c r="O144" i="3"/>
  <c r="N144" i="3"/>
  <c r="P143" i="3"/>
  <c r="O143" i="3"/>
  <c r="N143" i="3"/>
  <c r="P142" i="3"/>
  <c r="O142" i="3"/>
  <c r="N142" i="3"/>
  <c r="P141" i="3"/>
  <c r="O141" i="3"/>
  <c r="N141" i="3"/>
  <c r="P140" i="3"/>
  <c r="O140" i="3"/>
  <c r="N140" i="3"/>
  <c r="P139" i="3"/>
  <c r="O139" i="3"/>
  <c r="N139" i="3"/>
  <c r="P138" i="3"/>
  <c r="O138" i="3"/>
  <c r="N138" i="3"/>
  <c r="P137" i="3"/>
  <c r="O137" i="3"/>
  <c r="N137" i="3"/>
  <c r="P136" i="3"/>
  <c r="O136" i="3"/>
  <c r="N136" i="3"/>
  <c r="P135" i="3"/>
  <c r="O135" i="3"/>
  <c r="N135" i="3"/>
  <c r="P134" i="3"/>
  <c r="O134" i="3"/>
  <c r="N134" i="3"/>
  <c r="P133" i="3"/>
  <c r="O133" i="3"/>
  <c r="N133" i="3"/>
  <c r="P132" i="3"/>
  <c r="O132" i="3"/>
  <c r="N132" i="3"/>
  <c r="P131" i="3"/>
  <c r="O131" i="3"/>
  <c r="N131" i="3"/>
  <c r="P130" i="3"/>
  <c r="O130" i="3"/>
  <c r="N130" i="3"/>
  <c r="P129" i="3"/>
  <c r="O129" i="3"/>
  <c r="N129" i="3"/>
  <c r="P128" i="3"/>
  <c r="O128" i="3"/>
  <c r="N128" i="3"/>
  <c r="P127" i="3"/>
  <c r="O127" i="3"/>
  <c r="N127" i="3"/>
  <c r="P126" i="3"/>
  <c r="O126" i="3"/>
  <c r="N126" i="3"/>
  <c r="P125" i="3"/>
  <c r="O125" i="3"/>
  <c r="N125" i="3"/>
  <c r="P124" i="3"/>
  <c r="O124" i="3"/>
  <c r="N124" i="3"/>
  <c r="P123" i="3"/>
  <c r="O123" i="3"/>
  <c r="N123" i="3"/>
  <c r="P122" i="3"/>
  <c r="O122" i="3"/>
  <c r="N122" i="3"/>
  <c r="P121" i="3"/>
  <c r="O121" i="3"/>
  <c r="N121" i="3"/>
  <c r="P120" i="3"/>
  <c r="O120" i="3"/>
  <c r="N120" i="3"/>
  <c r="P119" i="3"/>
  <c r="O119" i="3"/>
  <c r="N119" i="3"/>
  <c r="P118" i="3"/>
  <c r="O118" i="3"/>
  <c r="N118" i="3"/>
  <c r="P117" i="3"/>
  <c r="O117" i="3"/>
  <c r="N117" i="3"/>
  <c r="P116" i="3"/>
  <c r="O116" i="3"/>
  <c r="N116" i="3"/>
  <c r="P115" i="3"/>
  <c r="O115" i="3"/>
  <c r="N115" i="3"/>
  <c r="P114" i="3"/>
  <c r="O114" i="3"/>
  <c r="N114" i="3"/>
  <c r="P113" i="3"/>
  <c r="O113" i="3"/>
  <c r="N113" i="3"/>
  <c r="P112" i="3"/>
  <c r="O112" i="3"/>
  <c r="N112" i="3"/>
  <c r="P111" i="3"/>
  <c r="O111" i="3"/>
  <c r="N111" i="3"/>
  <c r="P110" i="3"/>
  <c r="O110" i="3"/>
  <c r="N110" i="3"/>
  <c r="P109" i="3"/>
  <c r="O109" i="3"/>
  <c r="N109" i="3"/>
  <c r="P108" i="3"/>
  <c r="O108" i="3"/>
  <c r="N108" i="3"/>
  <c r="P107" i="3"/>
  <c r="O107" i="3"/>
  <c r="N107" i="3"/>
  <c r="P106" i="3"/>
  <c r="O106" i="3"/>
  <c r="N106" i="3"/>
  <c r="P105" i="3"/>
  <c r="O105" i="3"/>
  <c r="N105" i="3"/>
  <c r="P104" i="3"/>
  <c r="O104" i="3"/>
  <c r="N104" i="3"/>
  <c r="P103" i="3"/>
  <c r="O103" i="3"/>
  <c r="N103" i="3"/>
  <c r="P102" i="3"/>
  <c r="O102" i="3"/>
  <c r="N102" i="3"/>
  <c r="P101" i="3"/>
  <c r="O101" i="3"/>
  <c r="N101" i="3"/>
  <c r="P100" i="3"/>
  <c r="O100" i="3"/>
  <c r="N100" i="3"/>
  <c r="P99" i="3"/>
  <c r="O99" i="3"/>
  <c r="N99" i="3"/>
  <c r="P98" i="3"/>
  <c r="O98" i="3"/>
  <c r="N98" i="3"/>
  <c r="P97" i="3"/>
  <c r="O97" i="3"/>
  <c r="N97" i="3"/>
  <c r="P96" i="3"/>
  <c r="O96" i="3"/>
  <c r="N96" i="3"/>
  <c r="P95" i="3"/>
  <c r="O95" i="3"/>
  <c r="N95" i="3"/>
  <c r="P94" i="3"/>
  <c r="O94" i="3"/>
  <c r="N94" i="3"/>
  <c r="P93" i="3"/>
  <c r="O93" i="3"/>
  <c r="N93" i="3"/>
  <c r="P92" i="3"/>
  <c r="O92" i="3"/>
  <c r="N92" i="3"/>
  <c r="P91" i="3"/>
  <c r="O91" i="3"/>
  <c r="N91" i="3"/>
  <c r="P90" i="3"/>
  <c r="O90" i="3"/>
  <c r="N90" i="3"/>
  <c r="P89" i="3"/>
  <c r="O89" i="3"/>
  <c r="N89" i="3"/>
  <c r="P88" i="3"/>
  <c r="O88" i="3"/>
  <c r="N88" i="3"/>
  <c r="P87" i="3"/>
  <c r="O87" i="3"/>
  <c r="N87" i="3"/>
  <c r="P86" i="3"/>
  <c r="O86" i="3"/>
  <c r="N86" i="3"/>
  <c r="P85" i="3"/>
  <c r="O85" i="3"/>
  <c r="N85" i="3"/>
  <c r="P84" i="3"/>
  <c r="O84" i="3"/>
  <c r="N84" i="3"/>
  <c r="P83" i="3"/>
  <c r="O83" i="3"/>
  <c r="N83" i="3"/>
  <c r="P82" i="3"/>
  <c r="O82" i="3"/>
  <c r="N82" i="3"/>
  <c r="P81" i="3"/>
  <c r="O81" i="3"/>
  <c r="N81" i="3"/>
  <c r="P80" i="3"/>
  <c r="O80" i="3"/>
  <c r="N80" i="3"/>
  <c r="P79" i="3"/>
  <c r="O79" i="3"/>
  <c r="N79" i="3"/>
  <c r="P78" i="3"/>
  <c r="O78" i="3"/>
  <c r="N78" i="3"/>
  <c r="P77" i="3"/>
  <c r="O77" i="3"/>
  <c r="N77" i="3"/>
  <c r="P76" i="3"/>
  <c r="O76" i="3"/>
  <c r="N76" i="3"/>
  <c r="P75" i="3"/>
  <c r="O75" i="3"/>
  <c r="N75" i="3"/>
  <c r="P74" i="3"/>
  <c r="O74" i="3"/>
  <c r="N74" i="3"/>
  <c r="P73" i="3"/>
  <c r="O73" i="3"/>
  <c r="N73" i="3"/>
  <c r="P72" i="3"/>
  <c r="O72" i="3"/>
  <c r="N72" i="3"/>
  <c r="P71" i="3"/>
  <c r="O71" i="3"/>
  <c r="N71" i="3"/>
  <c r="P70" i="3"/>
  <c r="O70" i="3"/>
  <c r="N70" i="3"/>
  <c r="P69" i="3"/>
  <c r="O69" i="3"/>
  <c r="N69" i="3"/>
  <c r="P68" i="3"/>
  <c r="O68" i="3"/>
  <c r="N68" i="3"/>
  <c r="P67" i="3"/>
  <c r="O67" i="3"/>
  <c r="N67" i="3"/>
  <c r="P66" i="3"/>
  <c r="O66" i="3"/>
  <c r="N66" i="3"/>
  <c r="P65" i="3"/>
  <c r="O65" i="3"/>
  <c r="N65" i="3"/>
  <c r="P64" i="3"/>
  <c r="O64" i="3"/>
  <c r="N64" i="3"/>
  <c r="P63" i="3"/>
  <c r="O63" i="3"/>
  <c r="N63" i="3"/>
  <c r="P62" i="3"/>
  <c r="O62" i="3"/>
  <c r="N62" i="3"/>
  <c r="P61" i="3"/>
  <c r="O61" i="3"/>
  <c r="N61" i="3"/>
  <c r="P60" i="3"/>
  <c r="O60" i="3"/>
  <c r="N60" i="3"/>
  <c r="P59" i="3"/>
  <c r="O59" i="3"/>
  <c r="N59" i="3"/>
  <c r="P58" i="3"/>
  <c r="O58" i="3"/>
  <c r="N58" i="3"/>
  <c r="P57" i="3"/>
  <c r="O57" i="3"/>
  <c r="N57" i="3"/>
  <c r="P56" i="3"/>
  <c r="O56" i="3"/>
  <c r="N56" i="3"/>
  <c r="P55" i="3"/>
  <c r="O55" i="3"/>
  <c r="N55" i="3"/>
  <c r="P54" i="3"/>
  <c r="O54" i="3"/>
  <c r="N54" i="3"/>
  <c r="P53" i="3"/>
  <c r="O53" i="3"/>
  <c r="N53" i="3"/>
  <c r="P52" i="3"/>
  <c r="O52" i="3"/>
  <c r="N52" i="3"/>
  <c r="P51" i="3"/>
  <c r="O51" i="3"/>
  <c r="N51" i="3"/>
  <c r="P50" i="3"/>
  <c r="O50" i="3"/>
  <c r="N50" i="3"/>
  <c r="P45" i="3"/>
  <c r="O45" i="3"/>
  <c r="N45" i="3"/>
  <c r="P44" i="3"/>
  <c r="O44" i="3"/>
  <c r="N44" i="3"/>
  <c r="P43" i="3"/>
  <c r="O43" i="3"/>
  <c r="N43" i="3"/>
  <c r="P42" i="3"/>
  <c r="O42" i="3"/>
  <c r="N42" i="3"/>
  <c r="P41" i="3"/>
  <c r="O41" i="3"/>
  <c r="N41" i="3"/>
  <c r="P40" i="3"/>
  <c r="O40" i="3"/>
  <c r="N40" i="3"/>
  <c r="P39" i="3"/>
  <c r="O39" i="3"/>
  <c r="N39" i="3"/>
  <c r="P38" i="3"/>
  <c r="O38" i="3"/>
  <c r="N38" i="3"/>
  <c r="P37" i="3"/>
  <c r="O37" i="3"/>
  <c r="N37" i="3"/>
  <c r="P36" i="3"/>
  <c r="O36" i="3"/>
  <c r="N36" i="3"/>
  <c r="P35" i="3"/>
  <c r="O35" i="3"/>
  <c r="N35" i="3"/>
  <c r="P34" i="3"/>
  <c r="O34" i="3"/>
  <c r="N34" i="3"/>
  <c r="P33" i="3"/>
  <c r="O33" i="3"/>
  <c r="N33" i="3"/>
  <c r="P32" i="3"/>
  <c r="O32" i="3"/>
  <c r="N32" i="3"/>
  <c r="P31" i="3"/>
  <c r="O31" i="3"/>
  <c r="N31" i="3"/>
  <c r="P30" i="3"/>
  <c r="O30" i="3"/>
  <c r="N30" i="3"/>
  <c r="P29" i="3"/>
  <c r="O29" i="3"/>
  <c r="N29" i="3"/>
  <c r="P28" i="3"/>
  <c r="O28" i="3"/>
  <c r="N28" i="3"/>
  <c r="P27" i="3"/>
  <c r="O27" i="3"/>
  <c r="N27" i="3"/>
  <c r="P26" i="3"/>
  <c r="O26" i="3"/>
  <c r="N26" i="3"/>
  <c r="P25" i="3"/>
  <c r="O25" i="3"/>
  <c r="N25" i="3"/>
  <c r="P24" i="3"/>
  <c r="O24" i="3"/>
  <c r="N24" i="3"/>
  <c r="P23" i="3"/>
  <c r="O23" i="3"/>
  <c r="N23" i="3"/>
  <c r="P22" i="3"/>
  <c r="O22" i="3"/>
  <c r="N22" i="3"/>
  <c r="P21" i="3"/>
  <c r="O21" i="3"/>
  <c r="N21" i="3"/>
  <c r="P20" i="3"/>
  <c r="O20" i="3"/>
  <c r="N20" i="3"/>
  <c r="P19" i="3"/>
  <c r="O19" i="3"/>
  <c r="N19" i="3"/>
  <c r="P18" i="3"/>
  <c r="O18" i="3"/>
  <c r="N18" i="3"/>
  <c r="P17" i="3"/>
  <c r="O17" i="3"/>
  <c r="N17" i="3"/>
  <c r="P16" i="3"/>
  <c r="O16" i="3"/>
  <c r="N16" i="3"/>
  <c r="P15" i="3"/>
  <c r="O15" i="3"/>
  <c r="N15" i="3"/>
  <c r="P14" i="3"/>
  <c r="O14" i="3"/>
  <c r="N14" i="3"/>
  <c r="P13" i="3"/>
  <c r="O13" i="3"/>
  <c r="N13" i="3"/>
  <c r="P12" i="3"/>
  <c r="O12" i="3"/>
  <c r="N12" i="3"/>
  <c r="P11" i="3"/>
  <c r="O11" i="3"/>
  <c r="N11" i="3"/>
  <c r="P10" i="3"/>
  <c r="O10" i="3"/>
  <c r="N10" i="3"/>
  <c r="P9" i="3"/>
  <c r="O9" i="3"/>
  <c r="N9" i="3"/>
  <c r="P8" i="3"/>
  <c r="O8" i="3"/>
  <c r="N8" i="3"/>
  <c r="P7" i="3"/>
  <c r="O7" i="3"/>
  <c r="N7" i="3"/>
  <c r="P6" i="3"/>
  <c r="O6" i="3"/>
  <c r="N6" i="3"/>
  <c r="E32" i="3" l="1"/>
  <c r="E35" i="3"/>
  <c r="Q131" i="3"/>
  <c r="E241" i="3"/>
  <c r="E259" i="3"/>
  <c r="E289" i="3"/>
  <c r="E33" i="3"/>
  <c r="E271" i="3"/>
  <c r="Q206" i="3"/>
  <c r="R206" i="3" s="1"/>
  <c r="Q193" i="3"/>
  <c r="R193" i="3" s="1"/>
  <c r="Q62" i="3"/>
  <c r="R62" i="3" s="1"/>
  <c r="Q70" i="3"/>
  <c r="R70" i="3" s="1"/>
  <c r="Q188" i="3"/>
  <c r="R188" i="3" s="1"/>
  <c r="E252" i="3"/>
  <c r="E285" i="3"/>
  <c r="Q218" i="3"/>
  <c r="R218" i="3" s="1"/>
  <c r="Q230" i="3"/>
  <c r="R230" i="3" s="1"/>
  <c r="Q234" i="3"/>
  <c r="R234" i="3" s="1"/>
  <c r="Q242" i="3"/>
  <c r="R242" i="3" s="1"/>
  <c r="Q334" i="3"/>
  <c r="R334" i="3" s="1"/>
  <c r="E60" i="3"/>
  <c r="E126" i="3"/>
  <c r="E156" i="3"/>
  <c r="E49" i="3"/>
  <c r="E61" i="3"/>
  <c r="E97" i="3"/>
  <c r="Q347" i="3"/>
  <c r="R347" i="3" s="1"/>
  <c r="E160" i="3"/>
  <c r="E172" i="3"/>
  <c r="E105" i="3"/>
  <c r="E117" i="3"/>
  <c r="Q288" i="3"/>
  <c r="R288" i="3" s="1"/>
  <c r="Q292" i="3"/>
  <c r="R292" i="3" s="1"/>
  <c r="Q316" i="3"/>
  <c r="R316" i="3" s="1"/>
  <c r="Q320" i="3"/>
  <c r="R320" i="3" s="1"/>
  <c r="Q324" i="3"/>
  <c r="R324" i="3" s="1"/>
  <c r="Q328" i="3"/>
  <c r="R328" i="3" s="1"/>
  <c r="Q348" i="3"/>
  <c r="R348" i="3" s="1"/>
  <c r="Q21" i="3"/>
  <c r="R21" i="3" s="1"/>
  <c r="Q114" i="3"/>
  <c r="R114" i="3" s="1"/>
  <c r="Q122" i="3"/>
  <c r="R122" i="3" s="1"/>
  <c r="Q134" i="3"/>
  <c r="R134" i="3" s="1"/>
  <c r="Q142" i="3"/>
  <c r="R142" i="3" s="1"/>
  <c r="Q177" i="3"/>
  <c r="R177" i="3" s="1"/>
  <c r="Q181" i="3"/>
  <c r="R181" i="3" s="1"/>
  <c r="Q189" i="3"/>
  <c r="R189" i="3" s="1"/>
  <c r="E106" i="3"/>
  <c r="E118" i="3"/>
  <c r="E248" i="3"/>
  <c r="E263" i="3"/>
  <c r="E278" i="3"/>
  <c r="E112" i="3"/>
  <c r="E111" i="3"/>
  <c r="E72" i="3"/>
  <c r="E54" i="3"/>
  <c r="E66" i="3"/>
  <c r="E75" i="3"/>
  <c r="E51" i="3"/>
  <c r="E63" i="3"/>
  <c r="E55" i="3"/>
  <c r="E67" i="3"/>
  <c r="E69" i="3"/>
  <c r="Q51" i="3"/>
  <c r="R51" i="3" s="1"/>
  <c r="Q155" i="3"/>
  <c r="R155" i="3" s="1"/>
  <c r="E7" i="3"/>
  <c r="E13" i="3"/>
  <c r="E162" i="3"/>
  <c r="E168" i="3"/>
  <c r="E174" i="3"/>
  <c r="E183" i="3"/>
  <c r="Q96" i="3"/>
  <c r="R96" i="3" s="1"/>
  <c r="Q152" i="3"/>
  <c r="R152" i="3" s="1"/>
  <c r="Q183" i="3"/>
  <c r="R183" i="3" s="1"/>
  <c r="Q104" i="3"/>
  <c r="R104" i="3" s="1"/>
  <c r="Q140" i="3"/>
  <c r="R140" i="3" s="1"/>
  <c r="Q27" i="3"/>
  <c r="R27" i="3" s="1"/>
  <c r="Q108" i="3"/>
  <c r="R108" i="3" s="1"/>
  <c r="E9" i="3"/>
  <c r="E15" i="3"/>
  <c r="E108" i="3"/>
  <c r="E135" i="3"/>
  <c r="Q211" i="3"/>
  <c r="R211" i="3" s="1"/>
  <c r="Q223" i="3"/>
  <c r="R223" i="3" s="1"/>
  <c r="Q231" i="3"/>
  <c r="R231" i="3" s="1"/>
  <c r="Q279" i="3"/>
  <c r="R279" i="3" s="1"/>
  <c r="Q287" i="3"/>
  <c r="R287" i="3" s="1"/>
  <c r="Q291" i="3"/>
  <c r="R291" i="3" s="1"/>
  <c r="Q295" i="3"/>
  <c r="R295" i="3" s="1"/>
  <c r="Q299" i="3"/>
  <c r="R299" i="3" s="1"/>
  <c r="Q303" i="3"/>
  <c r="R303" i="3" s="1"/>
  <c r="Q319" i="3"/>
  <c r="R319" i="3" s="1"/>
  <c r="Q331" i="3"/>
  <c r="R331" i="3" s="1"/>
  <c r="E8" i="3"/>
  <c r="E14" i="3"/>
  <c r="Q78" i="3"/>
  <c r="R78" i="3" s="1"/>
  <c r="E62" i="3"/>
  <c r="Q57" i="3"/>
  <c r="R57" i="3" s="1"/>
  <c r="E22" i="3"/>
  <c r="Q101" i="3"/>
  <c r="R101" i="3" s="1"/>
  <c r="Q105" i="3"/>
  <c r="R105" i="3" s="1"/>
  <c r="Q113" i="3"/>
  <c r="R113" i="3" s="1"/>
  <c r="Q117" i="3"/>
  <c r="R117" i="3" s="1"/>
  <c r="Q125" i="3"/>
  <c r="R125" i="3" s="1"/>
  <c r="Q129" i="3"/>
  <c r="R129" i="3" s="1"/>
  <c r="Q149" i="3"/>
  <c r="R149" i="3" s="1"/>
  <c r="Q176" i="3"/>
  <c r="R176" i="3" s="1"/>
  <c r="Q180" i="3"/>
  <c r="R180" i="3" s="1"/>
  <c r="E50" i="3"/>
  <c r="E56" i="3"/>
  <c r="E68" i="3"/>
  <c r="Q13" i="3"/>
  <c r="R13" i="3" s="1"/>
  <c r="E10" i="3"/>
  <c r="E16" i="3"/>
  <c r="E28" i="3"/>
  <c r="E40" i="3"/>
  <c r="E46" i="3"/>
  <c r="R131" i="3"/>
  <c r="Q257" i="3"/>
  <c r="R257" i="3" s="1"/>
  <c r="Q277" i="3"/>
  <c r="R277" i="3" s="1"/>
  <c r="Q100" i="3"/>
  <c r="R100" i="3" s="1"/>
  <c r="Q112" i="3"/>
  <c r="R112" i="3" s="1"/>
  <c r="Q136" i="3"/>
  <c r="R136" i="3" s="1"/>
  <c r="Q163" i="3"/>
  <c r="R163" i="3" s="1"/>
  <c r="Q175" i="3"/>
  <c r="R175" i="3" s="1"/>
  <c r="Q14" i="3"/>
  <c r="R14" i="3" s="1"/>
  <c r="E104" i="3"/>
  <c r="E110" i="3"/>
  <c r="E116" i="3"/>
  <c r="E125" i="3"/>
  <c r="Q246" i="3"/>
  <c r="R246" i="3" s="1"/>
  <c r="Q298" i="3"/>
  <c r="R298" i="3" s="1"/>
  <c r="Q314" i="3"/>
  <c r="R314" i="3" s="1"/>
  <c r="E18" i="3"/>
  <c r="E96" i="3"/>
  <c r="E161" i="3"/>
  <c r="E167" i="3"/>
  <c r="E173" i="3"/>
  <c r="E182" i="3"/>
  <c r="E127" i="3"/>
  <c r="E139" i="3"/>
  <c r="E148" i="3"/>
  <c r="E189" i="3"/>
  <c r="E204" i="3"/>
  <c r="E216" i="3"/>
  <c r="E222" i="3"/>
  <c r="E249" i="3"/>
  <c r="E163" i="3"/>
  <c r="E234" i="3"/>
  <c r="E270" i="3"/>
  <c r="E279" i="3"/>
  <c r="Q17" i="3"/>
  <c r="R17" i="3" s="1"/>
  <c r="Q29" i="3"/>
  <c r="R29" i="3" s="1"/>
  <c r="Q41" i="3"/>
  <c r="R41" i="3" s="1"/>
  <c r="E169" i="3"/>
  <c r="Q83" i="3"/>
  <c r="R83" i="3" s="1"/>
  <c r="Q118" i="3"/>
  <c r="R118" i="3" s="1"/>
  <c r="E74" i="3"/>
  <c r="E80" i="3"/>
  <c r="E86" i="3"/>
  <c r="E92" i="3"/>
  <c r="E98" i="3"/>
  <c r="E107" i="3"/>
  <c r="E113" i="3"/>
  <c r="E119" i="3"/>
  <c r="E195" i="3"/>
  <c r="E210" i="3"/>
  <c r="E228" i="3"/>
  <c r="E240" i="3"/>
  <c r="E258" i="3"/>
  <c r="E264" i="3"/>
  <c r="E288" i="3"/>
  <c r="Q45" i="3"/>
  <c r="R45" i="3" s="1"/>
  <c r="E157" i="3"/>
  <c r="E175" i="3"/>
  <c r="Q65" i="3"/>
  <c r="R65" i="3" s="1"/>
  <c r="Q79" i="3"/>
  <c r="R79" i="3" s="1"/>
  <c r="Q91" i="3"/>
  <c r="R91" i="3" s="1"/>
  <c r="Q6" i="3"/>
  <c r="R6" i="3" s="1"/>
  <c r="Q10" i="3"/>
  <c r="R10" i="3" s="1"/>
  <c r="E21" i="3"/>
  <c r="E36" i="3"/>
  <c r="E45" i="3"/>
  <c r="E57" i="3"/>
  <c r="E81" i="3"/>
  <c r="Q9" i="3"/>
  <c r="R9" i="3" s="1"/>
  <c r="E133" i="3"/>
  <c r="E87" i="3"/>
  <c r="E93" i="3"/>
  <c r="Q309" i="3"/>
  <c r="R309" i="3" s="1"/>
  <c r="Q317" i="3"/>
  <c r="R317" i="3" s="1"/>
  <c r="R337" i="3"/>
  <c r="Q187" i="3"/>
  <c r="R187" i="3" s="1"/>
  <c r="Q258" i="3"/>
  <c r="R258" i="3" s="1"/>
  <c r="Q262" i="3"/>
  <c r="R262" i="3" s="1"/>
  <c r="Q28" i="3"/>
  <c r="R28" i="3" s="1"/>
  <c r="Q40" i="3"/>
  <c r="R40" i="3" s="1"/>
  <c r="Q199" i="3"/>
  <c r="R199" i="3" s="1"/>
  <c r="E128" i="3"/>
  <c r="E143" i="3"/>
  <c r="E184" i="3"/>
  <c r="E205" i="3"/>
  <c r="E217" i="3"/>
  <c r="E229" i="3"/>
  <c r="Q192" i="3"/>
  <c r="R192" i="3" s="1"/>
  <c r="Q270" i="3"/>
  <c r="R270" i="3" s="1"/>
  <c r="E17" i="3"/>
  <c r="E58" i="3"/>
  <c r="E70" i="3"/>
  <c r="E120" i="3"/>
  <c r="E164" i="3"/>
  <c r="E176" i="3"/>
  <c r="Q22" i="3"/>
  <c r="R22" i="3" s="1"/>
  <c r="Q54" i="3"/>
  <c r="R54" i="3" s="1"/>
  <c r="Q196" i="3"/>
  <c r="R196" i="3" s="1"/>
  <c r="Q200" i="3"/>
  <c r="R200" i="3" s="1"/>
  <c r="Q204" i="3"/>
  <c r="R204" i="3" s="1"/>
  <c r="Q286" i="3"/>
  <c r="R286" i="3" s="1"/>
  <c r="Q310" i="3"/>
  <c r="R310" i="3" s="1"/>
  <c r="Q326" i="3"/>
  <c r="R326" i="3" s="1"/>
  <c r="E82" i="3"/>
  <c r="E94" i="3"/>
  <c r="E129" i="3"/>
  <c r="E144" i="3"/>
  <c r="E191" i="3"/>
  <c r="E206" i="3"/>
  <c r="E224" i="3"/>
  <c r="E236" i="3"/>
  <c r="E251" i="3"/>
  <c r="E272" i="3"/>
  <c r="E281" i="3"/>
  <c r="Q92" i="3"/>
  <c r="R92" i="3" s="1"/>
  <c r="Q126" i="3"/>
  <c r="R126" i="3" s="1"/>
  <c r="Q130" i="3"/>
  <c r="R130" i="3" s="1"/>
  <c r="Q138" i="3"/>
  <c r="R138" i="3" s="1"/>
  <c r="Q146" i="3"/>
  <c r="R146" i="3" s="1"/>
  <c r="Q150" i="3"/>
  <c r="R150" i="3" s="1"/>
  <c r="Q212" i="3"/>
  <c r="R212" i="3" s="1"/>
  <c r="Q224" i="3"/>
  <c r="R224" i="3" s="1"/>
  <c r="E6" i="3"/>
  <c r="E12" i="3"/>
  <c r="E53" i="3"/>
  <c r="E59" i="3"/>
  <c r="E65" i="3"/>
  <c r="E71" i="3"/>
  <c r="E103" i="3"/>
  <c r="E109" i="3"/>
  <c r="E115" i="3"/>
  <c r="E121" i="3"/>
  <c r="E159" i="3"/>
  <c r="E165" i="3"/>
  <c r="E171" i="3"/>
  <c r="E177" i="3"/>
  <c r="Q107" i="3"/>
  <c r="R107" i="3" s="1"/>
  <c r="Q111" i="3"/>
  <c r="R111" i="3" s="1"/>
  <c r="Q185" i="3"/>
  <c r="R185" i="3" s="1"/>
  <c r="Q228" i="3"/>
  <c r="R228" i="3" s="1"/>
  <c r="Q236" i="3"/>
  <c r="R236" i="3" s="1"/>
  <c r="Q263" i="3"/>
  <c r="R263" i="3" s="1"/>
  <c r="Q338" i="3"/>
  <c r="R338" i="3" s="1"/>
  <c r="E24" i="3"/>
  <c r="E30" i="3"/>
  <c r="E42" i="3"/>
  <c r="E77" i="3"/>
  <c r="E83" i="3"/>
  <c r="E89" i="3"/>
  <c r="E95" i="3"/>
  <c r="E130" i="3"/>
  <c r="E136" i="3"/>
  <c r="E145" i="3"/>
  <c r="E154" i="3"/>
  <c r="E186" i="3"/>
  <c r="E198" i="3"/>
  <c r="E213" i="3"/>
  <c r="E225" i="3"/>
  <c r="E134" i="3"/>
  <c r="E149" i="3"/>
  <c r="E190" i="3"/>
  <c r="E11" i="3"/>
  <c r="E52" i="3"/>
  <c r="E64" i="3"/>
  <c r="E102" i="3"/>
  <c r="E114" i="3"/>
  <c r="E158" i="3"/>
  <c r="E170" i="3"/>
  <c r="Q18" i="3"/>
  <c r="R18" i="3" s="1"/>
  <c r="Q26" i="3"/>
  <c r="R26" i="3" s="1"/>
  <c r="Q235" i="3"/>
  <c r="R235" i="3" s="1"/>
  <c r="Q239" i="3"/>
  <c r="R239" i="3" s="1"/>
  <c r="E23" i="3"/>
  <c r="E29" i="3"/>
  <c r="E41" i="3"/>
  <c r="E47" i="3"/>
  <c r="E76" i="3"/>
  <c r="E88" i="3"/>
  <c r="E150" i="3"/>
  <c r="E185" i="3"/>
  <c r="E197" i="3"/>
  <c r="E212" i="3"/>
  <c r="E218" i="3"/>
  <c r="E230" i="3"/>
  <c r="E242" i="3"/>
  <c r="E260" i="3"/>
  <c r="E266" i="3"/>
  <c r="E290" i="3"/>
  <c r="Q88" i="3"/>
  <c r="R88" i="3" s="1"/>
  <c r="Q67" i="3"/>
  <c r="R67" i="3" s="1"/>
  <c r="Q73" i="3"/>
  <c r="R73" i="3" s="1"/>
  <c r="Q77" i="3"/>
  <c r="R77" i="3" s="1"/>
  <c r="Q119" i="3"/>
  <c r="R119" i="3" s="1"/>
  <c r="Q127" i="3"/>
  <c r="R127" i="3" s="1"/>
  <c r="Q143" i="3"/>
  <c r="R143" i="3" s="1"/>
  <c r="Q154" i="3"/>
  <c r="R154" i="3" s="1"/>
  <c r="Q166" i="3"/>
  <c r="R166" i="3" s="1"/>
  <c r="Q170" i="3"/>
  <c r="R170" i="3" s="1"/>
  <c r="Q182" i="3"/>
  <c r="R182" i="3" s="1"/>
  <c r="Q217" i="3"/>
  <c r="R217" i="3" s="1"/>
  <c r="Q221" i="3"/>
  <c r="R221" i="3" s="1"/>
  <c r="Q225" i="3"/>
  <c r="R225" i="3" s="1"/>
  <c r="Q229" i="3"/>
  <c r="R229" i="3" s="1"/>
  <c r="Q256" i="3"/>
  <c r="R256" i="3" s="1"/>
  <c r="Q260" i="3"/>
  <c r="R260" i="3" s="1"/>
  <c r="E19" i="3"/>
  <c r="E25" i="3"/>
  <c r="E31" i="3"/>
  <c r="E43" i="3"/>
  <c r="E78" i="3"/>
  <c r="E84" i="3"/>
  <c r="E90" i="3"/>
  <c r="E131" i="3"/>
  <c r="E137" i="3"/>
  <c r="E146" i="3"/>
  <c r="E155" i="3"/>
  <c r="E187" i="3"/>
  <c r="E193" i="3"/>
  <c r="E199" i="3"/>
  <c r="E208" i="3"/>
  <c r="E214" i="3"/>
  <c r="E220" i="3"/>
  <c r="E226" i="3"/>
  <c r="E232" i="3"/>
  <c r="E238" i="3"/>
  <c r="E247" i="3"/>
  <c r="E253" i="3"/>
  <c r="E262" i="3"/>
  <c r="E268" i="3"/>
  <c r="E277" i="3"/>
  <c r="E286" i="3"/>
  <c r="E292" i="3"/>
  <c r="Q237" i="3"/>
  <c r="R237" i="3" s="1"/>
  <c r="Q194" i="3"/>
  <c r="R194" i="3" s="1"/>
  <c r="Q249" i="3"/>
  <c r="R249" i="3" s="1"/>
  <c r="Q261" i="3"/>
  <c r="R261" i="3" s="1"/>
  <c r="E20" i="3"/>
  <c r="E26" i="3"/>
  <c r="E34" i="3"/>
  <c r="E44" i="3"/>
  <c r="E73" i="3"/>
  <c r="E79" i="3"/>
  <c r="E85" i="3"/>
  <c r="E91" i="3"/>
  <c r="E132" i="3"/>
  <c r="E138" i="3"/>
  <c r="E147" i="3"/>
  <c r="E188" i="3"/>
  <c r="E194" i="3"/>
  <c r="E209" i="3"/>
  <c r="E221" i="3"/>
  <c r="E233" i="3"/>
  <c r="E207" i="3"/>
  <c r="E223" i="3"/>
  <c r="E239" i="3"/>
  <c r="E261" i="3"/>
  <c r="E219" i="3"/>
  <c r="E235" i="3"/>
  <c r="E276" i="3"/>
  <c r="E196" i="3"/>
  <c r="E215" i="3"/>
  <c r="E231" i="3"/>
  <c r="E250" i="3"/>
  <c r="E269" i="3"/>
  <c r="E192" i="3"/>
  <c r="E211" i="3"/>
  <c r="E227" i="3"/>
  <c r="E243" i="3"/>
  <c r="E265" i="3"/>
  <c r="E287" i="3"/>
  <c r="E280" i="3"/>
  <c r="E200" i="3"/>
  <c r="E257" i="3"/>
  <c r="E291" i="3"/>
  <c r="Q207" i="3"/>
  <c r="R207" i="3" s="1"/>
  <c r="Q281" i="3"/>
  <c r="R281" i="3" s="1"/>
  <c r="Q285" i="3"/>
  <c r="R285" i="3" s="1"/>
  <c r="Q58" i="3"/>
  <c r="R58" i="3" s="1"/>
  <c r="Q69" i="3"/>
  <c r="R69" i="3" s="1"/>
  <c r="Q123" i="3"/>
  <c r="R123" i="3" s="1"/>
  <c r="Q174" i="3"/>
  <c r="R174" i="3" s="1"/>
  <c r="Q215" i="3"/>
  <c r="R215" i="3" s="1"/>
  <c r="Q201" i="3"/>
  <c r="R201" i="3" s="1"/>
  <c r="Q137" i="3"/>
  <c r="R137" i="3" s="1"/>
  <c r="Q173" i="3"/>
  <c r="R173" i="3" s="1"/>
  <c r="Q139" i="3"/>
  <c r="R139" i="3" s="1"/>
  <c r="Q332" i="3"/>
  <c r="R332" i="3" s="1"/>
  <c r="Q25" i="3"/>
  <c r="R25" i="3" s="1"/>
  <c r="Q44" i="3"/>
  <c r="R44" i="3" s="1"/>
  <c r="Q84" i="3"/>
  <c r="R84" i="3" s="1"/>
  <c r="Q98" i="3"/>
  <c r="R98" i="3" s="1"/>
  <c r="Q102" i="3"/>
  <c r="R102" i="3" s="1"/>
  <c r="Q147" i="3"/>
  <c r="R147" i="3" s="1"/>
  <c r="Q205" i="3"/>
  <c r="R205" i="3" s="1"/>
  <c r="Q268" i="3"/>
  <c r="R268" i="3" s="1"/>
  <c r="Q321" i="3"/>
  <c r="R321" i="3" s="1"/>
  <c r="Q325" i="3"/>
  <c r="R325" i="3" s="1"/>
  <c r="Q68" i="3"/>
  <c r="R68" i="3" s="1"/>
  <c r="Q115" i="3"/>
  <c r="R115" i="3" s="1"/>
  <c r="Q296" i="3"/>
  <c r="R296" i="3" s="1"/>
  <c r="Q349" i="3"/>
  <c r="R349" i="3" s="1"/>
  <c r="Q50" i="3"/>
  <c r="R50" i="3" s="1"/>
  <c r="Q82" i="3"/>
  <c r="R82" i="3" s="1"/>
  <c r="Q32" i="3"/>
  <c r="R32" i="3" s="1"/>
  <c r="Q95" i="3"/>
  <c r="R95" i="3" s="1"/>
  <c r="Q171" i="3"/>
  <c r="R171" i="3" s="1"/>
  <c r="Q33" i="3"/>
  <c r="R33" i="3" s="1"/>
  <c r="Q37" i="3"/>
  <c r="R37" i="3" s="1"/>
  <c r="Q198" i="3"/>
  <c r="R198" i="3" s="1"/>
  <c r="Q247" i="3"/>
  <c r="R247" i="3" s="1"/>
  <c r="Q55" i="3"/>
  <c r="R55" i="3" s="1"/>
  <c r="Q148" i="3"/>
  <c r="R148" i="3" s="1"/>
  <c r="Q254" i="3"/>
  <c r="R254" i="3" s="1"/>
  <c r="Q103" i="3"/>
  <c r="R103" i="3" s="1"/>
  <c r="Q124" i="3"/>
  <c r="R124" i="3" s="1"/>
  <c r="Q141" i="3"/>
  <c r="R141" i="3" s="1"/>
  <c r="Q165" i="3"/>
  <c r="R165" i="3" s="1"/>
  <c r="Q195" i="3"/>
  <c r="R195" i="3" s="1"/>
  <c r="Q216" i="3"/>
  <c r="R216" i="3" s="1"/>
  <c r="Q226" i="3"/>
  <c r="R226" i="3" s="1"/>
  <c r="Q233" i="3"/>
  <c r="R233" i="3" s="1"/>
  <c r="Q290" i="3"/>
  <c r="R290" i="3" s="1"/>
  <c r="Q308" i="3"/>
  <c r="R308" i="3" s="1"/>
  <c r="Q315" i="3"/>
  <c r="R315" i="3" s="1"/>
  <c r="Q209" i="3"/>
  <c r="R209" i="3" s="1"/>
  <c r="Q265" i="3"/>
  <c r="R265" i="3" s="1"/>
  <c r="Q301" i="3"/>
  <c r="R301" i="3" s="1"/>
  <c r="Q312" i="3"/>
  <c r="R312" i="3" s="1"/>
  <c r="Q333" i="3"/>
  <c r="R333" i="3" s="1"/>
  <c r="Q278" i="3"/>
  <c r="R278" i="3" s="1"/>
  <c r="Q289" i="3"/>
  <c r="R289" i="3" s="1"/>
  <c r="Q8" i="3"/>
  <c r="R8" i="3" s="1"/>
  <c r="Q66" i="3"/>
  <c r="R66" i="3" s="1"/>
  <c r="Q71" i="3"/>
  <c r="R71" i="3" s="1"/>
  <c r="Q75" i="3"/>
  <c r="R75" i="3" s="1"/>
  <c r="Q89" i="3"/>
  <c r="R89" i="3" s="1"/>
  <c r="Q99" i="3"/>
  <c r="R99" i="3" s="1"/>
  <c r="Q106" i="3"/>
  <c r="R106" i="3" s="1"/>
  <c r="Q110" i="3"/>
  <c r="R110" i="3" s="1"/>
  <c r="Q144" i="3"/>
  <c r="R144" i="3" s="1"/>
  <c r="Q151" i="3"/>
  <c r="R151" i="3" s="1"/>
  <c r="Q164" i="3"/>
  <c r="R164" i="3" s="1"/>
  <c r="Q208" i="3"/>
  <c r="R208" i="3" s="1"/>
  <c r="Q275" i="3"/>
  <c r="R275" i="3" s="1"/>
  <c r="Q282" i="3"/>
  <c r="R282" i="3" s="1"/>
  <c r="Q329" i="3"/>
  <c r="R329" i="3" s="1"/>
  <c r="Q15" i="3"/>
  <c r="R15" i="3" s="1"/>
  <c r="Q30" i="3"/>
  <c r="R30" i="3" s="1"/>
  <c r="Q34" i="3"/>
  <c r="R34" i="3" s="1"/>
  <c r="Q38" i="3"/>
  <c r="R38" i="3" s="1"/>
  <c r="Q86" i="3"/>
  <c r="R86" i="3" s="1"/>
  <c r="Q157" i="3"/>
  <c r="R157" i="3" s="1"/>
  <c r="Q168" i="3"/>
  <c r="R168" i="3" s="1"/>
  <c r="Q202" i="3"/>
  <c r="R202" i="3" s="1"/>
  <c r="Q219" i="3"/>
  <c r="R219" i="3" s="1"/>
  <c r="Q240" i="3"/>
  <c r="R240" i="3" s="1"/>
  <c r="Q293" i="3"/>
  <c r="R293" i="3" s="1"/>
  <c r="Q297" i="3"/>
  <c r="R297" i="3" s="1"/>
  <c r="Q322" i="3"/>
  <c r="R322" i="3" s="1"/>
  <c r="Q336" i="3"/>
  <c r="R336" i="3" s="1"/>
  <c r="Q339" i="3"/>
  <c r="R339" i="3" s="1"/>
  <c r="Q12" i="3"/>
  <c r="R12" i="3" s="1"/>
  <c r="Q63" i="3"/>
  <c r="R63" i="3" s="1"/>
  <c r="Q60" i="3"/>
  <c r="R60" i="3" s="1"/>
  <c r="Q76" i="3"/>
  <c r="R76" i="3" s="1"/>
  <c r="Q53" i="3"/>
  <c r="R53" i="3" s="1"/>
  <c r="Q94" i="3"/>
  <c r="R94" i="3" s="1"/>
  <c r="Q135" i="3"/>
  <c r="R135" i="3" s="1"/>
  <c r="Q162" i="3"/>
  <c r="R162" i="3" s="1"/>
  <c r="Q169" i="3"/>
  <c r="R169" i="3" s="1"/>
  <c r="Q213" i="3"/>
  <c r="R213" i="3" s="1"/>
  <c r="Q220" i="3"/>
  <c r="R220" i="3" s="1"/>
  <c r="Q241" i="3"/>
  <c r="R241" i="3" s="1"/>
  <c r="Q248" i="3"/>
  <c r="R248" i="3" s="1"/>
  <c r="Q255" i="3"/>
  <c r="R255" i="3" s="1"/>
  <c r="Q294" i="3"/>
  <c r="R294" i="3" s="1"/>
  <c r="Q340" i="3"/>
  <c r="R340" i="3" s="1"/>
  <c r="Q23" i="3"/>
  <c r="R23" i="3" s="1"/>
  <c r="Q72" i="3"/>
  <c r="R72" i="3" s="1"/>
  <c r="Q31" i="3"/>
  <c r="R31" i="3" s="1"/>
  <c r="Q35" i="3"/>
  <c r="R35" i="3" s="1"/>
  <c r="Q39" i="3"/>
  <c r="R39" i="3" s="1"/>
  <c r="Q20" i="3"/>
  <c r="R20" i="3" s="1"/>
  <c r="Q42" i="3"/>
  <c r="R42" i="3" s="1"/>
  <c r="Q61" i="3"/>
  <c r="R61" i="3" s="1"/>
  <c r="Q80" i="3"/>
  <c r="R80" i="3" s="1"/>
  <c r="Q87" i="3"/>
  <c r="R87" i="3" s="1"/>
  <c r="Q190" i="3"/>
  <c r="R190" i="3" s="1"/>
  <c r="Q210" i="3"/>
  <c r="R210" i="3" s="1"/>
  <c r="Q238" i="3"/>
  <c r="R238" i="3" s="1"/>
  <c r="Q245" i="3"/>
  <c r="R245" i="3" s="1"/>
  <c r="Q259" i="3"/>
  <c r="R259" i="3" s="1"/>
  <c r="Q266" i="3"/>
  <c r="R266" i="3" s="1"/>
  <c r="Q280" i="3"/>
  <c r="R280" i="3" s="1"/>
  <c r="Q284" i="3"/>
  <c r="R284" i="3" s="1"/>
  <c r="Q313" i="3"/>
  <c r="R313" i="3" s="1"/>
  <c r="Q327" i="3"/>
  <c r="R327" i="3" s="1"/>
  <c r="Q345" i="3"/>
  <c r="R345" i="3" s="1"/>
  <c r="Q81" i="3"/>
  <c r="R81" i="3" s="1"/>
  <c r="Q323" i="3"/>
  <c r="R323" i="3" s="1"/>
  <c r="Q197" i="3"/>
  <c r="R197" i="3" s="1"/>
  <c r="Q222" i="3"/>
  <c r="R222" i="3" s="1"/>
  <c r="Q153" i="3"/>
  <c r="R153" i="3" s="1"/>
  <c r="Q191" i="3"/>
  <c r="R191" i="3" s="1"/>
  <c r="Q269" i="3"/>
  <c r="R269" i="3" s="1"/>
  <c r="Q43" i="3"/>
  <c r="R43" i="3" s="1"/>
  <c r="Q121" i="3"/>
  <c r="R121" i="3" s="1"/>
  <c r="Q172" i="3"/>
  <c r="R172" i="3" s="1"/>
  <c r="Q16" i="3"/>
  <c r="R16" i="3" s="1"/>
  <c r="Q178" i="3"/>
  <c r="R178" i="3" s="1"/>
  <c r="Q52" i="3"/>
  <c r="R52" i="3" s="1"/>
  <c r="Q232" i="3"/>
  <c r="R232" i="3" s="1"/>
  <c r="Q36" i="3"/>
  <c r="R36" i="3" s="1"/>
  <c r="Q243" i="3"/>
  <c r="R243" i="3" s="1"/>
  <c r="Q120" i="3"/>
  <c r="R120" i="3" s="1"/>
  <c r="Q11" i="3"/>
  <c r="R11" i="3" s="1"/>
  <c r="Q90" i="3"/>
  <c r="R90" i="3" s="1"/>
  <c r="Q85" i="3"/>
  <c r="R85" i="3" s="1"/>
  <c r="Q318" i="3"/>
  <c r="R318" i="3" s="1"/>
  <c r="Q56" i="3"/>
  <c r="R56" i="3" s="1"/>
  <c r="Q167" i="3"/>
  <c r="R167" i="3" s="1"/>
  <c r="Q7" i="3"/>
  <c r="R7" i="3" s="1"/>
  <c r="Q74" i="3"/>
  <c r="R74" i="3" s="1"/>
  <c r="Q116" i="3"/>
  <c r="R116" i="3" s="1"/>
  <c r="Q283" i="3"/>
  <c r="R283" i="3" s="1"/>
  <c r="Q302" i="3"/>
  <c r="R302" i="3" s="1"/>
  <c r="Q132" i="3"/>
  <c r="R132" i="3" s="1"/>
  <c r="Q186" i="3"/>
  <c r="R186" i="3" s="1"/>
  <c r="Q214" i="3"/>
  <c r="R214" i="3" s="1"/>
  <c r="Q264" i="3"/>
  <c r="R264" i="3" s="1"/>
  <c r="Q335" i="3"/>
  <c r="R335" i="3" s="1"/>
  <c r="Q109" i="3"/>
  <c r="R109" i="3" s="1"/>
  <c r="Q145" i="3"/>
  <c r="R145" i="3" s="1"/>
  <c r="Q227" i="3"/>
  <c r="R227" i="3" s="1"/>
  <c r="Q300" i="3"/>
  <c r="R300" i="3" s="1"/>
  <c r="Q203" i="3"/>
  <c r="R203" i="3" s="1"/>
  <c r="Q276" i="3"/>
  <c r="R276" i="3" s="1"/>
  <c r="Q330" i="3"/>
  <c r="R330" i="3" s="1"/>
  <c r="Q184" i="3"/>
  <c r="R184" i="3" s="1"/>
  <c r="Q24" i="3"/>
  <c r="R24" i="3" s="1"/>
  <c r="Q64" i="3"/>
  <c r="R64" i="3" s="1"/>
  <c r="Q97" i="3"/>
  <c r="R97" i="3" s="1"/>
  <c r="Q133" i="3"/>
  <c r="R133" i="3" s="1"/>
  <c r="Q179" i="3"/>
  <c r="R179" i="3" s="1"/>
  <c r="Q244" i="3"/>
  <c r="R244" i="3" s="1"/>
  <c r="Q267" i="3"/>
  <c r="R267" i="3" s="1"/>
  <c r="Q19" i="3"/>
  <c r="R19" i="3" s="1"/>
  <c r="Q59" i="3"/>
  <c r="R59" i="3" s="1"/>
  <c r="Q93" i="3"/>
  <c r="R93" i="3" s="1"/>
  <c r="Q128" i="3"/>
  <c r="R128" i="3" s="1"/>
  <c r="Q156" i="3"/>
  <c r="R156" i="3" s="1"/>
  <c r="Q311" i="3"/>
  <c r="R311" i="3" s="1"/>
  <c r="Q346" i="3"/>
  <c r="R346" i="3" s="1"/>
  <c r="P2622" i="1" l="1"/>
  <c r="P2621" i="1"/>
  <c r="P2618" i="1"/>
  <c r="P2617" i="1"/>
  <c r="P2614" i="1"/>
  <c r="P2613" i="1"/>
  <c r="P2610" i="1"/>
  <c r="P2609" i="1"/>
  <c r="P2606" i="1"/>
  <c r="P2605" i="1"/>
  <c r="P2604" i="1"/>
  <c r="P2601" i="1"/>
  <c r="P2600" i="1"/>
  <c r="P2597" i="1"/>
  <c r="P2596" i="1"/>
  <c r="P2593" i="1"/>
  <c r="P2592" i="1"/>
  <c r="P2591" i="1"/>
  <c r="P2590" i="1"/>
  <c r="P2589" i="1"/>
  <c r="P2588" i="1"/>
  <c r="P2587" i="1"/>
  <c r="P2586" i="1"/>
  <c r="P2585" i="1"/>
  <c r="P2584" i="1"/>
  <c r="P2581" i="1"/>
  <c r="P2580" i="1"/>
  <c r="P2579" i="1"/>
  <c r="P2578" i="1"/>
  <c r="P2577" i="1"/>
  <c r="P2576" i="1"/>
  <c r="P2575" i="1"/>
  <c r="P2574" i="1"/>
  <c r="P2571" i="1"/>
  <c r="P2570" i="1"/>
  <c r="P2569" i="1"/>
  <c r="P2568" i="1"/>
  <c r="P2567" i="1"/>
  <c r="P2566" i="1"/>
  <c r="P2565" i="1"/>
  <c r="P2564" i="1"/>
  <c r="P2563" i="1"/>
  <c r="P2562" i="1"/>
  <c r="P2559" i="1"/>
  <c r="P2558" i="1"/>
  <c r="P2557" i="1"/>
  <c r="P2556" i="1"/>
  <c r="P2555" i="1"/>
  <c r="P2554" i="1"/>
  <c r="P2553" i="1"/>
  <c r="P2552" i="1"/>
  <c r="P2549" i="1"/>
  <c r="P2548" i="1"/>
  <c r="P2547" i="1"/>
  <c r="P2546" i="1"/>
  <c r="P2545" i="1"/>
  <c r="P2542" i="1"/>
  <c r="P2541" i="1"/>
  <c r="P2540" i="1"/>
  <c r="P2539" i="1"/>
  <c r="P2538" i="1"/>
  <c r="P2537" i="1"/>
  <c r="P2534" i="1"/>
  <c r="P2533" i="1"/>
  <c r="P2532" i="1"/>
  <c r="P2531" i="1"/>
  <c r="P2530" i="1"/>
  <c r="P2529" i="1"/>
  <c r="P2528" i="1"/>
  <c r="P2527" i="1"/>
  <c r="P2526" i="1"/>
  <c r="P2523" i="1"/>
  <c r="P2522" i="1"/>
  <c r="P2519" i="1"/>
  <c r="P2518" i="1"/>
  <c r="P2517" i="1"/>
  <c r="P2516" i="1"/>
  <c r="P2515" i="1"/>
  <c r="P2514" i="1"/>
  <c r="P2513" i="1"/>
  <c r="P2510" i="1"/>
  <c r="P2509" i="1"/>
  <c r="P2508" i="1"/>
  <c r="P2507" i="1"/>
  <c r="P2506" i="1"/>
  <c r="P2505" i="1"/>
  <c r="P2504" i="1"/>
  <c r="P2501" i="1"/>
  <c r="P2500" i="1"/>
  <c r="P2499" i="1"/>
  <c r="P2498" i="1"/>
  <c r="P2497" i="1"/>
  <c r="P2496" i="1"/>
  <c r="P2495" i="1"/>
  <c r="P2492" i="1"/>
  <c r="P2491" i="1"/>
  <c r="P2490" i="1"/>
  <c r="P2489" i="1"/>
  <c r="P2488" i="1"/>
  <c r="P2487" i="1"/>
  <c r="P2486" i="1"/>
  <c r="P2483" i="1"/>
  <c r="P2482" i="1"/>
  <c r="P2481" i="1"/>
  <c r="P2480" i="1"/>
  <c r="P2477" i="1"/>
  <c r="P2476" i="1"/>
  <c r="P2475" i="1"/>
  <c r="P2474" i="1"/>
  <c r="P2471" i="1"/>
  <c r="P2470" i="1"/>
  <c r="P2469" i="1"/>
  <c r="P2468" i="1"/>
  <c r="P2465" i="1"/>
  <c r="P2464" i="1"/>
  <c r="P2463" i="1"/>
  <c r="P2462" i="1"/>
  <c r="P2459" i="1"/>
  <c r="P2458" i="1"/>
  <c r="P2455" i="1"/>
  <c r="P2454" i="1"/>
  <c r="P2453" i="1"/>
  <c r="P2450" i="1"/>
  <c r="P2449" i="1"/>
  <c r="P2446" i="1"/>
  <c r="P2445" i="1"/>
  <c r="P2444" i="1"/>
  <c r="P2443" i="1"/>
  <c r="P2440" i="1"/>
  <c r="P2439" i="1"/>
  <c r="P2438" i="1"/>
  <c r="P2437" i="1"/>
  <c r="P2434" i="1"/>
  <c r="P2433" i="1"/>
  <c r="P2432" i="1"/>
  <c r="P2429" i="1"/>
  <c r="P2428" i="1"/>
  <c r="P2427" i="1"/>
  <c r="P2426" i="1"/>
  <c r="P2423" i="1"/>
  <c r="P2422" i="1"/>
  <c r="P2421" i="1"/>
  <c r="P2418" i="1"/>
  <c r="P2417" i="1"/>
  <c r="P2416" i="1"/>
  <c r="P2413" i="1"/>
  <c r="P2412" i="1"/>
  <c r="P2411" i="1"/>
  <c r="P2410" i="1"/>
  <c r="P2407" i="1"/>
  <c r="P2406" i="1"/>
  <c r="P2405" i="1"/>
  <c r="P2404" i="1"/>
  <c r="P2401" i="1"/>
  <c r="P2400" i="1"/>
  <c r="P2399" i="1"/>
  <c r="P2398" i="1"/>
  <c r="P2395" i="1"/>
  <c r="P2394" i="1"/>
  <c r="P2393" i="1"/>
  <c r="P2392" i="1"/>
  <c r="P2389" i="1"/>
  <c r="P2388" i="1"/>
  <c r="P2387" i="1"/>
  <c r="P2386" i="1"/>
  <c r="P2383" i="1"/>
  <c r="P2380" i="1"/>
  <c r="P2379" i="1"/>
  <c r="P2376" i="1"/>
  <c r="P2375" i="1"/>
  <c r="P2374" i="1"/>
  <c r="P2373" i="1"/>
  <c r="P2370" i="1"/>
  <c r="P2369" i="1"/>
  <c r="P2368" i="1"/>
  <c r="P2365" i="1"/>
  <c r="P2364" i="1"/>
  <c r="P2363" i="1"/>
  <c r="P2360" i="1"/>
  <c r="P2359" i="1"/>
  <c r="P2358" i="1"/>
  <c r="P2357" i="1"/>
  <c r="P2354" i="1"/>
  <c r="P2353" i="1"/>
  <c r="P2350" i="1"/>
  <c r="P2349" i="1"/>
  <c r="P2348" i="1"/>
  <c r="P2347" i="1"/>
  <c r="P2344" i="1"/>
  <c r="P2343" i="1"/>
  <c r="P2340" i="1"/>
  <c r="P2339" i="1"/>
  <c r="P2336" i="1"/>
  <c r="P2335" i="1"/>
  <c r="P2334" i="1"/>
  <c r="P2331" i="1"/>
  <c r="P2330" i="1"/>
  <c r="P2327" i="1"/>
  <c r="P2326" i="1"/>
  <c r="P2323" i="1"/>
  <c r="P2322" i="1"/>
  <c r="P2321" i="1"/>
  <c r="P2318" i="1"/>
  <c r="P2317" i="1"/>
  <c r="P2314" i="1"/>
  <c r="P2313" i="1"/>
  <c r="P2310" i="1"/>
  <c r="P2309" i="1"/>
  <c r="P2308" i="1"/>
  <c r="P2307" i="1"/>
  <c r="P2304" i="1"/>
  <c r="P2303" i="1"/>
  <c r="P2302" i="1"/>
  <c r="P2299" i="1"/>
  <c r="P2298" i="1"/>
  <c r="P2297" i="1"/>
  <c r="P2294" i="1"/>
  <c r="P2293" i="1"/>
  <c r="P2292" i="1"/>
  <c r="P2289" i="1"/>
  <c r="P2288" i="1"/>
  <c r="P2287" i="1"/>
  <c r="P2286" i="1"/>
  <c r="P2283" i="1"/>
  <c r="P2282" i="1"/>
  <c r="P2281" i="1"/>
  <c r="P2278" i="1"/>
  <c r="P2277" i="1"/>
  <c r="P2276" i="1"/>
  <c r="P2275" i="1"/>
  <c r="P2272" i="1"/>
  <c r="P2271" i="1"/>
  <c r="P2270" i="1"/>
  <c r="P2267" i="1"/>
  <c r="P2266" i="1"/>
  <c r="P2263" i="1"/>
  <c r="P2262" i="1"/>
  <c r="P2261" i="1"/>
  <c r="P2258" i="1"/>
  <c r="P2257" i="1"/>
  <c r="P2254" i="1"/>
  <c r="P2253" i="1"/>
  <c r="P2250" i="1"/>
  <c r="P2249" i="1"/>
  <c r="P2248" i="1"/>
  <c r="P2247" i="1"/>
  <c r="P2244" i="1"/>
  <c r="P2243" i="1"/>
  <c r="P2242" i="1"/>
  <c r="P2241" i="1"/>
  <c r="P2240" i="1"/>
  <c r="P2237" i="1"/>
  <c r="P2236" i="1"/>
  <c r="P2235" i="1"/>
  <c r="P2234" i="1"/>
  <c r="P2233" i="1"/>
  <c r="P2230" i="1"/>
  <c r="P2229" i="1"/>
  <c r="P2228" i="1"/>
  <c r="P2225" i="1"/>
  <c r="P2224" i="1"/>
  <c r="P2223" i="1"/>
  <c r="P2220" i="1"/>
  <c r="P2219" i="1"/>
  <c r="P2218" i="1"/>
  <c r="P2215" i="1"/>
  <c r="P2214" i="1"/>
  <c r="P2211" i="1"/>
  <c r="P2210" i="1"/>
  <c r="P2209" i="1"/>
  <c r="P2207" i="1"/>
  <c r="P2206" i="1"/>
  <c r="P2203" i="1"/>
  <c r="P2202" i="1"/>
  <c r="P2199" i="1"/>
  <c r="P2198" i="1"/>
  <c r="P2195" i="1"/>
  <c r="P2194" i="1"/>
  <c r="P2191" i="1"/>
  <c r="P2190" i="1"/>
  <c r="P2187" i="1"/>
  <c r="P2186" i="1"/>
  <c r="P2183" i="1"/>
  <c r="P2182" i="1"/>
  <c r="P2179" i="1"/>
  <c r="P2178" i="1"/>
  <c r="P2177" i="1"/>
  <c r="P2176" i="1"/>
  <c r="P2175" i="1"/>
  <c r="P2174" i="1"/>
  <c r="P2173" i="1"/>
  <c r="P2172" i="1"/>
  <c r="P2169" i="1"/>
  <c r="P2168" i="1"/>
  <c r="P2167" i="1"/>
  <c r="P2166" i="1"/>
  <c r="P2165" i="1"/>
  <c r="P2162" i="1"/>
  <c r="P2161" i="1"/>
  <c r="P2160" i="1"/>
  <c r="P2159" i="1"/>
  <c r="P2158" i="1"/>
  <c r="P2155" i="1"/>
  <c r="P2154" i="1"/>
  <c r="P2153" i="1"/>
  <c r="P2152" i="1"/>
  <c r="P2151" i="1"/>
  <c r="P2148" i="1"/>
  <c r="P2147" i="1"/>
  <c r="P2146" i="1"/>
  <c r="P2145" i="1"/>
  <c r="P2144" i="1"/>
  <c r="P2143" i="1"/>
  <c r="P2140" i="1"/>
  <c r="P2139" i="1"/>
  <c r="P2138" i="1"/>
  <c r="P2137" i="1"/>
  <c r="P2136" i="1"/>
  <c r="P2135" i="1"/>
  <c r="P2134" i="1"/>
  <c r="P2131" i="1"/>
  <c r="P2130" i="1"/>
  <c r="P2129" i="1"/>
  <c r="P2128" i="1"/>
  <c r="P2127" i="1"/>
  <c r="P2126" i="1"/>
  <c r="P2125" i="1"/>
  <c r="P2122" i="1"/>
  <c r="P2121" i="1"/>
  <c r="P2120" i="1"/>
  <c r="P2119" i="1"/>
  <c r="P2116" i="1"/>
  <c r="P2115" i="1"/>
  <c r="P2112" i="1"/>
  <c r="P2111" i="1"/>
  <c r="P2108" i="1"/>
  <c r="P2107" i="1"/>
  <c r="P2106" i="1"/>
  <c r="P2105" i="1"/>
  <c r="P2104" i="1"/>
  <c r="P2101" i="1"/>
  <c r="P2100" i="1"/>
  <c r="P2099" i="1"/>
  <c r="P2098" i="1"/>
  <c r="P2097" i="1"/>
  <c r="P2096" i="1"/>
  <c r="P2095" i="1"/>
  <c r="P2092" i="1"/>
  <c r="P2091" i="1"/>
  <c r="P2090" i="1"/>
  <c r="P2089" i="1"/>
  <c r="P2088" i="1"/>
  <c r="P2087" i="1"/>
  <c r="P2086" i="1"/>
  <c r="P2083" i="1"/>
  <c r="P2082" i="1"/>
  <c r="P2081" i="1"/>
  <c r="P2080" i="1"/>
  <c r="P2079" i="1"/>
  <c r="P2078" i="1"/>
  <c r="P2077" i="1"/>
  <c r="P2074" i="1"/>
  <c r="P2073" i="1"/>
  <c r="P2072" i="1"/>
  <c r="P2071" i="1"/>
  <c r="P2070" i="1"/>
  <c r="P2069" i="1"/>
  <c r="P2068" i="1"/>
  <c r="P2065" i="1"/>
  <c r="P2064" i="1"/>
  <c r="P2063" i="1"/>
  <c r="P2062" i="1"/>
  <c r="P2061" i="1"/>
  <c r="P2060" i="1"/>
  <c r="P2057" i="1"/>
  <c r="P2056" i="1"/>
  <c r="P2055" i="1"/>
  <c r="P2054" i="1"/>
  <c r="P2053" i="1"/>
  <c r="P2052" i="1"/>
  <c r="P2049" i="1"/>
  <c r="P2048" i="1"/>
  <c r="P2047" i="1"/>
  <c r="P2046" i="1"/>
  <c r="P2045" i="1"/>
  <c r="P2044" i="1"/>
  <c r="P2041" i="1"/>
  <c r="P2040" i="1"/>
  <c r="P2039" i="1"/>
  <c r="P2038" i="1"/>
  <c r="P2037" i="1"/>
  <c r="P2036" i="1"/>
  <c r="P2033" i="1"/>
  <c r="P2032" i="1"/>
  <c r="P2031" i="1"/>
  <c r="P2030" i="1"/>
  <c r="P2027" i="1"/>
  <c r="P2026" i="1"/>
  <c r="P2025" i="1"/>
  <c r="P2024" i="1"/>
  <c r="P2021" i="1"/>
  <c r="P2020" i="1"/>
  <c r="P2019" i="1"/>
  <c r="P2018" i="1"/>
  <c r="P2017" i="1"/>
  <c r="P2016" i="1"/>
  <c r="P2015" i="1"/>
  <c r="P2014" i="1"/>
  <c r="P2013" i="1"/>
  <c r="P2010" i="1"/>
  <c r="P2009" i="1"/>
  <c r="P2008" i="1"/>
  <c r="P2007" i="1"/>
  <c r="P2006" i="1"/>
  <c r="P2005" i="1"/>
  <c r="P2004" i="1"/>
  <c r="P2003" i="1"/>
  <c r="P2002" i="1"/>
  <c r="P1999" i="1"/>
  <c r="P1998" i="1"/>
  <c r="P1997" i="1"/>
  <c r="P1996" i="1"/>
  <c r="P1995" i="1"/>
  <c r="P1994" i="1"/>
  <c r="P1993" i="1"/>
  <c r="P1992" i="1"/>
  <c r="P1991" i="1"/>
  <c r="P1988" i="1"/>
  <c r="P1987" i="1"/>
  <c r="P1986" i="1"/>
  <c r="P1985" i="1"/>
  <c r="P1984" i="1"/>
  <c r="P1983" i="1"/>
  <c r="P1982" i="1"/>
  <c r="P1981" i="1"/>
  <c r="P1980" i="1"/>
  <c r="P1977" i="1"/>
  <c r="P1976" i="1"/>
  <c r="P1975" i="1"/>
  <c r="P1972" i="1"/>
  <c r="P1971" i="1"/>
  <c r="P1970" i="1"/>
  <c r="P1967" i="1"/>
  <c r="P1966" i="1"/>
  <c r="P1965" i="1"/>
  <c r="P1962" i="1"/>
  <c r="P1961" i="1"/>
  <c r="P1960" i="1"/>
  <c r="P1957" i="1"/>
  <c r="P1956" i="1"/>
  <c r="P1955" i="1"/>
  <c r="P1952" i="1"/>
  <c r="P1951" i="1"/>
  <c r="P1950" i="1"/>
  <c r="P1947" i="1"/>
  <c r="P1946" i="1"/>
  <c r="P1943" i="1"/>
  <c r="P1942" i="1"/>
  <c r="P1941" i="1"/>
  <c r="P1938" i="1"/>
  <c r="P1937" i="1"/>
  <c r="P1936" i="1"/>
  <c r="P1935" i="1"/>
  <c r="P1934" i="1"/>
  <c r="P1933" i="1"/>
  <c r="P1932" i="1"/>
  <c r="P1931" i="1"/>
  <c r="P1928" i="1"/>
  <c r="P1927" i="1"/>
  <c r="P1926" i="1"/>
  <c r="P1925" i="1"/>
  <c r="P1924" i="1"/>
  <c r="P1923" i="1"/>
  <c r="P1922" i="1"/>
  <c r="P1921" i="1"/>
  <c r="P1918" i="1"/>
  <c r="P1917" i="1"/>
  <c r="P1916" i="1"/>
  <c r="P1915" i="1"/>
  <c r="P1914" i="1"/>
  <c r="P1913" i="1"/>
  <c r="P1912" i="1"/>
  <c r="P1911" i="1"/>
  <c r="P1908" i="1"/>
  <c r="P1907" i="1"/>
  <c r="P1906" i="1"/>
  <c r="P1905" i="1"/>
  <c r="P1904" i="1"/>
  <c r="P1903" i="1"/>
  <c r="P1902" i="1"/>
  <c r="P1901" i="1"/>
  <c r="P1898" i="1"/>
  <c r="P1897" i="1"/>
  <c r="P1896" i="1"/>
  <c r="P1895" i="1"/>
  <c r="P1894" i="1"/>
  <c r="P1893" i="1"/>
  <c r="P1892" i="1"/>
  <c r="P1891" i="1"/>
  <c r="P1888" i="1"/>
  <c r="P1887" i="1"/>
  <c r="P1886" i="1"/>
  <c r="P1885" i="1"/>
  <c r="P1884" i="1"/>
  <c r="P1883" i="1"/>
  <c r="P1882" i="1"/>
  <c r="P1881" i="1"/>
  <c r="P1878" i="1"/>
  <c r="P1877" i="1"/>
  <c r="P1876" i="1"/>
  <c r="P1875" i="1"/>
  <c r="P1874" i="1"/>
  <c r="P1873" i="1"/>
  <c r="P1872" i="1"/>
  <c r="P1871" i="1"/>
  <c r="P1868" i="1"/>
  <c r="P1867" i="1"/>
  <c r="P1866" i="1"/>
  <c r="P1865" i="1"/>
  <c r="P1864" i="1"/>
  <c r="P1863" i="1"/>
  <c r="P1862" i="1"/>
  <c r="P1861" i="1"/>
  <c r="P1858" i="1"/>
  <c r="P1857" i="1"/>
  <c r="P1856" i="1"/>
  <c r="P1855" i="1"/>
  <c r="P1854" i="1"/>
  <c r="P1853" i="1"/>
  <c r="P1852" i="1"/>
  <c r="P1851" i="1"/>
  <c r="P1848" i="1"/>
  <c r="P1847" i="1"/>
  <c r="P1846" i="1"/>
  <c r="P1845" i="1"/>
  <c r="P1844" i="1"/>
  <c r="P1843" i="1"/>
  <c r="P1842" i="1"/>
  <c r="P1841" i="1"/>
  <c r="P1838" i="1"/>
  <c r="P1837" i="1"/>
  <c r="P1836" i="1"/>
  <c r="P1835" i="1"/>
  <c r="P1834" i="1"/>
  <c r="P1831" i="1"/>
  <c r="P1830" i="1"/>
  <c r="P1829" i="1"/>
  <c r="P1828" i="1"/>
  <c r="P1827" i="1"/>
  <c r="P1824" i="1"/>
  <c r="P1823" i="1"/>
  <c r="P1822" i="1"/>
  <c r="P1821" i="1"/>
  <c r="P1820" i="1"/>
  <c r="P1817" i="1"/>
  <c r="P1816" i="1"/>
  <c r="P1815" i="1"/>
  <c r="P1814" i="1"/>
  <c r="P1813" i="1"/>
  <c r="P1810" i="1"/>
  <c r="P1809" i="1"/>
  <c r="P1808" i="1"/>
  <c r="P1807" i="1"/>
  <c r="P1806" i="1"/>
  <c r="P1805" i="1"/>
  <c r="P1802" i="1"/>
  <c r="P1801" i="1"/>
  <c r="P1800" i="1"/>
  <c r="P1799" i="1"/>
  <c r="P1796" i="1"/>
  <c r="P1795" i="1"/>
  <c r="P1794" i="1"/>
  <c r="P1793" i="1"/>
  <c r="P1792" i="1"/>
  <c r="P1791" i="1"/>
  <c r="P1790" i="1"/>
  <c r="P1787" i="1"/>
  <c r="P1786" i="1"/>
  <c r="P1785" i="1"/>
  <c r="P1784" i="1"/>
  <c r="P1783" i="1"/>
  <c r="P1780" i="1"/>
  <c r="P1779" i="1"/>
  <c r="P1778" i="1"/>
  <c r="P1777" i="1"/>
  <c r="P1776" i="1"/>
  <c r="P1773" i="1"/>
  <c r="P1772" i="1"/>
  <c r="P1771" i="1"/>
  <c r="P1770" i="1"/>
  <c r="P1769" i="1"/>
  <c r="P1766" i="1"/>
  <c r="P1765" i="1"/>
  <c r="P1764" i="1"/>
  <c r="P1763" i="1"/>
  <c r="P1762" i="1"/>
  <c r="P1759" i="1"/>
  <c r="P1758" i="1"/>
  <c r="P1757" i="1"/>
  <c r="P1756" i="1"/>
  <c r="P1753" i="1"/>
  <c r="P1752" i="1"/>
  <c r="P1751" i="1"/>
  <c r="P1750" i="1"/>
  <c r="P1747" i="1"/>
  <c r="P1746" i="1"/>
  <c r="P1745" i="1"/>
  <c r="P1744" i="1"/>
  <c r="P1743" i="1"/>
  <c r="P1740" i="1"/>
  <c r="P1739" i="1"/>
  <c r="P1738" i="1"/>
  <c r="P1735" i="1"/>
  <c r="P1734" i="1"/>
  <c r="P1733" i="1"/>
  <c r="P1730" i="1"/>
  <c r="P1729" i="1"/>
  <c r="P1728" i="1"/>
  <c r="P1727" i="1"/>
  <c r="P1726" i="1"/>
  <c r="P1723" i="1"/>
  <c r="P1722" i="1"/>
  <c r="P1721" i="1"/>
  <c r="P1720" i="1"/>
  <c r="P1719" i="1"/>
  <c r="P1716" i="1"/>
  <c r="P1715" i="1"/>
  <c r="P1714" i="1"/>
  <c r="P1713" i="1"/>
  <c r="P1712" i="1"/>
  <c r="P1709" i="1"/>
  <c r="P1708" i="1"/>
  <c r="P1707" i="1"/>
  <c r="P1706" i="1"/>
  <c r="P1705" i="1"/>
  <c r="P1702" i="1"/>
  <c r="P1701" i="1"/>
  <c r="P1700" i="1"/>
  <c r="P1697" i="1"/>
  <c r="P1696" i="1"/>
  <c r="P1695" i="1"/>
  <c r="P1692" i="1"/>
  <c r="P1691" i="1"/>
  <c r="P1688" i="1"/>
  <c r="P1687" i="1"/>
  <c r="P1686" i="1"/>
  <c r="P1685" i="1"/>
  <c r="P1684" i="1"/>
  <c r="P1683" i="1"/>
  <c r="P1682" i="1"/>
  <c r="P1679" i="1"/>
  <c r="P1678" i="1"/>
  <c r="P1677" i="1"/>
  <c r="P1676" i="1"/>
  <c r="P1675" i="1"/>
  <c r="P1674" i="1"/>
  <c r="P1673" i="1"/>
  <c r="P1672" i="1"/>
  <c r="P1669" i="1"/>
  <c r="P1666" i="1"/>
  <c r="P1663" i="1"/>
  <c r="P1662" i="1"/>
  <c r="P1661" i="1"/>
  <c r="P1660" i="1"/>
  <c r="P1657" i="1"/>
  <c r="P1656" i="1"/>
  <c r="P1655" i="1"/>
  <c r="P1654" i="1"/>
  <c r="P1651" i="1"/>
  <c r="P1650" i="1"/>
  <c r="P1649" i="1"/>
  <c r="P1646" i="1"/>
  <c r="P1645" i="1"/>
  <c r="P1644" i="1"/>
  <c r="P1641" i="1"/>
  <c r="P1640" i="1"/>
  <c r="P1639" i="1"/>
  <c r="P1636" i="1"/>
  <c r="P1635" i="1"/>
  <c r="P1634" i="1"/>
  <c r="P1631" i="1"/>
  <c r="P1630" i="1"/>
  <c r="P1629" i="1"/>
  <c r="P1626" i="1"/>
  <c r="P1625" i="1"/>
  <c r="P1624" i="1"/>
  <c r="P1621" i="1"/>
  <c r="P1620" i="1"/>
  <c r="P1619" i="1"/>
  <c r="P1616" i="1"/>
  <c r="P1615" i="1"/>
  <c r="P1614" i="1"/>
  <c r="P1613" i="1"/>
  <c r="P1612" i="1"/>
  <c r="P1609" i="1"/>
  <c r="P1608" i="1"/>
  <c r="P1607" i="1"/>
  <c r="P1604" i="1"/>
  <c r="P1603" i="1"/>
  <c r="P1602" i="1"/>
  <c r="P1599" i="1"/>
  <c r="P1598" i="1"/>
  <c r="P1597" i="1"/>
  <c r="P1594" i="1"/>
  <c r="P1593" i="1"/>
  <c r="P1592" i="1"/>
  <c r="P1591" i="1"/>
  <c r="P1588" i="1"/>
  <c r="P1587" i="1"/>
  <c r="P1586" i="1"/>
  <c r="P1585" i="1"/>
  <c r="P1582" i="1"/>
  <c r="P1581" i="1"/>
  <c r="P1580" i="1"/>
  <c r="P1579" i="1"/>
  <c r="P1576" i="1"/>
  <c r="P1575" i="1"/>
  <c r="P1574" i="1"/>
  <c r="P1573" i="1"/>
  <c r="P1572" i="1"/>
  <c r="P1571" i="1"/>
  <c r="P1568" i="1"/>
  <c r="P1567" i="1"/>
  <c r="P1566" i="1"/>
  <c r="P1565" i="1"/>
  <c r="P1562" i="1"/>
  <c r="P1561" i="1"/>
  <c r="P1560" i="1"/>
  <c r="P1559" i="1"/>
  <c r="P1556" i="1"/>
  <c r="P1555" i="1"/>
  <c r="P1554" i="1"/>
  <c r="P1553" i="1"/>
  <c r="P1552" i="1"/>
  <c r="P1549" i="1"/>
  <c r="P1548" i="1"/>
  <c r="P1545" i="1"/>
  <c r="P1544" i="1"/>
  <c r="P1541" i="1"/>
  <c r="P1540" i="1"/>
  <c r="P1537" i="1"/>
  <c r="P1536" i="1"/>
  <c r="P1533" i="1"/>
  <c r="P1532" i="1"/>
  <c r="P1529" i="1"/>
  <c r="P1528" i="1"/>
  <c r="P1525" i="1"/>
  <c r="P1524" i="1"/>
  <c r="P1521" i="1"/>
  <c r="P1520" i="1"/>
  <c r="P1517" i="1"/>
  <c r="P1516" i="1"/>
  <c r="P1513" i="1"/>
  <c r="P1512" i="1"/>
  <c r="P1509" i="1"/>
  <c r="P1508" i="1"/>
  <c r="P1505" i="1"/>
  <c r="P1504" i="1"/>
  <c r="P1501" i="1"/>
  <c r="P1500" i="1"/>
  <c r="P1499" i="1"/>
  <c r="P1498" i="1"/>
  <c r="P1495" i="1"/>
  <c r="P1494" i="1"/>
  <c r="P1491" i="1"/>
  <c r="P1490" i="1"/>
  <c r="P1487" i="1"/>
  <c r="P1486" i="1"/>
  <c r="P1483" i="1"/>
  <c r="P1482" i="1"/>
  <c r="P1479" i="1"/>
  <c r="P1478" i="1"/>
  <c r="P1477" i="1"/>
  <c r="P1476" i="1"/>
  <c r="P1475" i="1"/>
  <c r="P1474" i="1"/>
  <c r="P1471" i="1"/>
  <c r="P1470" i="1"/>
  <c r="P1469" i="1"/>
  <c r="P1468" i="1"/>
  <c r="P1467" i="1"/>
  <c r="P1466" i="1"/>
  <c r="P1463" i="1"/>
  <c r="P1462" i="1"/>
  <c r="P1461" i="1"/>
  <c r="P1460" i="1"/>
  <c r="P1459" i="1"/>
  <c r="P1458" i="1"/>
  <c r="P1455" i="1"/>
  <c r="P1454" i="1"/>
  <c r="P1453" i="1"/>
  <c r="P1452" i="1"/>
  <c r="P1451" i="1"/>
  <c r="P1450" i="1"/>
  <c r="P1449" i="1"/>
  <c r="P1446" i="1"/>
  <c r="P1445" i="1"/>
  <c r="P1444" i="1"/>
  <c r="P1443" i="1"/>
  <c r="P1442" i="1"/>
  <c r="P1441" i="1"/>
  <c r="P1440" i="1"/>
  <c r="P1437" i="1"/>
  <c r="P1436" i="1"/>
  <c r="P1435" i="1"/>
  <c r="P1434" i="1"/>
  <c r="P1433" i="1"/>
  <c r="P1432" i="1"/>
  <c r="P1431" i="1"/>
  <c r="P1428" i="1"/>
  <c r="P1427" i="1"/>
  <c r="P1426" i="1"/>
  <c r="P1425" i="1"/>
  <c r="P1424" i="1"/>
  <c r="P1423" i="1"/>
  <c r="P1422" i="1"/>
  <c r="P1419" i="1"/>
  <c r="P1418" i="1"/>
  <c r="P1417" i="1"/>
  <c r="P1416" i="1"/>
  <c r="P1415" i="1"/>
  <c r="P1414" i="1"/>
  <c r="P1413" i="1"/>
  <c r="P1412" i="1"/>
  <c r="P1409" i="1"/>
  <c r="P1408" i="1"/>
  <c r="P1407" i="1"/>
  <c r="P1406" i="1"/>
  <c r="P1405" i="1"/>
  <c r="P1404" i="1"/>
  <c r="P1403" i="1"/>
  <c r="P1402" i="1"/>
  <c r="P1399" i="1"/>
  <c r="P1398" i="1"/>
  <c r="P1397" i="1"/>
  <c r="P1396" i="1"/>
  <c r="P1395" i="1"/>
  <c r="P1394" i="1"/>
  <c r="P1393" i="1"/>
  <c r="P1392" i="1"/>
  <c r="P1389" i="1"/>
  <c r="P1388" i="1"/>
  <c r="P1387" i="1"/>
  <c r="P1386" i="1"/>
  <c r="P1385" i="1"/>
  <c r="P1384" i="1"/>
  <c r="P1383" i="1"/>
  <c r="P1382" i="1"/>
  <c r="P1379" i="1"/>
  <c r="P1378" i="1"/>
  <c r="P1377" i="1"/>
  <c r="P1376" i="1"/>
  <c r="P1375" i="1"/>
  <c r="P1374" i="1"/>
  <c r="P1373" i="1"/>
  <c r="P1370" i="1"/>
  <c r="P1369" i="1"/>
  <c r="P1368" i="1"/>
  <c r="P1367" i="1"/>
  <c r="P1366" i="1"/>
  <c r="P1365" i="1"/>
  <c r="P1364" i="1"/>
  <c r="P1361" i="1"/>
  <c r="P1360" i="1"/>
  <c r="P1359" i="1"/>
  <c r="P1358" i="1"/>
  <c r="P1357" i="1"/>
  <c r="P1356" i="1"/>
  <c r="P1355" i="1"/>
  <c r="P1352" i="1"/>
  <c r="P1351" i="1"/>
  <c r="P1350" i="1"/>
  <c r="P1349" i="1"/>
  <c r="P1348" i="1"/>
  <c r="P1347" i="1"/>
  <c r="P1346" i="1"/>
  <c r="P1343" i="1"/>
  <c r="P1342" i="1"/>
  <c r="P1341" i="1"/>
  <c r="P1340" i="1"/>
  <c r="P1339" i="1"/>
  <c r="P1338" i="1"/>
  <c r="P1337" i="1"/>
  <c r="P1336" i="1"/>
  <c r="P1333" i="1"/>
  <c r="P1332" i="1"/>
  <c r="P1331" i="1"/>
  <c r="P1330" i="1"/>
  <c r="P1329" i="1"/>
  <c r="P1328" i="1"/>
  <c r="P1327" i="1"/>
  <c r="P1326" i="1"/>
  <c r="P1323" i="1"/>
  <c r="P1322" i="1"/>
  <c r="P1321" i="1"/>
  <c r="P1320" i="1"/>
  <c r="P1319" i="1"/>
  <c r="P1318" i="1"/>
  <c r="P1317" i="1"/>
  <c r="P1316" i="1"/>
  <c r="P1313" i="1"/>
  <c r="P1312" i="1"/>
  <c r="P1311" i="1"/>
  <c r="P1310" i="1"/>
  <c r="P1309" i="1"/>
  <c r="P1308" i="1"/>
  <c r="P1307" i="1"/>
  <c r="P1306" i="1"/>
  <c r="P1303" i="1"/>
  <c r="P1302" i="1"/>
  <c r="P1301" i="1"/>
  <c r="P1300" i="1"/>
  <c r="P1299" i="1"/>
  <c r="P1298" i="1"/>
  <c r="P1297" i="1"/>
  <c r="P1294" i="1"/>
  <c r="P1293" i="1"/>
  <c r="P1292" i="1"/>
  <c r="P1291" i="1"/>
  <c r="P1290" i="1"/>
  <c r="P1289" i="1"/>
  <c r="P1288" i="1"/>
  <c r="P1285" i="1"/>
  <c r="P1284" i="1"/>
  <c r="P1283" i="1"/>
  <c r="P1282" i="1"/>
  <c r="P1281" i="1"/>
  <c r="P1280" i="1"/>
  <c r="P1279" i="1"/>
  <c r="P1276" i="1"/>
  <c r="P1275" i="1"/>
  <c r="P1274" i="1"/>
  <c r="P1273" i="1"/>
  <c r="P1272" i="1"/>
  <c r="P1271" i="1"/>
  <c r="P1270" i="1"/>
  <c r="P1267" i="1"/>
  <c r="P1266" i="1"/>
  <c r="P1265" i="1"/>
  <c r="P1264" i="1"/>
  <c r="P1263" i="1"/>
  <c r="P1262" i="1"/>
  <c r="P1261" i="1"/>
  <c r="P1258" i="1"/>
  <c r="P1257" i="1"/>
  <c r="P1256" i="1"/>
  <c r="P1255" i="1"/>
  <c r="P1254" i="1"/>
  <c r="P1253" i="1"/>
  <c r="P1252" i="1"/>
  <c r="P1249" i="1"/>
  <c r="P1248" i="1"/>
  <c r="P1247" i="1"/>
  <c r="P1246" i="1"/>
  <c r="P1245" i="1"/>
  <c r="P1244" i="1"/>
  <c r="P1243" i="1"/>
  <c r="P1240" i="1"/>
  <c r="P1239" i="1"/>
  <c r="P1238" i="1"/>
  <c r="P1237" i="1"/>
  <c r="P1236" i="1"/>
  <c r="P1235" i="1"/>
  <c r="P1234" i="1"/>
  <c r="P1231" i="1"/>
  <c r="P1230" i="1"/>
  <c r="P1229" i="1"/>
  <c r="P1228" i="1"/>
  <c r="P1227" i="1"/>
  <c r="P1226" i="1"/>
  <c r="P1225" i="1"/>
  <c r="P1222" i="1"/>
  <c r="P1221" i="1"/>
  <c r="P1220" i="1"/>
  <c r="P1219" i="1"/>
  <c r="P1218" i="1"/>
  <c r="P1217" i="1"/>
  <c r="P1216" i="1"/>
  <c r="P1213" i="1"/>
  <c r="P1212" i="1"/>
  <c r="P1211" i="1"/>
  <c r="P1210" i="1"/>
  <c r="P1209" i="1"/>
  <c r="P1208" i="1"/>
  <c r="P1207" i="1"/>
  <c r="P1204" i="1"/>
  <c r="P1203" i="1"/>
  <c r="P1202" i="1"/>
  <c r="P1201" i="1"/>
  <c r="P1200" i="1"/>
  <c r="P1199" i="1"/>
  <c r="P1198" i="1"/>
  <c r="P1195" i="1"/>
  <c r="P1194" i="1"/>
  <c r="P1193" i="1"/>
  <c r="P1192" i="1"/>
  <c r="P1191" i="1"/>
  <c r="P1190" i="1"/>
  <c r="P1187" i="1"/>
  <c r="P1186" i="1"/>
  <c r="P1185" i="1"/>
  <c r="P1184" i="1"/>
  <c r="P1183" i="1"/>
  <c r="P1182" i="1"/>
  <c r="P1179" i="1"/>
  <c r="P1178" i="1"/>
  <c r="P1177" i="1"/>
  <c r="P1176" i="1"/>
  <c r="P1175" i="1"/>
  <c r="P1174" i="1"/>
  <c r="P1171" i="1"/>
  <c r="P1170" i="1"/>
  <c r="P1169" i="1"/>
  <c r="P1168" i="1"/>
  <c r="P1167" i="1"/>
  <c r="P1166" i="1"/>
  <c r="P1163" i="1"/>
  <c r="P1162" i="1"/>
  <c r="P1161" i="1"/>
  <c r="P1160" i="1"/>
  <c r="P1159" i="1"/>
  <c r="P1156" i="1"/>
  <c r="P1155" i="1"/>
  <c r="P1154" i="1"/>
  <c r="P1153" i="1"/>
  <c r="P1152" i="1"/>
  <c r="P1151" i="1"/>
  <c r="P1150" i="1"/>
  <c r="P1147" i="1"/>
  <c r="P1146" i="1"/>
  <c r="P1145" i="1"/>
  <c r="P1144" i="1"/>
  <c r="P1143" i="1"/>
  <c r="P1142" i="1"/>
  <c r="P1141" i="1"/>
  <c r="P1138" i="1"/>
  <c r="P1137" i="1"/>
  <c r="P1136" i="1"/>
  <c r="P1135" i="1"/>
  <c r="P1134" i="1"/>
  <c r="P1133" i="1"/>
  <c r="P1132" i="1"/>
  <c r="P1129" i="1"/>
  <c r="P1128" i="1"/>
  <c r="P1127" i="1"/>
  <c r="P1126" i="1"/>
  <c r="P1125" i="1"/>
  <c r="P1124" i="1"/>
  <c r="P1123" i="1"/>
  <c r="P1120" i="1"/>
  <c r="P1119" i="1"/>
  <c r="P1118" i="1"/>
  <c r="P1115" i="1"/>
  <c r="P1114" i="1"/>
  <c r="P1113" i="1"/>
  <c r="P1112" i="1"/>
  <c r="P1109" i="1"/>
  <c r="P1108" i="1"/>
  <c r="P1107" i="1"/>
  <c r="P1106" i="1"/>
  <c r="P1105" i="1"/>
  <c r="P1102" i="1"/>
  <c r="P1101" i="1"/>
  <c r="P1100" i="1"/>
  <c r="P1099" i="1"/>
  <c r="P1096" i="1"/>
  <c r="P1095" i="1"/>
  <c r="P1094" i="1"/>
  <c r="P1093" i="1"/>
  <c r="P1090" i="1"/>
  <c r="P1089" i="1"/>
  <c r="P1088" i="1"/>
  <c r="P1087" i="1"/>
  <c r="P1086" i="1"/>
  <c r="P1083" i="1"/>
  <c r="P1082" i="1"/>
  <c r="P1081" i="1"/>
  <c r="P1080" i="1"/>
  <c r="P1079" i="1"/>
  <c r="P1076" i="1"/>
  <c r="P1075" i="1"/>
  <c r="P1074" i="1"/>
  <c r="P1073" i="1"/>
  <c r="P1072" i="1"/>
  <c r="P1069" i="1"/>
  <c r="P1068" i="1"/>
  <c r="P1067" i="1"/>
  <c r="P1066" i="1"/>
  <c r="P1065" i="1"/>
  <c r="P1062" i="1"/>
  <c r="P1061" i="1"/>
  <c r="P1060" i="1"/>
  <c r="P1059" i="1"/>
  <c r="P1056" i="1"/>
  <c r="P1055" i="1"/>
  <c r="P1054" i="1"/>
  <c r="P1053" i="1"/>
  <c r="P1050" i="1"/>
  <c r="P1049" i="1"/>
  <c r="P1048" i="1"/>
  <c r="P1045" i="1"/>
  <c r="P1044" i="1"/>
  <c r="P1043" i="1"/>
  <c r="P1040" i="1"/>
  <c r="P1039" i="1"/>
  <c r="P1038" i="1"/>
  <c r="P1037" i="1"/>
  <c r="P1034" i="1"/>
  <c r="P1033" i="1"/>
  <c r="P1032" i="1"/>
  <c r="P1029" i="1"/>
  <c r="P1028" i="1"/>
  <c r="P1025" i="1"/>
  <c r="P1024" i="1"/>
  <c r="P1023" i="1"/>
  <c r="P1020" i="1"/>
  <c r="P1019" i="1"/>
  <c r="P1018" i="1"/>
  <c r="P1017" i="1"/>
  <c r="P1016" i="1"/>
  <c r="P1015" i="1"/>
  <c r="P1012" i="1"/>
  <c r="P1011" i="1"/>
  <c r="P1010" i="1"/>
  <c r="P1007" i="1"/>
  <c r="P1006" i="1"/>
  <c r="P1005" i="1"/>
  <c r="P1002" i="1"/>
  <c r="P1001" i="1"/>
  <c r="P1000" i="1"/>
  <c r="P997" i="1"/>
  <c r="P996" i="1"/>
  <c r="P995" i="1"/>
  <c r="P994" i="1"/>
  <c r="P993" i="1"/>
  <c r="P992" i="1"/>
  <c r="P991" i="1"/>
  <c r="P988" i="1"/>
  <c r="P987" i="1"/>
  <c r="P986" i="1"/>
  <c r="P985" i="1"/>
  <c r="P984" i="1"/>
  <c r="P981" i="1"/>
  <c r="P980" i="1"/>
  <c r="P979" i="1"/>
  <c r="P978" i="1"/>
  <c r="P977" i="1"/>
  <c r="P974" i="1"/>
  <c r="P973" i="1"/>
  <c r="P972" i="1"/>
  <c r="P971" i="1"/>
  <c r="P970" i="1"/>
  <c r="P967" i="1"/>
  <c r="P966" i="1"/>
  <c r="P965" i="1"/>
  <c r="P964" i="1"/>
  <c r="P963" i="1"/>
  <c r="P960" i="1"/>
  <c r="P959" i="1"/>
  <c r="P956" i="1"/>
  <c r="P955" i="1"/>
  <c r="P954" i="1"/>
  <c r="P953" i="1"/>
  <c r="P950" i="1"/>
  <c r="P949" i="1"/>
  <c r="P948" i="1"/>
  <c r="P945" i="1"/>
  <c r="P944" i="1"/>
  <c r="P943" i="1"/>
  <c r="P942" i="1"/>
  <c r="P941" i="1"/>
  <c r="P940" i="1"/>
  <c r="P939" i="1"/>
  <c r="P936" i="1"/>
  <c r="P935" i="1"/>
  <c r="P934" i="1"/>
  <c r="P933" i="1"/>
  <c r="P930" i="1"/>
  <c r="P929" i="1"/>
  <c r="P928" i="1"/>
  <c r="P927" i="1"/>
  <c r="P924" i="1"/>
  <c r="P923" i="1"/>
  <c r="P922" i="1"/>
  <c r="P921" i="1"/>
  <c r="P918" i="1"/>
  <c r="P917" i="1"/>
  <c r="P916" i="1"/>
  <c r="P915" i="1"/>
  <c r="P912" i="1"/>
  <c r="P911" i="1"/>
  <c r="P910" i="1"/>
  <c r="P909" i="1"/>
  <c r="P906" i="1"/>
  <c r="P905" i="1"/>
  <c r="P904" i="1"/>
  <c r="P903" i="1"/>
  <c r="P900" i="1"/>
  <c r="P899" i="1"/>
  <c r="P898" i="1"/>
  <c r="P897" i="1"/>
  <c r="P896" i="1"/>
  <c r="P894" i="1"/>
  <c r="P893" i="1"/>
  <c r="P892" i="1"/>
  <c r="P891" i="1"/>
  <c r="P888" i="1"/>
  <c r="P887" i="1"/>
  <c r="P886" i="1"/>
  <c r="P885" i="1"/>
  <c r="P882" i="1"/>
  <c r="P881" i="1"/>
  <c r="P880" i="1"/>
  <c r="P879" i="1"/>
  <c r="P876" i="1"/>
  <c r="P875" i="1"/>
  <c r="P874" i="1"/>
  <c r="P873" i="1"/>
  <c r="P870" i="1"/>
  <c r="P869" i="1"/>
  <c r="P868" i="1"/>
  <c r="P867" i="1"/>
  <c r="P864" i="1"/>
  <c r="P863" i="1"/>
  <c r="P862" i="1"/>
  <c r="P861" i="1"/>
  <c r="P858" i="1"/>
  <c r="P857" i="1"/>
  <c r="P856" i="1"/>
  <c r="P855" i="1"/>
  <c r="P852" i="1"/>
  <c r="P851" i="1"/>
  <c r="P848" i="1"/>
  <c r="P847" i="1"/>
  <c r="P846" i="1"/>
  <c r="P845" i="1"/>
  <c r="P842" i="1"/>
  <c r="P841" i="1"/>
  <c r="P840" i="1"/>
  <c r="P839" i="1"/>
  <c r="P838" i="1"/>
  <c r="P837" i="1"/>
  <c r="P834" i="1"/>
  <c r="P833" i="1"/>
  <c r="P832" i="1"/>
  <c r="P831" i="1"/>
  <c r="P830" i="1"/>
  <c r="P829" i="1"/>
  <c r="P826" i="1"/>
  <c r="P825" i="1"/>
  <c r="P824" i="1"/>
  <c r="P823" i="1"/>
  <c r="P822" i="1"/>
  <c r="P821" i="1"/>
  <c r="P818" i="1"/>
  <c r="P817" i="1"/>
  <c r="P816" i="1"/>
  <c r="P815" i="1"/>
  <c r="P814" i="1"/>
  <c r="P813" i="1"/>
  <c r="P812" i="1"/>
  <c r="P809" i="1"/>
  <c r="P808" i="1"/>
  <c r="P807" i="1"/>
  <c r="P806" i="1"/>
  <c r="P805" i="1"/>
  <c r="P804" i="1"/>
  <c r="P803" i="1"/>
  <c r="P800" i="1"/>
  <c r="P799" i="1"/>
  <c r="P798" i="1"/>
  <c r="P797" i="1"/>
  <c r="P794" i="1"/>
  <c r="P793" i="1"/>
  <c r="P792" i="1"/>
  <c r="P791" i="1"/>
  <c r="P788" i="1"/>
  <c r="P787" i="1"/>
  <c r="P786" i="1"/>
  <c r="P785" i="1"/>
  <c r="P782" i="1"/>
  <c r="P781" i="1"/>
  <c r="P780" i="1"/>
  <c r="P779" i="1"/>
  <c r="P778" i="1"/>
  <c r="P775" i="1"/>
  <c r="P774" i="1"/>
  <c r="P773" i="1"/>
  <c r="P772" i="1"/>
  <c r="P771" i="1"/>
  <c r="P768" i="1"/>
  <c r="P767" i="1"/>
  <c r="P766" i="1"/>
  <c r="P765" i="1"/>
  <c r="P764" i="1"/>
  <c r="P761" i="1"/>
  <c r="P760" i="1"/>
  <c r="P759" i="1"/>
  <c r="P758" i="1"/>
  <c r="P757" i="1"/>
  <c r="P756" i="1"/>
  <c r="P755" i="1"/>
  <c r="P752" i="1"/>
  <c r="P751" i="1"/>
  <c r="P750" i="1"/>
  <c r="P749" i="1"/>
  <c r="P748" i="1"/>
  <c r="P745" i="1"/>
  <c r="P744" i="1"/>
  <c r="P743" i="1"/>
  <c r="P742" i="1"/>
  <c r="P741" i="1"/>
  <c r="P738" i="1"/>
  <c r="P737" i="1"/>
  <c r="P736" i="1"/>
  <c r="P735" i="1"/>
  <c r="P734" i="1"/>
  <c r="P733" i="1"/>
  <c r="P730" i="1"/>
  <c r="P729" i="1"/>
  <c r="P728" i="1"/>
  <c r="P727" i="1"/>
  <c r="P726" i="1"/>
  <c r="P725" i="1"/>
  <c r="P722" i="1"/>
  <c r="P721" i="1"/>
  <c r="P720" i="1"/>
  <c r="P719" i="1"/>
  <c r="P718" i="1"/>
  <c r="P715" i="1"/>
  <c r="P714" i="1"/>
  <c r="P713" i="1"/>
  <c r="P712" i="1"/>
  <c r="P711" i="1"/>
  <c r="P708" i="1"/>
  <c r="P707" i="1"/>
  <c r="P706" i="1"/>
  <c r="P705" i="1"/>
  <c r="P704" i="1"/>
  <c r="P701" i="1"/>
  <c r="P700" i="1"/>
  <c r="P699" i="1"/>
  <c r="P698" i="1"/>
  <c r="P697" i="1"/>
  <c r="P694" i="1"/>
  <c r="P693" i="1"/>
  <c r="P692" i="1"/>
  <c r="P691" i="1"/>
  <c r="P690" i="1"/>
  <c r="P689" i="1"/>
  <c r="P686" i="1"/>
  <c r="P685" i="1"/>
  <c r="P684" i="1"/>
  <c r="P683" i="1"/>
  <c r="P680" i="1"/>
  <c r="P679" i="1"/>
  <c r="P678" i="1"/>
  <c r="P677" i="1"/>
  <c r="P676" i="1"/>
  <c r="P673" i="1"/>
  <c r="P672" i="1"/>
  <c r="P671" i="1"/>
  <c r="P670" i="1"/>
  <c r="P669" i="1"/>
  <c r="P668" i="1"/>
  <c r="P665" i="1"/>
  <c r="P664" i="1"/>
  <c r="P663" i="1"/>
  <c r="P662" i="1"/>
  <c r="P661" i="1"/>
  <c r="P660" i="1"/>
  <c r="P657" i="1"/>
  <c r="P656" i="1"/>
  <c r="P655" i="1"/>
  <c r="P652" i="1"/>
  <c r="P651" i="1"/>
  <c r="P650" i="1"/>
  <c r="P649" i="1"/>
  <c r="P646" i="1"/>
  <c r="P645" i="1"/>
  <c r="P644" i="1"/>
  <c r="P643" i="1"/>
  <c r="P642" i="1"/>
  <c r="P639" i="1"/>
  <c r="P638" i="1"/>
  <c r="P637" i="1"/>
  <c r="P636" i="1"/>
  <c r="P635" i="1"/>
  <c r="P632" i="1"/>
  <c r="P631" i="1"/>
  <c r="P630" i="1"/>
  <c r="P629" i="1"/>
  <c r="P626" i="1"/>
  <c r="P625" i="1"/>
  <c r="P624" i="1"/>
  <c r="P623" i="1"/>
  <c r="P620" i="1"/>
  <c r="P619" i="1"/>
  <c r="P618" i="1"/>
  <c r="P615" i="1"/>
  <c r="P614" i="1"/>
  <c r="P613" i="1"/>
  <c r="P610" i="1"/>
  <c r="P609" i="1"/>
  <c r="P608" i="1"/>
  <c r="P605" i="1"/>
  <c r="P604" i="1"/>
  <c r="P603" i="1"/>
  <c r="P600" i="1"/>
  <c r="P599" i="1"/>
  <c r="P598" i="1"/>
  <c r="P595" i="1"/>
  <c r="P594" i="1"/>
  <c r="P593" i="1"/>
  <c r="P592" i="1"/>
  <c r="P589" i="1"/>
  <c r="P588" i="1"/>
  <c r="P587" i="1"/>
  <c r="P586" i="1"/>
  <c r="P583" i="1"/>
  <c r="P582" i="1"/>
  <c r="P581" i="1"/>
  <c r="P580" i="1"/>
  <c r="P577" i="1"/>
  <c r="P576" i="1"/>
  <c r="P575" i="1"/>
  <c r="P574" i="1"/>
  <c r="P571" i="1"/>
  <c r="P570" i="1"/>
  <c r="P569" i="1"/>
  <c r="P566" i="1"/>
  <c r="P565" i="1"/>
  <c r="P564" i="1"/>
  <c r="P563" i="1"/>
  <c r="P560" i="1"/>
  <c r="P559" i="1"/>
  <c r="P558" i="1"/>
  <c r="P555" i="1"/>
  <c r="P554" i="1"/>
  <c r="P553" i="1"/>
  <c r="P550" i="1"/>
  <c r="P549" i="1"/>
  <c r="P548" i="1"/>
  <c r="P545" i="1"/>
  <c r="P544" i="1"/>
  <c r="P543" i="1"/>
  <c r="P540" i="1"/>
  <c r="P539" i="1"/>
  <c r="P538" i="1"/>
  <c r="P537" i="1"/>
  <c r="P534" i="1"/>
  <c r="P533" i="1"/>
  <c r="P532" i="1"/>
  <c r="P531" i="1"/>
  <c r="P528" i="1"/>
  <c r="P529" i="1"/>
  <c r="P527" i="1"/>
  <c r="P524" i="1"/>
  <c r="P523" i="1"/>
  <c r="P522" i="1"/>
  <c r="P519" i="1"/>
  <c r="P518" i="1"/>
  <c r="P517" i="1"/>
  <c r="P514" i="1"/>
  <c r="P513" i="1"/>
  <c r="P512" i="1"/>
  <c r="P509" i="1"/>
  <c r="P508" i="1"/>
  <c r="P507" i="1"/>
  <c r="P504" i="1"/>
  <c r="P503" i="1"/>
  <c r="P502" i="1"/>
  <c r="P499" i="1"/>
  <c r="P498" i="1"/>
  <c r="P497" i="1"/>
  <c r="P496" i="1"/>
  <c r="P492" i="1"/>
  <c r="P493" i="1"/>
  <c r="P491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0" i="1"/>
  <c r="P469" i="1"/>
  <c r="P468" i="1"/>
  <c r="P467" i="1"/>
  <c r="P466" i="1"/>
  <c r="P465" i="1"/>
  <c r="P464" i="1"/>
  <c r="P463" i="1"/>
  <c r="P462" i="1"/>
  <c r="P461" i="1"/>
  <c r="P458" i="1"/>
  <c r="P457" i="1"/>
  <c r="P456" i="1"/>
  <c r="P455" i="1"/>
  <c r="P454" i="1"/>
  <c r="P453" i="1"/>
  <c r="P452" i="1"/>
  <c r="P451" i="1"/>
  <c r="P450" i="1"/>
  <c r="P449" i="1"/>
  <c r="P446" i="1"/>
  <c r="P445" i="1"/>
  <c r="P444" i="1"/>
  <c r="P443" i="1"/>
  <c r="P442" i="1"/>
  <c r="P441" i="1"/>
  <c r="P438" i="1"/>
  <c r="P437" i="1"/>
  <c r="P436" i="1"/>
  <c r="P433" i="1"/>
  <c r="P432" i="1"/>
  <c r="P431" i="1"/>
  <c r="P430" i="1"/>
  <c r="P427" i="1"/>
  <c r="P426" i="1"/>
  <c r="P425" i="1"/>
  <c r="P422" i="1"/>
  <c r="P421" i="1"/>
  <c r="P420" i="1"/>
  <c r="P417" i="1"/>
  <c r="P416" i="1"/>
  <c r="P415" i="1"/>
  <c r="P412" i="1"/>
  <c r="P411" i="1"/>
  <c r="P410" i="1"/>
  <c r="P407" i="1"/>
  <c r="P406" i="1"/>
  <c r="P405" i="1"/>
  <c r="P404" i="1"/>
  <c r="P401" i="1"/>
  <c r="P400" i="1"/>
  <c r="P399" i="1"/>
  <c r="P398" i="1"/>
  <c r="P395" i="1"/>
  <c r="P394" i="1"/>
  <c r="P393" i="1"/>
  <c r="P392" i="1"/>
  <c r="P389" i="1"/>
  <c r="P388" i="1"/>
  <c r="P387" i="1"/>
  <c r="P386" i="1"/>
  <c r="P383" i="1"/>
  <c r="P382" i="1"/>
  <c r="P381" i="1"/>
  <c r="P380" i="1"/>
  <c r="P377" i="1"/>
  <c r="P376" i="1"/>
  <c r="P375" i="1"/>
  <c r="P374" i="1"/>
  <c r="P371" i="1"/>
  <c r="P370" i="1"/>
  <c r="P369" i="1"/>
  <c r="P368" i="1"/>
  <c r="P365" i="1"/>
  <c r="P364" i="1"/>
  <c r="P363" i="1"/>
  <c r="P362" i="1"/>
  <c r="P359" i="1"/>
  <c r="P358" i="1"/>
  <c r="P357" i="1"/>
  <c r="P356" i="1"/>
  <c r="P353" i="1"/>
  <c r="P352" i="1"/>
  <c r="P351" i="1"/>
  <c r="P350" i="1"/>
  <c r="P347" i="1"/>
  <c r="P346" i="1"/>
  <c r="P345" i="1"/>
  <c r="P344" i="1"/>
  <c r="P341" i="1"/>
  <c r="P340" i="1"/>
  <c r="P339" i="1"/>
  <c r="P338" i="1"/>
  <c r="P335" i="1"/>
  <c r="P334" i="1"/>
  <c r="P333" i="1"/>
  <c r="P330" i="1"/>
  <c r="P329" i="1"/>
  <c r="P328" i="1"/>
  <c r="P327" i="1"/>
  <c r="P324" i="1"/>
  <c r="P323" i="1"/>
  <c r="P322" i="1"/>
  <c r="P321" i="1"/>
  <c r="P318" i="1"/>
  <c r="P317" i="1"/>
  <c r="P316" i="1"/>
  <c r="P315" i="1"/>
  <c r="P312" i="1"/>
  <c r="P311" i="1"/>
  <c r="P310" i="1"/>
  <c r="P307" i="1"/>
  <c r="P306" i="1"/>
  <c r="P305" i="1"/>
  <c r="P304" i="1"/>
  <c r="P301" i="1"/>
  <c r="P300" i="1"/>
  <c r="P299" i="1"/>
  <c r="P296" i="1"/>
  <c r="P295" i="1"/>
  <c r="P294" i="1"/>
  <c r="P291" i="1"/>
  <c r="P290" i="1"/>
  <c r="P289" i="1"/>
  <c r="P288" i="1"/>
  <c r="P285" i="1"/>
  <c r="P284" i="1"/>
  <c r="P283" i="1"/>
  <c r="P282" i="1"/>
  <c r="P279" i="1"/>
  <c r="P278" i="1"/>
  <c r="P277" i="1"/>
  <c r="P276" i="1"/>
  <c r="P273" i="1"/>
  <c r="P272" i="1"/>
  <c r="P271" i="1"/>
  <c r="P270" i="1"/>
  <c r="P269" i="1"/>
  <c r="P266" i="1"/>
  <c r="P265" i="1"/>
  <c r="P264" i="1"/>
  <c r="P263" i="1"/>
  <c r="P260" i="1"/>
  <c r="P259" i="1"/>
  <c r="P258" i="1"/>
  <c r="P257" i="1"/>
  <c r="P254" i="1"/>
  <c r="P253" i="1"/>
  <c r="P252" i="1"/>
  <c r="P251" i="1"/>
  <c r="P248" i="1"/>
  <c r="P247" i="1"/>
  <c r="P246" i="1"/>
  <c r="P243" i="1"/>
  <c r="P242" i="1"/>
  <c r="P241" i="1"/>
  <c r="P240" i="1"/>
  <c r="P237" i="1"/>
  <c r="P236" i="1"/>
  <c r="P235" i="1"/>
  <c r="P234" i="1"/>
  <c r="P233" i="1"/>
  <c r="P232" i="1"/>
  <c r="P231" i="1"/>
  <c r="P228" i="1"/>
  <c r="P227" i="1"/>
  <c r="P226" i="1"/>
  <c r="P223" i="1"/>
  <c r="P222" i="1"/>
  <c r="P221" i="1"/>
  <c r="P218" i="1"/>
  <c r="P217" i="1"/>
  <c r="P216" i="1"/>
  <c r="P213" i="1"/>
  <c r="P212" i="1"/>
  <c r="P211" i="1"/>
  <c r="P207" i="1"/>
  <c r="P210" i="1"/>
  <c r="P206" i="1"/>
  <c r="P205" i="1"/>
  <c r="P204" i="1"/>
  <c r="P203" i="1"/>
  <c r="P200" i="1"/>
  <c r="P199" i="1"/>
  <c r="P198" i="1"/>
  <c r="P197" i="1"/>
  <c r="P196" i="1"/>
  <c r="P195" i="1"/>
  <c r="P194" i="1"/>
  <c r="P193" i="1"/>
  <c r="P192" i="1"/>
  <c r="P189" i="1"/>
  <c r="P188" i="1"/>
  <c r="P187" i="1"/>
  <c r="P186" i="1"/>
  <c r="P183" i="1"/>
  <c r="P182" i="1"/>
  <c r="P181" i="1"/>
  <c r="P178" i="1"/>
  <c r="P175" i="1"/>
  <c r="P172" i="1"/>
  <c r="P169" i="1"/>
  <c r="P166" i="1"/>
  <c r="P165" i="1"/>
  <c r="P164" i="1"/>
  <c r="P163" i="1"/>
  <c r="P162" i="1"/>
  <c r="P161" i="1"/>
  <c r="P158" i="1"/>
  <c r="P157" i="1"/>
  <c r="P156" i="1"/>
  <c r="P155" i="1"/>
  <c r="P154" i="1"/>
  <c r="P151" i="1"/>
  <c r="P150" i="1"/>
  <c r="P149" i="1"/>
  <c r="P148" i="1"/>
  <c r="P147" i="1"/>
  <c r="P144" i="1"/>
  <c r="P143" i="1"/>
  <c r="P142" i="1"/>
  <c r="P141" i="1"/>
  <c r="P138" i="1"/>
  <c r="P137" i="1"/>
  <c r="P136" i="1"/>
  <c r="P135" i="1"/>
  <c r="P132" i="1"/>
  <c r="P131" i="1"/>
  <c r="P130" i="1"/>
  <c r="P129" i="1"/>
  <c r="P128" i="1"/>
  <c r="P125" i="1"/>
  <c r="P124" i="1"/>
  <c r="P123" i="1"/>
  <c r="P122" i="1"/>
  <c r="P119" i="1"/>
  <c r="P118" i="1"/>
  <c r="P117" i="1"/>
  <c r="P116" i="1"/>
  <c r="P115" i="1"/>
  <c r="P112" i="1"/>
  <c r="P111" i="1"/>
  <c r="P110" i="1"/>
  <c r="P109" i="1"/>
  <c r="P108" i="1"/>
  <c r="P105" i="1"/>
  <c r="P104" i="1"/>
  <c r="P103" i="1"/>
  <c r="P102" i="1"/>
  <c r="P99" i="1"/>
  <c r="P98" i="1"/>
  <c r="P95" i="1"/>
  <c r="P94" i="1"/>
  <c r="P93" i="1"/>
  <c r="P92" i="1"/>
  <c r="P91" i="1"/>
  <c r="P90" i="1"/>
  <c r="P89" i="1"/>
  <c r="P88" i="1"/>
  <c r="P85" i="1"/>
  <c r="P84" i="1"/>
  <c r="P83" i="1"/>
  <c r="P82" i="1"/>
  <c r="P81" i="1"/>
  <c r="P80" i="1"/>
  <c r="P79" i="1"/>
  <c r="P78" i="1"/>
  <c r="P75" i="1"/>
  <c r="P74" i="1"/>
  <c r="P73" i="1"/>
  <c r="P72" i="1"/>
  <c r="P71" i="1"/>
  <c r="P70" i="1"/>
  <c r="P69" i="1"/>
  <c r="P68" i="1"/>
  <c r="P65" i="1"/>
  <c r="P64" i="1"/>
  <c r="P63" i="1"/>
  <c r="P62" i="1"/>
  <c r="P61" i="1"/>
  <c r="P60" i="1"/>
  <c r="P59" i="1"/>
  <c r="P58" i="1"/>
  <c r="P55" i="1"/>
  <c r="P54" i="1"/>
  <c r="P51" i="1"/>
  <c r="P50" i="1"/>
  <c r="P49" i="1"/>
  <c r="P48" i="1"/>
  <c r="P47" i="1"/>
  <c r="P2620" i="1"/>
  <c r="P2616" i="1"/>
  <c r="P2612" i="1"/>
  <c r="P2608" i="1"/>
  <c r="P2603" i="1"/>
  <c r="P2599" i="1"/>
  <c r="P2595" i="1"/>
  <c r="P2583" i="1"/>
  <c r="P2573" i="1"/>
  <c r="P2561" i="1"/>
  <c r="P2551" i="1"/>
  <c r="P2544" i="1"/>
  <c r="P2536" i="1"/>
  <c r="P2525" i="1"/>
  <c r="P2521" i="1"/>
  <c r="P2512" i="1"/>
  <c r="P2503" i="1"/>
  <c r="P2494" i="1"/>
  <c r="P2485" i="1"/>
  <c r="P2479" i="1"/>
  <c r="P2473" i="1"/>
  <c r="P2467" i="1"/>
  <c r="P2461" i="1"/>
  <c r="P2457" i="1"/>
  <c r="P2452" i="1"/>
  <c r="P2448" i="1"/>
  <c r="P2442" i="1"/>
  <c r="P2436" i="1"/>
  <c r="P2431" i="1"/>
  <c r="P2425" i="1"/>
  <c r="P2420" i="1"/>
  <c r="P2415" i="1"/>
  <c r="P2409" i="1"/>
  <c r="P2403" i="1"/>
  <c r="P2397" i="1"/>
  <c r="P2391" i="1"/>
  <c r="P2385" i="1"/>
  <c r="P2382" i="1"/>
  <c r="P2378" i="1"/>
  <c r="P2372" i="1"/>
  <c r="P2367" i="1"/>
  <c r="P2362" i="1"/>
  <c r="P2356" i="1"/>
  <c r="P2352" i="1"/>
  <c r="P2346" i="1"/>
  <c r="P2342" i="1"/>
  <c r="P2338" i="1"/>
  <c r="P2333" i="1"/>
  <c r="P2329" i="1"/>
  <c r="P2325" i="1"/>
  <c r="P2320" i="1"/>
  <c r="P2316" i="1"/>
  <c r="P2312" i="1"/>
  <c r="P2306" i="1"/>
  <c r="P2301" i="1"/>
  <c r="P2296" i="1"/>
  <c r="P2291" i="1"/>
  <c r="P2285" i="1"/>
  <c r="P2280" i="1"/>
  <c r="P2274" i="1"/>
  <c r="P2269" i="1"/>
  <c r="P2265" i="1"/>
  <c r="P2260" i="1"/>
  <c r="P2256" i="1"/>
  <c r="P2252" i="1"/>
  <c r="P2246" i="1"/>
  <c r="P2239" i="1"/>
  <c r="P2232" i="1"/>
  <c r="P2227" i="1"/>
  <c r="P2222" i="1"/>
  <c r="P2217" i="1"/>
  <c r="P2213" i="1"/>
  <c r="P2205" i="1"/>
  <c r="P2201" i="1"/>
  <c r="P2197" i="1"/>
  <c r="P2193" i="1"/>
  <c r="P2189" i="1"/>
  <c r="P2185" i="1"/>
  <c r="P2181" i="1"/>
  <c r="P2171" i="1"/>
  <c r="P2164" i="1"/>
  <c r="P2157" i="1"/>
  <c r="P2150" i="1"/>
  <c r="P2142" i="1"/>
  <c r="P2133" i="1"/>
  <c r="P2124" i="1"/>
  <c r="P2118" i="1"/>
  <c r="P2114" i="1"/>
  <c r="P2110" i="1"/>
  <c r="P2103" i="1"/>
  <c r="P2094" i="1"/>
  <c r="P2085" i="1"/>
  <c r="P2076" i="1"/>
  <c r="P2067" i="1"/>
  <c r="P2059" i="1"/>
  <c r="P2051" i="1"/>
  <c r="P2043" i="1"/>
  <c r="P2035" i="1"/>
  <c r="P2029" i="1"/>
  <c r="P2023" i="1"/>
  <c r="P2012" i="1"/>
  <c r="P2001" i="1"/>
  <c r="P1990" i="1"/>
  <c r="P1979" i="1"/>
  <c r="P1974" i="1"/>
  <c r="P1969" i="1"/>
  <c r="P1964" i="1"/>
  <c r="P1959" i="1"/>
  <c r="P1954" i="1"/>
  <c r="P1949" i="1"/>
  <c r="P1945" i="1"/>
  <c r="P1940" i="1"/>
  <c r="P1930" i="1"/>
  <c r="P1920" i="1"/>
  <c r="P1910" i="1"/>
  <c r="P1900" i="1"/>
  <c r="P1890" i="1"/>
  <c r="P1880" i="1"/>
  <c r="P1870" i="1"/>
  <c r="P1860" i="1"/>
  <c r="P1850" i="1"/>
  <c r="P1840" i="1"/>
  <c r="P1833" i="1"/>
  <c r="P1826" i="1"/>
  <c r="P1819" i="1"/>
  <c r="P1812" i="1"/>
  <c r="P1804" i="1"/>
  <c r="P1798" i="1"/>
  <c r="P1789" i="1"/>
  <c r="P1782" i="1"/>
  <c r="P1775" i="1"/>
  <c r="P1768" i="1"/>
  <c r="P1761" i="1"/>
  <c r="P1755" i="1"/>
  <c r="P1749" i="1"/>
  <c r="P1742" i="1"/>
  <c r="P1737" i="1"/>
  <c r="P1732" i="1"/>
  <c r="P1725" i="1"/>
  <c r="P1718" i="1"/>
  <c r="P1711" i="1"/>
  <c r="P1704" i="1"/>
  <c r="P1699" i="1"/>
  <c r="P1694" i="1"/>
  <c r="P1690" i="1"/>
  <c r="P1681" i="1"/>
  <c r="P1671" i="1"/>
  <c r="P1668" i="1"/>
  <c r="P1665" i="1"/>
  <c r="P1659" i="1"/>
  <c r="P1653" i="1"/>
  <c r="P1648" i="1"/>
  <c r="P1643" i="1"/>
  <c r="P1638" i="1"/>
  <c r="P1633" i="1"/>
  <c r="P1628" i="1"/>
  <c r="P1623" i="1"/>
  <c r="P1618" i="1"/>
  <c r="P1611" i="1"/>
  <c r="P1606" i="1"/>
  <c r="P1601" i="1"/>
  <c r="P1596" i="1"/>
  <c r="P1590" i="1"/>
  <c r="P1584" i="1"/>
  <c r="P1578" i="1"/>
  <c r="P1570" i="1"/>
  <c r="P1564" i="1"/>
  <c r="P1558" i="1"/>
  <c r="P1551" i="1"/>
  <c r="P1547" i="1"/>
  <c r="P1543" i="1"/>
  <c r="P1539" i="1"/>
  <c r="P1535" i="1"/>
  <c r="P1531" i="1"/>
  <c r="P1527" i="1"/>
  <c r="P1523" i="1"/>
  <c r="P1519" i="1"/>
  <c r="P1515" i="1"/>
  <c r="P1511" i="1"/>
  <c r="P1507" i="1"/>
  <c r="P1503" i="1"/>
  <c r="P1497" i="1"/>
  <c r="P1493" i="1"/>
  <c r="P1489" i="1"/>
  <c r="P1485" i="1"/>
  <c r="P1481" i="1"/>
  <c r="P1473" i="1"/>
  <c r="P1465" i="1"/>
  <c r="P1457" i="1"/>
  <c r="P1448" i="1"/>
  <c r="P1439" i="1"/>
  <c r="P1430" i="1"/>
  <c r="P1421" i="1"/>
  <c r="P1411" i="1"/>
  <c r="P1401" i="1"/>
  <c r="P1391" i="1"/>
  <c r="P1381" i="1"/>
  <c r="P1372" i="1"/>
  <c r="P1363" i="1"/>
  <c r="P1354" i="1"/>
  <c r="P1345" i="1"/>
  <c r="P1335" i="1"/>
  <c r="P1325" i="1"/>
  <c r="P1315" i="1"/>
  <c r="P1305" i="1"/>
  <c r="P1296" i="1"/>
  <c r="P1287" i="1"/>
  <c r="P1278" i="1"/>
  <c r="P1269" i="1"/>
  <c r="P1260" i="1"/>
  <c r="P1251" i="1"/>
  <c r="P1242" i="1"/>
  <c r="P1233" i="1"/>
  <c r="P1224" i="1"/>
  <c r="P1215" i="1"/>
  <c r="P1206" i="1"/>
  <c r="P1197" i="1"/>
  <c r="P1189" i="1"/>
  <c r="P1181" i="1"/>
  <c r="P1173" i="1"/>
  <c r="P1165" i="1"/>
  <c r="P1158" i="1"/>
  <c r="P1149" i="1"/>
  <c r="P1140" i="1"/>
  <c r="P1131" i="1"/>
  <c r="P1122" i="1"/>
  <c r="P1117" i="1"/>
  <c r="P1111" i="1"/>
  <c r="P1104" i="1"/>
  <c r="P1098" i="1"/>
  <c r="P1092" i="1"/>
  <c r="P1085" i="1"/>
  <c r="P1078" i="1"/>
  <c r="P1071" i="1"/>
  <c r="P1064" i="1"/>
  <c r="P1058" i="1"/>
  <c r="P1052" i="1"/>
  <c r="P1047" i="1"/>
  <c r="P1042" i="1"/>
  <c r="P1036" i="1"/>
  <c r="P1031" i="1"/>
  <c r="P1027" i="1"/>
  <c r="P1022" i="1"/>
  <c r="P1014" i="1"/>
  <c r="P1009" i="1"/>
  <c r="P1004" i="1"/>
  <c r="P999" i="1"/>
  <c r="P990" i="1"/>
  <c r="P983" i="1"/>
  <c r="P976" i="1"/>
  <c r="P969" i="1"/>
  <c r="P962" i="1"/>
  <c r="P958" i="1"/>
  <c r="P952" i="1"/>
  <c r="P947" i="1"/>
  <c r="P938" i="1"/>
  <c r="P932" i="1"/>
  <c r="P926" i="1"/>
  <c r="P920" i="1"/>
  <c r="P914" i="1"/>
  <c r="P908" i="1"/>
  <c r="P902" i="1"/>
  <c r="P890" i="1"/>
  <c r="P884" i="1"/>
  <c r="P878" i="1"/>
  <c r="P872" i="1"/>
  <c r="P866" i="1"/>
  <c r="P860" i="1"/>
  <c r="P854" i="1"/>
  <c r="P850" i="1"/>
  <c r="P844" i="1"/>
  <c r="P836" i="1"/>
  <c r="P828" i="1"/>
  <c r="P820" i="1"/>
  <c r="P811" i="1"/>
  <c r="P802" i="1"/>
  <c r="P796" i="1"/>
  <c r="P790" i="1"/>
  <c r="P784" i="1"/>
  <c r="P777" i="1"/>
  <c r="P770" i="1"/>
  <c r="P763" i="1"/>
  <c r="P754" i="1"/>
  <c r="P747" i="1"/>
  <c r="P740" i="1"/>
  <c r="P732" i="1"/>
  <c r="P724" i="1"/>
  <c r="P717" i="1"/>
  <c r="P710" i="1"/>
  <c r="P703" i="1"/>
  <c r="P696" i="1"/>
  <c r="P688" i="1"/>
  <c r="P682" i="1"/>
  <c r="P675" i="1"/>
  <c r="P667" i="1"/>
  <c r="P659" i="1"/>
  <c r="P654" i="1"/>
  <c r="P648" i="1"/>
  <c r="P641" i="1"/>
  <c r="P634" i="1"/>
  <c r="P628" i="1"/>
  <c r="P622" i="1"/>
  <c r="P617" i="1"/>
  <c r="P612" i="1"/>
  <c r="P607" i="1"/>
  <c r="P602" i="1"/>
  <c r="P597" i="1"/>
  <c r="P591" i="1"/>
  <c r="P585" i="1"/>
  <c r="P573" i="1"/>
  <c r="P579" i="1"/>
  <c r="P568" i="1"/>
  <c r="P562" i="1"/>
  <c r="P557" i="1"/>
  <c r="P552" i="1"/>
  <c r="P547" i="1"/>
  <c r="P542" i="1"/>
  <c r="P536" i="1"/>
  <c r="P526" i="1"/>
  <c r="P521" i="1"/>
  <c r="P516" i="1"/>
  <c r="P511" i="1"/>
  <c r="P506" i="1"/>
  <c r="P501" i="1"/>
  <c r="P495" i="1"/>
  <c r="P490" i="1"/>
  <c r="P472" i="1"/>
  <c r="P460" i="1"/>
  <c r="P448" i="1"/>
  <c r="P440" i="1"/>
  <c r="P435" i="1"/>
  <c r="P429" i="1"/>
  <c r="P424" i="1"/>
  <c r="P419" i="1"/>
  <c r="P414" i="1"/>
  <c r="P409" i="1"/>
  <c r="P403" i="1"/>
  <c r="P397" i="1"/>
  <c r="P391" i="1"/>
  <c r="P385" i="1"/>
  <c r="P379" i="1"/>
  <c r="P373" i="1"/>
  <c r="P367" i="1"/>
  <c r="P361" i="1"/>
  <c r="P355" i="1"/>
  <c r="P349" i="1"/>
  <c r="P343" i="1"/>
  <c r="P337" i="1"/>
  <c r="P332" i="1"/>
  <c r="P326" i="1"/>
  <c r="P320" i="1"/>
  <c r="P314" i="1"/>
  <c r="P309" i="1"/>
  <c r="P303" i="1"/>
  <c r="P298" i="1"/>
  <c r="P293" i="1"/>
  <c r="P287" i="1"/>
  <c r="P281" i="1"/>
  <c r="P275" i="1"/>
  <c r="P268" i="1"/>
  <c r="P262" i="1"/>
  <c r="P256" i="1"/>
  <c r="P250" i="1"/>
  <c r="P245" i="1"/>
  <c r="P239" i="1"/>
  <c r="P230" i="1"/>
  <c r="P225" i="1"/>
  <c r="P220" i="1"/>
  <c r="P215" i="1"/>
  <c r="P209" i="1"/>
  <c r="P202" i="1"/>
  <c r="P191" i="1"/>
  <c r="P185" i="1"/>
  <c r="P180" i="1"/>
  <c r="P177" i="1"/>
  <c r="P174" i="1"/>
  <c r="P171" i="1"/>
  <c r="P168" i="1"/>
  <c r="P160" i="1"/>
  <c r="P153" i="1"/>
  <c r="P146" i="1"/>
  <c r="P140" i="1"/>
  <c r="P134" i="1"/>
  <c r="P127" i="1"/>
  <c r="P121" i="1"/>
  <c r="P114" i="1"/>
  <c r="P101" i="1"/>
  <c r="P107" i="1"/>
  <c r="P97" i="1"/>
  <c r="P87" i="1"/>
  <c r="P77" i="1"/>
  <c r="P67" i="1"/>
  <c r="P57" i="1"/>
  <c r="P53" i="1"/>
  <c r="P46" i="1"/>
  <c r="A1941" i="1"/>
  <c r="O2622" i="1"/>
  <c r="O2621" i="1"/>
  <c r="A2621" i="1"/>
  <c r="O2618" i="1"/>
  <c r="O2617" i="1"/>
  <c r="A2617" i="1"/>
  <c r="O2614" i="1"/>
  <c r="O2613" i="1"/>
  <c r="A2613" i="1"/>
  <c r="O2610" i="1"/>
  <c r="O2609" i="1"/>
  <c r="A2609" i="1"/>
  <c r="O2606" i="1"/>
  <c r="O2605" i="1"/>
  <c r="O2604" i="1"/>
  <c r="A2604" i="1"/>
  <c r="O2601" i="1"/>
  <c r="O2600" i="1"/>
  <c r="A2600" i="1"/>
  <c r="O2597" i="1"/>
  <c r="O2596" i="1"/>
  <c r="A2596" i="1"/>
  <c r="O2593" i="1"/>
  <c r="O2592" i="1"/>
  <c r="O2591" i="1"/>
  <c r="O2590" i="1"/>
  <c r="O2589" i="1"/>
  <c r="O2588" i="1"/>
  <c r="O2587" i="1"/>
  <c r="O2586" i="1"/>
  <c r="O2585" i="1"/>
  <c r="O2584" i="1"/>
  <c r="A2584" i="1"/>
  <c r="O2581" i="1"/>
  <c r="O2580" i="1"/>
  <c r="O2579" i="1"/>
  <c r="O2578" i="1"/>
  <c r="O2577" i="1"/>
  <c r="O2576" i="1"/>
  <c r="O2575" i="1"/>
  <c r="O2574" i="1"/>
  <c r="A2574" i="1"/>
  <c r="O2571" i="1"/>
  <c r="O2570" i="1"/>
  <c r="O2569" i="1"/>
  <c r="O2568" i="1"/>
  <c r="O2567" i="1"/>
  <c r="O2566" i="1"/>
  <c r="O2565" i="1"/>
  <c r="O2564" i="1"/>
  <c r="O2563" i="1"/>
  <c r="O2562" i="1"/>
  <c r="A2562" i="1"/>
  <c r="O2559" i="1"/>
  <c r="O2558" i="1"/>
  <c r="O2557" i="1"/>
  <c r="O2556" i="1"/>
  <c r="O2555" i="1"/>
  <c r="O2554" i="1"/>
  <c r="O2553" i="1"/>
  <c r="O2552" i="1"/>
  <c r="A2552" i="1"/>
  <c r="O2549" i="1"/>
  <c r="O2548" i="1"/>
  <c r="O2547" i="1"/>
  <c r="O2546" i="1"/>
  <c r="O2545" i="1"/>
  <c r="A2545" i="1"/>
  <c r="O2542" i="1"/>
  <c r="O2541" i="1"/>
  <c r="O2540" i="1"/>
  <c r="O2539" i="1"/>
  <c r="O2538" i="1"/>
  <c r="O2537" i="1"/>
  <c r="A2537" i="1"/>
  <c r="O2534" i="1"/>
  <c r="O2533" i="1"/>
  <c r="O2532" i="1"/>
  <c r="O2531" i="1"/>
  <c r="O2530" i="1"/>
  <c r="O2529" i="1"/>
  <c r="O2528" i="1"/>
  <c r="O2527" i="1"/>
  <c r="O2526" i="1"/>
  <c r="A2526" i="1"/>
  <c r="O2523" i="1"/>
  <c r="O2522" i="1"/>
  <c r="A2522" i="1"/>
  <c r="O2519" i="1"/>
  <c r="O2518" i="1"/>
  <c r="O2517" i="1"/>
  <c r="O2516" i="1"/>
  <c r="O2515" i="1"/>
  <c r="O2514" i="1"/>
  <c r="O2513" i="1"/>
  <c r="A2513" i="1"/>
  <c r="O2510" i="1"/>
  <c r="O2509" i="1"/>
  <c r="O2508" i="1"/>
  <c r="O2507" i="1"/>
  <c r="O2506" i="1"/>
  <c r="O2505" i="1"/>
  <c r="O2504" i="1"/>
  <c r="A2504" i="1"/>
  <c r="O2501" i="1"/>
  <c r="O2500" i="1"/>
  <c r="O2499" i="1"/>
  <c r="O2498" i="1"/>
  <c r="O2497" i="1"/>
  <c r="O2496" i="1"/>
  <c r="O2495" i="1"/>
  <c r="A2495" i="1"/>
  <c r="O2492" i="1"/>
  <c r="O2491" i="1"/>
  <c r="O2490" i="1"/>
  <c r="O2489" i="1"/>
  <c r="O2488" i="1"/>
  <c r="O2487" i="1"/>
  <c r="O2486" i="1"/>
  <c r="A2486" i="1"/>
  <c r="O2483" i="1"/>
  <c r="O2482" i="1"/>
  <c r="O2481" i="1"/>
  <c r="O2480" i="1"/>
  <c r="A2480" i="1"/>
  <c r="O2477" i="1"/>
  <c r="O2476" i="1"/>
  <c r="O2475" i="1"/>
  <c r="O2474" i="1"/>
  <c r="A2474" i="1"/>
  <c r="O2471" i="1"/>
  <c r="O2470" i="1"/>
  <c r="O2469" i="1"/>
  <c r="O2468" i="1"/>
  <c r="A2468" i="1"/>
  <c r="O2465" i="1"/>
  <c r="O2464" i="1"/>
  <c r="O2463" i="1"/>
  <c r="O2462" i="1"/>
  <c r="A2462" i="1"/>
  <c r="O2459" i="1"/>
  <c r="O2458" i="1"/>
  <c r="A2458" i="1"/>
  <c r="O2455" i="1"/>
  <c r="O2454" i="1"/>
  <c r="O2453" i="1"/>
  <c r="A2453" i="1"/>
  <c r="O2450" i="1"/>
  <c r="O2449" i="1"/>
  <c r="A2449" i="1"/>
  <c r="O2446" i="1"/>
  <c r="O2445" i="1"/>
  <c r="O2444" i="1"/>
  <c r="O2443" i="1"/>
  <c r="A2443" i="1"/>
  <c r="O2440" i="1"/>
  <c r="O2439" i="1"/>
  <c r="O2438" i="1"/>
  <c r="O2437" i="1"/>
  <c r="A2437" i="1"/>
  <c r="O2434" i="1"/>
  <c r="O2433" i="1"/>
  <c r="O2432" i="1"/>
  <c r="A2432" i="1"/>
  <c r="O2429" i="1"/>
  <c r="O2428" i="1"/>
  <c r="O2427" i="1"/>
  <c r="O2426" i="1"/>
  <c r="A2426" i="1"/>
  <c r="O2423" i="1"/>
  <c r="O2422" i="1"/>
  <c r="O2421" i="1"/>
  <c r="A2421" i="1"/>
  <c r="O2418" i="1"/>
  <c r="O2417" i="1"/>
  <c r="O2416" i="1"/>
  <c r="A2416" i="1"/>
  <c r="O2413" i="1"/>
  <c r="O2412" i="1"/>
  <c r="O2411" i="1"/>
  <c r="O2410" i="1"/>
  <c r="A2410" i="1"/>
  <c r="O2407" i="1"/>
  <c r="O2406" i="1"/>
  <c r="O2405" i="1"/>
  <c r="O2404" i="1"/>
  <c r="A2404" i="1"/>
  <c r="O2401" i="1"/>
  <c r="O2400" i="1"/>
  <c r="O2399" i="1"/>
  <c r="O2398" i="1"/>
  <c r="A2398" i="1"/>
  <c r="O2395" i="1"/>
  <c r="O2394" i="1"/>
  <c r="O2393" i="1"/>
  <c r="O2392" i="1"/>
  <c r="A2392" i="1"/>
  <c r="O2389" i="1"/>
  <c r="O2388" i="1"/>
  <c r="O2387" i="1"/>
  <c r="O2386" i="1"/>
  <c r="A2386" i="1"/>
  <c r="O2383" i="1"/>
  <c r="A2383" i="1"/>
  <c r="O2380" i="1"/>
  <c r="O2379" i="1"/>
  <c r="A2379" i="1"/>
  <c r="O2376" i="1"/>
  <c r="O2375" i="1"/>
  <c r="O2374" i="1"/>
  <c r="O2373" i="1"/>
  <c r="A2373" i="1"/>
  <c r="O2370" i="1"/>
  <c r="O2369" i="1"/>
  <c r="O2368" i="1"/>
  <c r="A2368" i="1"/>
  <c r="O2365" i="1"/>
  <c r="O2364" i="1"/>
  <c r="O2363" i="1"/>
  <c r="A2363" i="1"/>
  <c r="O2360" i="1"/>
  <c r="O2359" i="1"/>
  <c r="O2358" i="1"/>
  <c r="O2357" i="1"/>
  <c r="A2357" i="1"/>
  <c r="O2354" i="1"/>
  <c r="O2353" i="1"/>
  <c r="A2353" i="1"/>
  <c r="O2350" i="1"/>
  <c r="O2349" i="1"/>
  <c r="O2348" i="1"/>
  <c r="O2347" i="1"/>
  <c r="A2347" i="1"/>
  <c r="O2344" i="1"/>
  <c r="O2343" i="1"/>
  <c r="A2343" i="1"/>
  <c r="O2340" i="1"/>
  <c r="O2339" i="1"/>
  <c r="A2339" i="1"/>
  <c r="O2336" i="1"/>
  <c r="O2335" i="1"/>
  <c r="O2334" i="1"/>
  <c r="A2334" i="1"/>
  <c r="O2331" i="1"/>
  <c r="O2330" i="1"/>
  <c r="A2330" i="1"/>
  <c r="O2327" i="1"/>
  <c r="O2326" i="1"/>
  <c r="A2326" i="1"/>
  <c r="O2323" i="1"/>
  <c r="O2322" i="1"/>
  <c r="O2321" i="1"/>
  <c r="A2321" i="1"/>
  <c r="O2318" i="1"/>
  <c r="O2317" i="1"/>
  <c r="A2317" i="1"/>
  <c r="O2314" i="1"/>
  <c r="O2313" i="1"/>
  <c r="A2313" i="1"/>
  <c r="O2310" i="1"/>
  <c r="O2309" i="1"/>
  <c r="O2308" i="1"/>
  <c r="O2307" i="1"/>
  <c r="A2307" i="1"/>
  <c r="O2304" i="1"/>
  <c r="O2303" i="1"/>
  <c r="O2302" i="1"/>
  <c r="A2302" i="1"/>
  <c r="O2299" i="1"/>
  <c r="O2298" i="1"/>
  <c r="O2297" i="1"/>
  <c r="A2297" i="1"/>
  <c r="O2294" i="1"/>
  <c r="O2293" i="1"/>
  <c r="O2292" i="1"/>
  <c r="A2292" i="1"/>
  <c r="O2289" i="1"/>
  <c r="O2288" i="1"/>
  <c r="O2287" i="1"/>
  <c r="O2286" i="1"/>
  <c r="A2286" i="1"/>
  <c r="O2283" i="1"/>
  <c r="O2282" i="1"/>
  <c r="O2281" i="1"/>
  <c r="A2281" i="1"/>
  <c r="O2278" i="1"/>
  <c r="O2277" i="1"/>
  <c r="O2276" i="1"/>
  <c r="O2275" i="1"/>
  <c r="A2275" i="1"/>
  <c r="O2272" i="1"/>
  <c r="O2271" i="1"/>
  <c r="O2270" i="1"/>
  <c r="A2270" i="1"/>
  <c r="O2267" i="1"/>
  <c r="O2266" i="1"/>
  <c r="A2266" i="1"/>
  <c r="O2263" i="1"/>
  <c r="O2262" i="1"/>
  <c r="O2261" i="1"/>
  <c r="A2261" i="1"/>
  <c r="O2258" i="1"/>
  <c r="O2257" i="1"/>
  <c r="A2257" i="1"/>
  <c r="O2254" i="1"/>
  <c r="O2253" i="1"/>
  <c r="A2253" i="1"/>
  <c r="O2250" i="1"/>
  <c r="O2249" i="1"/>
  <c r="O2248" i="1"/>
  <c r="O2247" i="1"/>
  <c r="A2247" i="1"/>
  <c r="O2244" i="1"/>
  <c r="O2243" i="1"/>
  <c r="O2242" i="1"/>
  <c r="O2241" i="1"/>
  <c r="O2240" i="1"/>
  <c r="A2240" i="1"/>
  <c r="O2237" i="1"/>
  <c r="O2236" i="1"/>
  <c r="O2235" i="1"/>
  <c r="O2234" i="1"/>
  <c r="O2233" i="1"/>
  <c r="A2233" i="1"/>
  <c r="O2230" i="1"/>
  <c r="O2229" i="1"/>
  <c r="O2228" i="1"/>
  <c r="A2228" i="1"/>
  <c r="O2225" i="1"/>
  <c r="O2224" i="1"/>
  <c r="O2223" i="1"/>
  <c r="A2223" i="1"/>
  <c r="O2220" i="1"/>
  <c r="O2219" i="1"/>
  <c r="O2218" i="1"/>
  <c r="A2218" i="1"/>
  <c r="O2215" i="1"/>
  <c r="O2214" i="1"/>
  <c r="A2214" i="1"/>
  <c r="O2211" i="1"/>
  <c r="O2210" i="1"/>
  <c r="A2210" i="1"/>
  <c r="O2207" i="1"/>
  <c r="O2206" i="1"/>
  <c r="A2206" i="1"/>
  <c r="O2203" i="1"/>
  <c r="O2202" i="1"/>
  <c r="A2202" i="1"/>
  <c r="O2199" i="1"/>
  <c r="O2198" i="1"/>
  <c r="A2198" i="1"/>
  <c r="O2195" i="1"/>
  <c r="O2194" i="1"/>
  <c r="A2194" i="1"/>
  <c r="O2191" i="1"/>
  <c r="O2190" i="1"/>
  <c r="A2190" i="1"/>
  <c r="O2187" i="1"/>
  <c r="O2186" i="1"/>
  <c r="A2186" i="1"/>
  <c r="O2183" i="1"/>
  <c r="O2182" i="1"/>
  <c r="A2182" i="1"/>
  <c r="O2179" i="1"/>
  <c r="O2178" i="1"/>
  <c r="O2177" i="1"/>
  <c r="O2176" i="1"/>
  <c r="O2175" i="1"/>
  <c r="O2174" i="1"/>
  <c r="O2173" i="1"/>
  <c r="O2172" i="1"/>
  <c r="A2172" i="1"/>
  <c r="O2169" i="1"/>
  <c r="O2168" i="1"/>
  <c r="O2167" i="1"/>
  <c r="O2166" i="1"/>
  <c r="O2165" i="1"/>
  <c r="A2165" i="1"/>
  <c r="O2162" i="1"/>
  <c r="O2161" i="1"/>
  <c r="O2160" i="1"/>
  <c r="O2159" i="1"/>
  <c r="O2158" i="1"/>
  <c r="A2158" i="1"/>
  <c r="O2155" i="1"/>
  <c r="O2154" i="1"/>
  <c r="O2153" i="1"/>
  <c r="O2152" i="1"/>
  <c r="O2151" i="1"/>
  <c r="A2151" i="1"/>
  <c r="O2148" i="1"/>
  <c r="O2147" i="1"/>
  <c r="O2146" i="1"/>
  <c r="O2145" i="1"/>
  <c r="O2144" i="1"/>
  <c r="O2143" i="1"/>
  <c r="A2143" i="1"/>
  <c r="O2140" i="1"/>
  <c r="O2139" i="1"/>
  <c r="O2138" i="1"/>
  <c r="O2137" i="1"/>
  <c r="O2136" i="1"/>
  <c r="O2135" i="1"/>
  <c r="O2134" i="1"/>
  <c r="A2134" i="1"/>
  <c r="O2131" i="1"/>
  <c r="O2130" i="1"/>
  <c r="O2129" i="1"/>
  <c r="O2128" i="1"/>
  <c r="O2127" i="1"/>
  <c r="O2126" i="1"/>
  <c r="O2125" i="1"/>
  <c r="A2125" i="1"/>
  <c r="O2122" i="1"/>
  <c r="O2121" i="1"/>
  <c r="O2120" i="1"/>
  <c r="O2119" i="1"/>
  <c r="A2119" i="1"/>
  <c r="O2116" i="1"/>
  <c r="O2115" i="1"/>
  <c r="A2115" i="1"/>
  <c r="O2112" i="1"/>
  <c r="O2111" i="1"/>
  <c r="A2111" i="1"/>
  <c r="O2108" i="1"/>
  <c r="O2107" i="1"/>
  <c r="O2106" i="1"/>
  <c r="O2105" i="1"/>
  <c r="O2104" i="1"/>
  <c r="A2104" i="1"/>
  <c r="O2101" i="1"/>
  <c r="O2100" i="1"/>
  <c r="O2099" i="1"/>
  <c r="O2098" i="1"/>
  <c r="O2097" i="1"/>
  <c r="O2096" i="1"/>
  <c r="O2095" i="1"/>
  <c r="A2095" i="1"/>
  <c r="O2092" i="1"/>
  <c r="O2091" i="1"/>
  <c r="O2090" i="1"/>
  <c r="O2089" i="1"/>
  <c r="O2088" i="1"/>
  <c r="O2087" i="1"/>
  <c r="O2086" i="1"/>
  <c r="A2086" i="1"/>
  <c r="O2083" i="1"/>
  <c r="O2082" i="1"/>
  <c r="O2081" i="1"/>
  <c r="O2080" i="1"/>
  <c r="O2079" i="1"/>
  <c r="O2078" i="1"/>
  <c r="O2077" i="1"/>
  <c r="A2077" i="1"/>
  <c r="O2074" i="1"/>
  <c r="O2073" i="1"/>
  <c r="O2072" i="1"/>
  <c r="O2071" i="1"/>
  <c r="O2070" i="1"/>
  <c r="O2069" i="1"/>
  <c r="O2068" i="1"/>
  <c r="A2068" i="1"/>
  <c r="O2065" i="1"/>
  <c r="O2064" i="1"/>
  <c r="O2063" i="1"/>
  <c r="O2062" i="1"/>
  <c r="O2061" i="1"/>
  <c r="O2060" i="1"/>
  <c r="A2060" i="1"/>
  <c r="O2057" i="1"/>
  <c r="O2056" i="1"/>
  <c r="O2055" i="1"/>
  <c r="O2054" i="1"/>
  <c r="O2053" i="1"/>
  <c r="O2052" i="1"/>
  <c r="A2052" i="1"/>
  <c r="O2049" i="1"/>
  <c r="O2048" i="1"/>
  <c r="O2047" i="1"/>
  <c r="O2046" i="1"/>
  <c r="O2045" i="1"/>
  <c r="O2044" i="1"/>
  <c r="A2044" i="1"/>
  <c r="O2041" i="1"/>
  <c r="O2040" i="1"/>
  <c r="O2039" i="1"/>
  <c r="O2038" i="1"/>
  <c r="O2037" i="1"/>
  <c r="O2036" i="1"/>
  <c r="A2036" i="1"/>
  <c r="O2033" i="1"/>
  <c r="O2032" i="1"/>
  <c r="O2031" i="1"/>
  <c r="O2030" i="1"/>
  <c r="A2030" i="1"/>
  <c r="O2027" i="1"/>
  <c r="O2026" i="1"/>
  <c r="O2025" i="1"/>
  <c r="O2024" i="1"/>
  <c r="A2024" i="1"/>
  <c r="O2021" i="1"/>
  <c r="O2020" i="1"/>
  <c r="O2019" i="1"/>
  <c r="O2018" i="1"/>
  <c r="O2017" i="1"/>
  <c r="O2016" i="1"/>
  <c r="O2015" i="1"/>
  <c r="O2014" i="1"/>
  <c r="O2013" i="1"/>
  <c r="A2013" i="1"/>
  <c r="O2010" i="1"/>
  <c r="O2009" i="1"/>
  <c r="O2008" i="1"/>
  <c r="O2007" i="1"/>
  <c r="O2006" i="1"/>
  <c r="O2005" i="1"/>
  <c r="O2004" i="1"/>
  <c r="O2003" i="1"/>
  <c r="O2002" i="1"/>
  <c r="A2002" i="1"/>
  <c r="O1999" i="1"/>
  <c r="O1998" i="1"/>
  <c r="O1997" i="1"/>
  <c r="O1996" i="1"/>
  <c r="O1995" i="1"/>
  <c r="O1994" i="1"/>
  <c r="O1993" i="1"/>
  <c r="O1992" i="1"/>
  <c r="O1991" i="1"/>
  <c r="A1991" i="1"/>
  <c r="O1988" i="1"/>
  <c r="O1987" i="1"/>
  <c r="O1986" i="1"/>
  <c r="O1985" i="1"/>
  <c r="O1984" i="1"/>
  <c r="O1983" i="1"/>
  <c r="O1982" i="1"/>
  <c r="O1981" i="1"/>
  <c r="O1980" i="1"/>
  <c r="A1980" i="1"/>
  <c r="O1977" i="1"/>
  <c r="O1976" i="1"/>
  <c r="O1975" i="1"/>
  <c r="A1975" i="1"/>
  <c r="O1972" i="1"/>
  <c r="O1971" i="1"/>
  <c r="O1970" i="1"/>
  <c r="A1970" i="1"/>
  <c r="O1967" i="1"/>
  <c r="O1966" i="1"/>
  <c r="O1965" i="1"/>
  <c r="A1965" i="1"/>
  <c r="O1962" i="1"/>
  <c r="O1961" i="1"/>
  <c r="O1960" i="1"/>
  <c r="A1960" i="1"/>
  <c r="O1957" i="1"/>
  <c r="O1956" i="1"/>
  <c r="O1955" i="1"/>
  <c r="A1955" i="1"/>
  <c r="O1952" i="1"/>
  <c r="O1951" i="1"/>
  <c r="O1950" i="1"/>
  <c r="A1950" i="1"/>
  <c r="O1947" i="1"/>
  <c r="O1946" i="1"/>
  <c r="A1946" i="1"/>
  <c r="O1943" i="1"/>
  <c r="O1942" i="1"/>
  <c r="O1941" i="1"/>
  <c r="O1938" i="1"/>
  <c r="O1937" i="1"/>
  <c r="O1936" i="1"/>
  <c r="O1935" i="1"/>
  <c r="O1934" i="1"/>
  <c r="O1933" i="1"/>
  <c r="O1932" i="1"/>
  <c r="O1931" i="1"/>
  <c r="A1931" i="1"/>
  <c r="O1928" i="1"/>
  <c r="O1927" i="1"/>
  <c r="O1926" i="1"/>
  <c r="O1925" i="1"/>
  <c r="O1924" i="1"/>
  <c r="O1923" i="1"/>
  <c r="O1922" i="1"/>
  <c r="O1921" i="1"/>
  <c r="A1921" i="1"/>
  <c r="O1918" i="1"/>
  <c r="O1917" i="1"/>
  <c r="O1916" i="1"/>
  <c r="O1915" i="1"/>
  <c r="O1914" i="1"/>
  <c r="O1913" i="1"/>
  <c r="O1912" i="1"/>
  <c r="O1911" i="1"/>
  <c r="A1911" i="1"/>
  <c r="O1908" i="1"/>
  <c r="O1907" i="1"/>
  <c r="O1906" i="1"/>
  <c r="O1905" i="1"/>
  <c r="O1904" i="1"/>
  <c r="O1903" i="1"/>
  <c r="O1902" i="1"/>
  <c r="O1901" i="1"/>
  <c r="A1901" i="1"/>
  <c r="O1898" i="1"/>
  <c r="O1897" i="1"/>
  <c r="O1896" i="1"/>
  <c r="O1895" i="1"/>
  <c r="O1894" i="1"/>
  <c r="O1893" i="1"/>
  <c r="O1892" i="1"/>
  <c r="O1891" i="1"/>
  <c r="A1891" i="1"/>
  <c r="O1888" i="1"/>
  <c r="O1887" i="1"/>
  <c r="O1886" i="1"/>
  <c r="O1885" i="1"/>
  <c r="O1884" i="1"/>
  <c r="O1883" i="1"/>
  <c r="O1882" i="1"/>
  <c r="O1881" i="1"/>
  <c r="A1881" i="1"/>
  <c r="O1878" i="1"/>
  <c r="O1877" i="1"/>
  <c r="O1876" i="1"/>
  <c r="O1875" i="1"/>
  <c r="O1874" i="1"/>
  <c r="O1873" i="1"/>
  <c r="O1872" i="1"/>
  <c r="O1871" i="1"/>
  <c r="A1871" i="1"/>
  <c r="O1868" i="1"/>
  <c r="O1867" i="1"/>
  <c r="O1866" i="1"/>
  <c r="O1865" i="1"/>
  <c r="O1864" i="1"/>
  <c r="O1863" i="1"/>
  <c r="O1862" i="1"/>
  <c r="O1861" i="1"/>
  <c r="A1861" i="1"/>
  <c r="O1858" i="1"/>
  <c r="O1857" i="1"/>
  <c r="O1856" i="1"/>
  <c r="O1855" i="1"/>
  <c r="O1854" i="1"/>
  <c r="O1853" i="1"/>
  <c r="O1852" i="1"/>
  <c r="O1851" i="1"/>
  <c r="A1851" i="1"/>
  <c r="O1848" i="1"/>
  <c r="O1847" i="1"/>
  <c r="O1846" i="1"/>
  <c r="O1845" i="1"/>
  <c r="O1844" i="1"/>
  <c r="O1843" i="1"/>
  <c r="O1842" i="1"/>
  <c r="O1841" i="1"/>
  <c r="A1841" i="1"/>
  <c r="O1838" i="1"/>
  <c r="O1837" i="1"/>
  <c r="O1836" i="1"/>
  <c r="O1835" i="1"/>
  <c r="O1834" i="1"/>
  <c r="A1834" i="1"/>
  <c r="O1831" i="1"/>
  <c r="O1830" i="1"/>
  <c r="O1829" i="1"/>
  <c r="O1828" i="1"/>
  <c r="O1827" i="1"/>
  <c r="A1827" i="1"/>
  <c r="O1824" i="1"/>
  <c r="O1823" i="1"/>
  <c r="O1822" i="1"/>
  <c r="O1821" i="1"/>
  <c r="O1820" i="1"/>
  <c r="A1820" i="1"/>
  <c r="O1817" i="1"/>
  <c r="O1816" i="1"/>
  <c r="O1815" i="1"/>
  <c r="O1814" i="1"/>
  <c r="O1813" i="1"/>
  <c r="A1813" i="1"/>
  <c r="O1810" i="1"/>
  <c r="O1809" i="1"/>
  <c r="O1808" i="1"/>
  <c r="O1807" i="1"/>
  <c r="O1806" i="1"/>
  <c r="O1805" i="1"/>
  <c r="A1805" i="1"/>
  <c r="O1802" i="1"/>
  <c r="O1801" i="1"/>
  <c r="O1800" i="1"/>
  <c r="O1799" i="1"/>
  <c r="A1799" i="1"/>
  <c r="O1796" i="1"/>
  <c r="O1795" i="1"/>
  <c r="O1794" i="1"/>
  <c r="O1793" i="1"/>
  <c r="O1792" i="1"/>
  <c r="O1791" i="1"/>
  <c r="O1790" i="1"/>
  <c r="A1790" i="1"/>
  <c r="O1787" i="1"/>
  <c r="O1786" i="1"/>
  <c r="O1785" i="1"/>
  <c r="O1784" i="1"/>
  <c r="O1783" i="1"/>
  <c r="A1783" i="1"/>
  <c r="O1780" i="1"/>
  <c r="O1779" i="1"/>
  <c r="O1778" i="1"/>
  <c r="O1777" i="1"/>
  <c r="O1776" i="1"/>
  <c r="A1776" i="1"/>
  <c r="O1773" i="1"/>
  <c r="O1772" i="1"/>
  <c r="O1771" i="1"/>
  <c r="O1770" i="1"/>
  <c r="O1769" i="1"/>
  <c r="A1769" i="1"/>
  <c r="O1766" i="1"/>
  <c r="O1765" i="1"/>
  <c r="O1764" i="1"/>
  <c r="O1763" i="1"/>
  <c r="O1762" i="1"/>
  <c r="A1762" i="1"/>
  <c r="O1759" i="1"/>
  <c r="O1758" i="1"/>
  <c r="O1757" i="1"/>
  <c r="O1756" i="1"/>
  <c r="A1756" i="1"/>
  <c r="O1753" i="1"/>
  <c r="O1752" i="1"/>
  <c r="O1751" i="1"/>
  <c r="O1750" i="1"/>
  <c r="A1750" i="1"/>
  <c r="O1747" i="1"/>
  <c r="O1746" i="1"/>
  <c r="O1745" i="1"/>
  <c r="O1744" i="1"/>
  <c r="O1743" i="1"/>
  <c r="A1743" i="1"/>
  <c r="O1740" i="1"/>
  <c r="O1739" i="1"/>
  <c r="O1738" i="1"/>
  <c r="A1738" i="1"/>
  <c r="O1735" i="1"/>
  <c r="O1734" i="1"/>
  <c r="O1733" i="1"/>
  <c r="A1733" i="1"/>
  <c r="O1730" i="1"/>
  <c r="O1729" i="1"/>
  <c r="O1728" i="1"/>
  <c r="O1727" i="1"/>
  <c r="O1726" i="1"/>
  <c r="A1726" i="1"/>
  <c r="O1723" i="1"/>
  <c r="O1722" i="1"/>
  <c r="O1721" i="1"/>
  <c r="O1720" i="1"/>
  <c r="O1719" i="1"/>
  <c r="A1719" i="1"/>
  <c r="O1716" i="1"/>
  <c r="O1715" i="1"/>
  <c r="O1714" i="1"/>
  <c r="O1713" i="1"/>
  <c r="O1712" i="1"/>
  <c r="A1712" i="1"/>
  <c r="O1709" i="1"/>
  <c r="O1708" i="1"/>
  <c r="O1707" i="1"/>
  <c r="O1706" i="1"/>
  <c r="O1705" i="1"/>
  <c r="A1705" i="1"/>
  <c r="O1702" i="1"/>
  <c r="O1701" i="1"/>
  <c r="O1700" i="1"/>
  <c r="A1700" i="1"/>
  <c r="O1697" i="1"/>
  <c r="O1696" i="1"/>
  <c r="O1695" i="1"/>
  <c r="A1695" i="1"/>
  <c r="O1692" i="1"/>
  <c r="O1691" i="1"/>
  <c r="A1691" i="1"/>
  <c r="O1688" i="1"/>
  <c r="O1687" i="1"/>
  <c r="O1686" i="1"/>
  <c r="O1685" i="1"/>
  <c r="O1684" i="1"/>
  <c r="O1683" i="1"/>
  <c r="O1682" i="1"/>
  <c r="A1682" i="1"/>
  <c r="O1679" i="1"/>
  <c r="O1678" i="1"/>
  <c r="O1677" i="1"/>
  <c r="O1676" i="1"/>
  <c r="O1675" i="1"/>
  <c r="O1674" i="1"/>
  <c r="O1673" i="1"/>
  <c r="O1672" i="1"/>
  <c r="A1672" i="1"/>
  <c r="O1669" i="1"/>
  <c r="A1669" i="1"/>
  <c r="O1666" i="1"/>
  <c r="A1666" i="1"/>
  <c r="O1663" i="1"/>
  <c r="O1662" i="1"/>
  <c r="O1661" i="1"/>
  <c r="O1660" i="1"/>
  <c r="A1660" i="1"/>
  <c r="O1657" i="1"/>
  <c r="O1656" i="1"/>
  <c r="O1655" i="1"/>
  <c r="O1654" i="1"/>
  <c r="A1654" i="1"/>
  <c r="O1651" i="1"/>
  <c r="O1650" i="1"/>
  <c r="O1649" i="1"/>
  <c r="A1649" i="1"/>
  <c r="O1646" i="1"/>
  <c r="O1645" i="1"/>
  <c r="O1644" i="1"/>
  <c r="A1644" i="1"/>
  <c r="O1641" i="1"/>
  <c r="O1640" i="1"/>
  <c r="O1639" i="1"/>
  <c r="A1639" i="1"/>
  <c r="O1636" i="1"/>
  <c r="O1635" i="1"/>
  <c r="O1634" i="1"/>
  <c r="A1634" i="1"/>
  <c r="O1631" i="1"/>
  <c r="O1630" i="1"/>
  <c r="O1629" i="1"/>
  <c r="A1629" i="1"/>
  <c r="O1626" i="1"/>
  <c r="O1625" i="1"/>
  <c r="O1624" i="1"/>
  <c r="A1624" i="1"/>
  <c r="O1621" i="1"/>
  <c r="O1620" i="1"/>
  <c r="O1619" i="1"/>
  <c r="A1619" i="1"/>
  <c r="O1616" i="1"/>
  <c r="O1615" i="1"/>
  <c r="O1614" i="1"/>
  <c r="O1613" i="1"/>
  <c r="O1612" i="1"/>
  <c r="A1612" i="1"/>
  <c r="O1609" i="1"/>
  <c r="O1608" i="1"/>
  <c r="O1607" i="1"/>
  <c r="A1607" i="1"/>
  <c r="O1604" i="1"/>
  <c r="O1603" i="1"/>
  <c r="O1602" i="1"/>
  <c r="A1602" i="1"/>
  <c r="O1599" i="1"/>
  <c r="O1598" i="1"/>
  <c r="O1597" i="1"/>
  <c r="A1597" i="1"/>
  <c r="O1594" i="1"/>
  <c r="O1593" i="1"/>
  <c r="O1592" i="1"/>
  <c r="O1591" i="1"/>
  <c r="A1591" i="1"/>
  <c r="O1588" i="1"/>
  <c r="O1587" i="1"/>
  <c r="O1586" i="1"/>
  <c r="O1585" i="1"/>
  <c r="A1585" i="1"/>
  <c r="O1582" i="1"/>
  <c r="O1581" i="1"/>
  <c r="O1580" i="1"/>
  <c r="O1579" i="1"/>
  <c r="A1579" i="1"/>
  <c r="O1576" i="1"/>
  <c r="O1575" i="1"/>
  <c r="O1574" i="1"/>
  <c r="O1573" i="1"/>
  <c r="O1572" i="1"/>
  <c r="O1571" i="1"/>
  <c r="A1571" i="1"/>
  <c r="O1568" i="1"/>
  <c r="O1567" i="1"/>
  <c r="O1566" i="1"/>
  <c r="O1565" i="1"/>
  <c r="A1565" i="1"/>
  <c r="O1562" i="1"/>
  <c r="O1561" i="1"/>
  <c r="O1560" i="1"/>
  <c r="O1559" i="1"/>
  <c r="A1559" i="1"/>
  <c r="O1556" i="1"/>
  <c r="O1555" i="1"/>
  <c r="O1554" i="1"/>
  <c r="O1553" i="1"/>
  <c r="O1552" i="1"/>
  <c r="A1552" i="1"/>
  <c r="O1549" i="1"/>
  <c r="O1548" i="1"/>
  <c r="A1548" i="1"/>
  <c r="O1545" i="1"/>
  <c r="O1544" i="1"/>
  <c r="A1544" i="1"/>
  <c r="O1541" i="1"/>
  <c r="O1540" i="1"/>
  <c r="A1540" i="1"/>
  <c r="O1537" i="1"/>
  <c r="O1536" i="1"/>
  <c r="A1536" i="1"/>
  <c r="O1533" i="1"/>
  <c r="O1532" i="1"/>
  <c r="A1532" i="1"/>
  <c r="O1529" i="1"/>
  <c r="O1528" i="1"/>
  <c r="A1528" i="1"/>
  <c r="O1525" i="1"/>
  <c r="O1524" i="1"/>
  <c r="A1524" i="1"/>
  <c r="O1521" i="1"/>
  <c r="O1520" i="1"/>
  <c r="A1520" i="1"/>
  <c r="O1517" i="1"/>
  <c r="O1516" i="1"/>
  <c r="A1516" i="1"/>
  <c r="O1513" i="1"/>
  <c r="O1512" i="1"/>
  <c r="A1512" i="1"/>
  <c r="O1509" i="1"/>
  <c r="O1508" i="1"/>
  <c r="A1508" i="1"/>
  <c r="O1505" i="1"/>
  <c r="O1504" i="1"/>
  <c r="A1504" i="1"/>
  <c r="O1501" i="1"/>
  <c r="O1500" i="1"/>
  <c r="O1499" i="1"/>
  <c r="O1498" i="1"/>
  <c r="A1498" i="1"/>
  <c r="O1495" i="1"/>
  <c r="O1494" i="1"/>
  <c r="A1494" i="1"/>
  <c r="O1491" i="1"/>
  <c r="O1490" i="1"/>
  <c r="A1490" i="1"/>
  <c r="O1487" i="1"/>
  <c r="O1486" i="1"/>
  <c r="A1486" i="1"/>
  <c r="O1483" i="1"/>
  <c r="O1482" i="1"/>
  <c r="A1482" i="1"/>
  <c r="O1479" i="1"/>
  <c r="O1478" i="1"/>
  <c r="O1477" i="1"/>
  <c r="O1476" i="1"/>
  <c r="O1475" i="1"/>
  <c r="O1474" i="1"/>
  <c r="A1474" i="1"/>
  <c r="O1471" i="1"/>
  <c r="O1470" i="1"/>
  <c r="O1469" i="1"/>
  <c r="O1468" i="1"/>
  <c r="O1467" i="1"/>
  <c r="O1466" i="1"/>
  <c r="A1466" i="1"/>
  <c r="O1463" i="1"/>
  <c r="O1462" i="1"/>
  <c r="O1461" i="1"/>
  <c r="O1460" i="1"/>
  <c r="O1459" i="1"/>
  <c r="O1458" i="1"/>
  <c r="A1458" i="1"/>
  <c r="O1455" i="1"/>
  <c r="O1454" i="1"/>
  <c r="O1453" i="1"/>
  <c r="O1452" i="1"/>
  <c r="O1451" i="1"/>
  <c r="O1450" i="1"/>
  <c r="O1449" i="1"/>
  <c r="A1449" i="1"/>
  <c r="O1446" i="1"/>
  <c r="O1445" i="1"/>
  <c r="O1444" i="1"/>
  <c r="O1443" i="1"/>
  <c r="O1442" i="1"/>
  <c r="O1441" i="1"/>
  <c r="O1440" i="1"/>
  <c r="A1440" i="1"/>
  <c r="O1437" i="1"/>
  <c r="O1436" i="1"/>
  <c r="O1435" i="1"/>
  <c r="O1434" i="1"/>
  <c r="O1433" i="1"/>
  <c r="O1432" i="1"/>
  <c r="O1431" i="1"/>
  <c r="A1431" i="1"/>
  <c r="O1428" i="1"/>
  <c r="O1427" i="1"/>
  <c r="O1426" i="1"/>
  <c r="O1425" i="1"/>
  <c r="O1424" i="1"/>
  <c r="O1423" i="1"/>
  <c r="O1422" i="1"/>
  <c r="A1422" i="1"/>
  <c r="O1419" i="1"/>
  <c r="O1418" i="1"/>
  <c r="O1417" i="1"/>
  <c r="O1416" i="1"/>
  <c r="O1415" i="1"/>
  <c r="O1414" i="1"/>
  <c r="O1413" i="1"/>
  <c r="O1412" i="1"/>
  <c r="A1412" i="1"/>
  <c r="O1409" i="1"/>
  <c r="O1408" i="1"/>
  <c r="O1407" i="1"/>
  <c r="O1406" i="1"/>
  <c r="O1405" i="1"/>
  <c r="O1404" i="1"/>
  <c r="O1403" i="1"/>
  <c r="O1402" i="1"/>
  <c r="A1402" i="1"/>
  <c r="O1399" i="1"/>
  <c r="O1398" i="1"/>
  <c r="O1397" i="1"/>
  <c r="O1396" i="1"/>
  <c r="O1395" i="1"/>
  <c r="O1394" i="1"/>
  <c r="O1393" i="1"/>
  <c r="O1392" i="1"/>
  <c r="A1392" i="1"/>
  <c r="O1389" i="1"/>
  <c r="O1388" i="1"/>
  <c r="O1387" i="1"/>
  <c r="O1386" i="1"/>
  <c r="O1385" i="1"/>
  <c r="O1384" i="1"/>
  <c r="O1383" i="1"/>
  <c r="O1382" i="1"/>
  <c r="A1382" i="1"/>
  <c r="O1379" i="1"/>
  <c r="O1378" i="1"/>
  <c r="O1377" i="1"/>
  <c r="O1376" i="1"/>
  <c r="O1375" i="1"/>
  <c r="O1374" i="1"/>
  <c r="O1373" i="1"/>
  <c r="A1373" i="1"/>
  <c r="O1370" i="1"/>
  <c r="O1369" i="1"/>
  <c r="O1368" i="1"/>
  <c r="O1367" i="1"/>
  <c r="O1366" i="1"/>
  <c r="O1365" i="1"/>
  <c r="O1364" i="1"/>
  <c r="A1364" i="1"/>
  <c r="O1361" i="1"/>
  <c r="O1360" i="1"/>
  <c r="O1359" i="1"/>
  <c r="O1358" i="1"/>
  <c r="O1357" i="1"/>
  <c r="O1356" i="1"/>
  <c r="O1355" i="1"/>
  <c r="A1355" i="1"/>
  <c r="O1352" i="1"/>
  <c r="O1351" i="1"/>
  <c r="O1350" i="1"/>
  <c r="O1349" i="1"/>
  <c r="O1348" i="1"/>
  <c r="O1347" i="1"/>
  <c r="O1346" i="1"/>
  <c r="A1346" i="1"/>
  <c r="O1343" i="1"/>
  <c r="O1342" i="1"/>
  <c r="O1341" i="1"/>
  <c r="O1340" i="1"/>
  <c r="O1339" i="1"/>
  <c r="O1338" i="1"/>
  <c r="O1337" i="1"/>
  <c r="O1336" i="1"/>
  <c r="A1336" i="1"/>
  <c r="O1333" i="1"/>
  <c r="O1332" i="1"/>
  <c r="O1331" i="1"/>
  <c r="O1330" i="1"/>
  <c r="O1329" i="1"/>
  <c r="O1328" i="1"/>
  <c r="O1327" i="1"/>
  <c r="O1326" i="1"/>
  <c r="A1326" i="1"/>
  <c r="O1323" i="1"/>
  <c r="O1322" i="1"/>
  <c r="O1321" i="1"/>
  <c r="O1320" i="1"/>
  <c r="O1319" i="1"/>
  <c r="O1318" i="1"/>
  <c r="O1317" i="1"/>
  <c r="O1316" i="1"/>
  <c r="A1316" i="1"/>
  <c r="O1313" i="1"/>
  <c r="O1312" i="1"/>
  <c r="O1311" i="1"/>
  <c r="O1310" i="1"/>
  <c r="O1309" i="1"/>
  <c r="O1308" i="1"/>
  <c r="O1307" i="1"/>
  <c r="O1306" i="1"/>
  <c r="A1306" i="1"/>
  <c r="O1303" i="1"/>
  <c r="O1302" i="1"/>
  <c r="O1301" i="1"/>
  <c r="O1300" i="1"/>
  <c r="O1299" i="1"/>
  <c r="O1298" i="1"/>
  <c r="O1297" i="1"/>
  <c r="A1297" i="1"/>
  <c r="O1294" i="1"/>
  <c r="O1293" i="1"/>
  <c r="O1292" i="1"/>
  <c r="O1291" i="1"/>
  <c r="O1290" i="1"/>
  <c r="O1289" i="1"/>
  <c r="O1288" i="1"/>
  <c r="A1288" i="1"/>
  <c r="O1285" i="1"/>
  <c r="O1284" i="1"/>
  <c r="O1283" i="1"/>
  <c r="O1282" i="1"/>
  <c r="O1281" i="1"/>
  <c r="O1280" i="1"/>
  <c r="O1279" i="1"/>
  <c r="A1279" i="1"/>
  <c r="O1276" i="1"/>
  <c r="O1275" i="1"/>
  <c r="O1274" i="1"/>
  <c r="O1273" i="1"/>
  <c r="O1272" i="1"/>
  <c r="O1271" i="1"/>
  <c r="O1270" i="1"/>
  <c r="A1270" i="1"/>
  <c r="O1267" i="1"/>
  <c r="O1266" i="1"/>
  <c r="O1265" i="1"/>
  <c r="O1264" i="1"/>
  <c r="O1263" i="1"/>
  <c r="O1262" i="1"/>
  <c r="O1261" i="1"/>
  <c r="A1261" i="1"/>
  <c r="O1258" i="1"/>
  <c r="O1257" i="1"/>
  <c r="O1256" i="1"/>
  <c r="O1255" i="1"/>
  <c r="O1254" i="1"/>
  <c r="O1253" i="1"/>
  <c r="O1252" i="1"/>
  <c r="A1252" i="1"/>
  <c r="O1249" i="1"/>
  <c r="O1248" i="1"/>
  <c r="O1247" i="1"/>
  <c r="O1246" i="1"/>
  <c r="O1245" i="1"/>
  <c r="O1244" i="1"/>
  <c r="O1243" i="1"/>
  <c r="A1243" i="1"/>
  <c r="O1240" i="1"/>
  <c r="O1239" i="1"/>
  <c r="O1238" i="1"/>
  <c r="O1237" i="1"/>
  <c r="O1236" i="1"/>
  <c r="O1235" i="1"/>
  <c r="O1234" i="1"/>
  <c r="A1234" i="1"/>
  <c r="O1231" i="1"/>
  <c r="O1230" i="1"/>
  <c r="O1229" i="1"/>
  <c r="O1228" i="1"/>
  <c r="O1227" i="1"/>
  <c r="O1226" i="1"/>
  <c r="O1225" i="1"/>
  <c r="A1225" i="1"/>
  <c r="O1222" i="1"/>
  <c r="O1221" i="1"/>
  <c r="O1220" i="1"/>
  <c r="O1219" i="1"/>
  <c r="O1218" i="1"/>
  <c r="O1217" i="1"/>
  <c r="O1216" i="1"/>
  <c r="A1216" i="1"/>
  <c r="O1213" i="1"/>
  <c r="O1212" i="1"/>
  <c r="O1211" i="1"/>
  <c r="O1210" i="1"/>
  <c r="O1209" i="1"/>
  <c r="O1208" i="1"/>
  <c r="O1207" i="1"/>
  <c r="A1207" i="1"/>
  <c r="O1204" i="1"/>
  <c r="O1203" i="1"/>
  <c r="O1202" i="1"/>
  <c r="O1201" i="1"/>
  <c r="O1200" i="1"/>
  <c r="O1199" i="1"/>
  <c r="O1198" i="1"/>
  <c r="A1198" i="1"/>
  <c r="O1195" i="1"/>
  <c r="O1194" i="1"/>
  <c r="O1193" i="1"/>
  <c r="O1192" i="1"/>
  <c r="O1191" i="1"/>
  <c r="O1190" i="1"/>
  <c r="A1190" i="1"/>
  <c r="O1187" i="1"/>
  <c r="O1186" i="1"/>
  <c r="O1185" i="1"/>
  <c r="O1184" i="1"/>
  <c r="O1183" i="1"/>
  <c r="O1182" i="1"/>
  <c r="A1182" i="1"/>
  <c r="O1179" i="1"/>
  <c r="O1178" i="1"/>
  <c r="O1177" i="1"/>
  <c r="O1176" i="1"/>
  <c r="O1175" i="1"/>
  <c r="O1174" i="1"/>
  <c r="A1174" i="1"/>
  <c r="O1171" i="1"/>
  <c r="O1170" i="1"/>
  <c r="O1169" i="1"/>
  <c r="O1168" i="1"/>
  <c r="O1167" i="1"/>
  <c r="O1166" i="1"/>
  <c r="A1166" i="1"/>
  <c r="O1163" i="1"/>
  <c r="O1162" i="1"/>
  <c r="O1161" i="1"/>
  <c r="O1160" i="1"/>
  <c r="O1159" i="1"/>
  <c r="A1159" i="1"/>
  <c r="O1156" i="1"/>
  <c r="O1155" i="1"/>
  <c r="O1154" i="1"/>
  <c r="O1153" i="1"/>
  <c r="O1152" i="1"/>
  <c r="O1151" i="1"/>
  <c r="O1150" i="1"/>
  <c r="A1150" i="1"/>
  <c r="O1147" i="1"/>
  <c r="O1146" i="1"/>
  <c r="O1145" i="1"/>
  <c r="O1144" i="1"/>
  <c r="O1143" i="1"/>
  <c r="O1142" i="1"/>
  <c r="O1141" i="1"/>
  <c r="A1141" i="1"/>
  <c r="O1138" i="1"/>
  <c r="O1137" i="1"/>
  <c r="O1136" i="1"/>
  <c r="O1135" i="1"/>
  <c r="O1134" i="1"/>
  <c r="O1133" i="1"/>
  <c r="O1132" i="1"/>
  <c r="A1132" i="1"/>
  <c r="O1129" i="1"/>
  <c r="O1128" i="1"/>
  <c r="O1127" i="1"/>
  <c r="O1126" i="1"/>
  <c r="O1125" i="1"/>
  <c r="O1124" i="1"/>
  <c r="O1123" i="1"/>
  <c r="A1123" i="1"/>
  <c r="O1120" i="1"/>
  <c r="O1119" i="1"/>
  <c r="O1118" i="1"/>
  <c r="A1118" i="1"/>
  <c r="O1115" i="1"/>
  <c r="O1114" i="1"/>
  <c r="O1113" i="1"/>
  <c r="O1112" i="1"/>
  <c r="A1112" i="1"/>
  <c r="O1109" i="1"/>
  <c r="O1108" i="1"/>
  <c r="O1107" i="1"/>
  <c r="O1106" i="1"/>
  <c r="O1105" i="1"/>
  <c r="A1105" i="1"/>
  <c r="O1102" i="1"/>
  <c r="O1101" i="1"/>
  <c r="O1100" i="1"/>
  <c r="O1099" i="1"/>
  <c r="A1099" i="1"/>
  <c r="O1096" i="1"/>
  <c r="O1095" i="1"/>
  <c r="O1094" i="1"/>
  <c r="O1093" i="1"/>
  <c r="A1093" i="1"/>
  <c r="O1090" i="1"/>
  <c r="O1089" i="1"/>
  <c r="O1088" i="1"/>
  <c r="O1087" i="1"/>
  <c r="O1086" i="1"/>
  <c r="A1086" i="1"/>
  <c r="O1083" i="1"/>
  <c r="O1082" i="1"/>
  <c r="O1081" i="1"/>
  <c r="O1080" i="1"/>
  <c r="O1079" i="1"/>
  <c r="A1079" i="1"/>
  <c r="O1076" i="1"/>
  <c r="O1075" i="1"/>
  <c r="O1074" i="1"/>
  <c r="O1073" i="1"/>
  <c r="O1072" i="1"/>
  <c r="A1072" i="1"/>
  <c r="O1069" i="1"/>
  <c r="O1068" i="1"/>
  <c r="O1067" i="1"/>
  <c r="O1066" i="1"/>
  <c r="O1065" i="1"/>
  <c r="A1065" i="1"/>
  <c r="O1062" i="1"/>
  <c r="O1061" i="1"/>
  <c r="O1060" i="1"/>
  <c r="O1059" i="1"/>
  <c r="A1059" i="1"/>
  <c r="O1056" i="1"/>
  <c r="O1055" i="1"/>
  <c r="O1054" i="1"/>
  <c r="O1053" i="1"/>
  <c r="A1053" i="1"/>
  <c r="O1050" i="1"/>
  <c r="O1049" i="1"/>
  <c r="O1048" i="1"/>
  <c r="A1048" i="1"/>
  <c r="O1045" i="1"/>
  <c r="O1044" i="1"/>
  <c r="O1043" i="1"/>
  <c r="A1043" i="1"/>
  <c r="O1040" i="1"/>
  <c r="O1039" i="1"/>
  <c r="O1038" i="1"/>
  <c r="O1037" i="1"/>
  <c r="A1037" i="1"/>
  <c r="O1034" i="1"/>
  <c r="O1033" i="1"/>
  <c r="O1032" i="1"/>
  <c r="A1032" i="1"/>
  <c r="O1029" i="1"/>
  <c r="O1028" i="1"/>
  <c r="A1028" i="1"/>
  <c r="O1025" i="1"/>
  <c r="O1024" i="1"/>
  <c r="O1023" i="1"/>
  <c r="A1023" i="1"/>
  <c r="O1020" i="1"/>
  <c r="O1019" i="1"/>
  <c r="O1018" i="1"/>
  <c r="O1017" i="1"/>
  <c r="O1016" i="1"/>
  <c r="O1015" i="1"/>
  <c r="A1015" i="1"/>
  <c r="O1012" i="1"/>
  <c r="O1011" i="1"/>
  <c r="O1010" i="1"/>
  <c r="A1010" i="1"/>
  <c r="O1007" i="1"/>
  <c r="O1006" i="1"/>
  <c r="O1005" i="1"/>
  <c r="A1005" i="1"/>
  <c r="O1002" i="1"/>
  <c r="O1001" i="1"/>
  <c r="O1000" i="1"/>
  <c r="A1000" i="1"/>
  <c r="O997" i="1"/>
  <c r="O996" i="1"/>
  <c r="O995" i="1"/>
  <c r="O994" i="1"/>
  <c r="O993" i="1"/>
  <c r="O992" i="1"/>
  <c r="O991" i="1"/>
  <c r="A991" i="1"/>
  <c r="O988" i="1"/>
  <c r="O987" i="1"/>
  <c r="O986" i="1"/>
  <c r="O985" i="1"/>
  <c r="O984" i="1"/>
  <c r="A984" i="1"/>
  <c r="O981" i="1"/>
  <c r="O980" i="1"/>
  <c r="O979" i="1"/>
  <c r="O978" i="1"/>
  <c r="O977" i="1"/>
  <c r="A977" i="1"/>
  <c r="O974" i="1"/>
  <c r="O973" i="1"/>
  <c r="O972" i="1"/>
  <c r="O971" i="1"/>
  <c r="O970" i="1"/>
  <c r="A970" i="1"/>
  <c r="O967" i="1"/>
  <c r="O966" i="1"/>
  <c r="O965" i="1"/>
  <c r="O964" i="1"/>
  <c r="O963" i="1"/>
  <c r="A963" i="1"/>
  <c r="O960" i="1"/>
  <c r="O959" i="1"/>
  <c r="A959" i="1"/>
  <c r="O956" i="1"/>
  <c r="O955" i="1"/>
  <c r="O954" i="1"/>
  <c r="O953" i="1"/>
  <c r="A953" i="1"/>
  <c r="O950" i="1"/>
  <c r="O949" i="1"/>
  <c r="O948" i="1"/>
  <c r="A948" i="1"/>
  <c r="O945" i="1"/>
  <c r="O944" i="1"/>
  <c r="O943" i="1"/>
  <c r="O942" i="1"/>
  <c r="O941" i="1"/>
  <c r="O940" i="1"/>
  <c r="O939" i="1"/>
  <c r="A939" i="1"/>
  <c r="O936" i="1"/>
  <c r="O935" i="1"/>
  <c r="O934" i="1"/>
  <c r="O933" i="1"/>
  <c r="A933" i="1"/>
  <c r="O930" i="1"/>
  <c r="O929" i="1"/>
  <c r="O928" i="1"/>
  <c r="O927" i="1"/>
  <c r="A927" i="1"/>
  <c r="O924" i="1"/>
  <c r="O923" i="1"/>
  <c r="O922" i="1"/>
  <c r="O921" i="1"/>
  <c r="A921" i="1"/>
  <c r="O918" i="1"/>
  <c r="O917" i="1"/>
  <c r="O916" i="1"/>
  <c r="O915" i="1"/>
  <c r="A915" i="1"/>
  <c r="O912" i="1"/>
  <c r="O911" i="1"/>
  <c r="O910" i="1"/>
  <c r="O909" i="1"/>
  <c r="A909" i="1"/>
  <c r="O906" i="1"/>
  <c r="O905" i="1"/>
  <c r="O904" i="1"/>
  <c r="O903" i="1"/>
  <c r="A903" i="1"/>
  <c r="O900" i="1"/>
  <c r="O899" i="1"/>
  <c r="O898" i="1"/>
  <c r="O897" i="1"/>
  <c r="A897" i="1"/>
  <c r="O894" i="1"/>
  <c r="O893" i="1"/>
  <c r="O892" i="1"/>
  <c r="O891" i="1"/>
  <c r="A891" i="1"/>
  <c r="O888" i="1"/>
  <c r="O887" i="1"/>
  <c r="O886" i="1"/>
  <c r="O885" i="1"/>
  <c r="A885" i="1"/>
  <c r="O882" i="1"/>
  <c r="O881" i="1"/>
  <c r="O880" i="1"/>
  <c r="O879" i="1"/>
  <c r="A879" i="1"/>
  <c r="O876" i="1"/>
  <c r="O875" i="1"/>
  <c r="O874" i="1"/>
  <c r="O873" i="1"/>
  <c r="A873" i="1"/>
  <c r="O870" i="1"/>
  <c r="O869" i="1"/>
  <c r="O868" i="1"/>
  <c r="O867" i="1"/>
  <c r="A867" i="1"/>
  <c r="O864" i="1"/>
  <c r="O863" i="1"/>
  <c r="O862" i="1"/>
  <c r="O861" i="1"/>
  <c r="A861" i="1"/>
  <c r="O858" i="1"/>
  <c r="O857" i="1"/>
  <c r="O856" i="1"/>
  <c r="O855" i="1"/>
  <c r="A855" i="1"/>
  <c r="O852" i="1"/>
  <c r="O851" i="1"/>
  <c r="A851" i="1"/>
  <c r="O848" i="1"/>
  <c r="O847" i="1"/>
  <c r="O846" i="1"/>
  <c r="O845" i="1"/>
  <c r="A845" i="1"/>
  <c r="O842" i="1"/>
  <c r="O841" i="1"/>
  <c r="O840" i="1"/>
  <c r="O839" i="1"/>
  <c r="O838" i="1"/>
  <c r="O837" i="1"/>
  <c r="A837" i="1"/>
  <c r="O834" i="1"/>
  <c r="O833" i="1"/>
  <c r="O832" i="1"/>
  <c r="O831" i="1"/>
  <c r="O830" i="1"/>
  <c r="O829" i="1"/>
  <c r="A829" i="1"/>
  <c r="O826" i="1"/>
  <c r="O825" i="1"/>
  <c r="O824" i="1"/>
  <c r="O823" i="1"/>
  <c r="O822" i="1"/>
  <c r="O821" i="1"/>
  <c r="A821" i="1"/>
  <c r="O818" i="1"/>
  <c r="O817" i="1"/>
  <c r="O816" i="1"/>
  <c r="O815" i="1"/>
  <c r="O814" i="1"/>
  <c r="O813" i="1"/>
  <c r="O812" i="1"/>
  <c r="A812" i="1"/>
  <c r="O809" i="1"/>
  <c r="O808" i="1"/>
  <c r="O807" i="1"/>
  <c r="O806" i="1"/>
  <c r="O805" i="1"/>
  <c r="O804" i="1"/>
  <c r="O803" i="1"/>
  <c r="A803" i="1"/>
  <c r="O800" i="1"/>
  <c r="O799" i="1"/>
  <c r="O798" i="1"/>
  <c r="O797" i="1"/>
  <c r="A797" i="1"/>
  <c r="O794" i="1"/>
  <c r="O793" i="1"/>
  <c r="O792" i="1"/>
  <c r="O791" i="1"/>
  <c r="A791" i="1"/>
  <c r="O788" i="1"/>
  <c r="O787" i="1"/>
  <c r="O786" i="1"/>
  <c r="O785" i="1"/>
  <c r="A785" i="1"/>
  <c r="O782" i="1"/>
  <c r="O781" i="1"/>
  <c r="O780" i="1"/>
  <c r="O779" i="1"/>
  <c r="O778" i="1"/>
  <c r="A778" i="1"/>
  <c r="O775" i="1"/>
  <c r="O774" i="1"/>
  <c r="O773" i="1"/>
  <c r="O772" i="1"/>
  <c r="O771" i="1"/>
  <c r="A771" i="1"/>
  <c r="O768" i="1"/>
  <c r="O767" i="1"/>
  <c r="O766" i="1"/>
  <c r="O765" i="1"/>
  <c r="O764" i="1"/>
  <c r="A764" i="1"/>
  <c r="O761" i="1"/>
  <c r="O760" i="1"/>
  <c r="O759" i="1"/>
  <c r="O758" i="1"/>
  <c r="O757" i="1"/>
  <c r="O756" i="1"/>
  <c r="O755" i="1"/>
  <c r="A755" i="1"/>
  <c r="O752" i="1"/>
  <c r="O751" i="1"/>
  <c r="O750" i="1"/>
  <c r="O749" i="1"/>
  <c r="O748" i="1"/>
  <c r="A748" i="1"/>
  <c r="O745" i="1"/>
  <c r="O744" i="1"/>
  <c r="O743" i="1"/>
  <c r="O742" i="1"/>
  <c r="O741" i="1"/>
  <c r="A741" i="1"/>
  <c r="O738" i="1"/>
  <c r="O737" i="1"/>
  <c r="O736" i="1"/>
  <c r="O735" i="1"/>
  <c r="O734" i="1"/>
  <c r="O733" i="1"/>
  <c r="A733" i="1"/>
  <c r="O730" i="1"/>
  <c r="O729" i="1"/>
  <c r="O728" i="1"/>
  <c r="O727" i="1"/>
  <c r="O726" i="1"/>
  <c r="O725" i="1"/>
  <c r="A725" i="1"/>
  <c r="O722" i="1"/>
  <c r="O721" i="1"/>
  <c r="O720" i="1"/>
  <c r="O719" i="1"/>
  <c r="O718" i="1"/>
  <c r="A718" i="1"/>
  <c r="O715" i="1"/>
  <c r="O714" i="1"/>
  <c r="O713" i="1"/>
  <c r="O712" i="1"/>
  <c r="O711" i="1"/>
  <c r="A711" i="1"/>
  <c r="O708" i="1"/>
  <c r="O707" i="1"/>
  <c r="O706" i="1"/>
  <c r="O705" i="1"/>
  <c r="O704" i="1"/>
  <c r="A704" i="1"/>
  <c r="O701" i="1"/>
  <c r="O700" i="1"/>
  <c r="O699" i="1"/>
  <c r="O698" i="1"/>
  <c r="O697" i="1"/>
  <c r="A697" i="1"/>
  <c r="O694" i="1"/>
  <c r="O693" i="1"/>
  <c r="O692" i="1"/>
  <c r="O691" i="1"/>
  <c r="O690" i="1"/>
  <c r="O689" i="1"/>
  <c r="A689" i="1"/>
  <c r="O686" i="1"/>
  <c r="O685" i="1"/>
  <c r="O684" i="1"/>
  <c r="O683" i="1"/>
  <c r="A683" i="1"/>
  <c r="O680" i="1"/>
  <c r="O679" i="1"/>
  <c r="O678" i="1"/>
  <c r="O677" i="1"/>
  <c r="O676" i="1"/>
  <c r="A676" i="1"/>
  <c r="O673" i="1"/>
  <c r="O672" i="1"/>
  <c r="O671" i="1"/>
  <c r="O670" i="1"/>
  <c r="O669" i="1"/>
  <c r="O668" i="1"/>
  <c r="A668" i="1"/>
  <c r="O665" i="1"/>
  <c r="O664" i="1"/>
  <c r="O663" i="1"/>
  <c r="O662" i="1"/>
  <c r="O661" i="1"/>
  <c r="O660" i="1"/>
  <c r="A660" i="1"/>
  <c r="O657" i="1"/>
  <c r="O656" i="1"/>
  <c r="O655" i="1"/>
  <c r="A655" i="1"/>
  <c r="O652" i="1"/>
  <c r="O651" i="1"/>
  <c r="O650" i="1"/>
  <c r="O649" i="1"/>
  <c r="A649" i="1"/>
  <c r="O646" i="1"/>
  <c r="O645" i="1"/>
  <c r="O644" i="1"/>
  <c r="O643" i="1"/>
  <c r="O642" i="1"/>
  <c r="A642" i="1"/>
  <c r="O639" i="1"/>
  <c r="O638" i="1"/>
  <c r="O637" i="1"/>
  <c r="O636" i="1"/>
  <c r="O635" i="1"/>
  <c r="A635" i="1"/>
  <c r="O632" i="1"/>
  <c r="O631" i="1"/>
  <c r="O630" i="1"/>
  <c r="O629" i="1"/>
  <c r="A629" i="1"/>
  <c r="O626" i="1"/>
  <c r="O625" i="1"/>
  <c r="O624" i="1"/>
  <c r="O623" i="1"/>
  <c r="A623" i="1"/>
  <c r="O620" i="1"/>
  <c r="O619" i="1"/>
  <c r="O618" i="1"/>
  <c r="A618" i="1"/>
  <c r="O615" i="1"/>
  <c r="O614" i="1"/>
  <c r="O613" i="1"/>
  <c r="A613" i="1"/>
  <c r="O610" i="1"/>
  <c r="O609" i="1"/>
  <c r="O608" i="1"/>
  <c r="A608" i="1"/>
  <c r="O605" i="1"/>
  <c r="O604" i="1"/>
  <c r="O603" i="1"/>
  <c r="A603" i="1"/>
  <c r="O600" i="1"/>
  <c r="O599" i="1"/>
  <c r="O598" i="1"/>
  <c r="A598" i="1"/>
  <c r="O595" i="1"/>
  <c r="O594" i="1"/>
  <c r="O593" i="1"/>
  <c r="O592" i="1"/>
  <c r="A592" i="1"/>
  <c r="O589" i="1"/>
  <c r="O588" i="1"/>
  <c r="O587" i="1"/>
  <c r="O586" i="1"/>
  <c r="A586" i="1"/>
  <c r="O583" i="1"/>
  <c r="O582" i="1"/>
  <c r="O581" i="1"/>
  <c r="O580" i="1"/>
  <c r="A580" i="1"/>
  <c r="O577" i="1"/>
  <c r="O576" i="1"/>
  <c r="O575" i="1"/>
  <c r="O574" i="1"/>
  <c r="A574" i="1"/>
  <c r="O571" i="1"/>
  <c r="O570" i="1"/>
  <c r="O569" i="1"/>
  <c r="A569" i="1"/>
  <c r="O566" i="1"/>
  <c r="O565" i="1"/>
  <c r="O564" i="1"/>
  <c r="O563" i="1"/>
  <c r="A563" i="1"/>
  <c r="O560" i="1"/>
  <c r="O559" i="1"/>
  <c r="O558" i="1"/>
  <c r="A558" i="1"/>
  <c r="O555" i="1"/>
  <c r="O554" i="1"/>
  <c r="O553" i="1"/>
  <c r="A553" i="1"/>
  <c r="O550" i="1"/>
  <c r="O549" i="1"/>
  <c r="O548" i="1"/>
  <c r="A548" i="1"/>
  <c r="O545" i="1"/>
  <c r="O544" i="1"/>
  <c r="O543" i="1"/>
  <c r="A543" i="1"/>
  <c r="O540" i="1"/>
  <c r="O539" i="1"/>
  <c r="O538" i="1"/>
  <c r="O537" i="1"/>
  <c r="A537" i="1"/>
  <c r="O534" i="1"/>
  <c r="O533" i="1"/>
  <c r="O532" i="1"/>
  <c r="A532" i="1"/>
  <c r="O529" i="1"/>
  <c r="O528" i="1"/>
  <c r="O527" i="1"/>
  <c r="A527" i="1"/>
  <c r="O524" i="1"/>
  <c r="O523" i="1"/>
  <c r="O522" i="1"/>
  <c r="A522" i="1"/>
  <c r="O519" i="1"/>
  <c r="O518" i="1"/>
  <c r="O517" i="1"/>
  <c r="A517" i="1"/>
  <c r="O514" i="1"/>
  <c r="O513" i="1"/>
  <c r="O512" i="1"/>
  <c r="A512" i="1"/>
  <c r="O509" i="1"/>
  <c r="O508" i="1"/>
  <c r="O507" i="1"/>
  <c r="A507" i="1"/>
  <c r="O504" i="1"/>
  <c r="O503" i="1"/>
  <c r="O502" i="1"/>
  <c r="A502" i="1"/>
  <c r="O499" i="1"/>
  <c r="O498" i="1"/>
  <c r="O497" i="1"/>
  <c r="O496" i="1"/>
  <c r="A496" i="1"/>
  <c r="O493" i="1"/>
  <c r="O492" i="1"/>
  <c r="O491" i="1"/>
  <c r="A491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A473" i="1"/>
  <c r="O470" i="1"/>
  <c r="O469" i="1"/>
  <c r="O468" i="1"/>
  <c r="O467" i="1"/>
  <c r="O466" i="1"/>
  <c r="O465" i="1"/>
  <c r="O464" i="1"/>
  <c r="O463" i="1"/>
  <c r="O462" i="1"/>
  <c r="O461" i="1"/>
  <c r="A461" i="1"/>
  <c r="O458" i="1"/>
  <c r="O457" i="1"/>
  <c r="O456" i="1"/>
  <c r="O455" i="1"/>
  <c r="O454" i="1"/>
  <c r="O453" i="1"/>
  <c r="O452" i="1"/>
  <c r="O451" i="1"/>
  <c r="O450" i="1"/>
  <c r="O449" i="1"/>
  <c r="A449" i="1"/>
  <c r="O446" i="1"/>
  <c r="O445" i="1"/>
  <c r="O444" i="1"/>
  <c r="O443" i="1"/>
  <c r="O442" i="1"/>
  <c r="O441" i="1"/>
  <c r="A441" i="1"/>
  <c r="O438" i="1"/>
  <c r="O437" i="1"/>
  <c r="O436" i="1"/>
  <c r="A436" i="1"/>
  <c r="O433" i="1"/>
  <c r="O432" i="1"/>
  <c r="O431" i="1"/>
  <c r="O430" i="1"/>
  <c r="A430" i="1"/>
  <c r="O427" i="1"/>
  <c r="O426" i="1"/>
  <c r="O425" i="1"/>
  <c r="A425" i="1"/>
  <c r="O422" i="1"/>
  <c r="O421" i="1"/>
  <c r="O420" i="1"/>
  <c r="A420" i="1"/>
  <c r="O417" i="1"/>
  <c r="O416" i="1"/>
  <c r="O415" i="1"/>
  <c r="A415" i="1"/>
  <c r="O412" i="1"/>
  <c r="O411" i="1"/>
  <c r="O410" i="1"/>
  <c r="A410" i="1"/>
  <c r="O407" i="1"/>
  <c r="O406" i="1"/>
  <c r="O405" i="1"/>
  <c r="O404" i="1"/>
  <c r="A404" i="1"/>
  <c r="O401" i="1"/>
  <c r="O400" i="1"/>
  <c r="O399" i="1"/>
  <c r="O398" i="1"/>
  <c r="A398" i="1"/>
  <c r="O395" i="1"/>
  <c r="O394" i="1"/>
  <c r="O393" i="1"/>
  <c r="O392" i="1"/>
  <c r="A392" i="1"/>
  <c r="O389" i="1"/>
  <c r="O388" i="1"/>
  <c r="O387" i="1"/>
  <c r="O386" i="1"/>
  <c r="A386" i="1"/>
  <c r="O383" i="1"/>
  <c r="O382" i="1"/>
  <c r="O381" i="1"/>
  <c r="O380" i="1"/>
  <c r="A380" i="1"/>
  <c r="O377" i="1"/>
  <c r="O376" i="1"/>
  <c r="O375" i="1"/>
  <c r="O374" i="1"/>
  <c r="A374" i="1"/>
  <c r="O371" i="1"/>
  <c r="O370" i="1"/>
  <c r="O369" i="1"/>
  <c r="O368" i="1"/>
  <c r="A368" i="1"/>
  <c r="O365" i="1"/>
  <c r="O364" i="1"/>
  <c r="O363" i="1"/>
  <c r="O362" i="1"/>
  <c r="A362" i="1"/>
  <c r="O359" i="1"/>
  <c r="O358" i="1"/>
  <c r="O357" i="1"/>
  <c r="O356" i="1"/>
  <c r="A356" i="1"/>
  <c r="O353" i="1"/>
  <c r="O352" i="1"/>
  <c r="O351" i="1"/>
  <c r="O350" i="1"/>
  <c r="A350" i="1"/>
  <c r="O347" i="1"/>
  <c r="O346" i="1"/>
  <c r="O345" i="1"/>
  <c r="O344" i="1"/>
  <c r="A344" i="1"/>
  <c r="O341" i="1"/>
  <c r="O340" i="1"/>
  <c r="O339" i="1"/>
  <c r="O338" i="1"/>
  <c r="A338" i="1"/>
  <c r="O335" i="1"/>
  <c r="O334" i="1"/>
  <c r="O333" i="1"/>
  <c r="A333" i="1"/>
  <c r="O330" i="1"/>
  <c r="O329" i="1"/>
  <c r="O328" i="1"/>
  <c r="O327" i="1"/>
  <c r="A327" i="1"/>
  <c r="O324" i="1"/>
  <c r="O323" i="1"/>
  <c r="O322" i="1"/>
  <c r="O321" i="1"/>
  <c r="A321" i="1"/>
  <c r="O318" i="1"/>
  <c r="O317" i="1"/>
  <c r="O316" i="1"/>
  <c r="O315" i="1"/>
  <c r="A315" i="1"/>
  <c r="O312" i="1"/>
  <c r="O311" i="1"/>
  <c r="O310" i="1"/>
  <c r="A310" i="1"/>
  <c r="O307" i="1"/>
  <c r="O306" i="1"/>
  <c r="O305" i="1"/>
  <c r="O304" i="1"/>
  <c r="A304" i="1"/>
  <c r="O301" i="1"/>
  <c r="O300" i="1"/>
  <c r="O299" i="1"/>
  <c r="A299" i="1"/>
  <c r="O296" i="1"/>
  <c r="O295" i="1"/>
  <c r="O294" i="1"/>
  <c r="A294" i="1"/>
  <c r="O291" i="1"/>
  <c r="O290" i="1"/>
  <c r="O289" i="1"/>
  <c r="O288" i="1"/>
  <c r="A288" i="1"/>
  <c r="O285" i="1"/>
  <c r="O284" i="1"/>
  <c r="O283" i="1"/>
  <c r="O282" i="1"/>
  <c r="A282" i="1"/>
  <c r="O279" i="1"/>
  <c r="O278" i="1"/>
  <c r="O277" i="1"/>
  <c r="O276" i="1"/>
  <c r="A276" i="1"/>
  <c r="O273" i="1"/>
  <c r="O272" i="1"/>
  <c r="O271" i="1"/>
  <c r="O270" i="1"/>
  <c r="O269" i="1"/>
  <c r="A269" i="1"/>
  <c r="O266" i="1"/>
  <c r="O265" i="1"/>
  <c r="O264" i="1"/>
  <c r="O263" i="1"/>
  <c r="A263" i="1"/>
  <c r="O260" i="1"/>
  <c r="O259" i="1"/>
  <c r="O258" i="1"/>
  <c r="O257" i="1"/>
  <c r="A257" i="1"/>
  <c r="O254" i="1"/>
  <c r="O253" i="1"/>
  <c r="O252" i="1"/>
  <c r="O251" i="1"/>
  <c r="A251" i="1"/>
  <c r="O248" i="1"/>
  <c r="O247" i="1"/>
  <c r="O246" i="1"/>
  <c r="A246" i="1"/>
  <c r="O243" i="1"/>
  <c r="O242" i="1"/>
  <c r="O241" i="1"/>
  <c r="O240" i="1"/>
  <c r="A240" i="1"/>
  <c r="O237" i="1"/>
  <c r="O236" i="1"/>
  <c r="O235" i="1"/>
  <c r="O234" i="1"/>
  <c r="O233" i="1"/>
  <c r="O232" i="1"/>
  <c r="O231" i="1"/>
  <c r="A231" i="1"/>
  <c r="O228" i="1"/>
  <c r="O227" i="1"/>
  <c r="O226" i="1"/>
  <c r="A226" i="1"/>
  <c r="O223" i="1"/>
  <c r="O222" i="1"/>
  <c r="O221" i="1"/>
  <c r="A221" i="1"/>
  <c r="O218" i="1"/>
  <c r="O217" i="1"/>
  <c r="O216" i="1"/>
  <c r="A216" i="1"/>
  <c r="O213" i="1"/>
  <c r="O212" i="1"/>
  <c r="O211" i="1"/>
  <c r="O210" i="1"/>
  <c r="A210" i="1"/>
  <c r="O207" i="1"/>
  <c r="O206" i="1"/>
  <c r="O205" i="1"/>
  <c r="O204" i="1"/>
  <c r="O203" i="1"/>
  <c r="A203" i="1"/>
  <c r="O200" i="1"/>
  <c r="O199" i="1"/>
  <c r="O198" i="1"/>
  <c r="O197" i="1"/>
  <c r="O196" i="1"/>
  <c r="O195" i="1"/>
  <c r="O194" i="1"/>
  <c r="O193" i="1"/>
  <c r="O192" i="1"/>
  <c r="A192" i="1"/>
  <c r="O189" i="1"/>
  <c r="O188" i="1"/>
  <c r="O187" i="1"/>
  <c r="O186" i="1"/>
  <c r="A186" i="1"/>
  <c r="O183" i="1"/>
  <c r="O182" i="1"/>
  <c r="O181" i="1"/>
  <c r="A181" i="1"/>
  <c r="O178" i="1"/>
  <c r="A178" i="1"/>
  <c r="O175" i="1"/>
  <c r="A175" i="1"/>
  <c r="O172" i="1"/>
  <c r="A172" i="1"/>
  <c r="O169" i="1"/>
  <c r="A169" i="1"/>
  <c r="O166" i="1"/>
  <c r="O165" i="1"/>
  <c r="O164" i="1"/>
  <c r="O163" i="1"/>
  <c r="O162" i="1"/>
  <c r="O161" i="1"/>
  <c r="A161" i="1"/>
  <c r="O158" i="1"/>
  <c r="O157" i="1"/>
  <c r="O156" i="1"/>
  <c r="O155" i="1"/>
  <c r="O154" i="1"/>
  <c r="A154" i="1"/>
  <c r="O151" i="1"/>
  <c r="O150" i="1"/>
  <c r="O149" i="1"/>
  <c r="O148" i="1"/>
  <c r="O147" i="1"/>
  <c r="A147" i="1"/>
  <c r="O144" i="1"/>
  <c r="O143" i="1"/>
  <c r="O142" i="1"/>
  <c r="O141" i="1"/>
  <c r="A141" i="1"/>
  <c r="O138" i="1"/>
  <c r="O137" i="1"/>
  <c r="O136" i="1"/>
  <c r="O135" i="1"/>
  <c r="A135" i="1"/>
  <c r="O132" i="1"/>
  <c r="O131" i="1"/>
  <c r="O130" i="1"/>
  <c r="O129" i="1"/>
  <c r="O128" i="1"/>
  <c r="A128" i="1"/>
  <c r="O125" i="1"/>
  <c r="O124" i="1"/>
  <c r="O123" i="1"/>
  <c r="O122" i="1"/>
  <c r="A122" i="1"/>
  <c r="O119" i="1"/>
  <c r="O118" i="1"/>
  <c r="O117" i="1"/>
  <c r="O116" i="1"/>
  <c r="O115" i="1"/>
  <c r="A115" i="1"/>
  <c r="O112" i="1"/>
  <c r="O111" i="1"/>
  <c r="O110" i="1"/>
  <c r="O109" i="1"/>
  <c r="O108" i="1"/>
  <c r="A108" i="1"/>
  <c r="O105" i="1"/>
  <c r="O104" i="1"/>
  <c r="O103" i="1"/>
  <c r="O102" i="1"/>
  <c r="A102" i="1"/>
  <c r="O99" i="1"/>
  <c r="O98" i="1"/>
  <c r="A98" i="1"/>
  <c r="O95" i="1"/>
  <c r="O94" i="1"/>
  <c r="O93" i="1"/>
  <c r="O92" i="1"/>
  <c r="O91" i="1"/>
  <c r="O90" i="1"/>
  <c r="O89" i="1"/>
  <c r="O88" i="1"/>
  <c r="A88" i="1"/>
  <c r="O85" i="1"/>
  <c r="O84" i="1"/>
  <c r="O83" i="1"/>
  <c r="O82" i="1"/>
  <c r="O81" i="1"/>
  <c r="O80" i="1"/>
  <c r="O79" i="1"/>
  <c r="O78" i="1"/>
  <c r="A78" i="1"/>
  <c r="O75" i="1"/>
  <c r="O74" i="1"/>
  <c r="O73" i="1"/>
  <c r="O72" i="1"/>
  <c r="O71" i="1"/>
  <c r="O70" i="1"/>
  <c r="O69" i="1"/>
  <c r="O68" i="1"/>
  <c r="A68" i="1"/>
  <c r="O65" i="1"/>
  <c r="O64" i="1"/>
  <c r="O63" i="1"/>
  <c r="O62" i="1"/>
  <c r="O61" i="1"/>
  <c r="O60" i="1"/>
  <c r="O59" i="1"/>
  <c r="O58" i="1"/>
  <c r="A58" i="1"/>
  <c r="O55" i="1"/>
  <c r="O54" i="1"/>
  <c r="A54" i="1"/>
  <c r="O51" i="1"/>
  <c r="O50" i="1"/>
  <c r="O49" i="1"/>
  <c r="O48" i="1"/>
  <c r="O47" i="1"/>
  <c r="A47" i="1"/>
  <c r="O44" i="1"/>
  <c r="O43" i="1"/>
  <c r="O42" i="1"/>
  <c r="O41" i="1"/>
  <c r="A41" i="1"/>
  <c r="P40" i="1" s="1"/>
  <c r="O38" i="1"/>
  <c r="O37" i="1"/>
  <c r="O36" i="1"/>
  <c r="O35" i="1"/>
  <c r="O34" i="1"/>
  <c r="O33" i="1"/>
  <c r="A33" i="1"/>
  <c r="P32" i="1" s="1"/>
  <c r="O30" i="1"/>
  <c r="O29" i="1"/>
  <c r="A29" i="1"/>
  <c r="P28" i="1" s="1"/>
  <c r="O26" i="1"/>
  <c r="O25" i="1"/>
  <c r="O24" i="1"/>
  <c r="O23" i="1"/>
  <c r="O22" i="1"/>
  <c r="O21" i="1"/>
  <c r="A21" i="1"/>
  <c r="P20" i="1" s="1"/>
  <c r="O18" i="1"/>
  <c r="O17" i="1"/>
  <c r="O16" i="1"/>
  <c r="A16" i="1"/>
  <c r="P15" i="1" s="1"/>
  <c r="O13" i="1"/>
  <c r="O12" i="1"/>
  <c r="O11" i="1"/>
  <c r="A11" i="1"/>
  <c r="P10" i="1" s="1"/>
  <c r="O8" i="1"/>
  <c r="O7" i="1"/>
  <c r="O6" i="1"/>
  <c r="O5" i="1"/>
  <c r="O4" i="1"/>
  <c r="A4" i="1"/>
  <c r="P3" i="1" s="1"/>
  <c r="P17" i="1" l="1"/>
  <c r="P35" i="1"/>
  <c r="P13" i="1"/>
  <c r="P30" i="1"/>
  <c r="P42" i="1"/>
  <c r="P43" i="1"/>
  <c r="P29" i="1"/>
  <c r="P44" i="1"/>
  <c r="P41" i="1"/>
  <c r="P18" i="1"/>
  <c r="P37" i="1"/>
  <c r="P23" i="1"/>
  <c r="P34" i="1"/>
  <c r="P36" i="1"/>
  <c r="P38" i="1"/>
  <c r="P24" i="1"/>
  <c r="P33" i="1"/>
  <c r="P21" i="1"/>
  <c r="P11" i="1"/>
  <c r="P25" i="1"/>
  <c r="P22" i="1"/>
  <c r="P12" i="1"/>
  <c r="P26" i="1"/>
  <c r="P16" i="1"/>
  <c r="P5" i="1"/>
  <c r="P4" i="1"/>
  <c r="P6" i="1"/>
  <c r="P7" i="1"/>
  <c r="P8" i="1"/>
</calcChain>
</file>

<file path=xl/sharedStrings.xml><?xml version="1.0" encoding="utf-8"?>
<sst xmlns="http://schemas.openxmlformats.org/spreadsheetml/2006/main" count="34273" uniqueCount="6290">
  <si>
    <t>​FITA DUREX 70X1000MX45MIC​ C/ IMP. INBE</t>
  </si>
  <si>
    <t>PC</t>
  </si>
  <si>
    <t>M</t>
  </si>
  <si>
    <t>KG</t>
  </si>
  <si>
    <t>FITA DUREX 70X100MX45MIC C/ IMP. INBETTA</t>
  </si>
  <si>
    <t>Material</t>
  </si>
  <si>
    <t>Texto breve material</t>
  </si>
  <si>
    <t>VASSOURA GARI RIGIDA S/CABO SUPERPRO1X12</t>
  </si>
  <si>
    <t>Status</t>
  </si>
  <si>
    <t>Descrição</t>
  </si>
  <si>
    <t>LT alt.</t>
  </si>
  <si>
    <t>TpMaterial</t>
  </si>
  <si>
    <t>Centro</t>
  </si>
  <si>
    <t>Qtd.(UMB)</t>
  </si>
  <si>
    <t>UMB</t>
  </si>
  <si>
    <t>Itens regulares</t>
  </si>
  <si>
    <t>VERP</t>
  </si>
  <si>
    <t>0800</t>
  </si>
  <si>
    <t>AC 944A - 9007</t>
  </si>
  <si>
    <t>CX 944 - 9007</t>
  </si>
  <si>
    <t>ETIQ 9007 - PRO</t>
  </si>
  <si>
    <t>FERT</t>
  </si>
  <si>
    <t>C9007</t>
  </si>
  <si>
    <t>VASSOURAO GARI CERDAS RIGIDA S/CABO 1X12</t>
  </si>
  <si>
    <t>Itens Inativos</t>
  </si>
  <si>
    <t>CABO ACO 1,5M D25MM C/ROSCA SUPERPRO1X12</t>
  </si>
  <si>
    <t>ETIQ 9010 CABO CHAPA 1,50 M 25MM - PRO</t>
  </si>
  <si>
    <t>BOB PEBD CANELA TUBULAR 1,8 M X 0,14 MM</t>
  </si>
  <si>
    <t>C9010</t>
  </si>
  <si>
    <t>CABO DE CHAPA DE ACO 150CM C/ROSCA 1X12</t>
  </si>
  <si>
    <t>CABO ACO 1,3M D25MM C/ROSCA SUPERPRO1X12</t>
  </si>
  <si>
    <t>ETIQ 9012 CABO CHAPA 1,30M 25MM - PRO</t>
  </si>
  <si>
    <t>C9012</t>
  </si>
  <si>
    <t>CABO CHAPA DE ACO 130CM C/ROSCA 1X12</t>
  </si>
  <si>
    <t>CABO ALUMINIO 1,5M D25MM SUPERPRO1X6</t>
  </si>
  <si>
    <t>ROH</t>
  </si>
  <si>
    <t>TUBO ALUMINIO 25MMX1500MM</t>
  </si>
  <si>
    <t>PUNHO DIAMETRO 25,4 MM  - 2000805</t>
  </si>
  <si>
    <t>ETIQ 9014 CABO ALUM 1,50M 25MM - PRO</t>
  </si>
  <si>
    <t>SACO PEBD 13X170X0,20 P/ CABO ALUMINIO</t>
  </si>
  <si>
    <t>SACO PEBD 18X1,70X0,20 CABOS</t>
  </si>
  <si>
    <t>CABO ACO 1,2M D22MM C/ROSCA SUPERPRO1X12</t>
  </si>
  <si>
    <t>ETIQ 9015 CABO CHAPA 1,20M 22MM - PRO</t>
  </si>
  <si>
    <t>C9015</t>
  </si>
  <si>
    <t>CABO CHAPA DE ACO 120CM C/ROSCA 1X12</t>
  </si>
  <si>
    <t>CABO ALUMINIO 1,5M D22MM SUPERPRO1X6</t>
  </si>
  <si>
    <t>TUBO DE ALUMINIO 21MM X 1500MM</t>
  </si>
  <si>
    <t>PUNHO DIAMETRO 22 MM  - 2000804</t>
  </si>
  <si>
    <t>PONTEIRA ROSCA 21-9019  - 2000818</t>
  </si>
  <si>
    <t>ETIQ 9019 - PRO</t>
  </si>
  <si>
    <t>CABO EXTENSOR ACO 2M SUPERPRO1X6</t>
  </si>
  <si>
    <t>ETIQ 9032 - PRO</t>
  </si>
  <si>
    <t>SACO PEBD 18 X 120 X 0,20</t>
  </si>
  <si>
    <t>C9032</t>
  </si>
  <si>
    <t>CABO EXTENSOR CHAPA ACO 2 METROS 1X6</t>
  </si>
  <si>
    <t>CABO EXTENSOR ACO 3M SUPERPRO 1X6</t>
  </si>
  <si>
    <t>ETIQ 9033 - PRO</t>
  </si>
  <si>
    <t>C9033</t>
  </si>
  <si>
    <t>CABO EXTENSOR CHAPA ACO 3 METROS 1X6</t>
  </si>
  <si>
    <t>CABO URNA ACO1,67M S/ROSCA SUPERPRO1X12</t>
  </si>
  <si>
    <t>C9044</t>
  </si>
  <si>
    <t>CABO CHAPA DE ACO P/ URNA 1,670M - 1X12</t>
  </si>
  <si>
    <t>RODO ALUM 50CM SIMPL S/CABO SUPERPRO1X6</t>
  </si>
  <si>
    <t>PERFIL ALUM SIMPLES 3520 50/70</t>
  </si>
  <si>
    <t>REBITE ALUMINIO MACICO  DIAM 4,62X135 MM</t>
  </si>
  <si>
    <t>PERFIL BORRACHA RODO ALUM 50CM (14307)</t>
  </si>
  <si>
    <t>CASTELO RODO ALUMINIO  - 2000654</t>
  </si>
  <si>
    <t>CX 993 - 9050</t>
  </si>
  <si>
    <t>ETIQ 9050 - PRO</t>
  </si>
  <si>
    <t>FILME STRECH 23/25 MIC 50CM</t>
  </si>
  <si>
    <t>RODO ALUM 50CM DUPLO S/CABO SUPERPRO 1X6</t>
  </si>
  <si>
    <t>PERFIL ALUM DUPLO 3520 50/70</t>
  </si>
  <si>
    <t>CX 994 - 9056</t>
  </si>
  <si>
    <t>ETIQ 9056 - PRO</t>
  </si>
  <si>
    <t>RODO ALUM 70CM BOR SIMPLES S/CABO 1X6</t>
  </si>
  <si>
    <t>PERFIL BORRACHA RODO ALUM 70CM (14308)</t>
  </si>
  <si>
    <t>CX 951 - 9057</t>
  </si>
  <si>
    <t>ETIQ 9057 - PRO</t>
  </si>
  <si>
    <t>RODO ALUM 70CM DUPLO S/CABO SUPERPRO 1X6</t>
  </si>
  <si>
    <t>CX 952 - 9058</t>
  </si>
  <si>
    <t>ETIQ 9058 - PRO</t>
  </si>
  <si>
    <t>BALDE C/ESPREM. DIV.AGUAS20L SUPERPRO1X1</t>
  </si>
  <si>
    <t>CJ BALDE ESPREMEDOR DIV AGUAS 20L 1X1</t>
  </si>
  <si>
    <t>REFIL MOP SINT. AM SUPERPRO 1X12</t>
  </si>
  <si>
    <t>CX 919 - 9118</t>
  </si>
  <si>
    <t>SACO PEBD MOP 9118 370X160X80MIC</t>
  </si>
  <si>
    <t>C9118</t>
  </si>
  <si>
    <t>REFIL ZIGZAG MINI-MOP SINTETICO 1X12</t>
  </si>
  <si>
    <t>ESCOVA PLAST P/CANTOS SUPERPRO 1X12</t>
  </si>
  <si>
    <t>AC 953A - 9139</t>
  </si>
  <si>
    <t>CX 953 - 9139</t>
  </si>
  <si>
    <t>ETIQ 9139 - PRO</t>
  </si>
  <si>
    <t>C9139</t>
  </si>
  <si>
    <t>ESCOVA PARA AZULEJOS E CANTOS - 1 X 12</t>
  </si>
  <si>
    <t>ESCOVA SANIT. PLAST S/SUP. SUPERPRO 1X36</t>
  </si>
  <si>
    <t>CX 830 - 9140</t>
  </si>
  <si>
    <t>ETIQ 9140 - PRO</t>
  </si>
  <si>
    <t>AC 137C NOVO - 9140</t>
  </si>
  <si>
    <t>C9140</t>
  </si>
  <si>
    <t>ESCOVA SANITARIA PURPIC S/SUPORTE 1X36</t>
  </si>
  <si>
    <t>ESCOVA VASSOURITA PLAST. SUPERPRO 1X36</t>
  </si>
  <si>
    <t>Itens em descontinuação</t>
  </si>
  <si>
    <t>CX 927 - 9141</t>
  </si>
  <si>
    <t>ETIQ 9141 - PRO</t>
  </si>
  <si>
    <t>C9141</t>
  </si>
  <si>
    <t>ESCOVA VASSOURITA 1X36</t>
  </si>
  <si>
    <t>ESCOVA ESPANADEIRA PLAST SUPERPRO1X12</t>
  </si>
  <si>
    <t>CX 928 - 9142</t>
  </si>
  <si>
    <t>ETIQ 9142 - PRO</t>
  </si>
  <si>
    <t>AC 928 - 9142</t>
  </si>
  <si>
    <t>C9142</t>
  </si>
  <si>
    <t>ESCOVA ESPANADEIRA VARREMESA 1X12</t>
  </si>
  <si>
    <t>ESCOVA SANIT. PLAST. C/SUP. SUPERPRO1X12</t>
  </si>
  <si>
    <t>CX 960 - 9143</t>
  </si>
  <si>
    <t>ETIQ 9143 - PRO</t>
  </si>
  <si>
    <t>C9143</t>
  </si>
  <si>
    <t>ESCOVA PURPIC COM SUPORTE 1X12</t>
  </si>
  <si>
    <t>ESCOVA ESFREGONA PLAST. SUPERPRO1X12</t>
  </si>
  <si>
    <t>CX 912 - 9144</t>
  </si>
  <si>
    <t>ETIQ 9144 - PRO</t>
  </si>
  <si>
    <t>C9144</t>
  </si>
  <si>
    <t>ESCOVA ESFREGONA PRO 1X12</t>
  </si>
  <si>
    <t>ESCOVA SANIT PLAST PETALAS SUPERPRO1X12</t>
  </si>
  <si>
    <t>AC 61C - 566</t>
  </si>
  <si>
    <t>CX 798 - 9146</t>
  </si>
  <si>
    <t>ETIQ 9146 - PRO</t>
  </si>
  <si>
    <t>C9146</t>
  </si>
  <si>
    <t>ESCOVA PURPIC PETALAS SUPERPRO-1X12</t>
  </si>
  <si>
    <t>RODO TPE PLAST. 50CM /CABO SUPERPRO1X12</t>
  </si>
  <si>
    <t>AC 78A - 127040</t>
  </si>
  <si>
    <t>Kanban no fornecedor</t>
  </si>
  <si>
    <t>CX 815 - 9152</t>
  </si>
  <si>
    <t>ETIQ 9152 - PRO</t>
  </si>
  <si>
    <t>C9152</t>
  </si>
  <si>
    <t>RODO PLAST.50CM BORR.SIMPLES C/CABO 1X12</t>
  </si>
  <si>
    <t>RODO EVA 55CM PLAST C/CABO SUPERPRO1X15</t>
  </si>
  <si>
    <t>ETIQ 9154 - PRO</t>
  </si>
  <si>
    <t>CX 9154/9054C</t>
  </si>
  <si>
    <t>AC 9154/9054C TAB</t>
  </si>
  <si>
    <t>AC 9154/9054C CAN</t>
  </si>
  <si>
    <t>C9154</t>
  </si>
  <si>
    <t>RODO PUSH 50CM BORR.DUPLA C/ CABO 1X15</t>
  </si>
  <si>
    <t>MOP PO ACRILICO SINT. 30CM SUPERPRO1X12</t>
  </si>
  <si>
    <t>C9203</t>
  </si>
  <si>
    <t>MOP PO SINTETICO 30CM 1X12</t>
  </si>
  <si>
    <t>MOP PO ACRILICO SINT. 40CM SUPERPRO1X12</t>
  </si>
  <si>
    <t>C9205</t>
  </si>
  <si>
    <t>MOP PO SINTETICO 40CM 1X12</t>
  </si>
  <si>
    <t>MOP PO ACRILICO SINT. 60CM  SUPERPRO1X12</t>
  </si>
  <si>
    <t>C9207</t>
  </si>
  <si>
    <t>MOP PO SINTETICO 60CM 1X12</t>
  </si>
  <si>
    <t>MOP PO ACRILICO SINT. 80CM SUPERPRO1X12</t>
  </si>
  <si>
    <t>C9209</t>
  </si>
  <si>
    <t>MOP PO SINTETICO 80CM 1X12</t>
  </si>
  <si>
    <t>REFIL MOP ESPONJA MANTA SUPERPRO1X12</t>
  </si>
  <si>
    <t>CX 897 - 9211</t>
  </si>
  <si>
    <t>C9211</t>
  </si>
  <si>
    <t>REFIL ZIGZAG ESFREBOM 30CM 1X12</t>
  </si>
  <si>
    <t>ARMACAO PLAST PMOP PO 30CM SUPERPRO1X6</t>
  </si>
  <si>
    <t>CX 917 - 9220</t>
  </si>
  <si>
    <t>ETIQ 9220 - PRO</t>
  </si>
  <si>
    <t>C9220</t>
  </si>
  <si>
    <t>SUPORTE PLASTICO P/MOP PO 30CM 1X6</t>
  </si>
  <si>
    <t>SUPORTE PLAST P/MOP UMIDO SUPERPRO1X6</t>
  </si>
  <si>
    <t>PORCA PLASTICA SUPERPRO (2000798) CINZA</t>
  </si>
  <si>
    <t>CORPO MOP 9224 CZ (2000695)</t>
  </si>
  <si>
    <t>HASTE MOP 9224  - 2000707</t>
  </si>
  <si>
    <t>TRAVA 1 MOP 9224  - 2000833</t>
  </si>
  <si>
    <t>TRAVA 2 MOP 9224  - 2000834</t>
  </si>
  <si>
    <t>CX 810 - 9224</t>
  </si>
  <si>
    <t>ETIQ 9224 - PRO</t>
  </si>
  <si>
    <t>BALDE PLAST. 14L SUPERPRO 1X6</t>
  </si>
  <si>
    <t>ESPREMEDOR PLAST OVAL P/BALDE 14L PRETO</t>
  </si>
  <si>
    <t>CX 921 - 9230</t>
  </si>
  <si>
    <t>ETIQ 9230 - BALDE PRO</t>
  </si>
  <si>
    <t>C9230</t>
  </si>
  <si>
    <t>BALDE ZIG 14 LTS - 1 X 6</t>
  </si>
  <si>
    <t>ESPREMEDOR PLAST P/BALDE 14L SUPERPRO1X6</t>
  </si>
  <si>
    <t>ETIQ 9237 ESPREMEDOR PRO</t>
  </si>
  <si>
    <t>ETIQ EMBALAGENS BRANCA 100X60 MM</t>
  </si>
  <si>
    <t>SACO PLASTICO 46X52X0,14 SANFONA 9</t>
  </si>
  <si>
    <t>LIXEIRA BASCUL. 60L PLAST. SUPERPRO1X6</t>
  </si>
  <si>
    <t>LIXEIRA PLASTICA BASCULANTE 60L 1X6</t>
  </si>
  <si>
    <t>LIXEIRA BASCUL. 105L PLAST. SUPERPRO 1X6</t>
  </si>
  <si>
    <t>LIXEIRA PLASTICA BASCULANTE 105L 1X6</t>
  </si>
  <si>
    <t/>
  </si>
  <si>
    <t>LIXEIRA  103L PLAST. SUPERPRO 1X3</t>
  </si>
  <si>
    <t>LIXEIRA PLASTICA 103LT S/ RODIZIOS 1X3</t>
  </si>
  <si>
    <t>PA COLETORA C/CABO  SUPERPRO1X12</t>
  </si>
  <si>
    <t>CX 851 - 9260</t>
  </si>
  <si>
    <t>ETIQ 9260 - PRO</t>
  </si>
  <si>
    <t>AC 9260 - 851/1</t>
  </si>
  <si>
    <t>AC 9260 - 851/2</t>
  </si>
  <si>
    <t>AC 9260 - 851/3</t>
  </si>
  <si>
    <t>C9260</t>
  </si>
  <si>
    <t>PA COLETORA SUPERPRO C/CABO 1X12</t>
  </si>
  <si>
    <t>BALDE PLAST S/ESPREMEDOR 14L SUPERPRO1X6</t>
  </si>
  <si>
    <t>CX 842 - 9278</t>
  </si>
  <si>
    <t>ETIQ 9278 - PRO</t>
  </si>
  <si>
    <t>C9278</t>
  </si>
  <si>
    <t>BALDE ZIG 14LTS S/ESCORREDOR - 1 X 6</t>
  </si>
  <si>
    <t>LIXEIRA C/ PEDAL SUPERPRO 13,5L 1X6</t>
  </si>
  <si>
    <t>LIXEIRA C/ PEDAL 13,5L 1X6 PEDAL BEGE</t>
  </si>
  <si>
    <t>LIXEIRA PLAST. C/PEDAL 36L SUPERPRO 1X3</t>
  </si>
  <si>
    <t>LIXEIRA PLASTICA C/ PEDAL 36L 1X3</t>
  </si>
  <si>
    <t>LIXEIRA PLAST. C/PEDAL 72L SUPERPRO 1X3</t>
  </si>
  <si>
    <t>LIXEIRA PLASTICA C/ PEDAL 72L 1X3</t>
  </si>
  <si>
    <t>ESPONJA PARA BANHO SUPERPRO  - 1 X 240</t>
  </si>
  <si>
    <t>CX 849 - 9399</t>
  </si>
  <si>
    <t>FILME 9399 BOPP 20 MIC</t>
  </si>
  <si>
    <t>C9399</t>
  </si>
  <si>
    <t>ESPONJA HOSPITALAR - 1 X 240</t>
  </si>
  <si>
    <t>ESPONJA MULTI. PACK C/10 SUPERPRO1X10X10</t>
  </si>
  <si>
    <t>CX 931 - 9401</t>
  </si>
  <si>
    <t>FILME PCTE REF 9401 430MM 25MIC C/IMPR</t>
  </si>
  <si>
    <t>FILME BOPP S/IMP 235MM 20MIC - C9401</t>
  </si>
  <si>
    <t>C9401</t>
  </si>
  <si>
    <t>ESPONJA DUPLA FACE ESFREBOM 1X10X10</t>
  </si>
  <si>
    <t>ESPONJA MACIA SUPERPRO 1X100</t>
  </si>
  <si>
    <t>CX 933 - 9403</t>
  </si>
  <si>
    <t>FILME 9403 BOPP 20 MIC</t>
  </si>
  <si>
    <t>C9403</t>
  </si>
  <si>
    <t>ESPONJA DUPLA FACE MACIA VR 1X100​</t>
  </si>
  <si>
    <t>ESPONJA PROT. UNHAS SUPERPRO 1X10X10</t>
  </si>
  <si>
    <t>CX 934 - 9404</t>
  </si>
  <si>
    <t>ETIQ 9404 76X60MM</t>
  </si>
  <si>
    <t>C9404</t>
  </si>
  <si>
    <t>ESPONJA DUPLA FACE PROT UNHAS 1X10X10</t>
  </si>
  <si>
    <t>ESPONJA MULTI. 180X100MM SUPERPRO1X10X10</t>
  </si>
  <si>
    <t>CX 935 - 9405</t>
  </si>
  <si>
    <t>ROT 9405</t>
  </si>
  <si>
    <t>C9405</t>
  </si>
  <si>
    <t>ESPONJAO DUPLA FACE ESFREBOM 1X10X10</t>
  </si>
  <si>
    <t>ESPONJA SFREG SUPERPRO 1X100</t>
  </si>
  <si>
    <t>CX 990 - 9407</t>
  </si>
  <si>
    <t>C9407</t>
  </si>
  <si>
    <t>ESPONJA DUPLA FACE SFREG 1X100</t>
  </si>
  <si>
    <t>FIBRA VERM. AMF 225X150MM SUPERPRO 1X100</t>
  </si>
  <si>
    <t>CX 858 - 9409</t>
  </si>
  <si>
    <t>C9409</t>
  </si>
  <si>
    <t>FIBRA VERMELHA AMF GRAO240 225X150-1X100</t>
  </si>
  <si>
    <t>ESPONJA MULTIUSO SUPERPRO ECON. 1X240</t>
  </si>
  <si>
    <t>CX 936 - 9410</t>
  </si>
  <si>
    <t>FILME BOPP 9410 C/IMP</t>
  </si>
  <si>
    <t>C9410</t>
  </si>
  <si>
    <t>ESPONJA DUPLA FACE ESFR. ECON. 1X240</t>
  </si>
  <si>
    <t>ESPONJA MULTI. 300X75MM SUPERPRO 1X100</t>
  </si>
  <si>
    <t>CX 823 - 9417</t>
  </si>
  <si>
    <t>C9417</t>
  </si>
  <si>
    <t>ESPONJA ABRASIVA 27 X 7,50CM - 1X100</t>
  </si>
  <si>
    <t>ESPONJA NAO RISCA SUPERPRO 1X100</t>
  </si>
  <si>
    <t>CX 803 - 9418</t>
  </si>
  <si>
    <t>FILME 9418</t>
  </si>
  <si>
    <t>C9418</t>
  </si>
  <si>
    <t>ESPONJA DUPLA FACE MACIA AZ 1X100</t>
  </si>
  <si>
    <t>ESPONJA LAVA CARRO SUPERPRO 1X24</t>
  </si>
  <si>
    <t>CX 786 - 9422</t>
  </si>
  <si>
    <t>FILME 9422 PET+PE 20 MIC</t>
  </si>
  <si>
    <t>C9422</t>
  </si>
  <si>
    <t>ESPONJA LAVA CARRO - 1X24</t>
  </si>
  <si>
    <t>ESPONJA MULTIUSO PACT. C/3 SUPERPRO 1X80</t>
  </si>
  <si>
    <t>CX 788 - 9423</t>
  </si>
  <si>
    <t>FILME BOPP 9423</t>
  </si>
  <si>
    <t>C9423</t>
  </si>
  <si>
    <t>ESPONJA MULTIUSO SUPERPRO - 1X80CJ</t>
  </si>
  <si>
    <t>FIBRA VERM. AMF 280X230MM SUPERPRO 1X100</t>
  </si>
  <si>
    <t>CX 854 - 9468</t>
  </si>
  <si>
    <t>C9468</t>
  </si>
  <si>
    <t>FIBRA MUITO FINA VERM. MF 280X230-1X100</t>
  </si>
  <si>
    <t>ESPONJA LIMPEZA PESADA SUPERPRO 1X60</t>
  </si>
  <si>
    <t>CX 787 - 9499</t>
  </si>
  <si>
    <t>FILME BOPP 9499</t>
  </si>
  <si>
    <t>C9499</t>
  </si>
  <si>
    <t>ESFREBOM LIMPEZA PESADA SUPERPRO - 1X60</t>
  </si>
  <si>
    <t>FIBRA BETTAÇO SUPERPRO 1X20X10</t>
  </si>
  <si>
    <t>CX 979 - 9500 KB</t>
  </si>
  <si>
    <t>ROT 9500</t>
  </si>
  <si>
    <t>C9500</t>
  </si>
  <si>
    <t>FIBRA LIMP. BETTACO 1X20X10</t>
  </si>
  <si>
    <t>FIBRA  GERAL 102X260  SUPERPRO1X10X10</t>
  </si>
  <si>
    <t>CX 967 - 9502 KB</t>
  </si>
  <si>
    <t>ROT 9502</t>
  </si>
  <si>
    <t>C9502</t>
  </si>
  <si>
    <t>FIBRA LIMP USO GERAL 102X260 1X10X10</t>
  </si>
  <si>
    <t>FIBRA LEVE 102X260  SUPERPRO1X10X10</t>
  </si>
  <si>
    <t>CX 938 - 9504</t>
  </si>
  <si>
    <t>ROT 9504</t>
  </si>
  <si>
    <t>C9504</t>
  </si>
  <si>
    <t>FIBRA LIMP USO LEVE 102X260 1X10X10</t>
  </si>
  <si>
    <t>FIBRA PESADA 130X240  SUPERPRO1X10X10</t>
  </si>
  <si>
    <t>CX 956 - 9505</t>
  </si>
  <si>
    <t>ROT 9505</t>
  </si>
  <si>
    <t>C9505</t>
  </si>
  <si>
    <t>FIBRA LIMP. PESADA 130X240 1X10X10</t>
  </si>
  <si>
    <t>FIBRA PESADA102X260  SUPERPRO1X10X10</t>
  </si>
  <si>
    <t>CX 957 - 9506 KB</t>
  </si>
  <si>
    <t>ROT 9506</t>
  </si>
  <si>
    <t>C9506</t>
  </si>
  <si>
    <t>FIBRA LIMP PESADA 102X260 1X10X10</t>
  </si>
  <si>
    <t>FIBRA BETTAÇO 102X260 SUPERPRO1X10X10</t>
  </si>
  <si>
    <t>CX 923 - 9508</t>
  </si>
  <si>
    <t>ROT 9508</t>
  </si>
  <si>
    <t>C9508</t>
  </si>
  <si>
    <t>FIBRA LIMP BETTACO 102X260 1X10X10</t>
  </si>
  <si>
    <t>FIBRA LEVE AZ 102X260 SUPERPRO1X10X10</t>
  </si>
  <si>
    <t>CX 924 - 9509</t>
  </si>
  <si>
    <t>ROT 9509</t>
  </si>
  <si>
    <t>C9509</t>
  </si>
  <si>
    <t>FIBRA LIMP. LEVE AZUL 102X260 1X10X10</t>
  </si>
  <si>
    <t>FIBRA ASF CINZA 260X102 SUPERPRO 1X10X10</t>
  </si>
  <si>
    <t>CX 891 - 9513</t>
  </si>
  <si>
    <t>ROT 9513</t>
  </si>
  <si>
    <t>C9513</t>
  </si>
  <si>
    <t>FIBRA ASF CINZA 260X102-1X10X10 GRAO400</t>
  </si>
  <si>
    <t>SUPORTE PLAST MAN P/BETTACO SUPERPRO1X10</t>
  </si>
  <si>
    <t>CX 9515</t>
  </si>
  <si>
    <t>ETIQ 9515 SUP FIBRA</t>
  </si>
  <si>
    <t>C9515</t>
  </si>
  <si>
    <t>SUPORTE MANUAL P/BETTACO 1X10</t>
  </si>
  <si>
    <t>SUPORTE PLAST LT P/FIBRA SUPERPRO 1X10</t>
  </si>
  <si>
    <t>CX 9516</t>
  </si>
  <si>
    <t>ETIQ 9516 - PRO</t>
  </si>
  <si>
    <t>C9516</t>
  </si>
  <si>
    <t>SUPORTE P/FIBRA ABRASIVA BT/LT 1X10</t>
  </si>
  <si>
    <t>FIBRA BETTAÇO SOLUTION 1X20X10</t>
  </si>
  <si>
    <t>ROT 9521</t>
  </si>
  <si>
    <t>CX 783 - 9521</t>
  </si>
  <si>
    <t>C9521</t>
  </si>
  <si>
    <t>FIBRA ABRASIVA BETTACO FINA - 20X10</t>
  </si>
  <si>
    <t>DISCO REMOV. PRETO 30CM SUPERPRO 1X20</t>
  </si>
  <si>
    <t>CX 970 - DISCOS 250/270/300</t>
  </si>
  <si>
    <t>C9630</t>
  </si>
  <si>
    <t>DISCO REMOVEDOR PRETO 300MM 1X20</t>
  </si>
  <si>
    <t>DISCO REMOV.OR PRETO 35CM SUPERPRO 1X20</t>
  </si>
  <si>
    <t>CX 971 - DISCOS 320/330/350</t>
  </si>
  <si>
    <t>C9635</t>
  </si>
  <si>
    <t>DISCO REMOVEDOR PRETO 350MM 1X20</t>
  </si>
  <si>
    <t>DISCO REMOV. PRETO 38CM SUPERPRO 1X20</t>
  </si>
  <si>
    <t>CX 972 - DISCOS 380/410</t>
  </si>
  <si>
    <t>C9638</t>
  </si>
  <si>
    <t>DISCO REMOVEDOR PRETO 380MM 1X20</t>
  </si>
  <si>
    <t>DISCOS REMOV. PRETO 41CM SUPERPRO 1X20</t>
  </si>
  <si>
    <t>C9641</t>
  </si>
  <si>
    <t>DISCO REMOVEDOR PRETO 410MM 1X20</t>
  </si>
  <si>
    <t>DISCO REMOV. PRETO 44CM SUPERPRO 1X20</t>
  </si>
  <si>
    <t>CX 973 - DISCOS 440/480</t>
  </si>
  <si>
    <t>C9644</t>
  </si>
  <si>
    <t>DISCO REMOVEDOR PRETO 440MM 1X20</t>
  </si>
  <si>
    <t>DISCOS REMOV. PRETO 51CM SUPERPRO 1X20</t>
  </si>
  <si>
    <t>CX 974 - DISCOS 510/530</t>
  </si>
  <si>
    <t>C9651</t>
  </si>
  <si>
    <t>DISCO REMOVEDOR PRETO 510MM 1X20</t>
  </si>
  <si>
    <t>VASSOURA BOLA PELO C/CABO SUPERPRO 1X8</t>
  </si>
  <si>
    <t>AC 93A - 1842</t>
  </si>
  <si>
    <t>AC 93B - 1842</t>
  </si>
  <si>
    <t>CX 982 - 9684</t>
  </si>
  <si>
    <t>ETIQ 9684 - PRO</t>
  </si>
  <si>
    <t>C9684</t>
  </si>
  <si>
    <t>VASSOURA BOLA C/CABO CERDAS PELO 1X8</t>
  </si>
  <si>
    <t>SUPORTE PLAST. P/PAPEL HIG. SUPERPRO1X6</t>
  </si>
  <si>
    <t>HALB</t>
  </si>
  <si>
    <t>SUPORTE PARA PAPEL  HIGIENICO 1X6</t>
  </si>
  <si>
    <t>PP HOMO 117 / 118 BRASKEM</t>
  </si>
  <si>
    <t>PP RP141 / RT400NAQ BRASKEM</t>
  </si>
  <si>
    <t>PS CRISTAL GPPS 500 / N1921 INNOVA</t>
  </si>
  <si>
    <t>PIG MASTER BRANCO BL11174</t>
  </si>
  <si>
    <t>ETIQ 9700 - PRO</t>
  </si>
  <si>
    <t>CX 9700</t>
  </si>
  <si>
    <t>SACO PEBD 9700 40X49X50MIC</t>
  </si>
  <si>
    <t>FHMI</t>
  </si>
  <si>
    <t>CONJUNTO PARAFUSOS P/ DISPENSADORES</t>
  </si>
  <si>
    <t>SUPORTE PLAST P/PAPEL TOALHA SUPERPRO1X6</t>
  </si>
  <si>
    <t>SUPORTE PARA PAPEL TOALHA 1X6</t>
  </si>
  <si>
    <t>ETIQ 9701</t>
  </si>
  <si>
    <t>CX 9701</t>
  </si>
  <si>
    <t>SACO PEBD 9701 37X48X50MIC</t>
  </si>
  <si>
    <t>SUPORTE PLAST P/SAB LIQ SUPERPRO 1X14</t>
  </si>
  <si>
    <t>SUPORTE PARA SABONETE LIQUIDO 1X14</t>
  </si>
  <si>
    <t>BICO DOSADOR (9702/SP9722)</t>
  </si>
  <si>
    <t>ALAVANCA ACIONADORA DA SABONETEIRA-PRO</t>
  </si>
  <si>
    <t>HC 2003 DYA COMP PP/ CARGA MINERAL</t>
  </si>
  <si>
    <t>PIG MASTER CINZA CI630</t>
  </si>
  <si>
    <t>RESERVATORIO PLASTICO SABONETEIRA</t>
  </si>
  <si>
    <t>ETIQ 9702 - PRO</t>
  </si>
  <si>
    <t>TAMPA 010 P/ POTE 130GR</t>
  </si>
  <si>
    <t>CX 9702</t>
  </si>
  <si>
    <t>SACO PEBD 9702 24X42X50MIC</t>
  </si>
  <si>
    <t>DISCO POLIDOR MARROM 35CM SUPERPRO 1X20</t>
  </si>
  <si>
    <t>C9735</t>
  </si>
  <si>
    <t>DISCO POLIDOR MARROM 350 MM - 1 X 20</t>
  </si>
  <si>
    <t>DISCO POLIDOR MARROM 38CM SUPERPRO 1X20</t>
  </si>
  <si>
    <t>C9738</t>
  </si>
  <si>
    <t>DISCO POLIDOR MARROM 380 MM - 1 X 20</t>
  </si>
  <si>
    <t>DISCO POLIDOR MARROM 41CM SUPERPRO 1X20</t>
  </si>
  <si>
    <t>C9741</t>
  </si>
  <si>
    <t>DISCO POLIDOR MARROM 410 MM - 1 X 20</t>
  </si>
  <si>
    <t>DISCO POLIDOR MARROM 44CM SUPERPRO 1X20</t>
  </si>
  <si>
    <t>C9744</t>
  </si>
  <si>
    <t>DISCO POLIDOR MARROM 440 MM - 1 X 20</t>
  </si>
  <si>
    <t>DISCO POLIDOR MARROM 51CM SUPERPRO 1X20</t>
  </si>
  <si>
    <t>C9751</t>
  </si>
  <si>
    <t>DISCO POLIDOR MARROM 510 MM - 1 X 20</t>
  </si>
  <si>
    <t>DISCO LIMPADOR VERDE 30CM SUPERPRO 1X20</t>
  </si>
  <si>
    <t>C9830</t>
  </si>
  <si>
    <t>DISCO LIMPADOR VERDE 300 MM - 1 X 20</t>
  </si>
  <si>
    <t>DISCO LIMPADOR VERDE 35CM SUPERPRO 1X20</t>
  </si>
  <si>
    <t>C9835</t>
  </si>
  <si>
    <t>DISCO LIMPADOR VERDE 350 MM - 1 X 20</t>
  </si>
  <si>
    <t>DISCO LIMPADOR VERDE 38CM SUPERPRO 1X20</t>
  </si>
  <si>
    <t>C9838</t>
  </si>
  <si>
    <t>DISCO LIMPADOR VERDE 380 MM - 1 X 20</t>
  </si>
  <si>
    <t>DISCO LIMPADOR VERDE 41CM SUPERPRO 1X20</t>
  </si>
  <si>
    <t>C9841</t>
  </si>
  <si>
    <t>DISCO LIMPADOR VERDE 410 MM - 1 X 20</t>
  </si>
  <si>
    <t>DISCO LIMPADOR VERDE 44CM SUPERPRO 1X20</t>
  </si>
  <si>
    <t>C9844</t>
  </si>
  <si>
    <t>DISCO LIMPADOR VERDE 440 MM - 1 X 20</t>
  </si>
  <si>
    <t>DISCO LIMPADOR VERDE 51CM SUPERPRO 1X20</t>
  </si>
  <si>
    <t>C9851</t>
  </si>
  <si>
    <t>DISCO LIMPADOR VERDE 510 MM - 1 X 20</t>
  </si>
  <si>
    <t>DISCO LUSTRADOR BRANCO 35CM SUPERPRO1X20</t>
  </si>
  <si>
    <t>C9935</t>
  </si>
  <si>
    <t>DISCO LUSTRADOR BRANCO 350 MM -1 X 20</t>
  </si>
  <si>
    <t>DISCO LUSTRADOR BRANCO 38CM SUPERPRO1X20</t>
  </si>
  <si>
    <t>C9938</t>
  </si>
  <si>
    <t>DISCO LUSTRADOR BRANCO 380MM - 1 X 20</t>
  </si>
  <si>
    <t>DISCO LUSTRADOR BRANCO 41CM SUPERPRO1X20</t>
  </si>
  <si>
    <t>C9941</t>
  </si>
  <si>
    <t>DISCO LUSTRADOR BRANCO 410 MM -1 X 20</t>
  </si>
  <si>
    <t>DISCO LUSTRADOR BRANCO 44CM SUPERPRO1X20</t>
  </si>
  <si>
    <t>C9944</t>
  </si>
  <si>
    <t>DISCO LUSTRADOR BRANCO 440 MM- 1 X 20</t>
  </si>
  <si>
    <t>DISCO LUSTRADOR BRANCO 51CM SUPERPRO1X20</t>
  </si>
  <si>
    <t>C9951</t>
  </si>
  <si>
    <t>DISCO LUSTRADOR BRANCO 510 MM -1 X 20</t>
  </si>
  <si>
    <t>DISCO REST. VERMELHO 35CM SUPERPRO 1X20</t>
  </si>
  <si>
    <t>C11035</t>
  </si>
  <si>
    <t>DISCO RESTAUR. VERMELHO 350 MM - 1 X 20</t>
  </si>
  <si>
    <t>DISCO REST. VERMELHO 41CM SUPERPRO 1X20</t>
  </si>
  <si>
    <t>C11041</t>
  </si>
  <si>
    <t>DISCO RESTAURADOR VERMELHO 410MM - 1X20</t>
  </si>
  <si>
    <t>DISCO REST. VERMELHO 44CM SUPERPRO 1X20</t>
  </si>
  <si>
    <t>C11044</t>
  </si>
  <si>
    <t>DISCO RESTAURADOR VERMELHO 440 - 1X20</t>
  </si>
  <si>
    <t>DISCO REST. VERMELHO 51CM SUPERPRO 1X20</t>
  </si>
  <si>
    <t>C11051</t>
  </si>
  <si>
    <t>DISCO RESTAURADOR VERMELHO 510MM - 1X20</t>
  </si>
  <si>
    <t>DISCO LUST. CHAMPAGNE 35CM SUPERPRO1X20</t>
  </si>
  <si>
    <t>C12035</t>
  </si>
  <si>
    <t>DISCO LUSTRADOR CHAMPAGNE 350 1X20</t>
  </si>
  <si>
    <t>DISCO LUST. CHAMPAGNE 41CM SUPERPRO1X20</t>
  </si>
  <si>
    <t>C12041</t>
  </si>
  <si>
    <t>DISCO LUSTRADOR CHAMPAGNE 410 1X20</t>
  </si>
  <si>
    <t>DISCO LUST. CHAMPAGNE 51CM SUPERPRO1X20</t>
  </si>
  <si>
    <t>C12051</t>
  </si>
  <si>
    <t>DISCO LUSTRADOR CHAMPAGNE 510 1X20</t>
  </si>
  <si>
    <t>DISCO PELO PORCO 505MM SUPERPRO 1X10</t>
  </si>
  <si>
    <t>CX 780 - DISCOS 505</t>
  </si>
  <si>
    <t>C13505</t>
  </si>
  <si>
    <t>DISCO LUSTRADOR PELO PORCO 505M-1X10</t>
  </si>
  <si>
    <t>DISCO PELO PORCO 685MM SUPERPRO 1X10</t>
  </si>
  <si>
    <t>CX 785 - 13685/14685</t>
  </si>
  <si>
    <t>C13685</t>
  </si>
  <si>
    <t>DISCO LUSTRADOR PELO DE PORCO 685MM-1X10</t>
  </si>
  <si>
    <t>DISCO CHAMPAGNE HS 505MM SUPERPRO 1X10</t>
  </si>
  <si>
    <t>C14505</t>
  </si>
  <si>
    <t>DISCO LUSTRADOR CHAMPAGNE HS 505MM-1X10</t>
  </si>
  <si>
    <t>DISCO CHAMPAGNE HS 685MM SUPERPRO 1X10</t>
  </si>
  <si>
    <t>C14685</t>
  </si>
  <si>
    <t>DISCO LUSTRADOR CHAMPAGNE HS 685MM-1X10</t>
  </si>
  <si>
    <t>REFIL BORRACHA RODO ALUM 70CM 1X36</t>
  </si>
  <si>
    <t>CX 833 - 90502</t>
  </si>
  <si>
    <t>SACO PEBD 19,5X35X0,10</t>
  </si>
  <si>
    <t>REFIL BORRACHA RODO ALUM 50CM 1X36</t>
  </si>
  <si>
    <t>CX 834 - 90503</t>
  </si>
  <si>
    <t>ESPONJA MULTIUSO UNIT. SUPERPRO 1X120</t>
  </si>
  <si>
    <t>CX 826 - 94106 KB</t>
  </si>
  <si>
    <t>C94106</t>
  </si>
  <si>
    <t>ESPONJA DUPLA FACE ESFREBOM 1X120</t>
  </si>
  <si>
    <t>FIBRA BETTACO 0,9MX10M IND 1X9</t>
  </si>
  <si>
    <t>C950011</t>
  </si>
  <si>
    <t>BETTACO</t>
  </si>
  <si>
    <t>M2</t>
  </si>
  <si>
    <t>9001C</t>
  </si>
  <si>
    <t>VASSOURA CASA E RUA C/CABO SUPERPRO 1X15</t>
  </si>
  <si>
    <t>AC 113A - L - SUPERPRO</t>
  </si>
  <si>
    <t>AC 113 C - I - SUPERPRO KB</t>
  </si>
  <si>
    <t>CX 861 - 9001C</t>
  </si>
  <si>
    <t>ETIQ 9001 - PRO</t>
  </si>
  <si>
    <t>C9001C</t>
  </si>
  <si>
    <t>VASSOURA CASA E RUA PRO C/CABO 1X15</t>
  </si>
  <si>
    <t>9003C</t>
  </si>
  <si>
    <t>VASSOURA VARRY 1000 C/CABO SUPERPRO 1X12</t>
  </si>
  <si>
    <t>CX 860 - 9003C</t>
  </si>
  <si>
    <t>ETIQ 9003 - PRO</t>
  </si>
  <si>
    <t>AC 860A</t>
  </si>
  <si>
    <t>AC860B</t>
  </si>
  <si>
    <t>C9003C</t>
  </si>
  <si>
    <t>VASSOURA VARRY 1000 PRO C/CABO 1X12</t>
  </si>
  <si>
    <t>9004D</t>
  </si>
  <si>
    <t>VASSOURA RETA 40CM S/CABO SUPERPRO 1X12</t>
  </si>
  <si>
    <t>AC 870A - 9004D</t>
  </si>
  <si>
    <t>CX 870 - 9004D</t>
  </si>
  <si>
    <t>ETIQ 9004 - PRO</t>
  </si>
  <si>
    <t>C9004D</t>
  </si>
  <si>
    <t>VASSOURA RETA 40CM S/CABO 1X12</t>
  </si>
  <si>
    <t>9005D</t>
  </si>
  <si>
    <t>VASSOURA RIGIDA 40CM S/C SUPERPRO 1X12</t>
  </si>
  <si>
    <t>CX 871 - 9005D</t>
  </si>
  <si>
    <t>ETIQ 9005 - PRO</t>
  </si>
  <si>
    <t>C9005D</t>
  </si>
  <si>
    <t>VASSOURA RIGIDA 40 CM S/CABO 1X12</t>
  </si>
  <si>
    <t>9006C</t>
  </si>
  <si>
    <t>VASSOURA RIG 25CM C/CABO SUPERPRO 1X12​​</t>
  </si>
  <si>
    <t>AC 84A - 118040</t>
  </si>
  <si>
    <t>AC 84D - 1182</t>
  </si>
  <si>
    <t>CX 859 - 9006C</t>
  </si>
  <si>
    <t>ETIQ 9006 - PRO</t>
  </si>
  <si>
    <t>C9006C</t>
  </si>
  <si>
    <t>VASSOURA ESCOVAO C/CABO 1X12</t>
  </si>
  <si>
    <t>9008C</t>
  </si>
  <si>
    <t>VASSOURA ANG. PLAST C/CABO SUPERPRO 1X12</t>
  </si>
  <si>
    <t>AC 103C - 888/878</t>
  </si>
  <si>
    <t>CX 865 - 9008C</t>
  </si>
  <si>
    <t>ETIQ 9008 - PRO</t>
  </si>
  <si>
    <t>C9008C</t>
  </si>
  <si>
    <t>VASSOURA ANGULAR C/CABO 1X12</t>
  </si>
  <si>
    <t>9021C</t>
  </si>
  <si>
    <t>VASSOURA ANG. GRANDE C/CABO SUPERPRO1X12</t>
  </si>
  <si>
    <t>AC 868A -98812EX/9021</t>
  </si>
  <si>
    <t>CX 868 - 9021C</t>
  </si>
  <si>
    <t>ETIQ 9021 - PRO</t>
  </si>
  <si>
    <t>C9021C</t>
  </si>
  <si>
    <t>VASSOURA SUPER TUPY C/CABO 1X12</t>
  </si>
  <si>
    <t>9051C</t>
  </si>
  <si>
    <t>RODO PLAST TPE 30CM C/CABO SUPERPRO 1X12</t>
  </si>
  <si>
    <t>CX 873 - 9051C</t>
  </si>
  <si>
    <t>ETIQ 9051 - PRO</t>
  </si>
  <si>
    <t>C9051C</t>
  </si>
  <si>
    <t>RODO PLAST.30CM BORR.SIMPLES C/CABO 1X12</t>
  </si>
  <si>
    <t>9052C</t>
  </si>
  <si>
    <t>RODO PLAST TPE 40CM C/CABO SUPERPRO1X12</t>
  </si>
  <si>
    <t>CX 874 - 9052C</t>
  </si>
  <si>
    <t>ETIQ 9052 - PRO</t>
  </si>
  <si>
    <t>C9052C</t>
  </si>
  <si>
    <t>RODO PLAST.40CM BORR.SIMPLES C/CABO 1X12</t>
  </si>
  <si>
    <t>9053C</t>
  </si>
  <si>
    <t>RODO PLAST EVA 30CM C/CABO SUPERPRO1X15</t>
  </si>
  <si>
    <t>CX 875 - 9053C</t>
  </si>
  <si>
    <t>ETIQ 9053 - PRO</t>
  </si>
  <si>
    <t>AC 875 TAB - 9053C</t>
  </si>
  <si>
    <t>AC 875 CAN - 9053C</t>
  </si>
  <si>
    <t>C9053C</t>
  </si>
  <si>
    <t>RODO PUSH 30CM BORR.DUPLA C/CABO 1X15</t>
  </si>
  <si>
    <t>9054C</t>
  </si>
  <si>
    <t>RODO PLAST EVA 45CM C/CABO SUPERPRO1X15</t>
  </si>
  <si>
    <t>ETIQ 9054 - PRO</t>
  </si>
  <si>
    <t>C9054C</t>
  </si>
  <si>
    <t>RODO PUSH 45CM BORR.DUPLA C/CABO 1X15​</t>
  </si>
  <si>
    <t>9063D</t>
  </si>
  <si>
    <t>VASSOURA RIGIDA 60CM S/CABO SUPERPRO1X12</t>
  </si>
  <si>
    <t>AC 793A - 9063/9064</t>
  </si>
  <si>
    <t>ETIQ 9063D - PRO</t>
  </si>
  <si>
    <t>CX 793 - 9063D</t>
  </si>
  <si>
    <t>C9063D</t>
  </si>
  <si>
    <t>VASSOURA RIGIDA 60 CM S/CABO 1X12</t>
  </si>
  <si>
    <t>9064D</t>
  </si>
  <si>
    <t>VASSOURA MACIA 60CM S/CABO SUPERPRO1X12</t>
  </si>
  <si>
    <t>CX 792 - 9064D</t>
  </si>
  <si>
    <t>ETIQ 9064D - PRO</t>
  </si>
  <si>
    <t>C9064D</t>
  </si>
  <si>
    <t>VASSOURA CERDAS MACIAS 60 CM S/CABO 1X12</t>
  </si>
  <si>
    <t>9070D</t>
  </si>
  <si>
    <t>VASSOURA PIACA 30CM SUPERPRO 1X12</t>
  </si>
  <si>
    <t>CX 790 - 9070D</t>
  </si>
  <si>
    <t>ETIQ 9070D - PRO</t>
  </si>
  <si>
    <t>AC 9070D - A</t>
  </si>
  <si>
    <t>AC 9070D - B</t>
  </si>
  <si>
    <t>C9020CZ</t>
  </si>
  <si>
    <t>CABO CHAPA MULTIUSO CZ 1400MM 1X12</t>
  </si>
  <si>
    <t>C9070D</t>
  </si>
  <si>
    <t>VASSOURA PIACA 40 CM S/C 1X12</t>
  </si>
  <si>
    <t>9108P</t>
  </si>
  <si>
    <t>MOP UMIDO  ALGODÃO 300G SOLUTION 1X12</t>
  </si>
  <si>
    <t>CX 796 - 9108P</t>
  </si>
  <si>
    <t>SACO PEBD 9108P MOP</t>
  </si>
  <si>
    <t>C9108P</t>
  </si>
  <si>
    <t>MOP UMIDO P.CORTADA 340GR PAVIO 1X12</t>
  </si>
  <si>
    <t>9109P</t>
  </si>
  <si>
    <t>MOP UMIDO  ALGODÃO 340G SOLUTION 1X12</t>
  </si>
  <si>
    <t>CX 914 - 9109</t>
  </si>
  <si>
    <t>SACO PEBD 9109P MOP</t>
  </si>
  <si>
    <t>C9109P</t>
  </si>
  <si>
    <t>MOP UMIDO P.CORTADA 390GR PAVIO 1X12</t>
  </si>
  <si>
    <t>9116P</t>
  </si>
  <si>
    <t>MOP UMIDO ALGODAO 260G SOLUTION 1X12</t>
  </si>
  <si>
    <t>SACO PEBD 9116P MOP</t>
  </si>
  <si>
    <t>CX 9116P</t>
  </si>
  <si>
    <t>C9116P</t>
  </si>
  <si>
    <t>MOP UMIDO PONTA CORTADA 260GR PAVIO-1X12</t>
  </si>
  <si>
    <t>9117P</t>
  </si>
  <si>
    <t>MOP UMIDO  ALGODAO 190G SOLUTION 1X12</t>
  </si>
  <si>
    <t>CX 918 - 9117</t>
  </si>
  <si>
    <t>SACO PEBD MOP 9117P 400X160X80MIC</t>
  </si>
  <si>
    <t>C9117P</t>
  </si>
  <si>
    <t>REFIL ZIGZAG MINI-MOP ALG. PAVIO 1X12</t>
  </si>
  <si>
    <t>9137T</t>
  </si>
  <si>
    <t>ESCOVA OVAL PLAST MULTIUSO SUPERPRO 1X36</t>
  </si>
  <si>
    <t>CX 847 - 9137T</t>
  </si>
  <si>
    <t>ETIQ 9137 - PRO</t>
  </si>
  <si>
    <t>C9137T</t>
  </si>
  <si>
    <t>ESCOVA BETTAJEANS MUTIUSO OVAL 1X36</t>
  </si>
  <si>
    <t>9138T</t>
  </si>
  <si>
    <t>ESCOVA PLAST.USO GERAL SUPERPRO 1X36</t>
  </si>
  <si>
    <t>CX 864 - 9138T</t>
  </si>
  <si>
    <t>ETIQ 9138 - PRO</t>
  </si>
  <si>
    <t>C9138T</t>
  </si>
  <si>
    <t>ESCOVA USO GERAL - 1 X 36</t>
  </si>
  <si>
    <t>9244B</t>
  </si>
  <si>
    <t>PLACA SINAL PLAST BANHEIRO SUPERPRO 1X3</t>
  </si>
  <si>
    <t>PLACA SINALIZACAO EM BRANCO 1X3</t>
  </si>
  <si>
    <t>PIG MASTER AMA AMIN223​ /489 - UT. 2 INV</t>
  </si>
  <si>
    <t>CX 841 - PLACAS SINALIZ</t>
  </si>
  <si>
    <t>ETIQ  HEAT TRANSFER-PLACAS SINALIZADORAS</t>
  </si>
  <si>
    <t>9247B</t>
  </si>
  <si>
    <t>PLACA SINALIZ PLAST MANUT. SUPERPRO1X3</t>
  </si>
  <si>
    <t>9248B</t>
  </si>
  <si>
    <t>PLACA SINALIZ PLAST PISO  SUPERPRO1X3</t>
  </si>
  <si>
    <t>9249B</t>
  </si>
  <si>
    <t>PLACA SINALIZ PLAST S/IMPR. SUPERPRO1X3​</t>
  </si>
  <si>
    <t>9253C</t>
  </si>
  <si>
    <t>PA JEITOSA PLAST. C/CABO SUPERPRO 1X12</t>
  </si>
  <si>
    <t>AC 24A - 150</t>
  </si>
  <si>
    <t>AC 24B - 150</t>
  </si>
  <si>
    <t>CX 878 - 9253C</t>
  </si>
  <si>
    <t>ETIQ 9253 - PRO</t>
  </si>
  <si>
    <t>C9253C</t>
  </si>
  <si>
    <t>PA JEITOSA C/CABO 1X12</t>
  </si>
  <si>
    <t>9255D</t>
  </si>
  <si>
    <t>PA PLASTICA S/CABO SUPERPRO 1X12</t>
  </si>
  <si>
    <t>CX 846 - 9255D</t>
  </si>
  <si>
    <t>ETIQ 9255 - PRO</t>
  </si>
  <si>
    <t>C9255D</t>
  </si>
  <si>
    <t>PA PLASTICA S/CABO 1X12</t>
  </si>
  <si>
    <t>9300F</t>
  </si>
  <si>
    <t>MOP SEKITO PVA M SUPERPRO 1X6</t>
  </si>
  <si>
    <t>CX 9300F</t>
  </si>
  <si>
    <t>9356B</t>
  </si>
  <si>
    <t>LIXEIRA PLAST C/PEDAL BR 36L SUPERPRO1X3</t>
  </si>
  <si>
    <t>LIXEIRA PLASTICA C/ PEDAL BRANCA 36L 1X3</t>
  </si>
  <si>
    <t>9357B</t>
  </si>
  <si>
    <t>LIXEIRA PLAST C/PEDAL BR 72L SUPERPRO1X3</t>
  </si>
  <si>
    <t>LIXEIRA PLASTICA C/ PEDAL BRANCA 72L 1X3</t>
  </si>
  <si>
    <t>9358AM</t>
  </si>
  <si>
    <t>LIXEIRA PLAST S/PEDAL AM120L SUPERPRO1X1</t>
  </si>
  <si>
    <t>LIXEIRA C/PEDAL AMARELA 120 L - 9358AM</t>
  </si>
  <si>
    <t>SACO PEBD TRANSP IMPR 125X220X0,010</t>
  </si>
  <si>
    <t>9358AZ</t>
  </si>
  <si>
    <t>LIXEIRA PLAST S/PEDAL AZ120L SUPERPRO1X1</t>
  </si>
  <si>
    <t>LIXEIRA C/PEDAL AZUL 120 L - 9358AZ</t>
  </si>
  <si>
    <t>9358BR</t>
  </si>
  <si>
    <t>LIXEIRA PLAST S/PEDAL BR120L SUPERPRO1X1</t>
  </si>
  <si>
    <t>LIXEIRA PLAST C/PEDAL 120L - BRANCA</t>
  </si>
  <si>
    <t>9358CZ</t>
  </si>
  <si>
    <t>LIXEIRA PLAST S/PEDAL CZ120L SUPERPRO1X1</t>
  </si>
  <si>
    <t>LIXEIRA C/PEDAL CINZA 120 L - 9358CZ</t>
  </si>
  <si>
    <t>9358VD</t>
  </si>
  <si>
    <t>LIXEIRA PLAST S/PEDAL VD120L SUPERPRO1X1</t>
  </si>
  <si>
    <t>LIXEIRA C/PEDAL VERDE 120 L - 9358VD</t>
  </si>
  <si>
    <t>9358VR</t>
  </si>
  <si>
    <t>LIXEIRA PLAST S/PEDAL VR120L SUPERPRO1X1</t>
  </si>
  <si>
    <t>LIXEIRA C/PEDAL VERMELHA 120 L - 9358VR</t>
  </si>
  <si>
    <t>9359AM</t>
  </si>
  <si>
    <t>LIXEIRA PLAST S/PEDAL AM240L SUPERPRO1X1</t>
  </si>
  <si>
    <t>LIXEIRA C/PEDAL AMARELA 240 L - 9359AM</t>
  </si>
  <si>
    <t>9359AZ</t>
  </si>
  <si>
    <t>LIXEIRA PLAST S/PEDAL AZ240L SUPERPRO1X1</t>
  </si>
  <si>
    <t>LIXEIRA C/PEDAL AZUL 240 L - 9359AZ</t>
  </si>
  <si>
    <t>9359BR</t>
  </si>
  <si>
    <t>LIXEIRA PLAST S/PEDAL BR240L SUPERPRO1X1</t>
  </si>
  <si>
    <t>LIXEIRA PLAST C/PEDAL 240L - BRANCA</t>
  </si>
  <si>
    <t>9359CZ</t>
  </si>
  <si>
    <t>LIXEIRA PLAST S/PEDAL CZ240L SUPERPRO1X1</t>
  </si>
  <si>
    <t>LIXEIRA C/PEDAL CINZA 240 L - 9359CZ</t>
  </si>
  <si>
    <t>9359VD</t>
  </si>
  <si>
    <t>LIXEIRA PLAST S/PEDAL VD240L SUPERPRO1X1</t>
  </si>
  <si>
    <t>LIXEIRA C/PEDAL VERDE 240 L - 9359VD</t>
  </si>
  <si>
    <t>9359VR</t>
  </si>
  <si>
    <t>LIXEIRA PLAST S/PEDAL VR240L SUPERPRO1X1</t>
  </si>
  <si>
    <t>LIXEIRA C/PEDAL VERMELHA 240 L - 9359VR</t>
  </si>
  <si>
    <t>9406F</t>
  </si>
  <si>
    <t>ESPONJA MULTIUSO SOLUTION 1X10X12​</t>
  </si>
  <si>
    <t>CX 879 - 9406F</t>
  </si>
  <si>
    <t>ETIQ 9406F - PRO</t>
  </si>
  <si>
    <t>FILME 9406F</t>
  </si>
  <si>
    <t>FILME BOPP S/IMP 420MMX25MIC​ - 9406F</t>
  </si>
  <si>
    <t>C9406F</t>
  </si>
  <si>
    <t>ESPONJA DUPLAFACE BRILHUS EMB.1X10X12</t>
  </si>
  <si>
    <t>9410SP</t>
  </si>
  <si>
    <t>ESPONJA MULTIUSO SUPERPRO S/PELI. 1X240​</t>
  </si>
  <si>
    <t>CX 805 - 9410SP</t>
  </si>
  <si>
    <t>C9410SP</t>
  </si>
  <si>
    <t>ESPONJA DUPLA FACE ESFR.1X240 S/PELICULA</t>
  </si>
  <si>
    <t>9522FR</t>
  </si>
  <si>
    <t>FIBRA GERAL SOLUTION 1X10X12</t>
  </si>
  <si>
    <t>CX 817 - 9522FR/SP9523FR</t>
  </si>
  <si>
    <t>ROT 9522FR</t>
  </si>
  <si>
    <t>C9522FR</t>
  </si>
  <si>
    <t>FIBRA USO GERAL FRIGORIFICO - 12X10</t>
  </si>
  <si>
    <t>9522FRBA/2</t>
  </si>
  <si>
    <t>FIBRA PROCLEAN GERAL 102X260 1X5X24</t>
  </si>
  <si>
    <t>CX SP9522FRBA</t>
  </si>
  <si>
    <t>C9522FRBA2</t>
  </si>
  <si>
    <t>FIBRA SLIM USO GERAL 101X225/2 1X5X24​</t>
  </si>
  <si>
    <t>9672C</t>
  </si>
  <si>
    <t>VASSOURA NOVICA PLAST CB AM SUPERPRO1X14</t>
  </si>
  <si>
    <t>CX 866 - NOVICA KB</t>
  </si>
  <si>
    <t>ETIQ 9672C</t>
  </si>
  <si>
    <t>AC866 - TAB 1398 X 268MM</t>
  </si>
  <si>
    <t>C9672C</t>
  </si>
  <si>
    <t>VASSOURA MULTIUSO PLAST C/CABO AM 1X14</t>
  </si>
  <si>
    <t>9673C</t>
  </si>
  <si>
    <t>VASSOURA NOVICA PLAST CB AZ SUPERPRO1X14</t>
  </si>
  <si>
    <t>ETIQ 9673C</t>
  </si>
  <si>
    <t>C9673C</t>
  </si>
  <si>
    <t>VASSOURA NOVICA PRO C/CABO 1X14 AZUL</t>
  </si>
  <si>
    <t>9674C</t>
  </si>
  <si>
    <t>VASSOURA NOVICA PLAST CB VR SUPERPRO1X14</t>
  </si>
  <si>
    <t>ETIQ 9674C</t>
  </si>
  <si>
    <t>C9674C</t>
  </si>
  <si>
    <t>VASSOURA NOVICA PRO C/CABO 1X14 VERMELHA</t>
  </si>
  <si>
    <t>9675C</t>
  </si>
  <si>
    <t>VASSOURA NOVICA PLAST CB VD SUPERPRO1X14</t>
  </si>
  <si>
    <t>ETIQ 9675C</t>
  </si>
  <si>
    <t>C9675C</t>
  </si>
  <si>
    <t>VASSOURA NOVICA PRO C/CABO 1X14 VERDE</t>
  </si>
  <si>
    <t>9702R</t>
  </si>
  <si>
    <t>RESERVAT PLAST P/9702 800ML SUPERPRO1X14</t>
  </si>
  <si>
    <t>CX 9702R</t>
  </si>
  <si>
    <t>ETIQ 9702R</t>
  </si>
  <si>
    <t>SP1022BR</t>
  </si>
  <si>
    <t>FOLHA BR GERAL IND. 101X225 1X120</t>
  </si>
  <si>
    <t>SACO B2B 80X90X21 21 MIC</t>
  </si>
  <si>
    <t>IF1022BR</t>
  </si>
  <si>
    <t>FOLHA BRANCA LIMPEZA USO GERAL101X225MM</t>
  </si>
  <si>
    <t>SP1022F</t>
  </si>
  <si>
    <t>FOLHA GERAL IND. 101X2251X120</t>
  </si>
  <si>
    <t>IF1022F</t>
  </si>
  <si>
    <t>FOLHA USO GERAL FRIGORIFICO 101X225MM</t>
  </si>
  <si>
    <t>SP1026BR</t>
  </si>
  <si>
    <t>FOLHA LIMP LEVEBR 102X260 IND.1X100</t>
  </si>
  <si>
    <t>SACO PEBD SP950253 70X85X0,20​</t>
  </si>
  <si>
    <t>IF1026BR</t>
  </si>
  <si>
    <t>FOLHA LIMPEZA USO LEVE BRANCA 102X260MM</t>
  </si>
  <si>
    <t>SP1026G</t>
  </si>
  <si>
    <t>FOLHA GERAL 102X260 IND. 1X100</t>
  </si>
  <si>
    <t>IF1026G</t>
  </si>
  <si>
    <t>FOLHA DE LIMPEZA USO GERAL 102X260MM</t>
  </si>
  <si>
    <t>SP1026P</t>
  </si>
  <si>
    <t>FOLHA  PESADA 102X260MM IND. 1X100</t>
  </si>
  <si>
    <t>IF1026P</t>
  </si>
  <si>
    <t>FOLHA LIMPEZA PESADA 102X260MM</t>
  </si>
  <si>
    <t>SP1071B</t>
  </si>
  <si>
    <t>ESPONJA MULTIUSO 100X71MM IND. 1X200</t>
  </si>
  <si>
    <t>SACO IE7526B 760X460X65 15MIC​</t>
  </si>
  <si>
    <t>IE1071B</t>
  </si>
  <si>
    <t>ESPONJA DUPLA FACE VD/AM B 100X71MM</t>
  </si>
  <si>
    <t>SP110170</t>
  </si>
  <si>
    <t>FIBRA ABRASIVA VR 17X6 SUPERPRO 1X150</t>
  </si>
  <si>
    <t>Itens em introdução</t>
  </si>
  <si>
    <t>C110170</t>
  </si>
  <si>
    <t>SUPERPRO FIBRA ABRASIV VERM 17X6CM 1X150</t>
  </si>
  <si>
    <t>Itens de intercompany</t>
  </si>
  <si>
    <t>SP11044BA</t>
  </si>
  <si>
    <t>DISCO RESTAURADOR VR ABRASIVO 440MM 1X20</t>
  </si>
  <si>
    <t>CX SP9644-9944-11044/BA</t>
  </si>
  <si>
    <t>C11044BA</t>
  </si>
  <si>
    <t>SP11051BA</t>
  </si>
  <si>
    <t>DISCO RESTAURADOR VR ABRASIVO 510MM 1X20</t>
  </si>
  <si>
    <t>CX DISCO BA 510</t>
  </si>
  <si>
    <t>C11051BA</t>
  </si>
  <si>
    <t>SP12000100</t>
  </si>
  <si>
    <t>EXPOSITOR DE PRODUTOS PLAST SUPERPRO 1X1</t>
  </si>
  <si>
    <t>CX SP12000100</t>
  </si>
  <si>
    <t>TABULEIRO SUPERPRO</t>
  </si>
  <si>
    <t>C12000100</t>
  </si>
  <si>
    <t>SP134UG</t>
  </si>
  <si>
    <t>ROLO MANTA NAO TECIDO IND. 1X134</t>
  </si>
  <si>
    <t>SACO DISCO 350 - 62X95CMX0,14MIC</t>
  </si>
  <si>
    <t>IR134UG</t>
  </si>
  <si>
    <t>BETTECH ROLO MANTA NAO TECIDO 134MM</t>
  </si>
  <si>
    <t>SP18020PRL</t>
  </si>
  <si>
    <t>SACO LIXO PLAST 20L LV SUPERPRO1X10X100</t>
  </si>
  <si>
    <t>SACO PEBD SP18020PRL 11,5X31CM 8MIC</t>
  </si>
  <si>
    <t>SACO PEBD MASTER 35X50CM 10MIC</t>
  </si>
  <si>
    <t>ROTULO SP18020PRL - MASTER</t>
  </si>
  <si>
    <t>C18020PRL</t>
  </si>
  <si>
    <t>SUPERPRO SACO LIXO LV RL 20L C/100 1X10</t>
  </si>
  <si>
    <t>SP18020PRM</t>
  </si>
  <si>
    <t>SACO LIXO PLAST 20L MD SUPERPRO1X10X100</t>
  </si>
  <si>
    <t>SACO PEBD SP18020PRM 11,5X31CM 8MIC</t>
  </si>
  <si>
    <t>ROTULO SP18020PRM - MASTER</t>
  </si>
  <si>
    <t>C18020PRM</t>
  </si>
  <si>
    <t>SUPERPRO SACO LIXO MD RL 20L C/100 1X10</t>
  </si>
  <si>
    <t>SP18040PRL</t>
  </si>
  <si>
    <t>SACO LIXO PLAST 40L LV SUPERPRO1X10X100</t>
  </si>
  <si>
    <t>SACO PEBD SP18040PRL 13,5X32CM 8MIC</t>
  </si>
  <si>
    <t>SACO PEBD MASTER 35X60CM 10MIC</t>
  </si>
  <si>
    <t>ROTULO SP18040PRL - MASTER</t>
  </si>
  <si>
    <t>ROTULO SACO PARA LIXO SP18040PRL</t>
  </si>
  <si>
    <t>C18040PRL</t>
  </si>
  <si>
    <t>SUPERPRO SACO LIXO LV RL 40L C/100 1X10</t>
  </si>
  <si>
    <t>SP18040PRM</t>
  </si>
  <si>
    <t>SACO LIXO PLAST 40L MD SUPERPRO1X10X100</t>
  </si>
  <si>
    <t>SACO PEBD SP18040PRM 13,5X32CM 8MIC</t>
  </si>
  <si>
    <t>ROTULO SP18040PRM - MASTER</t>
  </si>
  <si>
    <t>ROTULO SACO PARA LIXO SP18040PRM</t>
  </si>
  <si>
    <t>C18040PRM</t>
  </si>
  <si>
    <t>SUPERPRO SACO LIXO MD RL 40L C/100 1X10</t>
  </si>
  <si>
    <t>SP18060PRL</t>
  </si>
  <si>
    <t>SACO LIXO PLAST 60L LV SUPERPRO1X10X100</t>
  </si>
  <si>
    <t>SACO PEBD SP18060PRL 15,5X36CM 8MIC</t>
  </si>
  <si>
    <t>SACO PEBD MASTER 41X70CM 10MIC</t>
  </si>
  <si>
    <t>ROTULO SP18060PRL - MASTER</t>
  </si>
  <si>
    <t>ROTULO SACO PARA LIXO SP18060PRL</t>
  </si>
  <si>
    <t>C18060PRL</t>
  </si>
  <si>
    <t>SUPERPRO SACO LIXO LV RL 60L C/100 1X10</t>
  </si>
  <si>
    <t>SP18060PRM</t>
  </si>
  <si>
    <t>SACO LIXO PLAST 60L MD SUPERPRO1X10X100</t>
  </si>
  <si>
    <t>SACO PEBD SP18060PRM 15,5X36CM 8MIC</t>
  </si>
  <si>
    <t>ROTULO SP18060PRM - MASTER</t>
  </si>
  <si>
    <t>ROTULO SP18060PRM PACOTE</t>
  </si>
  <si>
    <t>C18060PRM</t>
  </si>
  <si>
    <t>SUPERPRO SACO LIXO MD RL 60L C/100 1X10</t>
  </si>
  <si>
    <t>SP18105PRL</t>
  </si>
  <si>
    <t>SACO LIXO PLAST 105L LV SUPERPRO1X10X50</t>
  </si>
  <si>
    <t>SACO PEBD SP18105PRL 16X33CM 8MIC</t>
  </si>
  <si>
    <t>ROTULO SP18105PRL - MASTER</t>
  </si>
  <si>
    <t>C18105PRL</t>
  </si>
  <si>
    <t>SUPERPRO SACO LIXO LV RL 105L C/50 1X10</t>
  </si>
  <si>
    <t>SP18105PRM</t>
  </si>
  <si>
    <t>SACO LIXO PLAST 105L MD SUPERPRO1X10X50</t>
  </si>
  <si>
    <t>SACO PEBD SP18105PRM 16X33CM 8MIC</t>
  </si>
  <si>
    <t>ROTULO SP18105PRM - MASTER</t>
  </si>
  <si>
    <t>C18105PRM</t>
  </si>
  <si>
    <t>SUPERPRO SACO LIXO MD RL 105L C/50 1X10</t>
  </si>
  <si>
    <t>SP18105PRR</t>
  </si>
  <si>
    <t>SACO LIXO PLAST 105L RF SUPERPRO1X10X50</t>
  </si>
  <si>
    <t>ROTULO SP18105PRR - MASTER</t>
  </si>
  <si>
    <t>SACO PEBD SP18105PRR 16X33CM 8MIC</t>
  </si>
  <si>
    <t>ROTULO PACOTE SP18105PRR</t>
  </si>
  <si>
    <t>C18105PRR</t>
  </si>
  <si>
    <t>SUPERPRO SACO LIXO REF RL 105L C/50 1X10</t>
  </si>
  <si>
    <t>SP18150PRL</t>
  </si>
  <si>
    <t>SACO LIXO PLAST 150L LV SUPERPRO1X4X50</t>
  </si>
  <si>
    <t>SACO PEBD SP18150PRL 17,5X35CM 8MIC</t>
  </si>
  <si>
    <t>SACO PEBD MASTER 42X46CM 10MIC</t>
  </si>
  <si>
    <t>ROTULO SP18150PRL - MASTER</t>
  </si>
  <si>
    <t>C18150PRL</t>
  </si>
  <si>
    <t>SUPERPRO SACO LIXO LV RL 150L C/50 1X4</t>
  </si>
  <si>
    <t>SP2227AMF</t>
  </si>
  <si>
    <t>FOLHA VR AMF 225X275 IND. 1X60</t>
  </si>
  <si>
    <t>IF2227AMF</t>
  </si>
  <si>
    <t>FOLHA VERMELHA AMF 225X275MM</t>
  </si>
  <si>
    <t>SP27030AZ</t>
  </si>
  <si>
    <t>ROLO TNT VP5 AZ 30X0,27M 35G 1X12</t>
  </si>
  <si>
    <t>JUMBO RL TNT AZUL 35G 50 10 VP5 / 90 POL</t>
  </si>
  <si>
    <t>ROLO DE FITA DUPLA FACE 475 25X30</t>
  </si>
  <si>
    <t>CX SP303530</t>
  </si>
  <si>
    <t>FILME POLIOLEFINICO 300MM X 15MIC</t>
  </si>
  <si>
    <t>ROT SP27030AZ</t>
  </si>
  <si>
    <t>TUBO DE PAPEL 30X268X1MM</t>
  </si>
  <si>
    <t>SP27030BR</t>
  </si>
  <si>
    <t>ROLO TNT VP5 BR 30X0,27M 35G 1X12</t>
  </si>
  <si>
    <t>JUMBO RL TNT BRANCO 35G 10 VP5 / 90 POL</t>
  </si>
  <si>
    <t>ROT SP27030BR</t>
  </si>
  <si>
    <t>SP27030LR</t>
  </si>
  <si>
    <t>ROLO TNT VP5 LR 30X0,27M 35G 1X12</t>
  </si>
  <si>
    <t>JUMBO RL TNT LARANJA 35G 10 VP5 / 90 POL</t>
  </si>
  <si>
    <t>ROT SP27030LR</t>
  </si>
  <si>
    <t>SP27030VD</t>
  </si>
  <si>
    <t>ROLO TNT VP5 VD 30X0,27M 35G 1X12</t>
  </si>
  <si>
    <t>JUMBO RL TNT VERDE 35G 10 VP5 / 90 POL</t>
  </si>
  <si>
    <t>ROT SP27030VD</t>
  </si>
  <si>
    <t>SP27150AZ</t>
  </si>
  <si>
    <t>ROLO TNT 150MX0,20M 35G AZ PROCLEAN 1X1</t>
  </si>
  <si>
    <t>TUBO DE PAPEL 30,0X1,0X195MM</t>
  </si>
  <si>
    <t>JUMBO RL TNT AZUL 35G 80POL/20 VISC</t>
  </si>
  <si>
    <t>FITA LISA 36X100 (192)</t>
  </si>
  <si>
    <t>ROTULO PANO SP27150AZ</t>
  </si>
  <si>
    <t>SP2716AZ</t>
  </si>
  <si>
    <t>ROLO TEC N TEC PROLIMP AZ 160X0,27M 35G</t>
  </si>
  <si>
    <t>ETIQ SP2716AZ 150X180MM</t>
  </si>
  <si>
    <t>SACO 37X60X0,07​ RL PQ 2716</t>
  </si>
  <si>
    <t>SP2716BR</t>
  </si>
  <si>
    <t>ROLO TEC N TEC PROLIMP BR 160X0,27M 35G</t>
  </si>
  <si>
    <t>JUMBO RL TNT BRANCO 35G 80POL/20 VISC</t>
  </si>
  <si>
    <t>ETIQ SP2716BR 150X180MM</t>
  </si>
  <si>
    <t>SP2716LR</t>
  </si>
  <si>
    <t>ROLO TEC N TEC PROLIMP LR 160X0,27M 35G</t>
  </si>
  <si>
    <t>JUMBO RL TNT LARANJA 35G 80POL/20 VISC</t>
  </si>
  <si>
    <t>ETIQ SP2716LR 150X180MM</t>
  </si>
  <si>
    <t>SP2716VD</t>
  </si>
  <si>
    <t>ROLO TEC N TEC PROLIMP VD 160X0,27M 35G</t>
  </si>
  <si>
    <t>JUMBO RL TNT VERDE 35G 80POL/20 VISC</t>
  </si>
  <si>
    <t>ETIQ SP2716VD 150X180MM</t>
  </si>
  <si>
    <t>SP2720AZ</t>
  </si>
  <si>
    <t>ROLO TNT AZ 240MX0,27M 35G SUPERPRO 1X1</t>
  </si>
  <si>
    <t>ETIQ SP2720AZ 150X180MM</t>
  </si>
  <si>
    <t>SACO PEBD 55X65CM 10MIC</t>
  </si>
  <si>
    <t>SP2720BR</t>
  </si>
  <si>
    <t>ROLO TNT BR 240MX0,27M 35G SUPERPRO 1X1</t>
  </si>
  <si>
    <t>ROT SP2720BR 150X180MM</t>
  </si>
  <si>
    <t>SP2720LR</t>
  </si>
  <si>
    <t>ROLO TNT LR 240MX0,27M 35G SUPERPRO 1X1</t>
  </si>
  <si>
    <t>ETIQ SP2720LR 150X180MM</t>
  </si>
  <si>
    <t>SP2720VD</t>
  </si>
  <si>
    <t>ROLO TNT VD 240MX0,27M 35G SUPERPRO 1X1</t>
  </si>
  <si>
    <t>ROT SP2720VD 150X180MM</t>
  </si>
  <si>
    <t>SP27240AZ</t>
  </si>
  <si>
    <t>ROLO TNT AZ 240MX0,27M 35G PROCLEAN 1X1</t>
  </si>
  <si>
    <t>ROT SP27240AZ</t>
  </si>
  <si>
    <t>SP27240BR</t>
  </si>
  <si>
    <t>ROLO TNT BR 240MX0,27M 35G PROCLEAN 1X1</t>
  </si>
  <si>
    <t>ROT SP27240BR</t>
  </si>
  <si>
    <t>SP27240LR</t>
  </si>
  <si>
    <t>ROLO TNT LR 240MX0,27M 35G PROCLEAN 1X1</t>
  </si>
  <si>
    <t>ROT SP27240LR</t>
  </si>
  <si>
    <t>SP27240VD</t>
  </si>
  <si>
    <t>ROLO TNT VD 240MX0,27M 35G PROCLEAN 1X1</t>
  </si>
  <si>
    <t>ROT SP27240VD</t>
  </si>
  <si>
    <t>SP27300AZ</t>
  </si>
  <si>
    <t>ROLO TNT AZ 300MX0,27M 35G PROCLEAN 1X1</t>
  </si>
  <si>
    <t>ROT SP27300AZ</t>
  </si>
  <si>
    <t>SP27300BR</t>
  </si>
  <si>
    <t>ROLO TNT BR 300MX0,27M 35G PROCLEAN 1X1</t>
  </si>
  <si>
    <t>ROT SP27300BR</t>
  </si>
  <si>
    <t>SP27300LR</t>
  </si>
  <si>
    <t>ROLO TNT LR 300MX0,27M 35G PROCLEAN 1X1</t>
  </si>
  <si>
    <t>ROT SP27300LR</t>
  </si>
  <si>
    <t>SP27300VD</t>
  </si>
  <si>
    <t>ROLO TNT VD 300MX0,27M 35G PROCLEAN 1X1</t>
  </si>
  <si>
    <t>ROT SP27300VD</t>
  </si>
  <si>
    <t>SP273530AZ</t>
  </si>
  <si>
    <t>ROLO TNT AZ 30MX0,27M 35G SUPERPRO 1X12</t>
  </si>
  <si>
    <t>ETIQ SP273530AZ 120X150MM</t>
  </si>
  <si>
    <t>SP273530BR</t>
  </si>
  <si>
    <t>ROLO TNT BR 30MX0,27M 35G SUPERPRO 1X12</t>
  </si>
  <si>
    <t>ETIQ SP273530BR 120X150MM</t>
  </si>
  <si>
    <t>SP273530LR</t>
  </si>
  <si>
    <t>ROLO TNT LR 30MX0,27M 35G SUPERPRO 1X12</t>
  </si>
  <si>
    <t>ETIQ SP273530LR 120X150MM</t>
  </si>
  <si>
    <t>SP273530VD</t>
  </si>
  <si>
    <t>ROLO TNTVD 30MX0,27M 35G SUPERPRO 1X12</t>
  </si>
  <si>
    <t>ETIQ SP273530VD 120X150MM</t>
  </si>
  <si>
    <t>SP2735AZ</t>
  </si>
  <si>
    <t>ROLO TNT AZ 300MX0,27M 35G SUPERPRO 1X1</t>
  </si>
  <si>
    <t>ROT SP2735AZ 150X180MM</t>
  </si>
  <si>
    <t>SP2735BR</t>
  </si>
  <si>
    <t>ROLO TNT BR 300MX0,27M 35G SUPERPRO 1X1</t>
  </si>
  <si>
    <t>ETIQ SP2735BR 150X180MM</t>
  </si>
  <si>
    <t>SP2735LR</t>
  </si>
  <si>
    <t>ROLO TNT LR 300MX0,27M 35G SUPERPRO 1X1</t>
  </si>
  <si>
    <t>ETIQ SP2735LR 150X180MM</t>
  </si>
  <si>
    <t>SP2735VD</t>
  </si>
  <si>
    <t>ROLO TNT VD 300MX0,27M 35G SUPERPRO 1X1</t>
  </si>
  <si>
    <t>ETIQ SP2735VD 150X180MM</t>
  </si>
  <si>
    <t>SP274530AZ</t>
  </si>
  <si>
    <t>ROLO TNT AZ 30MX0,27M 45G SUPERPRO 1X12</t>
  </si>
  <si>
    <t>JUMBO RL TNT AZUL 45G 50 VIS/ 50 POL</t>
  </si>
  <si>
    <t>CX SP304530 - 824</t>
  </si>
  <si>
    <t>ETIQ SP274530AZ 120 X 150 MM</t>
  </si>
  <si>
    <t>SP274530BR</t>
  </si>
  <si>
    <t>ROLO TNT BR 30MX0,27M 45G SUPERPRO 1X12</t>
  </si>
  <si>
    <t>JUMBO RL TNT BRANCO 45G 50 VIS/ 50 POL</t>
  </si>
  <si>
    <t>ETIQ SP274530BR 120 X 150 MM</t>
  </si>
  <si>
    <t>SP274530LR</t>
  </si>
  <si>
    <t>ROLO TNT LR 30MX0,27M 45G SUPERPRO 1X12</t>
  </si>
  <si>
    <t>JUMBO RL TNT LARANJA 45G 50 VIS/ 50 POL</t>
  </si>
  <si>
    <t>ETIQ SP274530LR 120 X 150 MM</t>
  </si>
  <si>
    <t>SP274530VD</t>
  </si>
  <si>
    <t>ROLO TNT VD 30MX0,27M 45G SUPERPRO 1X12</t>
  </si>
  <si>
    <t>JUMBO RL TNT VERDE 45G 50 VIS/ 50 POL</t>
  </si>
  <si>
    <t>ETIQ SP274530VD 120 X 150 MM</t>
  </si>
  <si>
    <t>SP2745AZ</t>
  </si>
  <si>
    <t>ROLO TNT AZ 300MX0,27M 45G SUPERPRO 1X1</t>
  </si>
  <si>
    <t>ROT SP2745AZ 150 X 180 MM</t>
  </si>
  <si>
    <t>SP2745BR</t>
  </si>
  <si>
    <t>ROLO TNT BR 300MX0,27M 45G SUPERPRO 1X1</t>
  </si>
  <si>
    <t>ROT SP2745BR 150 X 180 MM</t>
  </si>
  <si>
    <t>SP2745LR</t>
  </si>
  <si>
    <t>ROLO TNT LR 300MX0,27M 45G SUPERPRO 1X1</t>
  </si>
  <si>
    <t>ROT SP2745LR 150 X 180 MM</t>
  </si>
  <si>
    <t>SP2745VD</t>
  </si>
  <si>
    <t>ROLO TNT VD 300MX0,27M 45G SUPERPRO 1X1</t>
  </si>
  <si>
    <t>ROT SP2745VD 150 X 180 MM</t>
  </si>
  <si>
    <t>SP2780BR</t>
  </si>
  <si>
    <t>ROLO TEC N TEC PROLIMP BR 300X0,27M 35G</t>
  </si>
  <si>
    <t>ETIQ SP2780BR 150X180MM</t>
  </si>
  <si>
    <t>SP2780LR</t>
  </si>
  <si>
    <t>ROLO TEC N TEC PROLIMP LR 300X0,27M 35G</t>
  </si>
  <si>
    <t>ETIQ SP2780LR 150X180MM</t>
  </si>
  <si>
    <t>SP2780VD</t>
  </si>
  <si>
    <t>ROLO TEC N TEC PROLIMP VD 300X0,27M 35G</t>
  </si>
  <si>
    <t>ETIQ SP2780VD 150X180MM</t>
  </si>
  <si>
    <t>SP350BRC</t>
  </si>
  <si>
    <t>DISCO BRANCO 350MM PROCLEAN 1X20</t>
  </si>
  <si>
    <t>C350BRC</t>
  </si>
  <si>
    <t>SP350PTC</t>
  </si>
  <si>
    <t>DISCO PRETO 350MM PROCLEAN 1X20</t>
  </si>
  <si>
    <t>C350PTC</t>
  </si>
  <si>
    <t>SP350VDC</t>
  </si>
  <si>
    <t>DISCO VERDE 350MM PROCLEAN 1X20</t>
  </si>
  <si>
    <t>C350VDC</t>
  </si>
  <si>
    <t>SP350VRC</t>
  </si>
  <si>
    <t>DISCO VERMELHO 350MM PROCLEAN 1X20</t>
  </si>
  <si>
    <t>C350VRC</t>
  </si>
  <si>
    <t>SP40/2AC</t>
  </si>
  <si>
    <t>LIXEIRA PLAST CDIVISORIA 40L SUPERPRO1X2</t>
  </si>
  <si>
    <t>LIXEIRA PLAST C/ PEDAL AZ CZ - SP40/2AC</t>
  </si>
  <si>
    <t>CXSP40/2AC</t>
  </si>
  <si>
    <t>MANUAL SP40/2AC 16X22CM</t>
  </si>
  <si>
    <t>SP410BRC</t>
  </si>
  <si>
    <t>DISCO BRANCO 410MM PROCLEAN 1X20</t>
  </si>
  <si>
    <t>C410BRC</t>
  </si>
  <si>
    <t>SP410PTC</t>
  </si>
  <si>
    <t>DISCO PRETO 410MM PROCLEAN 1X20</t>
  </si>
  <si>
    <t>C410PTC</t>
  </si>
  <si>
    <t>SP410VDC</t>
  </si>
  <si>
    <t>DISCO VERDE 410MM PROCLEAN 1X20</t>
  </si>
  <si>
    <t>C410VDC</t>
  </si>
  <si>
    <t>SP410VRC</t>
  </si>
  <si>
    <t>DISCO VERMELHO 410MM PROCLEAN 1X20</t>
  </si>
  <si>
    <t>C410VRC</t>
  </si>
  <si>
    <t>SP440BRC</t>
  </si>
  <si>
    <t>DISCO BRANCO 440MM PROCLEAN 1X20</t>
  </si>
  <si>
    <t>C440BRC</t>
  </si>
  <si>
    <t>SP440PTC</t>
  </si>
  <si>
    <t>DISCO PRETO 440MM PROCLEAN 1X20</t>
  </si>
  <si>
    <t>C440PTC</t>
  </si>
  <si>
    <t>SP440VDC</t>
  </si>
  <si>
    <t>DISCO VERDE 440MM PROCLEAN 1X20</t>
  </si>
  <si>
    <t>C440VDC</t>
  </si>
  <si>
    <t>SP440VRC</t>
  </si>
  <si>
    <t>DISCO VERMELHO 440MM PROCLEAN 1X20</t>
  </si>
  <si>
    <t>C440VRC</t>
  </si>
  <si>
    <t>SP510BRC</t>
  </si>
  <si>
    <t>DISCO BRANCO 510MM PROCLEAN 1X20</t>
  </si>
  <si>
    <t>SACO DISCO 510 - 85X115CMX0,14MIC</t>
  </si>
  <si>
    <t>C510BRC</t>
  </si>
  <si>
    <t>SP510PTC</t>
  </si>
  <si>
    <t>DISCO PRETO 510MM PROCLEAN 1X20</t>
  </si>
  <si>
    <t>C510PTC</t>
  </si>
  <si>
    <t>SP510VDC</t>
  </si>
  <si>
    <t>DISCO VERDE 510MM PROCLEAN 1X20</t>
  </si>
  <si>
    <t>C510VDC</t>
  </si>
  <si>
    <t>SP510VRC</t>
  </si>
  <si>
    <t>DISCO VERMELHO 510MM PROCLEAN 1X20</t>
  </si>
  <si>
    <t>C510VRC</t>
  </si>
  <si>
    <t>SP60190BR</t>
  </si>
  <si>
    <t>PANTEC RL BR 190MX0,27M 60G SUPERPRO1X1</t>
  </si>
  <si>
    <t>JUMBO RL TNT BR 60G 70VISC/30POL PANTEC</t>
  </si>
  <si>
    <t>ETIQ SP60190BR PANTEC</t>
  </si>
  <si>
    <t>SP6440AM</t>
  </si>
  <si>
    <t>LIXEIRA PLAST BASCUL. AM 40L SUPERPRO1X6</t>
  </si>
  <si>
    <t>LIXEIRA BASCULANTE AM 40L 1X6</t>
  </si>
  <si>
    <t>SP6440AZ</t>
  </si>
  <si>
    <t>LIXEIRA PLAST BASCUL. AZ 40L SUPERPRO1X6</t>
  </si>
  <si>
    <t>LIXEIRA BASCULANTE AZ 40L 1X6</t>
  </si>
  <si>
    <t>SP6440CC</t>
  </si>
  <si>
    <t>LIXEIRA PLASTICA BASCULANTE 40L 1X1</t>
  </si>
  <si>
    <t>LIXEIRA BASCULANTE VR 40L 1X6</t>
  </si>
  <si>
    <t>LIXEIRA BASCULANTE MR 40L 1X6</t>
  </si>
  <si>
    <t>LIXEIRA BASCULANTE VD 40L 1X6</t>
  </si>
  <si>
    <t>SP6440MR</t>
  </si>
  <si>
    <t>LIXEIRA PLAST BASCUL. MR 40L SUPERPRO1X6</t>
  </si>
  <si>
    <t>SP6440VD</t>
  </si>
  <si>
    <t>LIXEIRA PLAST BASCUL. VD 40L SUPERPRO1X6</t>
  </si>
  <si>
    <t>SP6440VR</t>
  </si>
  <si>
    <t>LIXEIRA PLAST BASCUL. VR 40L SUPERPRO1X6</t>
  </si>
  <si>
    <t>SP7526MCX</t>
  </si>
  <si>
    <t>ESPONJA MULTIUSO 75X260MM IND. 1X60</t>
  </si>
  <si>
    <t>SACO IF1324P 850X480X85 15MIC​</t>
  </si>
  <si>
    <t>IE7526MCX</t>
  </si>
  <si>
    <t>ESPONJA DUPLA FACE MCX 75X260MM</t>
  </si>
  <si>
    <t>SP8712BT</t>
  </si>
  <si>
    <t>FOLHA BETTACO 87X125MM IND. 1X120</t>
  </si>
  <si>
    <t>IF8712BT</t>
  </si>
  <si>
    <t>FOLHA DE LIMPEZA BETTACO 87X125MM</t>
  </si>
  <si>
    <t>SP8712BTS</t>
  </si>
  <si>
    <t>IF8712BTS</t>
  </si>
  <si>
    <t>FOLHA DE LIMPEZA BETTACO SLIM 87X125MM</t>
  </si>
  <si>
    <t>SP90103</t>
  </si>
  <si>
    <t>VASSOURA MULT PLAST CABO BR SUPERPRO1X14</t>
  </si>
  <si>
    <t>ETIQUETA 90103</t>
  </si>
  <si>
    <t>C90103</t>
  </si>
  <si>
    <t>VASSOURA MULTIUSO PLAST BR C/CABO 1X14</t>
  </si>
  <si>
    <t>SP9020AM</t>
  </si>
  <si>
    <t>CABO AÇO AM 1,4M SUPERPRO 1X12</t>
  </si>
  <si>
    <t>ETIQ SP9020AM</t>
  </si>
  <si>
    <t>C9020AM</t>
  </si>
  <si>
    <t>CABO CHAPA MULTIUSO AM 1400MM 1X12</t>
  </si>
  <si>
    <t>SP9020AZ</t>
  </si>
  <si>
    <t>CABO AÇO  AZ 1,4M SUPERPRO 1X12</t>
  </si>
  <si>
    <t>ETIQ 9020AZ</t>
  </si>
  <si>
    <t>C9020AZ</t>
  </si>
  <si>
    <t>CABO CHAPA MULTIUSO AZ 1400MM 1X12</t>
  </si>
  <si>
    <t>SP9020CZ</t>
  </si>
  <si>
    <t>CABO AÇO CZ 1,4M SUPERPRO 1X12</t>
  </si>
  <si>
    <t>ETIQ SP9020CZ</t>
  </si>
  <si>
    <t>SP9020VD</t>
  </si>
  <si>
    <t>CABO AÇO VD 1,4M SUPERPRO 1X12</t>
  </si>
  <si>
    <t>ETIQ 9020VD</t>
  </si>
  <si>
    <t>C9020VD</t>
  </si>
  <si>
    <t>CABO CHAPA MULTIUSO VD 1400MM 1X12</t>
  </si>
  <si>
    <t>SP9020VR</t>
  </si>
  <si>
    <t>CABO AÇO VR 1,4M SUPERPRO 1X12</t>
  </si>
  <si>
    <t>ETIQ 9020VR</t>
  </si>
  <si>
    <t>C9020VR</t>
  </si>
  <si>
    <t>CABO CHAPA MULTIUSO VR 1400MM 1X12</t>
  </si>
  <si>
    <t>SP9022</t>
  </si>
  <si>
    <t>CABO ACO 1,4M CZ ROSCA SUPERPRO 1X12</t>
  </si>
  <si>
    <t>ETIQUETA SP9022</t>
  </si>
  <si>
    <t>C9022</t>
  </si>
  <si>
    <t>SP9024B</t>
  </si>
  <si>
    <t>ESPONJA MULTIUSO 90X240MM IND. 1X60</t>
  </si>
  <si>
    <t>IE9024B</t>
  </si>
  <si>
    <t>ESPONJA DUPLA FACE VD/AM B 90X240MM</t>
  </si>
  <si>
    <t>SP9028</t>
  </si>
  <si>
    <t>VASSOURA PLAST GRAN SLIM S/CABO 1X12</t>
  </si>
  <si>
    <t>CX 9028 - SEM IMPRESSAO</t>
  </si>
  <si>
    <t>ETIQ SP9028</t>
  </si>
  <si>
    <t>C9028</t>
  </si>
  <si>
    <t>SP9050</t>
  </si>
  <si>
    <t>REFIL TPE RODO ALUM 35CM SUPERPRO1X10</t>
  </si>
  <si>
    <t>REFIL BORRACHA RODO 35CM 1X10​</t>
  </si>
  <si>
    <t>CX SP9050</t>
  </si>
  <si>
    <t>SP9077/1</t>
  </si>
  <si>
    <t>ESPREMEDOR PLAST. P/SP9077 SUPERPRO 1X1</t>
  </si>
  <si>
    <t>ESPREMEDOR PLASTICO CJ SP9077</t>
  </si>
  <si>
    <t>SP9098B</t>
  </si>
  <si>
    <t>BASE PLAST P/ MOP UNIV. 1X1</t>
  </si>
  <si>
    <t>BASE PLAST P/ MOP SUPERPRO 1X1</t>
  </si>
  <si>
    <t>SP9102LA</t>
  </si>
  <si>
    <t>TELA MICTORIO LILAS LAVANDA SUPERPRO1X12</t>
  </si>
  <si>
    <t>TELA MIC. MOSCA LILAS LAVANDA 1X12​​</t>
  </si>
  <si>
    <t>​TPE A70 70425​ KARINA TPE 7116A75CO FCC</t>
  </si>
  <si>
    <t>PIG MASTER ROXO 471</t>
  </si>
  <si>
    <t>MB ESSENCIA LAVANDA</t>
  </si>
  <si>
    <t>CX 9102 TELA</t>
  </si>
  <si>
    <t>SACO TELA MICTORIO</t>
  </si>
  <si>
    <t>13008/M</t>
  </si>
  <si>
    <t>LUVA TPE DESCARTAVEL CLEAR 1X100X6 M</t>
  </si>
  <si>
    <t>SP9102VD</t>
  </si>
  <si>
    <t>TELA MICTORIO VERDE NATUREZA 1X12</t>
  </si>
  <si>
    <t>TELA MIC. MOSCA VERDE NATUREZA 1X12​</t>
  </si>
  <si>
    <t>PIG MASTER VERDE VD 441  - TELA</t>
  </si>
  <si>
    <t>FRAGRANCIA EUCALIPTO TELA</t>
  </si>
  <si>
    <t>SACO TELA MICTORIO VD</t>
  </si>
  <si>
    <t>SP9110AZ</t>
  </si>
  <si>
    <t>MOP P.DOBRADA 300GR PAVIO BANDA AZ 1X12</t>
  </si>
  <si>
    <t>MOP UMIDO P.DOB 300G PAVIO AZUL 1X12</t>
  </si>
  <si>
    <t>SP9110P</t>
  </si>
  <si>
    <t>MOP UMIDO P/DOBRADA 300G SUPERPRO 1X12</t>
  </si>
  <si>
    <t>MOP UMIDO P DOB 300G PAVIO 1X12</t>
  </si>
  <si>
    <t>SP9111P</t>
  </si>
  <si>
    <t>MOP UMIDO P/DOBRADA 340G SUPERPRO 1X12</t>
  </si>
  <si>
    <t>MOP UMIDO P.DOB 340G PAVIO 1X12</t>
  </si>
  <si>
    <t>SP9117AM</t>
  </si>
  <si>
    <t>MOP AM ALG. PAVIO BRANCO SOLUTION 1X12</t>
  </si>
  <si>
    <t>C9117AM</t>
  </si>
  <si>
    <t>MINI MOP ALGODAO PAVIO BRANCO 1X12 AM</t>
  </si>
  <si>
    <t>SP9117AZ</t>
  </si>
  <si>
    <t>MOP AZ ALG. PAVIO BRANCO SOLUTION 1X12</t>
  </si>
  <si>
    <t>C9117AZ</t>
  </si>
  <si>
    <t>MINI MOP ALGODAO PAVIO BRANCO 1X12 AZ</t>
  </si>
  <si>
    <t>SP9117VD</t>
  </si>
  <si>
    <t>MOP VD ALG. PAVIO BRANCO SOLUTION 1X12</t>
  </si>
  <si>
    <t>C9117VD</t>
  </si>
  <si>
    <t>MINI MOP ALGODAO PAVIO BRANCO 1X12 VD</t>
  </si>
  <si>
    <t>SP9117VR</t>
  </si>
  <si>
    <t>MOP VR ALG. PAVIO BRANCO SOLUTION 1X12</t>
  </si>
  <si>
    <t>C9117VR</t>
  </si>
  <si>
    <t>MINI MOP ALGODAO PAVIO BRANCO 1X12 VR</t>
  </si>
  <si>
    <t>SP9127P</t>
  </si>
  <si>
    <t>MOP UMIDO P/CORTADA 300G SUPERPRO 1X12</t>
  </si>
  <si>
    <t>MOP ALGODAO PONTA CORTADA 300G 1X12</t>
  </si>
  <si>
    <t>SP9128P</t>
  </si>
  <si>
    <t>MOP UMIDO P/CORTADA 340G SUPERPRO 1X12</t>
  </si>
  <si>
    <t>MOP ALGODAO PONTA CORTADA 340G 1X12​</t>
  </si>
  <si>
    <t>SP9131P</t>
  </si>
  <si>
    <t>MOP ALGODAO 140G PROCLEAN 1X12</t>
  </si>
  <si>
    <t>SACO IMPRESSO SP9131P 400X150X80MIC SLIM</t>
  </si>
  <si>
    <t>C9131P</t>
  </si>
  <si>
    <t>MOP SLIM FIO CORDAO 140G 1X12</t>
  </si>
  <si>
    <t>SP9134P</t>
  </si>
  <si>
    <t>MOP CORDAO MICROFIBRA SUPERPRO 1X12</t>
  </si>
  <si>
    <t>FIO PARA MOP 100% POLIESTER SP9134P</t>
  </si>
  <si>
    <t>SACO 9134P 19X35</t>
  </si>
  <si>
    <t>CSP9134P</t>
  </si>
  <si>
    <t>MOP CORDAO MICROFIBRA 1X12</t>
  </si>
  <si>
    <t>SP9135P</t>
  </si>
  <si>
    <t>MOP MICROFIBRA TIRAS SUPERPRO 1X12</t>
  </si>
  <si>
    <t>FIO TIRA MICROFIBRA PARA MOP SP9135P</t>
  </si>
  <si>
    <t>SACO SP9135P​</t>
  </si>
  <si>
    <t>C9135P</t>
  </si>
  <si>
    <t>MINI MOP MICROFIBRA TIRAS 1X12</t>
  </si>
  <si>
    <t>SP9139AM</t>
  </si>
  <si>
    <t>ESCOVA PLAST CANTOS AM SUPERPRO 1X12</t>
  </si>
  <si>
    <t>ETIQ 9139AM - PRO</t>
  </si>
  <si>
    <t>C9139AM</t>
  </si>
  <si>
    <t>ESCOVA PLAST P/AZULEJOS E CANTOS AM 1X12</t>
  </si>
  <si>
    <t>SP9139AZ</t>
  </si>
  <si>
    <t>ESCOVA PLAST CANTOS AZ SUPERPRO 1X12</t>
  </si>
  <si>
    <t>ETIQ 9139AZ - PRO</t>
  </si>
  <si>
    <t>C9139AZ</t>
  </si>
  <si>
    <t>ESCOVA PLAST P/AZULEJOS E CANTOS AZ 1X12</t>
  </si>
  <si>
    <t>SP9139VD</t>
  </si>
  <si>
    <t>ESCOVA PLAST CANTOS VD SUPERPRO 1X12</t>
  </si>
  <si>
    <t>ETIQ 9139VD - PRO</t>
  </si>
  <si>
    <t>C9139VD</t>
  </si>
  <si>
    <t>ESCOVA PLAST P/AZULEJOS E CANTOS VD 1X12</t>
  </si>
  <si>
    <t>SP9139VR</t>
  </si>
  <si>
    <t>ESCOVA PLAST CANTOS VR SUPERPRO 1X12</t>
  </si>
  <si>
    <t>ETIQ 9139VR - PRO</t>
  </si>
  <si>
    <t>C9139VR</t>
  </si>
  <si>
    <t>ESCOVA PLAST P/AZULEJOS E CANTOS VR 1X12</t>
  </si>
  <si>
    <t>SP9145AZ</t>
  </si>
  <si>
    <t>ESCOVA MULT. AZ CERDA DURA SUPERPRO 1X12</t>
  </si>
  <si>
    <t>AC 911A - 9145</t>
  </si>
  <si>
    <t>CX 911 - 9145</t>
  </si>
  <si>
    <t>ETIQ 9145 - PRO</t>
  </si>
  <si>
    <t>AC 911B - 9145</t>
  </si>
  <si>
    <t>C9145AZ</t>
  </si>
  <si>
    <t>ESCOVA MULTIUSO LONGO ALCANCE AZUL-1X12</t>
  </si>
  <si>
    <t>SP9148CZ</t>
  </si>
  <si>
    <t>ESCOVA MULT. CZ CERDA MD SUPERPRO 1X12</t>
  </si>
  <si>
    <t>ETIQUETA 9148CZ</t>
  </si>
  <si>
    <t>CAIXA 9148CZ</t>
  </si>
  <si>
    <t>C9148CZ</t>
  </si>
  <si>
    <t>ESCOVA PLASTICA MULTIUSO CZ 1X12</t>
  </si>
  <si>
    <t>SP9149</t>
  </si>
  <si>
    <t>ESCOVA PLAST VR CERDA MD SUPERPRO 1X12</t>
  </si>
  <si>
    <t>AC 216A - 8501</t>
  </si>
  <si>
    <t>CX 781 - SP9149</t>
  </si>
  <si>
    <t>ETIQ 9149 - PRO</t>
  </si>
  <si>
    <t>CSP9149</t>
  </si>
  <si>
    <t>ESCOVA SUPERPRO RELAX VERMELHA - 1X12</t>
  </si>
  <si>
    <t>SP9149AM</t>
  </si>
  <si>
    <t>ESCOVA PLAST AM CERDAS MD SUPERPRO 1X12</t>
  </si>
  <si>
    <t>ETIQ 9149AM - PRO</t>
  </si>
  <si>
    <t>C9149AM</t>
  </si>
  <si>
    <t>ESCOVA PLAST SUPERPRO AM 1X12</t>
  </si>
  <si>
    <t>SP9149AZ</t>
  </si>
  <si>
    <t>ESCOVA PLAST AZ CERDA MD SUPERPRO 1X12</t>
  </si>
  <si>
    <t>ETIQ 9149AZ - PRO</t>
  </si>
  <si>
    <t>C9149AZ</t>
  </si>
  <si>
    <t>ESCOVA PLAST SUPERPRO AZ 1X12</t>
  </si>
  <si>
    <t>SP9149VD</t>
  </si>
  <si>
    <t>ESCOVA PLAST VD  CERDAS MD SUPERPRO 1X12</t>
  </si>
  <si>
    <t>ETIQ 9149VD - PRO</t>
  </si>
  <si>
    <t>C9149VD</t>
  </si>
  <si>
    <t>ESCOVA PLAST SUPERPRO VD 1X12</t>
  </si>
  <si>
    <t>SP9150</t>
  </si>
  <si>
    <t>ESCOVA PLAST CZ CERDAS MD SUPERPRO 1X12</t>
  </si>
  <si>
    <t>ETIQ SP9150</t>
  </si>
  <si>
    <t>CX SP9150</t>
  </si>
  <si>
    <t>ACESSORIO SP9150</t>
  </si>
  <si>
    <t>C9150</t>
  </si>
  <si>
    <t>ESCOVA MULTIUSO SUPERPRO 1X12</t>
  </si>
  <si>
    <t>SP9157</t>
  </si>
  <si>
    <t>RODO PLAST PROF. CZ 45CM SUPERPRO 1X12</t>
  </si>
  <si>
    <t>BASE PLASTICO RODO 45CM SUPERPRO</t>
  </si>
  <si>
    <t>VARETA PLASTICA RODO 45CM</t>
  </si>
  <si>
    <t>PERFIL BORRACHA RODO 45CM</t>
  </si>
  <si>
    <t>CX 9157​</t>
  </si>
  <si>
    <t>ETIQ 9157</t>
  </si>
  <si>
    <t>SP9157AM</t>
  </si>
  <si>
    <t>RODO PLAST PROF. AM 45CM SUPERPRO 1X12</t>
  </si>
  <si>
    <t>BASE PLASTICO RODO 45CM AM SUPERPRO</t>
  </si>
  <si>
    <t>PORCA PLASTICA SUPERPRO AM (2000798)</t>
  </si>
  <si>
    <t>ETIQ SP9157AM</t>
  </si>
  <si>
    <t>SP9157AZ</t>
  </si>
  <si>
    <t>RODO PLAST PROF. AZ 45CM SUPERPRO 1X12</t>
  </si>
  <si>
    <t>BASE RODO PLASTICO 45CM AZUL</t>
  </si>
  <si>
    <t>PORCA PLASTICA SUPERPRO (2000798) AZUL</t>
  </si>
  <si>
    <t>ETIQ SP9157 AZUL</t>
  </si>
  <si>
    <t>SP9157VD</t>
  </si>
  <si>
    <t>RODO PLAST PROF. VD 45CM SUPERPRO 1X12</t>
  </si>
  <si>
    <t>BASE PLASTICO RODO 45CM VD SUPERPRO</t>
  </si>
  <si>
    <t>PORCA PLASTICA SUPERPRO VD (2000798)</t>
  </si>
  <si>
    <t>ETIQ SP9157VD</t>
  </si>
  <si>
    <t>SP9157VR</t>
  </si>
  <si>
    <t>RODO PLAST PROF. VR 45CM SUPERPRO 1X12</t>
  </si>
  <si>
    <t>BASE PLASTICO RODO 45CM VR SUPERPRO</t>
  </si>
  <si>
    <t>PORCA PLASTICA SUPERPRO VR (2000798)</t>
  </si>
  <si>
    <t>ETIQ SP9157VR</t>
  </si>
  <si>
    <t>SP9158</t>
  </si>
  <si>
    <t>RODO PLAST PROF. CZ 65CM SUPERPRO 1X6</t>
  </si>
  <si>
    <t>BASE PLASTICO RODO 65CM SUPERPRO</t>
  </si>
  <si>
    <t>VARETA PLASTICA RODO 65CM</t>
  </si>
  <si>
    <t>PERFIL BORRACHA RODO 65CM</t>
  </si>
  <si>
    <t>CX 9158​</t>
  </si>
  <si>
    <t>ETIQ 9158</t>
  </si>
  <si>
    <t>SP9158AM</t>
  </si>
  <si>
    <t>RODO PLAST PROF. AM 65CM SUPERPRO 1X6</t>
  </si>
  <si>
    <t>BASE PLASTICO RODO 65CM AM SUPERPRO</t>
  </si>
  <si>
    <t>ETIQ SP9158AM</t>
  </si>
  <si>
    <t>SP9158AZ</t>
  </si>
  <si>
    <t>RODO PLAST PROF. AZ 65CM SUPERPRO 1X6</t>
  </si>
  <si>
    <t>BASE RODO PLASTICO 65CM AZUL</t>
  </si>
  <si>
    <t>ETIQ SP9158 AZUL</t>
  </si>
  <si>
    <t>SP9158VD</t>
  </si>
  <si>
    <t>RODO PLAST PROF. VD 65CM SUPERPRO 1X6</t>
  </si>
  <si>
    <t>BASE PLASTICO RODO 65CM VD SUPERPRO</t>
  </si>
  <si>
    <t>ETIQ SP9158VD</t>
  </si>
  <si>
    <t>SP9158VR</t>
  </si>
  <si>
    <t>RODO PLAST PROF. VR 65CM SUPERPRO 1X6</t>
  </si>
  <si>
    <t>BASE PLASTICO RODO 65CM VR SUPERPRO</t>
  </si>
  <si>
    <t>ETIQ SP9158VR</t>
  </si>
  <si>
    <t>SP920AMF</t>
  </si>
  <si>
    <t>ROLO MANTA VERMELHA IND. AMF 1X27,6</t>
  </si>
  <si>
    <t>IR920AMF</t>
  </si>
  <si>
    <t>ROLO MANTA VERMELHA AMF</t>
  </si>
  <si>
    <t>SP920BR</t>
  </si>
  <si>
    <t>ROLO FIBRA LEVE BRANCAIND. 1X23</t>
  </si>
  <si>
    <t>IR920BR</t>
  </si>
  <si>
    <t>ROLO FOLHA DE LIMPEZA USO LEVE BRANCA</t>
  </si>
  <si>
    <t>SP920BRX</t>
  </si>
  <si>
    <t>ROLO SP MANTA BRANCA - 50 X 0,92M</t>
  </si>
  <si>
    <t>IR920BRX</t>
  </si>
  <si>
    <t>BETTECH ROLO MANTA BRANCA - 50 X 0,92M</t>
  </si>
  <si>
    <t>SP920BTS</t>
  </si>
  <si>
    <t>ROLO FIBRA BETTACO IND. 1X23</t>
  </si>
  <si>
    <t>IR920BTS</t>
  </si>
  <si>
    <t>ROLO FOLHA DE LIMPEZA BETTACO SLIM</t>
  </si>
  <si>
    <t>SP920MCX</t>
  </si>
  <si>
    <t>ROLO MANTA ABRAS. ESPONJA IND. 1X 92</t>
  </si>
  <si>
    <t>IR920MCX</t>
  </si>
  <si>
    <t>MANTA ABRASIVA PARA ESPONJA VERDE</t>
  </si>
  <si>
    <t>SP920MZ</t>
  </si>
  <si>
    <t>ROLO MANTA MEDIO ZIRCONIO IND. 1X46</t>
  </si>
  <si>
    <t>IR920MZ</t>
  </si>
  <si>
    <t>ROLO MANTA MEDIO ZIRCONIO</t>
  </si>
  <si>
    <t>SP920PS</t>
  </si>
  <si>
    <t>ROLO MANTA LIMPEZA PESADA SUPERRO 1X23</t>
  </si>
  <si>
    <t>IR920PS</t>
  </si>
  <si>
    <t>BETTECH ROLO MANTA LIMPEZA PESADA</t>
  </si>
  <si>
    <t>SP920UG</t>
  </si>
  <si>
    <t>ROLO FIBRA GERAL IND. 1X23</t>
  </si>
  <si>
    <t>IR920UG</t>
  </si>
  <si>
    <t>ROLO FOLHA DE LIMPEZA USO GERAL</t>
  </si>
  <si>
    <t>SP9224AM</t>
  </si>
  <si>
    <t>SUPORTE PLAST P/MOP UMIDO AM SUPERPRO1X6</t>
  </si>
  <si>
    <t>CORPO MOP 9224 AM (2000695)</t>
  </si>
  <si>
    <t>ETIQ 9224AM - PRO</t>
  </si>
  <si>
    <t>SP9224AZ</t>
  </si>
  <si>
    <t>SUPORTE PLAST P/MOP UMIDO AZ SUPERPRO1X6</t>
  </si>
  <si>
    <t>CORPO MOP 9224 AZ (2000695)</t>
  </si>
  <si>
    <t>ETIQ 9224AZ - PRO</t>
  </si>
  <si>
    <t>SP9224VD</t>
  </si>
  <si>
    <t>SUPORTE PLAST P/MOP UMIDO VD SUPERPRO1X6</t>
  </si>
  <si>
    <t>CORPO MOP 9224 VD (2000695)</t>
  </si>
  <si>
    <t>ETIQ 9224VD - PRO</t>
  </si>
  <si>
    <t>SP9224VR</t>
  </si>
  <si>
    <t>SUPORTE PLAST P/MOP UMIDO VR SUPERPRO1X6</t>
  </si>
  <si>
    <t>CORPO MOP 9224 VR (2000695)</t>
  </si>
  <si>
    <t>ETIQ 9224VR - PRO</t>
  </si>
  <si>
    <t>SP9232</t>
  </si>
  <si>
    <t>BALDE PLAST 2 AGUAS 20L SUPERPRO 1X2</t>
  </si>
  <si>
    <t>BALDE PLASTICO 2 AGUAS C/ESPREM 20L 1X6</t>
  </si>
  <si>
    <t>ETIQ SP9232 BALDE</t>
  </si>
  <si>
    <t>CX SP9232</t>
  </si>
  <si>
    <t>SP9232/1</t>
  </si>
  <si>
    <t>ESPREMEDOR PLAST PBALDE 9232 SUPERPRO1X6</t>
  </si>
  <si>
    <t>ESPREMEDOR PLASTICO P/BALDE 2 AGUAS 1X6</t>
  </si>
  <si>
    <t>ETIQ SP9232/1</t>
  </si>
  <si>
    <t>CX SP9232/1</t>
  </si>
  <si>
    <t>SP9253AM</t>
  </si>
  <si>
    <t>PA PLASTICA C/CABO AM SUPERPRO 1X12</t>
  </si>
  <si>
    <t>ETIQ 9253 AM - PRO</t>
  </si>
  <si>
    <t>C9253AM</t>
  </si>
  <si>
    <t>PA JEITOSA PLAST C/CABO AM 1X12</t>
  </si>
  <si>
    <t>SP9253AZ</t>
  </si>
  <si>
    <t>PA PLASTICA C/CABO AZ SUPERPRO 1X12</t>
  </si>
  <si>
    <t>ETIQ 9253 AZ - PRO</t>
  </si>
  <si>
    <t>C9253AZ</t>
  </si>
  <si>
    <t>PA JEITOSA PLAST C/CABO AZ 1X12</t>
  </si>
  <si>
    <t>SP9253VD</t>
  </si>
  <si>
    <t>PA PLASTICA C/CABO VD SUPERPRO 1X12</t>
  </si>
  <si>
    <t>ETIQ 9253 VD - PRO</t>
  </si>
  <si>
    <t>C9253VD</t>
  </si>
  <si>
    <t>PA JEITOSA PLAST C/CABO VD 1X12</t>
  </si>
  <si>
    <t>SP9253VR</t>
  </si>
  <si>
    <t>PA PLASTICA C/CABO VR SUPERPRO 1X12</t>
  </si>
  <si>
    <t>ETIQ 9253 VR - PRO</t>
  </si>
  <si>
    <t>C9253VR</t>
  </si>
  <si>
    <t>PA JEITOSA PLAST C/CABO VR 1X12</t>
  </si>
  <si>
    <t>SP9260AM</t>
  </si>
  <si>
    <t>PA COLETORA PLAST C/CABO AM SUPERPRO1X12</t>
  </si>
  <si>
    <t>ETIQ 9260AM - PRO</t>
  </si>
  <si>
    <t>C9260AM</t>
  </si>
  <si>
    <t>PA COLETORA C/CABO AM 1X12</t>
  </si>
  <si>
    <t>SP9260AZ</t>
  </si>
  <si>
    <t>PA COLETORA PLAST C/CABO AZ SUPERPRO1X12</t>
  </si>
  <si>
    <t>ETIQ 9260AZ - PRO</t>
  </si>
  <si>
    <t>C9260AZ</t>
  </si>
  <si>
    <t>PA COLETORA C/CABO AZ 1X12</t>
  </si>
  <si>
    <t>SP9260VD</t>
  </si>
  <si>
    <t>PA COLETORA PLAST C/CABO VD SUPERPRO1X12</t>
  </si>
  <si>
    <t>ETIQ 9260VD - PRO</t>
  </si>
  <si>
    <t>C9260VD</t>
  </si>
  <si>
    <t>PA COLETORA C/CABO VD 1X12</t>
  </si>
  <si>
    <t>SP9260VR</t>
  </si>
  <si>
    <t>PA COLETORA PLAST C/CABO VR SUPERPRO1X12</t>
  </si>
  <si>
    <t>ETIQ 9260VR - PRO</t>
  </si>
  <si>
    <t>C9260VR</t>
  </si>
  <si>
    <t>PA COLETORA C/CABO VR 1X12</t>
  </si>
  <si>
    <t>SP9261C</t>
  </si>
  <si>
    <t>PA COLETORA PLAST CCABO G SUPERPRO1X10</t>
  </si>
  <si>
    <t>CX 9261C</t>
  </si>
  <si>
    <t>AC 9261/1</t>
  </si>
  <si>
    <t>AC 9261/2</t>
  </si>
  <si>
    <t>ETIQ SP9261C PA</t>
  </si>
  <si>
    <t>C9261C</t>
  </si>
  <si>
    <t>PA COLETORA PLASTICA GD C/CABO 1X10</t>
  </si>
  <si>
    <t>SP93120CZ</t>
  </si>
  <si>
    <t>LIXEIRA GRAFITE 120L SOLUTION 1X1</t>
  </si>
  <si>
    <t>LIXEIRA 120L - SEM PEDAL</t>
  </si>
  <si>
    <t>SP93240CZ</t>
  </si>
  <si>
    <t>LIXEIRA CINZA 240L SUPERPRO SOLUTION 1X1</t>
  </si>
  <si>
    <t>LIXEIRA 240L - SEM PEDAL</t>
  </si>
  <si>
    <t>SP9340F</t>
  </si>
  <si>
    <t>MOP SEKITO G 38CM SUPERPRO  1X6</t>
  </si>
  <si>
    <t>CABO CHAPA ACO CINZA P/MOP SEKITO 1 M</t>
  </si>
  <si>
    <t>SP9347</t>
  </si>
  <si>
    <t>PULVERIZADOR 0,5L TRANS SUPERPRO1X12</t>
  </si>
  <si>
    <t>VALVULA GATILHO BRANCA C/PESCADOR 24CM</t>
  </si>
  <si>
    <t>FRASCO MOD. 34 500ML CRISTAL 27G R.28/41</t>
  </si>
  <si>
    <t>AC SP9347/SP9348 190X240MM</t>
  </si>
  <si>
    <t>ETIQ SP9347</t>
  </si>
  <si>
    <t>SP9348</t>
  </si>
  <si>
    <t>PULVERIZADOR PLAST 0,5L  SUPERPRO1X12</t>
  </si>
  <si>
    <t>FRASCO MOD. 34 500ML AZUL 27G R.28/410</t>
  </si>
  <si>
    <t>ETIQ BORRIFADOR 9348</t>
  </si>
  <si>
    <t>SP9349</t>
  </si>
  <si>
    <t>PULVERIZADOR PLAST 0,5L SOLUTION 1X12</t>
  </si>
  <si>
    <t>FRASCO CRISTAL 500ML 22G R.28/410 - 332</t>
  </si>
  <si>
    <t>ETIQUETA PRODUTO 9349</t>
  </si>
  <si>
    <t>SP9352</t>
  </si>
  <si>
    <t>PULVERIZADOR  SPRAY 1L SUPERPRO 1X12</t>
  </si>
  <si>
    <t>GATILHO PARA BORRIFADOR DE 1L</t>
  </si>
  <si>
    <t>FRASCO 1 L BORRIFADOR</t>
  </si>
  <si>
    <t>ETIQUETA SP9352</t>
  </si>
  <si>
    <t>SACO 48X75X0,10 - BORRIFADORES</t>
  </si>
  <si>
    <t>ACESSORIO 720X350MM</t>
  </si>
  <si>
    <t>SP9353</t>
  </si>
  <si>
    <t>PULVERIZADOR 1L NEVOA SUPERPRO 1X12</t>
  </si>
  <si>
    <t>VALVULA GATILHO NEVOA</t>
  </si>
  <si>
    <t>ETIQUETA SP9353</t>
  </si>
  <si>
    <t>SP93530BR</t>
  </si>
  <si>
    <t>LIXEIRA PLAST CPEDAL 30L BR SUPERPRO1X5</t>
  </si>
  <si>
    <t>LIXEIRA C/ PEDAL 30L BRANCA 1X4</t>
  </si>
  <si>
    <t>CX LIXEIRA 30L PRO</t>
  </si>
  <si>
    <t>AC LIX 30</t>
  </si>
  <si>
    <t>SP9358MR</t>
  </si>
  <si>
    <t>LIXEIRA PLAST S/PEDAL MR120L SUPERPRO1X1</t>
  </si>
  <si>
    <t>LIXEIRA C/PEDAL MARROM 120 L</t>
  </si>
  <si>
    <t>SP9359MR</t>
  </si>
  <si>
    <t>LIXEIRA PLAST S/PEDAL MR240L SUPERPRO1X1</t>
  </si>
  <si>
    <t>LIXEIRA C/PEDAL MARROM 240 L</t>
  </si>
  <si>
    <t>SP936100BR</t>
  </si>
  <si>
    <t>LIXEIRA BR 100L SUPERPRO SOLUTION 1X4</t>
  </si>
  <si>
    <t>LIXEIRA HOSPITALAR 100L BRANCA</t>
  </si>
  <si>
    <t>SACO LIXEIRAS BRANCAS E PRETAS</t>
  </si>
  <si>
    <t>SP936100PT</t>
  </si>
  <si>
    <t>LIXEIRA PRETA 100L SUPERPRO SOLUTION 1X4</t>
  </si>
  <si>
    <t>LIXEIRA HOSPITALAR 100L PRETA</t>
  </si>
  <si>
    <t>SP93630BR</t>
  </si>
  <si>
    <t>LIXEIRA BRANCA 30L SUPERPRO SOLUTION 1X4</t>
  </si>
  <si>
    <t>LIXEIRA HOSPITALAR BRANCA 30L</t>
  </si>
  <si>
    <t>SP93630PT</t>
  </si>
  <si>
    <t>LIXEIRA PRETA 30L SUPERPRO SOLUTION 1X4</t>
  </si>
  <si>
    <t>LIXEIRA HOSPITALAR 30L PRETA</t>
  </si>
  <si>
    <t>SP93650BR</t>
  </si>
  <si>
    <t>LIXEIRA BRANCA 50L SUPERPRO SOLUTION 1X4</t>
  </si>
  <si>
    <t>LIXEIRA HOSPITALAR 50L BRANCA</t>
  </si>
  <si>
    <t>SP93650PT</t>
  </si>
  <si>
    <t>LIXEIRA PRETA 50L SUPERPRO SOLUTION 1X4</t>
  </si>
  <si>
    <t>LIXEIRA HOSPITALAR 50L PRETO</t>
  </si>
  <si>
    <t>SP93680BR</t>
  </si>
  <si>
    <t>LIXEIRA BRANCA 80L SUPERPRO SOLUTION 1X4</t>
  </si>
  <si>
    <t>LIXEIRA HOSPITALAR 80L BRANCO</t>
  </si>
  <si>
    <t>SP93680PT</t>
  </si>
  <si>
    <t>LIXEIRA PRETA 80L SUPERPRO SOLUTION 1X4</t>
  </si>
  <si>
    <t>LIXEIRA HOSPITALAR 80L PRETO</t>
  </si>
  <si>
    <t>SP9380CZ</t>
  </si>
  <si>
    <t>LIXEIRA GRAFITE 80L SOLUTION 1X1</t>
  </si>
  <si>
    <t>LIXEIRA 80L S/PEDAL</t>
  </si>
  <si>
    <t>SP9404BA</t>
  </si>
  <si>
    <t>CX SP9404BA</t>
  </si>
  <si>
    <t>C9404BA</t>
  </si>
  <si>
    <t>SP9409BA</t>
  </si>
  <si>
    <t>FIBRA VERMELHA AMF GR240 1X10X10</t>
  </si>
  <si>
    <t>CX SP9409BA</t>
  </si>
  <si>
    <t>C9409BA</t>
  </si>
  <si>
    <t>FIBRA VERMELHA AMF GRAO240 225X152-1X100</t>
  </si>
  <si>
    <t>SP94106/2</t>
  </si>
  <si>
    <t>ESPONJA MULTIUSO SUPERPRO 1X60</t>
  </si>
  <si>
    <t>CX 94106/2</t>
  </si>
  <si>
    <t>C94106/2</t>
  </si>
  <si>
    <t>ESPONJA DUPLA FACE 1X60</t>
  </si>
  <si>
    <t>SP9440</t>
  </si>
  <si>
    <t>ESPONJA MULT 40X7,5X2,3CM SUPERPRO1X120</t>
  </si>
  <si>
    <t>CX 9440</t>
  </si>
  <si>
    <t>C9440</t>
  </si>
  <si>
    <t>ESPONJA REFIL 40X7,5X2,3 CM C/120</t>
  </si>
  <si>
    <t>SP9443</t>
  </si>
  <si>
    <t>ESPONJA AZ E BR 24,5X9CM SUPERPRO 1X200</t>
  </si>
  <si>
    <t>CX SP9477FL</t>
  </si>
  <si>
    <t>C9443</t>
  </si>
  <si>
    <t>ESPONJA AZUL E BRANCA 24,5X9CM 1X200</t>
  </si>
  <si>
    <t>SP9444</t>
  </si>
  <si>
    <t>ESPONJA MULT 102X175CM SUPERPRO1X90</t>
  </si>
  <si>
    <t>C9444</t>
  </si>
  <si>
    <t>ESPONJAO DUPLA FACE 102X175MM</t>
  </si>
  <si>
    <t>SP9459</t>
  </si>
  <si>
    <t>MANTA ABRASIVA MF280 VERMELHA</t>
  </si>
  <si>
    <t>C9459</t>
  </si>
  <si>
    <t>MANTA ABRASIVA VERMELHA  AMF GRAO240</t>
  </si>
  <si>
    <t>SP9466</t>
  </si>
  <si>
    <t>ROLO ROSA ABRASIVO</t>
  </si>
  <si>
    <t>C9466</t>
  </si>
  <si>
    <t>ROLO MANTA ABRASIVA ROSA</t>
  </si>
  <si>
    <t>SP9470</t>
  </si>
  <si>
    <t>​MANTA ABRASIVA VERDE IND. 1X45</t>
  </si>
  <si>
    <t>C9470</t>
  </si>
  <si>
    <t>MANTA ABRASIVA VERDE 1X45M2​​</t>
  </si>
  <si>
    <t>SP9470CZ</t>
  </si>
  <si>
    <t>MANTA ABRASIVA CINZA IND. 1X45</t>
  </si>
  <si>
    <t>C9470CZ</t>
  </si>
  <si>
    <t>MANTA ABRASIVA CINZA 45M2</t>
  </si>
  <si>
    <t>SP9471SP</t>
  </si>
  <si>
    <t>ESPONJA MULT S/ PELICULA SOLUTION 1X240</t>
  </si>
  <si>
    <t>CX 9471SP KB</t>
  </si>
  <si>
    <t>C9471SP</t>
  </si>
  <si>
    <t>ESPONJA MULTIUSO S/ PELICULA 1X240</t>
  </si>
  <si>
    <t>SP9472</t>
  </si>
  <si>
    <t>ESPONJA MULTIUSO PROCLEAN 1X60</t>
  </si>
  <si>
    <t>CX 816 - SP9472 SLIM</t>
  </si>
  <si>
    <t>FILME BOPP 155 X 215 20MIC SP9472 SLIM</t>
  </si>
  <si>
    <t>C9472</t>
  </si>
  <si>
    <t>ESPONJA MULTIUSO SLIM C/ PELICULA 1X60</t>
  </si>
  <si>
    <t>SP9477FL</t>
  </si>
  <si>
    <t>ESPONJA MULTA 24,5 X 9CM SOLUTION 1X200</t>
  </si>
  <si>
    <t>C9477FL</t>
  </si>
  <si>
    <t>ESPONJA ABRASIVA 24,5 X 9CM 1X200</t>
  </si>
  <si>
    <t>SP9500/1</t>
  </si>
  <si>
    <t>FIBRA BETTACO EMB C/1 1X80 SUPERPRO 1X80</t>
  </si>
  <si>
    <t>FILME BOPP LARG270 PAS187 20MIC SP9500/1</t>
  </si>
  <si>
    <t>CX 979/1 9500/1</t>
  </si>
  <si>
    <t>C9500/1</t>
  </si>
  <si>
    <t>FIBRA LIMP BETTACO EMB C/1 1X80</t>
  </si>
  <si>
    <t>SP950010BA</t>
  </si>
  <si>
    <t>FIBRA LIMP BETTACO 87X125 1X20X10</t>
  </si>
  <si>
    <t>CX SP9500BA</t>
  </si>
  <si>
    <t>C950010BA</t>
  </si>
  <si>
    <t>FIBRA LIMP BETTACO 1X20X10</t>
  </si>
  <si>
    <t>SP9500BA</t>
  </si>
  <si>
    <t>FIBRA LIMP BETTACO 1X40X5</t>
  </si>
  <si>
    <t>C9500BA</t>
  </si>
  <si>
    <t>FIBRA LIMP BETTACO 1X40X5​​</t>
  </si>
  <si>
    <t>SP9502/2EX</t>
  </si>
  <si>
    <t>FIBRA LIMP USO GERAL 102X260/2 1X5X20</t>
  </si>
  <si>
    <t>Cadastro não liberado</t>
  </si>
  <si>
    <t>CX SP9502BA</t>
  </si>
  <si>
    <t>C9502BA/2</t>
  </si>
  <si>
    <t>​FIBRA LIMP USO GERAL 87X250/2 1X5X20​</t>
  </si>
  <si>
    <t>SP9502BA/2</t>
  </si>
  <si>
    <t>SP9502/3</t>
  </si>
  <si>
    <t>FIBRA GERAL EMB C/3 SUPERPRO 1X40</t>
  </si>
  <si>
    <t>FILME BOPP LARG320 PAS337 20MIC SP9502/3</t>
  </si>
  <si>
    <t>CX 967/1 9502/3</t>
  </si>
  <si>
    <t>C9502/3</t>
  </si>
  <si>
    <t>FIBRA LIMPEZA GERAL EMB C/3 1X40</t>
  </si>
  <si>
    <t>SP950204</t>
  </si>
  <si>
    <t>FIBRA USO GERAL 395X140MM 1X100</t>
  </si>
  <si>
    <t>C950204</t>
  </si>
  <si>
    <t>SP950253</t>
  </si>
  <si>
    <t>ROLO FIBRA LIMP GERAL 0,15MX25M IND. 1X1</t>
  </si>
  <si>
    <t>CSP950253</t>
  </si>
  <si>
    <t>ROLO FIBRA LIMP GERAL 0,15MX25</t>
  </si>
  <si>
    <t>SP9502BA</t>
  </si>
  <si>
    <t>C9502BA</t>
  </si>
  <si>
    <t>SP950404</t>
  </si>
  <si>
    <t>FIBRA USO LEVE BR 395X140MM 1X100</t>
  </si>
  <si>
    <t>C950404</t>
  </si>
  <si>
    <t>SP950453</t>
  </si>
  <si>
    <t>ROLO FIBRA LEVE 0,15MX25M IND. 1X1</t>
  </si>
  <si>
    <t>CSP950453</t>
  </si>
  <si>
    <t>​ROLO FIBRA LIMP USO LEVE 0,15MX53M</t>
  </si>
  <si>
    <t>SP9504BA</t>
  </si>
  <si>
    <t>CX 9504BA</t>
  </si>
  <si>
    <t>C9504BA</t>
  </si>
  <si>
    <t>FIBRA LIMP USO LEVE 102X260 1X101X0</t>
  </si>
  <si>
    <t>SP9504BA/2</t>
  </si>
  <si>
    <t>FIBRA LIMP USO LEVE 102X260/2 1X5X20</t>
  </si>
  <si>
    <t>C9504BA/2</t>
  </si>
  <si>
    <t>SP9506/2</t>
  </si>
  <si>
    <t>FIBRA LIMP. PESADA 101X225 SUPERPRO 1X50</t>
  </si>
  <si>
    <t>CX 957/1 9506/2</t>
  </si>
  <si>
    <t>FILME BOPP LARG310 PAS340 20MIC SP9506/2</t>
  </si>
  <si>
    <t>C9506/2</t>
  </si>
  <si>
    <t>FIBRA LIMPEZA PESADA EMB. C/2 1X50</t>
  </si>
  <si>
    <t>SP950604</t>
  </si>
  <si>
    <t>FIBRA PESADA 395X140  SUPERPRO 1X100</t>
  </si>
  <si>
    <t>C950604</t>
  </si>
  <si>
    <t>SP950653</t>
  </si>
  <si>
    <t>ROLO FIBRA PESADA 0,15MX25M IND. 1X1</t>
  </si>
  <si>
    <t>C950653</t>
  </si>
  <si>
    <t>ROLO FIBRA LIMP PESADA 0,15MX25M</t>
  </si>
  <si>
    <t>SP9506BA</t>
  </si>
  <si>
    <t>CX SP9506BA</t>
  </si>
  <si>
    <t>C9506BA</t>
  </si>
  <si>
    <t>SP9506BA/2</t>
  </si>
  <si>
    <t>FIBRA LIMP PESADA 102X260/2 1X5X20</t>
  </si>
  <si>
    <t>C9506BA/2</t>
  </si>
  <si>
    <t>​​FIBRA LIMP PESADA 87X250/2 1X5X20​</t>
  </si>
  <si>
    <t>SP9509/3</t>
  </si>
  <si>
    <t>FIBRA LEVE AZUL EMB C/3 SUPERPRO 1X40</t>
  </si>
  <si>
    <t>CX 924/1 9509/3</t>
  </si>
  <si>
    <t>FILME BOPP LARG326 PAS341 20MIC SP9509/3</t>
  </si>
  <si>
    <t>C9509/3</t>
  </si>
  <si>
    <t>FIBRA LIMP LEVE AZUL EMB C/3 1X40</t>
  </si>
  <si>
    <t>SP950904</t>
  </si>
  <si>
    <t>FIBRA LEVE AZ 395X140 SUPERPRO 1X100</t>
  </si>
  <si>
    <t>C950904</t>
  </si>
  <si>
    <t>FIBRA LIMPEZA USO LEVE AZ 395X140MM 1X10</t>
  </si>
  <si>
    <t>SP9510</t>
  </si>
  <si>
    <t>SUPORTE PARA MOPS SOLUTION 1X10</t>
  </si>
  <si>
    <t>C9510</t>
  </si>
  <si>
    <t>MANTA DE NYLON FILTRO SP-6 10X1X6 1X1</t>
  </si>
  <si>
    <t>SP9516AM</t>
  </si>
  <si>
    <t>SUPORTE PLAST FIBRABT/LT AM SUPERPRO1X10</t>
  </si>
  <si>
    <t>ETIQ 9516AM - PRO</t>
  </si>
  <si>
    <t>C9516AM</t>
  </si>
  <si>
    <t>SUPORTE PLAST FIBRA ABRAS BT/LT AM 1X10</t>
  </si>
  <si>
    <t>SP9516AZ</t>
  </si>
  <si>
    <t>SUPORTE PLAST FIBRABT/LT AZ SUPERPRO1X10</t>
  </si>
  <si>
    <t>ETIQ 9516AZ - PRO</t>
  </si>
  <si>
    <t>C9516AZ</t>
  </si>
  <si>
    <t>SUPORTE PLAST FIBRA ABRAS BT/LT AZ 1X10</t>
  </si>
  <si>
    <t>SP9516VD</t>
  </si>
  <si>
    <t>SUPORTE PLAST FIBRABT/LT VD SUPERPRO1X10</t>
  </si>
  <si>
    <t>ETIQ 9516VD - PRO</t>
  </si>
  <si>
    <t>C9516VD</t>
  </si>
  <si>
    <t>SUPORTE PLAST FIBRA ABRAS BT/LT VD 1X10</t>
  </si>
  <si>
    <t>SP9516VR</t>
  </si>
  <si>
    <t>SUPORTE PLAST FIBRABT/LT VR SUPERPRO1X10</t>
  </si>
  <si>
    <t>ETIQ 9516VR - PRO</t>
  </si>
  <si>
    <t>C9516VR</t>
  </si>
  <si>
    <t>SUPORTE PLAST FIBRA ABRAS BT/LT VR 1X10</t>
  </si>
  <si>
    <t>SP9517</t>
  </si>
  <si>
    <t>SUPORTE PLAST FIBRA ABRAS G SUPERPRO1X10</t>
  </si>
  <si>
    <t>ETIQ SP9517</t>
  </si>
  <si>
    <t>C9517</t>
  </si>
  <si>
    <t>SUPORTE C/VELCRO P/FIBRA ABRAS 1X10</t>
  </si>
  <si>
    <t>SP952253</t>
  </si>
  <si>
    <t>ROLO FIBRA GERAL 0,15X20M INDUSTRIAL 1X1</t>
  </si>
  <si>
    <t>C952253</t>
  </si>
  <si>
    <t>SUPERPRO ROLO FIBRA GER 0,15X20M IND 1X1</t>
  </si>
  <si>
    <t>SP9522FRBA</t>
  </si>
  <si>
    <t>FIBRA SLIM USO GERAL 1X10X12</t>
  </si>
  <si>
    <t>C9522FRBA</t>
  </si>
  <si>
    <t>SP9523FR</t>
  </si>
  <si>
    <t>​FIBRA LIMPEZA LEVE SOLUTION  1X10X12</t>
  </si>
  <si>
    <t>ROT SP9523FR</t>
  </si>
  <si>
    <t>CSP9523FR</t>
  </si>
  <si>
    <t>FIBRA BRANCA USO GERAL 1X10X12</t>
  </si>
  <si>
    <t>SP9524</t>
  </si>
  <si>
    <t>FIBRA BETTACO SOLUTION 1X120</t>
  </si>
  <si>
    <t>SACO 73X80X7,5 12 MIC</t>
  </si>
  <si>
    <t>C9524</t>
  </si>
  <si>
    <t>FIBRA BETTACO FINA 102X175MM</t>
  </si>
  <si>
    <t>SP9526FR</t>
  </si>
  <si>
    <t>FIBRA LIMPEZA PESADA SOLUTION 1X10X12​</t>
  </si>
  <si>
    <t>CX 9526FR​</t>
  </si>
  <si>
    <t>ROT 9526FR</t>
  </si>
  <si>
    <t>C9526FR</t>
  </si>
  <si>
    <t>FIBRA SLIM VD LIMPEZA PESADA 1X10X12</t>
  </si>
  <si>
    <t>SP9527</t>
  </si>
  <si>
    <t>FIBRA ULTRA PESADA SUPERPRO 1X10X10</t>
  </si>
  <si>
    <t>ROTULO SP9527</t>
  </si>
  <si>
    <t>CX SP9527</t>
  </si>
  <si>
    <t>C9527</t>
  </si>
  <si>
    <t>FIBRA ULTRA PESADA 102X260 1X10X10</t>
  </si>
  <si>
    <t>SP96170</t>
  </si>
  <si>
    <t>FIBRA ABRASIVA PRETA 17CMX6CM 1X150</t>
  </si>
  <si>
    <t>C96170</t>
  </si>
  <si>
    <t>SUPERPRO FIBRA ABRAS PRT 17CMX6CM 1X150</t>
  </si>
  <si>
    <t>SP9644BA</t>
  </si>
  <si>
    <t>DISCO REMOV. PRETO ABRASIVO 440MM 1X20</t>
  </si>
  <si>
    <t>C9644BA</t>
  </si>
  <si>
    <t>DISCO REMOV PRETO ABRASIVO 440MM 1X20</t>
  </si>
  <si>
    <t>SP9651BA</t>
  </si>
  <si>
    <t>DISCO REMOV PRETO ABRASIVO 510MM 1X20</t>
  </si>
  <si>
    <t>C9651BA</t>
  </si>
  <si>
    <t>SP9671AM</t>
  </si>
  <si>
    <t>VASSOURA NOVICA PLAST SCBAM SUPERPRO1X12</t>
  </si>
  <si>
    <t>CX 9671 - SP9671 AZ VR VD</t>
  </si>
  <si>
    <t>ETIQ SP9671AM</t>
  </si>
  <si>
    <t>CSP9671AM</t>
  </si>
  <si>
    <t>VASSOURA MULTIUSO PLAST S/CABO AM 1X12</t>
  </si>
  <si>
    <t>SP9671AZ</t>
  </si>
  <si>
    <t>VASSOURA NOVICA PLAST SCBAZ SUPERPRO1X12</t>
  </si>
  <si>
    <t>ETIQ SP9671AZ</t>
  </si>
  <si>
    <t>CSP9671AZ</t>
  </si>
  <si>
    <t>VASSOURA MULTIUSO SUPERPRO AZ S/CABO1X12</t>
  </si>
  <si>
    <t>SP9671VD</t>
  </si>
  <si>
    <t>VASSOURA NOVICA PLAST SCBVD SUPERPRO1X12</t>
  </si>
  <si>
    <t>ETIQ SP9671VD</t>
  </si>
  <si>
    <t>CSP9671VD</t>
  </si>
  <si>
    <t>VASSOURA MULTIUSO SUPERPRO VD S/CABO1X12</t>
  </si>
  <si>
    <t>SP9671VR</t>
  </si>
  <si>
    <t>VASSOURA NOVICA PLAST SCBVR SUPERPRO1X12</t>
  </si>
  <si>
    <t>ETIQ SP9671VR</t>
  </si>
  <si>
    <t>CSP9671VR</t>
  </si>
  <si>
    <t>VASSOURA MULTIUSO SUPERPRO VR S/CABO1X12</t>
  </si>
  <si>
    <t>SP9677AM</t>
  </si>
  <si>
    <t>VASSOURA PLAST C/CABO AM PROCLEAN 1X15</t>
  </si>
  <si>
    <t>AC 9677B</t>
  </si>
  <si>
    <t>AC 9677A</t>
  </si>
  <si>
    <t>CX 9677</t>
  </si>
  <si>
    <t>ETIQ 9677 AM</t>
  </si>
  <si>
    <t>C9677AM</t>
  </si>
  <si>
    <t>VASSOURA ECONOMY PLAST C/CABO AM 1X15</t>
  </si>
  <si>
    <t>SP9677AZ</t>
  </si>
  <si>
    <t>VASSOURA PLAST C/CABO AZ PROCLEAN 1X15</t>
  </si>
  <si>
    <t>ETIQ 9677 AZ</t>
  </si>
  <si>
    <t>C9677AZ</t>
  </si>
  <si>
    <t>VASSOURA ECONOMY PLAST C/CABO AZ 1X15</t>
  </si>
  <si>
    <t>SP9677VD</t>
  </si>
  <si>
    <t>VASSOURA PLAST C/CABO VD PROCLEAN 1X15</t>
  </si>
  <si>
    <t>ETIQ 9677 VD</t>
  </si>
  <si>
    <t>C9677VD</t>
  </si>
  <si>
    <t>VASSOURA ECONOMY PLAST C/CABO VD 1X15</t>
  </si>
  <si>
    <t>SP9677VR</t>
  </si>
  <si>
    <t>VASSOURA PLAST C/CABO VR PROCLEAN 1X15</t>
  </si>
  <si>
    <t>ETIQ 9677 VR</t>
  </si>
  <si>
    <t>C9677VR</t>
  </si>
  <si>
    <t>VASSOURA ECONOMY PLAST C/CABO VR 1X15</t>
  </si>
  <si>
    <t>SP9702V</t>
  </si>
  <si>
    <t>VALVULA DOSADORA P/9702R SUPERPRO 1X48</t>
  </si>
  <si>
    <t>CX SP9702V - VALVULA</t>
  </si>
  <si>
    <t>SP9704</t>
  </si>
  <si>
    <t>PORTA GUARDAN MESA PLAST SUPERPRO1X14​​</t>
  </si>
  <si>
    <t>PORTA GUARDANAPO DE BOCA 1X14</t>
  </si>
  <si>
    <t>MOLA PORTA GURADANAPO PRO COD 96519</t>
  </si>
  <si>
    <t>ETIQ SP9704</t>
  </si>
  <si>
    <t>CX 9704</t>
  </si>
  <si>
    <t>SACO PEBD SP9704 22X29X50MIC</t>
  </si>
  <si>
    <t>SP9708</t>
  </si>
  <si>
    <t>SABONETEIRA MESA PLASTICO 500ML 1X12</t>
  </si>
  <si>
    <t>VALVULA BICO PATO PESCANTE 11CM (9708)​</t>
  </si>
  <si>
    <t>FRASCO MO 2 500 ML CRISTAL</t>
  </si>
  <si>
    <t>ETIQ SP9708</t>
  </si>
  <si>
    <t>SP9709</t>
  </si>
  <si>
    <t>SABONETEIRA MESA ESPUMA PLASTICO 1X12</t>
  </si>
  <si>
    <t>VALVULA ESPUMADORA (9709)</t>
  </si>
  <si>
    <t>FRASCO PET SABONETEIRA 43G C/ANEL 500ML​</t>
  </si>
  <si>
    <t>ETIQ SABONETEIRA SP9709</t>
  </si>
  <si>
    <t>CX SP9709</t>
  </si>
  <si>
    <t>SP9740</t>
  </si>
  <si>
    <t>SUPORTE PLAST VISION HIGIEN. SUPERPRO1X4</t>
  </si>
  <si>
    <t>PINO GRANDE (SABONETEIRA)</t>
  </si>
  <si>
    <t>POLIACETAL KP30 / ENFORN 270 / POM W2320</t>
  </si>
  <si>
    <t>PIG MASTER CINZA CI629</t>
  </si>
  <si>
    <t>CX MASTER SP9740</t>
  </si>
  <si>
    <t>CX SP9740 PAPEL HIGIENICO</t>
  </si>
  <si>
    <t>DSP9740</t>
  </si>
  <si>
    <t>PORTA PAPEL HIGIENICO PLASTICO SUPERPRO</t>
  </si>
  <si>
    <t>SP9742</t>
  </si>
  <si>
    <t>SUPORTE PLAST P/SABONETE LQ SUPERPRO 1X4</t>
  </si>
  <si>
    <t>VALVULA LIQUIDA ROSCA (SP9742)</t>
  </si>
  <si>
    <t>CX MASTER SP9742</t>
  </si>
  <si>
    <t>CX SP9742 SANONETE LIQ</t>
  </si>
  <si>
    <t>GABARITO SABONETEIRA SP9742</t>
  </si>
  <si>
    <t>DSP9742</t>
  </si>
  <si>
    <t>SABONETEIRA PLASTICO SUPERPRO</t>
  </si>
  <si>
    <t>SP9743</t>
  </si>
  <si>
    <t>SUPORTE PLAST VISION TOALHA SUPERPRO1X4</t>
  </si>
  <si>
    <t>CX MASTER SP9743</t>
  </si>
  <si>
    <t>CX SP9743 PAPEL TOALHA</t>
  </si>
  <si>
    <t>DSP9743</t>
  </si>
  <si>
    <t>PORTA PAPEL TOALHA PLASTICO SUPERPRO​</t>
  </si>
  <si>
    <t>SP9744</t>
  </si>
  <si>
    <t>PORTA GUARDANAPO PLAST VISION P/MESA 1X6</t>
  </si>
  <si>
    <t>BASE PORTA GUARDANAPO</t>
  </si>
  <si>
    <t>Obsoletos inativos</t>
  </si>
  <si>
    <t>BASE PORTA GUARDANAPO (MOLA)</t>
  </si>
  <si>
    <t>SACO PEBD TRANSP. 20X29X0,08 SP9744​</t>
  </si>
  <si>
    <t>CX MASTER SP9744</t>
  </si>
  <si>
    <t>ETIQ SP9744</t>
  </si>
  <si>
    <t>DSP9744</t>
  </si>
  <si>
    <t>PORTA GUARDANAPO PLASTICO SUPERPRO</t>
  </si>
  <si>
    <t>SP98170</t>
  </si>
  <si>
    <t>FIBRA ABRASIVA VERDE 17X6 SUPERPRO 1X150</t>
  </si>
  <si>
    <t>C98170</t>
  </si>
  <si>
    <t>SUPERPRO FIBRA ABRASIVA VRD 17X6CM 1X150</t>
  </si>
  <si>
    <t>SP99170</t>
  </si>
  <si>
    <t>FIBRA ABRASIVA BRANCO 17X6 SUPERPRO1X150</t>
  </si>
  <si>
    <t>C99170</t>
  </si>
  <si>
    <t>SUPERPRO FIBRA ABRAS BRANC 17X60CM 1X150</t>
  </si>
  <si>
    <t>SP9944BA</t>
  </si>
  <si>
    <t>DISCO LUST BRANCO ABRASIVO 440MM 1X20</t>
  </si>
  <si>
    <t>C9944BA</t>
  </si>
  <si>
    <t>DISCO LUST. BRANCO ABRASIVO 440MM 1X20</t>
  </si>
  <si>
    <t>SPIF170BRC</t>
  </si>
  <si>
    <t>FIBRA ABRASIVA BRANCO 17X6 PROCLEAN1X150</t>
  </si>
  <si>
    <t>CIF170BRC</t>
  </si>
  <si>
    <t>PROCLEAN FIBRA ABRASIVA BRC 17X6CM 1X150</t>
  </si>
  <si>
    <t>SPIF170PTC</t>
  </si>
  <si>
    <t>FIBRA ABRASIVA PRETA 17X6 PROCLEAN 1X150</t>
  </si>
  <si>
    <t>CIF170PTC</t>
  </si>
  <si>
    <t>PROCLEAN FIBRA ABRAS PRT 17CMX6CM 1X150</t>
  </si>
  <si>
    <t>SPIF170VDC</t>
  </si>
  <si>
    <t>FIBRA ABRASIVA VERDE 17X6 PROCLEAN 1X150</t>
  </si>
  <si>
    <t>CIF170VDC</t>
  </si>
  <si>
    <t>PROCLEAN FIBRA ABRAS VRD 17CMX6CM 1X150</t>
  </si>
  <si>
    <t>SPIF170VRC</t>
  </si>
  <si>
    <t>FIBRA ABRASIVA VR 17X6 PROCLEAN 1X150</t>
  </si>
  <si>
    <t>CIF170VRC</t>
  </si>
  <si>
    <t>PROCLEAN FIBRA ABRASIVA VRM 17X6CM 1X150</t>
  </si>
  <si>
    <t>CONS.Unit</t>
  </si>
  <si>
    <t>Ref.</t>
  </si>
  <si>
    <t>REF</t>
  </si>
  <si>
    <t>PROGR</t>
  </si>
  <si>
    <t>PÇS</t>
  </si>
  <si>
    <t>SP9068/PR</t>
  </si>
  <si>
    <t>SP9079</t>
  </si>
  <si>
    <t>SP9079/1</t>
  </si>
  <si>
    <t>SP90105</t>
  </si>
  <si>
    <t>9160SC</t>
  </si>
  <si>
    <t>9160RD</t>
  </si>
  <si>
    <t>9160RT</t>
  </si>
  <si>
    <t>9160TP</t>
  </si>
  <si>
    <t>SP90106</t>
  </si>
  <si>
    <t>SP9162PR</t>
  </si>
  <si>
    <t>SP9163</t>
  </si>
  <si>
    <t>SP90107</t>
  </si>
  <si>
    <t>SP9687</t>
  </si>
  <si>
    <t>SP9690</t>
  </si>
  <si>
    <t>SP9691</t>
  </si>
  <si>
    <t>SP9037</t>
  </si>
  <si>
    <t>SP9446</t>
  </si>
  <si>
    <t>SP9447</t>
  </si>
  <si>
    <t>SP9085</t>
  </si>
  <si>
    <t>SP9090</t>
  </si>
  <si>
    <t>SP9090C</t>
  </si>
  <si>
    <t>SP9090B</t>
  </si>
  <si>
    <t>SP9090R</t>
  </si>
  <si>
    <t>SP9097</t>
  </si>
  <si>
    <t>SP9097R</t>
  </si>
  <si>
    <t>SP9098</t>
  </si>
  <si>
    <t>SP9085C</t>
  </si>
  <si>
    <t>SP9370</t>
  </si>
  <si>
    <t>SP9370/1</t>
  </si>
  <si>
    <t>SP9370R</t>
  </si>
  <si>
    <t>SP90116</t>
  </si>
  <si>
    <t>SP90116R</t>
  </si>
  <si>
    <t>SP9689C</t>
  </si>
  <si>
    <t>SP9059</t>
  </si>
  <si>
    <t>SP9061</t>
  </si>
  <si>
    <t>SP9064</t>
  </si>
  <si>
    <t>SP9065</t>
  </si>
  <si>
    <t>SP9065R</t>
  </si>
  <si>
    <t>SP9080</t>
  </si>
  <si>
    <t>SP9080R</t>
  </si>
  <si>
    <t>SP9081</t>
  </si>
  <si>
    <t>SP9081R</t>
  </si>
  <si>
    <t>SP9082</t>
  </si>
  <si>
    <t>SP9082R</t>
  </si>
  <si>
    <t>SP90100</t>
  </si>
  <si>
    <t>SP90100R</t>
  </si>
  <si>
    <t>SP90101</t>
  </si>
  <si>
    <t>SP90102</t>
  </si>
  <si>
    <t>SP90102R</t>
  </si>
  <si>
    <t>9300R</t>
  </si>
  <si>
    <t>SP9340FR</t>
  </si>
  <si>
    <t>SP9330F</t>
  </si>
  <si>
    <t>SP9330R</t>
  </si>
  <si>
    <t>SP9350F</t>
  </si>
  <si>
    <t>SP9350FR</t>
  </si>
  <si>
    <t>SP9217</t>
  </si>
  <si>
    <t>SP9218</t>
  </si>
  <si>
    <t>SP92111</t>
  </si>
  <si>
    <t>SP92113</t>
  </si>
  <si>
    <t>SP9138P</t>
  </si>
  <si>
    <t>SP8801</t>
  </si>
  <si>
    <t>SP9063</t>
  </si>
  <si>
    <t>SP9063/1</t>
  </si>
  <si>
    <t>SP8400</t>
  </si>
  <si>
    <t>SP8401</t>
  </si>
  <si>
    <t>SP8500</t>
  </si>
  <si>
    <t>SP97181</t>
  </si>
  <si>
    <t>SP97182</t>
  </si>
  <si>
    <t>SP90108</t>
  </si>
  <si>
    <t>SP90109</t>
  </si>
  <si>
    <t>SP90110</t>
  </si>
  <si>
    <t>SP90111</t>
  </si>
  <si>
    <t>SP90112</t>
  </si>
  <si>
    <t>SP90113</t>
  </si>
  <si>
    <t>SP90114</t>
  </si>
  <si>
    <t>SP90115</t>
  </si>
  <si>
    <t>SP9010AM</t>
  </si>
  <si>
    <t>SP9010VR</t>
  </si>
  <si>
    <t>SP9010AZ</t>
  </si>
  <si>
    <t>SP9010VD</t>
  </si>
  <si>
    <t>SP9034</t>
  </si>
  <si>
    <t>SP9036</t>
  </si>
  <si>
    <t>SP9012B</t>
  </si>
  <si>
    <t>SP9017AM</t>
  </si>
  <si>
    <t>SP9017VR</t>
  </si>
  <si>
    <t>SP9017AZ</t>
  </si>
  <si>
    <t>SP9017VD</t>
  </si>
  <si>
    <t>SP9321</t>
  </si>
  <si>
    <t>SP9323</t>
  </si>
  <si>
    <t>SP9324</t>
  </si>
  <si>
    <t>SP9324AM</t>
  </si>
  <si>
    <t>SP9324VR</t>
  </si>
  <si>
    <t>SP9324AZ</t>
  </si>
  <si>
    <t>SP9324VD</t>
  </si>
  <si>
    <t>SP9327</t>
  </si>
  <si>
    <t>SP9328</t>
  </si>
  <si>
    <t>SP9329AM</t>
  </si>
  <si>
    <t>SP9329VR</t>
  </si>
  <si>
    <t>SP9329AZ</t>
  </si>
  <si>
    <t>SP9329VD</t>
  </si>
  <si>
    <t>SP90121</t>
  </si>
  <si>
    <t>SP9334BR</t>
  </si>
  <si>
    <t>SP9311</t>
  </si>
  <si>
    <t>SP50400BR</t>
  </si>
  <si>
    <t>SP9331</t>
  </si>
  <si>
    <t>SP304501</t>
  </si>
  <si>
    <t>SP35300LR</t>
  </si>
  <si>
    <t>SP35300AZ</t>
  </si>
  <si>
    <t>SP35300VD</t>
  </si>
  <si>
    <t>SP35300BR</t>
  </si>
  <si>
    <t>SP35240LR</t>
  </si>
  <si>
    <t>SP35240AZ</t>
  </si>
  <si>
    <t>SP35240VD</t>
  </si>
  <si>
    <t>SP35240BR</t>
  </si>
  <si>
    <t>SP352403AZ</t>
  </si>
  <si>
    <t>SP352403VD</t>
  </si>
  <si>
    <t>SP352403LR</t>
  </si>
  <si>
    <t>SP352403BR</t>
  </si>
  <si>
    <t>SP352402AZ</t>
  </si>
  <si>
    <t>SP352402VD</t>
  </si>
  <si>
    <t>SP352402LR</t>
  </si>
  <si>
    <t>SP80416BR</t>
  </si>
  <si>
    <t>SP8088BR</t>
  </si>
  <si>
    <t>SP80100BR</t>
  </si>
  <si>
    <t>SP80101BR</t>
  </si>
  <si>
    <t>SP93703</t>
  </si>
  <si>
    <t>SP93705</t>
  </si>
  <si>
    <t>SP93712</t>
  </si>
  <si>
    <t>SP93720</t>
  </si>
  <si>
    <t>SP93730</t>
  </si>
  <si>
    <t>SP93808PR</t>
  </si>
  <si>
    <t>SP93816PR</t>
  </si>
  <si>
    <t>13000/4G</t>
  </si>
  <si>
    <t>13000/4M</t>
  </si>
  <si>
    <t>13000/4P</t>
  </si>
  <si>
    <t>13000AZ/4P</t>
  </si>
  <si>
    <t>13000AZ/4M</t>
  </si>
  <si>
    <t>13000AZ/4G</t>
  </si>
  <si>
    <t>13000LR/4G</t>
  </si>
  <si>
    <t>13000LR/4M</t>
  </si>
  <si>
    <t>13000LR/4P</t>
  </si>
  <si>
    <t>13001/4G</t>
  </si>
  <si>
    <t>13001/4M</t>
  </si>
  <si>
    <t>13001/4P</t>
  </si>
  <si>
    <t>13001AZ/4P</t>
  </si>
  <si>
    <t>13001AZ/4M</t>
  </si>
  <si>
    <t>13001AZ/4G</t>
  </si>
  <si>
    <t>13002/4G</t>
  </si>
  <si>
    <t>13002/4M</t>
  </si>
  <si>
    <t>13002/4P</t>
  </si>
  <si>
    <t>SP13005/4P</t>
  </si>
  <si>
    <t>SP13005/4M</t>
  </si>
  <si>
    <t>SP13005/4G</t>
  </si>
  <si>
    <t>SP93515BR</t>
  </si>
  <si>
    <t>SP93550BR</t>
  </si>
  <si>
    <t>SP93580BR</t>
  </si>
  <si>
    <t>SP935100BR</t>
  </si>
  <si>
    <t>SP9325</t>
  </si>
  <si>
    <t>SP9707</t>
  </si>
  <si>
    <t>SP9715</t>
  </si>
  <si>
    <t>SP9716</t>
  </si>
  <si>
    <t xml:space="preserve"> </t>
  </si>
  <si>
    <t>SP15600</t>
  </si>
  <si>
    <t>SP15601</t>
  </si>
  <si>
    <t>SP15603</t>
  </si>
  <si>
    <t>SP15605</t>
  </si>
  <si>
    <t>Porca CZ</t>
  </si>
  <si>
    <t>Porca AZ</t>
  </si>
  <si>
    <t>Porca AM</t>
  </si>
  <si>
    <t>Porca VD</t>
  </si>
  <si>
    <t>Porca VR</t>
  </si>
  <si>
    <t>Vareta 45cm</t>
  </si>
  <si>
    <t>Perfil 45cm</t>
  </si>
  <si>
    <t>Vareta  65cm</t>
  </si>
  <si>
    <t>Perfil  65cm</t>
  </si>
  <si>
    <t>SP15000</t>
  </si>
  <si>
    <t>SP15100</t>
  </si>
  <si>
    <t>SP15250</t>
  </si>
  <si>
    <t>SP15800</t>
  </si>
  <si>
    <t>SP15460</t>
  </si>
  <si>
    <t>SP15450</t>
  </si>
  <si>
    <t>SP15560</t>
  </si>
  <si>
    <t>SP15564</t>
  </si>
  <si>
    <t>SP15565</t>
  </si>
  <si>
    <t>SP93115H</t>
  </si>
  <si>
    <t>SP93125H</t>
  </si>
  <si>
    <t>SP93150H</t>
  </si>
  <si>
    <t>SP931100H</t>
  </si>
  <si>
    <t>SP9180CZ</t>
  </si>
  <si>
    <t>SP9181CZ</t>
  </si>
  <si>
    <t>SP9182CZ</t>
  </si>
  <si>
    <t>SP9183CZ</t>
  </si>
  <si>
    <t>SP9180VR</t>
  </si>
  <si>
    <t>SP9181VR</t>
  </si>
  <si>
    <t>SP9182VR</t>
  </si>
  <si>
    <t>SP9183VR</t>
  </si>
  <si>
    <t>SP9180VD</t>
  </si>
  <si>
    <t>SP9181VD</t>
  </si>
  <si>
    <t>SP9182VD</t>
  </si>
  <si>
    <t>SP9183VD</t>
  </si>
  <si>
    <t>SP9180AZ</t>
  </si>
  <si>
    <t>SP9181AZ</t>
  </si>
  <si>
    <t>SP9182AZ</t>
  </si>
  <si>
    <t>SP9183AZ</t>
  </si>
  <si>
    <t>SP9180AM</t>
  </si>
  <si>
    <t>SP9181AM</t>
  </si>
  <si>
    <t>SP9182AM</t>
  </si>
  <si>
    <t>SP9183AM</t>
  </si>
  <si>
    <t>SP9519</t>
  </si>
  <si>
    <t>SP9520</t>
  </si>
  <si>
    <t>SP90117</t>
  </si>
  <si>
    <t>SP90118</t>
  </si>
  <si>
    <t>SP90119</t>
  </si>
  <si>
    <t>PROGRAMA</t>
  </si>
  <si>
    <t>Descrição do Material</t>
  </si>
  <si>
    <t xml:space="preserve">Necessidade programa </t>
  </si>
  <si>
    <t>Depósito</t>
  </si>
  <si>
    <t>Utilização livre</t>
  </si>
  <si>
    <t>Val.utiliz.livre</t>
  </si>
  <si>
    <t>NOVICA LIMPA PERSIANAS MICROFIBRA 1X12​</t>
  </si>
  <si>
    <t>0802</t>
  </si>
  <si>
    <t>NOVICA ESPANADOR MICROFIBRA LONGO 1X6​</t>
  </si>
  <si>
    <t>NOVICA ESPANADOR CURTO MICROFIBRA 1X12​​</t>
  </si>
  <si>
    <t>NOVICA LUVA MAGICA MICROFIBRA 1X6​</t>
  </si>
  <si>
    <t>NOVICA ESCOVA ADAPT PLASTICA 1X36</t>
  </si>
  <si>
    <t>NOVICA ROLO ADESIVO PAPEL 1X24</t>
  </si>
  <si>
    <t>BALDE OVAL PLASTICO SANREMO 14L</t>
  </si>
  <si>
    <t>LIXEIRA BASCULANTE PIA PL SANREMO 6,5L</t>
  </si>
  <si>
    <t>LIXEIRA BASCULANTE PLASTICO SANREMO 19L</t>
  </si>
  <si>
    <t>LIXEIRA BASCULANTE PLAS SANREMO 20,5L</t>
  </si>
  <si>
    <t>LIXEIRA BASCULANTE PLASTICO SANREMO 10L</t>
  </si>
  <si>
    <t>LIXEIRA BASCULANTE PLASTICO SANREMO 30L</t>
  </si>
  <si>
    <t>LIXEIRA BASCULANTE PLASTICO SANREMO 60L</t>
  </si>
  <si>
    <t>LIXEIRA BASCULANTE PLASTICO SANREMO 105L</t>
  </si>
  <si>
    <t>CESTO PLASTICO PARA LIXO SANREMO 103L</t>
  </si>
  <si>
    <t>LIXEIRA C/ PEDAL PLASTICO SANREMO 36L</t>
  </si>
  <si>
    <t>LIXEIRA C/ PEDAL PLASTICO SANREMO 72L</t>
  </si>
  <si>
    <t>PORTA-TALHER G S/ TAMPA PLASTICO SANREMO</t>
  </si>
  <si>
    <t>LIXEIRA PIA PLASTICO SANREMO 2,4L</t>
  </si>
  <si>
    <t>ESFREBOM ESPONJA N-RISCA UNI ABRASIV1X60</t>
  </si>
  <si>
    <t>ESFREBOM ESPONJA COBRE 1X60</t>
  </si>
  <si>
    <t>REGADOR PLASTICO SANREMO 2L</t>
  </si>
  <si>
    <t>REGADOR PLASTICO SANREMO 7L</t>
  </si>
  <si>
    <t>REGADOR PLASTICO SANREMO 14L</t>
  </si>
  <si>
    <t>SANILUX ESCOVA SANIT SUPORT PLAST 1X12</t>
  </si>
  <si>
    <t>RODO PIA PLASTICO SANREMO 14CM</t>
  </si>
  <si>
    <t>BALDE PLASTICO SANREMO 8L</t>
  </si>
  <si>
    <t>BALDE PLASTICO SANREMO 15L</t>
  </si>
  <si>
    <t>PILOTO DE TESTE SUPERPRO</t>
  </si>
  <si>
    <t>BETTABANHO RELAX ESCOVA BANHO 1X24</t>
  </si>
  <si>
    <t>ORGANIZADOR PLASTICO SANREMO 26,5L</t>
  </si>
  <si>
    <t>ORGANIZADOR PLASTICO SANREMO 56,1L</t>
  </si>
  <si>
    <t>ORGANIZADOR PLASTICO SANREMO 72L</t>
  </si>
  <si>
    <t>​NOVICA MOP ALTA PERFORMANCE 1X6</t>
  </si>
  <si>
    <t>NOVICA MOP ABRASIVO C/CABO 1X6</t>
  </si>
  <si>
    <t>NOVICA BALDE PLAST C/ ESCORREDOR 14L 1X6</t>
  </si>
  <si>
    <t>NOVICA VASSOURA MAX C/CABO 1X12</t>
  </si>
  <si>
    <t>ESFREBOM CORDA P/VARAL PLAST 10M 1X12x6</t>
  </si>
  <si>
    <t>ESFREBOM PANO LIMPATUDO VISCOSE C/2 1X15</t>
  </si>
  <si>
    <t>TABUA DE CORTE EXTRA GRANDE 42,6X26,5CM</t>
  </si>
  <si>
    <t>PORTA DETERGENTE 26,1 X 13,5 X 3,5 CM</t>
  </si>
  <si>
    <t>PORTA CAFE 2,2 L</t>
  </si>
  <si>
    <t>BALEIRO MEDIO 2,2 L</t>
  </si>
  <si>
    <t>BALDE PLASTICO 8,5L 1X6</t>
  </si>
  <si>
    <t>BALDE PLASTICO 12L 1X6</t>
  </si>
  <si>
    <t>BANDEJA REDONDA</t>
  </si>
  <si>
    <t>BANDEJA RETANGULAR 45,8 X 31,5 CM</t>
  </si>
  <si>
    <t>ORGANIZADOR MEDIO ALTO 30 L</t>
  </si>
  <si>
    <t>TRAVESSA P/ALIMENTOS PEQ.28,7X19,7X6CM</t>
  </si>
  <si>
    <t>TRAVESSA P/ALIMENTOS MEDIA 44X28,5X8,2CM</t>
  </si>
  <si>
    <t>TRAVESSA P/ALIMENTOS GRANDE 58X38X9CM</t>
  </si>
  <si>
    <t>TRAVESSA P/ALIMENTO LONGA58,0X28,5X8,2CM</t>
  </si>
  <si>
    <t>BALDE 19L SEKITO PLAST SUPERPRO 1X6</t>
  </si>
  <si>
    <t>BALAIO DE LIMPEZA 7,7 L</t>
  </si>
  <si>
    <t>GARRAFA GOLE GUT LAR 3,5 L</t>
  </si>
  <si>
    <t>ORGANIZADOR GRANDE ALTO 56,1 L</t>
  </si>
  <si>
    <t>ORGANIZADOR LARGO ALTO  65 L</t>
  </si>
  <si>
    <t>CACAMBA  11 L</t>
  </si>
  <si>
    <t>ESPATULA DE 6 CM</t>
  </si>
  <si>
    <t>ESPATULA DE 8 CM</t>
  </si>
  <si>
    <t>ESPATULA DE 10 CM</t>
  </si>
  <si>
    <t>ESCOVA DE 3 FILAS</t>
  </si>
  <si>
    <t>ESCOVA DE 4 FILAS</t>
  </si>
  <si>
    <t>ESCOVA DE 6 FILAS</t>
  </si>
  <si>
    <t>ESTANTE P/150 KG C/3 PRATELEIRA</t>
  </si>
  <si>
    <t>ESTANTE P/ 250KG C/ 5 PRATELEIRAS</t>
  </si>
  <si>
    <t>ESTANTE P/ 250 KG C/5 PRATELEIRAS PRATA</t>
  </si>
  <si>
    <t>ARQUIVO ESTREITO</t>
  </si>
  <si>
    <t>ARQUIVO ESTREITO CRISTAL</t>
  </si>
  <si>
    <t>ARQUIVO ESTREITO VERMELHO</t>
  </si>
  <si>
    <t>ARQUIVO ESTREITO CRISTAL VERDE</t>
  </si>
  <si>
    <t>ARQUIVO ESTREITO AZUL</t>
  </si>
  <si>
    <t>ARQUIVO ESTREITO FUME</t>
  </si>
  <si>
    <t>PAPELEIRO BRANCO</t>
  </si>
  <si>
    <t>PAPELEIRO PRETO 1 X 6</t>
  </si>
  <si>
    <t>PAPELEIRO 8,8 LITROS</t>
  </si>
  <si>
    <t>PAPELEIRO 20,5 LITROS</t>
  </si>
  <si>
    <t>VASSOURA CASA E RUA PRO 1X12</t>
  </si>
  <si>
    <t>ESCOVA   1X12</t>
  </si>
  <si>
    <t>CABO ALUMINIO 150CM DIAM 2,2CM 1X6</t>
  </si>
  <si>
    <t>CABO ACO 85CM C/ROSCA DIAM 2,2CM 1X6</t>
  </si>
  <si>
    <t>VASS. SUPER CANTOS S/CABO SUPERPRO1X12</t>
  </si>
  <si>
    <t>RODO LAV./LIMP. COMBINADO 35CM 1X1</t>
  </si>
  <si>
    <t>CJ BALDE ESPREM. HORIZ PLAST 15L 1X1</t>
  </si>
  <si>
    <t>BALDE C/ESPREM. VERT. 15L SUPERPRO1X1</t>
  </si>
  <si>
    <t>BALDE C/ESPREM.DIV.AGUAS 33L SUPERPRO1X1</t>
  </si>
  <si>
    <t>BALDE C/ESPREM.DIV.AGUAS 33L SOLUTION1X1</t>
  </si>
  <si>
    <t>CJ BALDE ESPREM.PLAST 33L 1X1</t>
  </si>
  <si>
    <t>BALDE PLAST DE UTILIDADES CZ 1X1</t>
  </si>
  <si>
    <t>BALDE PLAST DE UTILIDADES AM 1X1</t>
  </si>
  <si>
    <t>LUVA MAGICA CX C/6 UNID  25 X 14 X 5 CM</t>
  </si>
  <si>
    <t>MOP UMIDO PONTA DOBRADA 390GR 1X12</t>
  </si>
  <si>
    <t>MOP UMIDO PONTA CORTADA 340GR CZ 1X12</t>
  </si>
  <si>
    <t>MOP UMIDO PONTA CORTADA 390GR CZ 1X12</t>
  </si>
  <si>
    <t>MOP UMIDO PONTA DOBRADA 340GR CZ 1X12</t>
  </si>
  <si>
    <t>MOP UMIDO PONTA DOBRADA 390GR CZ 1X12</t>
  </si>
  <si>
    <t>ESCOVA REC REC LONGO ALCANCE - 1X36</t>
  </si>
  <si>
    <t>ESCOVA BETTAJEANS GRANDE 1X12</t>
  </si>
  <si>
    <t>ESCOVA MULTIUSO CABO LONGO VR 1X12</t>
  </si>
  <si>
    <t>ESCOVA SANILUX C/ POTE -1X12</t>
  </si>
  <si>
    <t>ESCOVA MULTIUSO 1 X 12</t>
  </si>
  <si>
    <t>CARRO FUNCIONAL PLAST. BOLSA SUPERPRO1X1</t>
  </si>
  <si>
    <t>CARRO HOTEL PLASTICO 1X1</t>
  </si>
  <si>
    <t>REFIL MOP ALGODAO CX C/12 UNID 61X13 CM</t>
  </si>
  <si>
    <t>ARMACAO METALICA P/MOP PO 60CM 1X6</t>
  </si>
  <si>
    <t>MOP MICROFIBRA 60CM - 1X12</t>
  </si>
  <si>
    <t>CONJUNTO MOP PO ALGODAO 60CM 1X6</t>
  </si>
  <si>
    <t>PANO SEK MULTIUSO EM DISPLAY 1X60</t>
  </si>
  <si>
    <t>MOP PO ALGODAO NATUR. 30CM SUPERPRO1X12</t>
  </si>
  <si>
    <t>MOP PO ALGODAO NATUR. 40CM SUPERPRO1X12</t>
  </si>
  <si>
    <t>MOP PO ALGODAO NATUR. 60CM SUPERPRO1X12</t>
  </si>
  <si>
    <t>MOP PO ALGODAO NATUR. 80CM SUPERPRO1X12</t>
  </si>
  <si>
    <t>REFIL MOP LA SINTETICA 1X12</t>
  </si>
  <si>
    <t>ARMACAO MET. P/MOP PO 40CM SUPERPRO 1X6</t>
  </si>
  <si>
    <t>ARMACAO MET. P/MOP PO 60CM SUPERPRO1X6</t>
  </si>
  <si>
    <t>ARMACAO MET. P/MOP PO 80CM SUPERPRO1X6</t>
  </si>
  <si>
    <t>ARGOLA REPOSICAO CABO ALUMINIO</t>
  </si>
  <si>
    <t>FIXADOR REPOS. SUPORTE MOP UMIDO 1X6</t>
  </si>
  <si>
    <t>BALDE C/RODIZIO 28L 1X1</t>
  </si>
  <si>
    <t>BALDE RETANGULAR 6 LTS - 1X1</t>
  </si>
  <si>
    <t>PRENSA PLAST VERTICAL P/BALDE 9076 1X1</t>
  </si>
  <si>
    <t>BOLSA PROTETORA EM VINIL 135L 1X1</t>
  </si>
  <si>
    <t>LIXEIRA PLASTICA 135L C/RODIZIOS 1X3</t>
  </si>
  <si>
    <t>RODO PLAST ESPUMA E SPRAY SUPERPRO 1X12</t>
  </si>
  <si>
    <t>RODO PLAST ESPONJA SUPERPRO 1X12</t>
  </si>
  <si>
    <t>MOP SEKITO COM ESCOVA 1X3</t>
  </si>
  <si>
    <t>PANO TECIDO NAO TECIDO 1X25X5</t>
  </si>
  <si>
    <t>PANO SEK AZUL 45 GR - 2 PCTS 120</t>
  </si>
  <si>
    <t>ROLO MULTIUSO BRANCO 45GR 300MX0,33M</t>
  </si>
  <si>
    <t>SUPORTE ROLO 45 GR/M2 1X1</t>
  </si>
  <si>
    <t>SUPORTE ROLO 65 GR/M2 1X1</t>
  </si>
  <si>
    <t>LIXEIRA PLASTICA C/RODINHAS 120L 1X1</t>
  </si>
  <si>
    <t>PULVERIZADOR 1X12</t>
  </si>
  <si>
    <t>LIXEIRA COM PEDAL PEQUENA</t>
  </si>
  <si>
    <t>LIXEIRA BASCULANTE MEDIA COM BAGFIX</t>
  </si>
  <si>
    <t>LIXEIRA RETA BASCUL.PEQUENA 10L-1X12</t>
  </si>
  <si>
    <t>LIXEIRA RETA BASC.GRANDE 20,50L -1X4</t>
  </si>
  <si>
    <t>LIXEIRA RETA BASCULANTE MEDIA 30L - 1X6</t>
  </si>
  <si>
    <t>LIXEIRA PLASTICA 70LT SEM RODIZIO 1X4</t>
  </si>
  <si>
    <t>BALDE PLAST DUPLO C/ESPREMEDOR 15L 1X1</t>
  </si>
  <si>
    <t>ESPONJA DUPLA FACE TEFLON 1X10X10</t>
  </si>
  <si>
    <t>ESPONJA ESPECIAL P/SAPATO 1X175</t>
  </si>
  <si>
    <t>ESPONJA MULTI. 245X90MM SUPERPRO 1X100</t>
  </si>
  <si>
    <t>ESPONJAO DUPLA FACE SUAVE 245X90X20</t>
  </si>
  <si>
    <t>ESPONJAO COM MANTA BRANCA 1X100</t>
  </si>
  <si>
    <t>FIBRA ABRASIVA DUBLADA 115X137 - 1X276</t>
  </si>
  <si>
    <t>MANTA ESFREBOM 450 G I</t>
  </si>
  <si>
    <t>FIBRA LIMPEZA GERAL</t>
  </si>
  <si>
    <t>FIBRA LIMPEZA PESADA ATLAS</t>
  </si>
  <si>
    <t>MANTA ESFREBOM 456</t>
  </si>
  <si>
    <t>FIBRA AM VERMELHA</t>
  </si>
  <si>
    <t>MANTA CZ  ABRASIVA IND. SSF</t>
  </si>
  <si>
    <t>MANTA ABRASIVA INDL - SUF</t>
  </si>
  <si>
    <t>MANTA ABRASIVA INDL - AM VERMELHA</t>
  </si>
  <si>
    <t>MANTA ABRASIVA INDL - AG</t>
  </si>
  <si>
    <t>MANTA ABRASIVA INDL - AF</t>
  </si>
  <si>
    <t>FIBRA AZUL 25 CM X 50M</t>
  </si>
  <si>
    <t>ESPONJA ABRASIVA PLUS - 12X10</t>
  </si>
  <si>
    <t>FIBRA LIMP. USO GERAL 130X240 1X10X10</t>
  </si>
  <si>
    <t>FIBRA LIMP. USO LEVE 130X240 1X10X10</t>
  </si>
  <si>
    <t>FIBRA BETTAÇO 102x260 SUPERPRO1X10X10</t>
  </si>
  <si>
    <t>FIBRA S.FINA CINZA SF 280X230 - 1X100</t>
  </si>
  <si>
    <t>SACO PLAST. P/LIXO 60L SUPERPRO 1X5X100</t>
  </si>
  <si>
    <t>SACO PLASTICO P/ LIXO   40L 1X 8X100</t>
  </si>
  <si>
    <t>FIBRA FINA VERMELHA F 275X225 - 1X100</t>
  </si>
  <si>
    <t>VASSOURA SUPER BOLA  1 X 8</t>
  </si>
  <si>
    <t>SUPORTE PLASTICO P/PAPEL P SUPERPRO 1X14</t>
  </si>
  <si>
    <t>DISCO POLIDOR MARROM 30CM SUPERPRO 1X20</t>
  </si>
  <si>
    <t>DISCO LIMPADOR VERDE 460 MM - 1 X 20</t>
  </si>
  <si>
    <t>DISCO LUSTRADOR BRANCO 30CM SUPERPRO1X20</t>
  </si>
  <si>
    <t>REFIL MOP ESFREBOM 60CM - 1 X 12</t>
  </si>
  <si>
    <t>FRUTEIRA PLASTICO C/RODAS BRANCA</t>
  </si>
  <si>
    <t>DISCO ULTRA REMOV.AZUL DIAM.300MM 1X20</t>
  </si>
  <si>
    <t>DISCO ULTRA REMOV.AZUL DIAM.350MM 1X20</t>
  </si>
  <si>
    <t>DISCO ULTRA REMOV.AZUL DIAM.380MM 1X20</t>
  </si>
  <si>
    <t>DISCO ULTRA REMOV.AZUL DIAM.410MM 1X20</t>
  </si>
  <si>
    <t>DISCO ULTRA REMOV.AZUL DIAM.440MM 1X20</t>
  </si>
  <si>
    <t>DISCO ULTRA REMOV.AZUL DIAM.510MM 1X20</t>
  </si>
  <si>
    <t>DISCO REST. VERMELHO 30CM SUPERPRO 1X20</t>
  </si>
  <si>
    <t>DISCO REST. VERMELHO 38CM SUPERPRO 1X20</t>
  </si>
  <si>
    <t>DISCO LUST. CHAMPAGNE 30CM SUPERPRO1X20</t>
  </si>
  <si>
    <t>DISCO LUST. CHAMPAGNE 38CM SUPERPRO1X20</t>
  </si>
  <si>
    <t>DISCO LUST. CHAMPAGNE 44CM SUPERPRO1X20</t>
  </si>
  <si>
    <t>DISCO VERDE 50MM (PAMPEANO) 1X200</t>
  </si>
  <si>
    <t>MANTA 450 G II</t>
  </si>
  <si>
    <t>MANTA FILTRANTE ESPECIAL AZUL 1X20</t>
  </si>
  <si>
    <t>MANTA BRANCA GII</t>
  </si>
  <si>
    <t>MANTA AMF VERMELHA G2</t>
  </si>
  <si>
    <t>MANTA 466 G II</t>
  </si>
  <si>
    <t>FIBRA LIMP. PESADA 102X260 1X100 2L</t>
  </si>
  <si>
    <t>FIBRA ABRASIVA AMF VERMELHA</t>
  </si>
  <si>
    <t>BETTACO - ROLO - 13.4 CM X 10 MTS</t>
  </si>
  <si>
    <t>FIBRA LIMPEZA USO GERAL ROLO</t>
  </si>
  <si>
    <t>FIBRA LIMPEZA PESADA ROLO 134 MM X 10 M</t>
  </si>
  <si>
    <t>PONT ROSCA INTERNA D21 MOL089P PRETA</t>
  </si>
  <si>
    <t>RESERVATORIO SABONETE LIQUIDO 700ML 1X14</t>
  </si>
  <si>
    <t>LIMPA VIDROS PRO 1X3 LTS</t>
  </si>
  <si>
    <t>LIMPA CHAPAS 8X1LT</t>
  </si>
  <si>
    <t>DESENGORDURANTE PRO 1X3 LTS</t>
  </si>
  <si>
    <t>MAXI PRO LIMPADOR CONC USO GERAL 2X5LT</t>
  </si>
  <si>
    <t>TELA MIC. MOSCA AZUL OCEANO 1X12​</t>
  </si>
  <si>
    <t>TELA MIC. MOSCA BRANCA EUCALIPTO 1X12​</t>
  </si>
  <si>
    <t>SABONETE LIQ PEROLIZADO ERVA DOCE 4x5L</t>
  </si>
  <si>
    <t>SABONETE LIQUIDO CAMOMILA 1X4</t>
  </si>
  <si>
    <t>SABONETE LIQUIDO ESPUMA MACA VERDE 4x5L</t>
  </si>
  <si>
    <t>DETERGENTE HIG PRO 1X2</t>
  </si>
  <si>
    <t>REMOVEDOR LIMP PRO 1X2</t>
  </si>
  <si>
    <t>SELADOR ACRILICO PROSEL 1X2</t>
  </si>
  <si>
    <t>SELADOR ACABAMENTO ACRILICO PRO RUA 1X2</t>
  </si>
  <si>
    <t>ACABAMENTO ACRILICO LUMIPRO 1X2</t>
  </si>
  <si>
    <t>ACABAMENTO ACRILICO LUMISUPER PLUS 1X2</t>
  </si>
  <si>
    <t>ACABAMENTO ACRILICO LUMISUPER 1X2</t>
  </si>
  <si>
    <t>RESTAURADOR DE ACAB AC PRORESTAURADOR1X2</t>
  </si>
  <si>
    <t>DETERGENTE HIG PRO 1X4X1LT</t>
  </si>
  <si>
    <t>REMOVEDOR LIMP PRO 1X4X1LT</t>
  </si>
  <si>
    <t>LUMIPRO HS ACABAMENTO ACRILICO 1X4X1LT</t>
  </si>
  <si>
    <t>PLACA SINALIZADORA- BANHEIRO FECHADO 1X3</t>
  </si>
  <si>
    <t>PLACA SINALIZADORA- AREA DE RABALHO 1X3</t>
  </si>
  <si>
    <t>PLACA SINALIZADORA-PISO ESCORREGADIO 1X3</t>
  </si>
  <si>
    <t>PLACA SINALIZADORA- EM MANUTENCAO 1X3</t>
  </si>
  <si>
    <t>PLACA SINALIZADORA- PISO MOLHADO 1X3</t>
  </si>
  <si>
    <t>DESINFETANTE LAVANDA 2X5L</t>
  </si>
  <si>
    <t>DESINFETANTE Z40 2X5L</t>
  </si>
  <si>
    <t>DESINFETANTE DESOLIMP 2X5L</t>
  </si>
  <si>
    <t>SABONETE LIQUIDO PEROLADO COTTON 4X5L</t>
  </si>
  <si>
    <t>SABONETE LIQUIDO MARINE 2X5L</t>
  </si>
  <si>
    <t>LIMP PRO REMOVEDOR BASE 2X5L</t>
  </si>
  <si>
    <t>DETERGENTE OXY PRO 6 X 2L</t>
  </si>
  <si>
    <t>LIMPA PEDRA PRONTO USO 2 X 5L</t>
  </si>
  <si>
    <t>LIMPA PEDRA EM PO 150G 1X12</t>
  </si>
  <si>
    <t>LIMPA PEDRA EM PO 450G 1X6</t>
  </si>
  <si>
    <t>LIMPA INOX 500ML 1X12</t>
  </si>
  <si>
    <t>LIMPA VIDRO PRONTO USO 500ML 1X12</t>
  </si>
  <si>
    <t>SABONETE LIQUIDO BACTERICIDA 4X5L</t>
  </si>
  <si>
    <t>LIMPA PEDRA PRONTO USO 300ML 1X1</t>
  </si>
  <si>
    <t>DETERGENTE OXY PRO 300ML 1X1</t>
  </si>
  <si>
    <t>LIMPA INOX 300ML 1X1</t>
  </si>
  <si>
    <t>DESINFETANTE LAVANDA 300ML 1X1</t>
  </si>
  <si>
    <t>DESINFETANTE Z40 300ML 1X1</t>
  </si>
  <si>
    <t>DESINFETANTE DESOLIMP 300ML 1X1</t>
  </si>
  <si>
    <t>SABONETE LIQ PEROLADO COTTON 300ML 1X1</t>
  </si>
  <si>
    <t>SABONETE LIQUIDO MARINE 300ML 1X1</t>
  </si>
  <si>
    <t>SABONETE LIQ BACTERICIDA 300ML 1X1</t>
  </si>
  <si>
    <t>LIMP PRO REMOVEDOR BASE 300ML 1X1</t>
  </si>
  <si>
    <t>LIMPA VIDRO PRONTO USO 300ML 1X1</t>
  </si>
  <si>
    <t>DETERGENTE OXY PRO 2X5L</t>
  </si>
  <si>
    <t>RESERVATORIO DESCARTAVEL P/9702 1X1</t>
  </si>
  <si>
    <t>TELA MICTORIO PVC COTON 1X12 MOSCA</t>
  </si>
  <si>
    <t>TELA MICTORIO PVC OCEANO 1X12 GOTA</t>
  </si>
  <si>
    <t>TELA MICTORIO PVC NATUREZA 1x12 GOTA</t>
  </si>
  <si>
    <t>TELA MICTORIO PVC LAVANDA 1X12 GOTA</t>
  </si>
  <si>
    <t>TELA MICTORIO PVC COTON 1X12 GOTA</t>
  </si>
  <si>
    <t>SUPORTE PLASTICO SABONETE LIQ S/RES 1X6</t>
  </si>
  <si>
    <t>SABONETE LIQUIDO TOQUE DE LAVANDA 1X4</t>
  </si>
  <si>
    <t>SABONETE LIQUIDO CEREJA COM AVELA 1X4</t>
  </si>
  <si>
    <t>SABONETE LIQUIDO ACAI 1X4</t>
  </si>
  <si>
    <t>SABONETE LIQUIDO UVA 1X4</t>
  </si>
  <si>
    <t>SABONETE LIQUIDO FLOR DE MACA 1X4</t>
  </si>
  <si>
    <t>ACABAMENTO ACRILICO PRETO 1X2</t>
  </si>
  <si>
    <t>SUPORTE PLAST PLUS P/PAPEL HIGIENICO 1X6</t>
  </si>
  <si>
    <t>SUPORTE PLAST PLUS P/PAPEL TOALHA 1X6</t>
  </si>
  <si>
    <t>SUPORTE PLAST PLUS P/SABONETE LIQ 1X6</t>
  </si>
  <si>
    <t>PORTA GUARDANAPO P/BOCA PLAST PLUS 1X6</t>
  </si>
  <si>
    <t>TELA MIC ANTI-RESPINGO LIMAO 1X6</t>
  </si>
  <si>
    <t>TELA MIC ANTI-RESPINGO LAVANDA 1X6</t>
  </si>
  <si>
    <t>LIMPA VIDRO/INOX 2 EM 1 1X2X5L</t>
  </si>
  <si>
    <t>DESENGORDURANTE PRO 1X2X5L</t>
  </si>
  <si>
    <t>DETERGENTE DESENGRAXANTE USO GERAL 2X5L</t>
  </si>
  <si>
    <t>SABONETE ESPUMA BACTERICIDA 5L 1X2X5</t>
  </si>
  <si>
    <t>SABONETE EM GEL NEUTRALIZADOR 300G 1X12</t>
  </si>
  <si>
    <t>BASE RODO ALUMINIO DUPLO</t>
  </si>
  <si>
    <t>ACIDO DODECIL BENZENO SULFONICO 96</t>
  </si>
  <si>
    <t>ARGOLA REPOSICAO CABO ALUMINIOINIO</t>
  </si>
  <si>
    <t>ARMACAO METALICA P/ MOP PO 60 CM 1X6</t>
  </si>
  <si>
    <t>ARMACAO METALICA P/ MOP PO 80 CM 1X6</t>
  </si>
  <si>
    <t>ARMACAO METALICA P/MOP PO 40 CM - 1X6</t>
  </si>
  <si>
    <t>ARREMATE</t>
  </si>
  <si>
    <t>BALDE C/ ROD ESPR PRESSAO AF 08081</t>
  </si>
  <si>
    <t>BALDE PLAST 15 L 1X1</t>
  </si>
  <si>
    <t>BALDE RETANGULAR 6 L 1X1</t>
  </si>
  <si>
    <t>BASTAO SANITARIO OCEANO 63X28 155A160 G</t>
  </si>
  <si>
    <t>CABO ALUMINIO 22,2 MM X 1,50 M 7/8" 9019</t>
  </si>
  <si>
    <t>CABO ALUMINIO 25,6 MM X 1,50M 1" 9014</t>
  </si>
  <si>
    <t>CERA ACRIL 2046</t>
  </si>
  <si>
    <t>CERA ACRIL EAB 300</t>
  </si>
  <si>
    <t>CERA ACRIL EAS 401</t>
  </si>
  <si>
    <t>CERA ACRIL EAS 550</t>
  </si>
  <si>
    <t>CERA ACRIL EIA 400</t>
  </si>
  <si>
    <t>CERA PE AC 316</t>
  </si>
  <si>
    <t>CERA PP EPP 400N</t>
  </si>
  <si>
    <t>CESTO AL CERA B8</t>
  </si>
  <si>
    <t>CESTO BALDE B5</t>
  </si>
  <si>
    <t>CJ BALDE/ESPREMEDOR 25 L HORIZONTAL 1X1</t>
  </si>
  <si>
    <t>COMBINADO 35 CM</t>
  </si>
  <si>
    <t>COMP PVC S/FRAG.REF:IP109/65 CRISTAL NF</t>
  </si>
  <si>
    <t>DIBUTILFTALATO - DBP</t>
  </si>
  <si>
    <t>DISCO ESPECIAL VERMELHO LUSTRADOR 105MM</t>
  </si>
  <si>
    <t>ESSENCIA BRISA 16575</t>
  </si>
  <si>
    <t>ETILDIGLICOL</t>
  </si>
  <si>
    <t>FIO PAVIO 85 ALG 15 POLIESTER 31200/3</t>
  </si>
  <si>
    <t>FIXADOR REPOS. SUP MOP UMIDO 1X6</t>
  </si>
  <si>
    <t>HIDROXIDO POTASSIO ESCAMA - HIPO</t>
  </si>
  <si>
    <t>LAURIL ETER SULF SODIO 28 - LESO</t>
  </si>
  <si>
    <t>LIXEIRA C/RODINHAS 120 L - 9324</t>
  </si>
  <si>
    <t>LIXEIRA S/PEDAL AZUL 120 L - 9320AZ</t>
  </si>
  <si>
    <t>LIXEIRA S/PEDAL AZUL 240 L - 9321AZ</t>
  </si>
  <si>
    <t>LIXEIRA S/PEDAL LARANJA 120 L - 9320LR</t>
  </si>
  <si>
    <t>LIXEIRA S/PEDAL LARANJA 240 L - 9321LR</t>
  </si>
  <si>
    <t>METASSILICATO SODIO</t>
  </si>
  <si>
    <t>MONOETANOLAMINA</t>
  </si>
  <si>
    <t>MOP PO MICROFIBRA 60 CM 1X12</t>
  </si>
  <si>
    <t>MOP P.DOB 300G PAVIO VD BANDA AM 1X12</t>
  </si>
  <si>
    <t>MOP P.DOB 300G PAVIO VD BANDA AZ 1X12</t>
  </si>
  <si>
    <t>MOP P.DOB 300G PAVIO VD BANDA VD 1X12</t>
  </si>
  <si>
    <t>MOP P.DOB 300G PAVIO VD BANDA VR 1X12</t>
  </si>
  <si>
    <t>MOP P.DOB 340G PAVIO VD BANDA AM 1X12</t>
  </si>
  <si>
    <t>MOP P.DOB 340G PAVIO VD BANDA AZ 1X12</t>
  </si>
  <si>
    <t>MOP P.DOB 340G PAVIO VD BANDA VD 1X12</t>
  </si>
  <si>
    <t>MOP P.DOB 340G PAVIO VD BANDA VR 1X12</t>
  </si>
  <si>
    <t>MOP UMIDO P.CORT 260G PAVIO 1X12</t>
  </si>
  <si>
    <t>MOP UMIDO P.CORT 340G PAVIO 1X12</t>
  </si>
  <si>
    <t>MOP UMIDO P.CORT 390G PAVIO 1X12</t>
  </si>
  <si>
    <t>MOP UMIDO P DOB 300G PAVIO AMARELO 1X12</t>
  </si>
  <si>
    <t>MOP UMIDO P.DOB 300G PAVIO VERDE 1X12</t>
  </si>
  <si>
    <t>MOP UMIDO P.DOB 300G PAVIO VERMELHO 1X12</t>
  </si>
  <si>
    <t>MOP PO NYLON 60CM 1X12</t>
  </si>
  <si>
    <t>MOP UMIDO P.DOB 340G PAVIO AMARELO 1X12</t>
  </si>
  <si>
    <t>MOP UMIDO P.DOB 340G PAVIO AZUL 1X12</t>
  </si>
  <si>
    <t>MOP DESCARTE​</t>
  </si>
  <si>
    <t>MOP UMIDO P.DOB 340G PAVIO VERMELHO 1X12</t>
  </si>
  <si>
    <t>NONIL FENOL ETOXILADO 9.5 - NFE</t>
  </si>
  <si>
    <t>PANO SEK AZUL 45 GR - 9302</t>
  </si>
  <si>
    <t>PANO SEK MULTI AZUL - 5X10X5 - 9301</t>
  </si>
  <si>
    <t>PIG MASTER AMA AMIN223​ /489 - Ut. 2 INV</t>
  </si>
  <si>
    <t>PIG MASTER AZUL AZ 513  - TELA​</t>
  </si>
  <si>
    <t>PIG MASTER BRANCO 2001</t>
  </si>
  <si>
    <t>PIG MASTER BRANCO TONALIZ BA21724 PBBO</t>
  </si>
  <si>
    <t>PIG MASTER CINZA ESCURO PCZ1368</t>
  </si>
  <si>
    <t>PIG MASTER LILAS LI 23420 - TELA</t>
  </si>
  <si>
    <t>PP COPO 141 BRASKEM / 412MK49​  / EP548S</t>
  </si>
  <si>
    <t>PP HOMO 301 BRASKEM</t>
  </si>
  <si>
    <t>PP HOMO 502 HC BRASKEM</t>
  </si>
  <si>
    <t>PRESERVANTE PROXEL BD 20</t>
  </si>
  <si>
    <t>L</t>
  </si>
  <si>
    <t>PS SR 550 AL IMPACTO</t>
  </si>
  <si>
    <t>REF 319 TABUA CORTE EXTRA GR</t>
  </si>
  <si>
    <t>REF 330 BANDEJA REDONDA</t>
  </si>
  <si>
    <t>REF 332 BANDEJA RETANGULAR 45,8 X 31,5</t>
  </si>
  <si>
    <t>REF 341 TRAVESSA ALIMENTOS PQ 287X197X60</t>
  </si>
  <si>
    <t>REF 342 TRAVESSA P/ALIMENTOS MD</t>
  </si>
  <si>
    <t>REF 343 TRAVESSA ALIMENTOS GR 580X380X90</t>
  </si>
  <si>
    <t>REF 344 TRAVESSA ALIMEN LONGA 580X285X82</t>
  </si>
  <si>
    <t>REF 362 PORTA DETERGENTE 261 X 135 X 35</t>
  </si>
  <si>
    <t>REF 395/2 POTE ORGANIZ 6,1L</t>
  </si>
  <si>
    <t>REF 435 BALEIRO MD 145 X 125 X 166</t>
  </si>
  <si>
    <t>REF 435/3 PORTA CAFE 145 X 125 X 166</t>
  </si>
  <si>
    <t>REF 436 BALEIRO GR  178 X 150 X 217</t>
  </si>
  <si>
    <t>REF 610 P - CACAMBA PROFIMASTER  11 L</t>
  </si>
  <si>
    <t>REFIL BORRACHA RODO ALUMINIO 50 CM</t>
  </si>
  <si>
    <t>REFIL BORRACHA RODO ALUMINIO 70 CM</t>
  </si>
  <si>
    <t>REFIL LUVA RODO COMB 25 CM - 1 X 6</t>
  </si>
  <si>
    <t>REFIL LUVA RODO COMB 35 CM - 1 X 6</t>
  </si>
  <si>
    <t>REFIL MOP ESFREBOM 60 CM 1 X 12</t>
  </si>
  <si>
    <t>RODO LAV/LIMP COMB 35CM - 1X3</t>
  </si>
  <si>
    <t>RODO LIMPA VIDRO 25 CM - 1 X 1</t>
  </si>
  <si>
    <t>RODO LIMPA VIDRO 30 CM - 1 X 1</t>
  </si>
  <si>
    <t>RODO LIMPA VIDRO 35 CM - 1 X 1</t>
  </si>
  <si>
    <t>RODO LIMPA VIDRO 40 CM</t>
  </si>
  <si>
    <t>ROLO ECONOMICO LARANJA 40 GR/M2</t>
  </si>
  <si>
    <t>ROLO ECONOMICO VERDE 40 GR/M2</t>
  </si>
  <si>
    <t>ROLO MULTI AZUL 40GR 0,33 X 300 M PIC</t>
  </si>
  <si>
    <t>ROLO MULTI AZUL 45GR 0,33 X 300 M PIC</t>
  </si>
  <si>
    <t>ROLO MULTI BRANCO 40GR 0,33 X 300 M PIC</t>
  </si>
  <si>
    <t>ROLO MULTI BRANCO 45GR 0,33 X 300 M PIC</t>
  </si>
  <si>
    <t>ROLO MULTI BRANCO 65GR 0,33 X 300 M PIC</t>
  </si>
  <si>
    <t>ROLO MULTI LARANJA 0,33 X 300 M PIC</t>
  </si>
  <si>
    <t>ROLO MULTI LARANJA 45GR 0,33 X 30 M PIC</t>
  </si>
  <si>
    <t>ROLO MULTI LARANJA 45GR 0,33 X 300 M PIC</t>
  </si>
  <si>
    <t>ROLO MULTI LR 65G 0,33 X 300 M 9308</t>
  </si>
  <si>
    <t>ROLO MULTI VERDE 0,33 X 300 M PIC</t>
  </si>
  <si>
    <t>ROLO MULTI VERDE 45GR 0,33 X 30 M PIC</t>
  </si>
  <si>
    <t>ROLO MULTI VERDE 45GR 0,33 X 300 M PIC</t>
  </si>
  <si>
    <t>ROLO MULTI VERDE 65GR 0,33 X 300 M PIC</t>
  </si>
  <si>
    <t>SOLVENTE BUTILGLICOL - SOBU</t>
  </si>
  <si>
    <t>SUPORTE SEKITO</t>
  </si>
  <si>
    <t>TRIBUTOXIETILFOSFATO TBEP</t>
  </si>
  <si>
    <t>VELCRO BRANCO 25MM</t>
  </si>
  <si>
    <t>ZONILFSJ</t>
  </si>
  <si>
    <t>BETTACO - 950011E</t>
  </si>
  <si>
    <t>BETTACO 0,134 x 10 M</t>
  </si>
  <si>
    <t>COMPOSTO PVC IP 109/65 EUCALIPTO</t>
  </si>
  <si>
    <t>COMPOSTO PVC IP 109/65 LAVANDA</t>
  </si>
  <si>
    <t>COMPOSTO PVC IP 109/65 LIMAO</t>
  </si>
  <si>
    <t>COMPOSTO PVC IP 109/65 MARINE</t>
  </si>
  <si>
    <t>DISCO ULTRA REMOV AZUL 510MM 1X20</t>
  </si>
  <si>
    <t>DISCO VERDE  50MM  PAMPEANO 1X200</t>
  </si>
  <si>
    <t>ESCOVA BETTARELAX PRO 1X12</t>
  </si>
  <si>
    <t>ESCOVA MULTIUSO VR 1 X 12 - 9148E</t>
  </si>
  <si>
    <t>ESCOVA SANILUX PETALAS SUPERPRO-1X12</t>
  </si>
  <si>
    <t>ESCOVAO PIACA 30 CM 1 X 12</t>
  </si>
  <si>
    <t>ESCOVAO PIACA 40 CM 1 X 12</t>
  </si>
  <si>
    <t>ESPREMEDOR OVAL ZIGZAG 1X6</t>
  </si>
  <si>
    <t>FIBRA AM VERMELHA  1,72X100M</t>
  </si>
  <si>
    <t>FIBRA LIMP LEVE AZUL 102X260 1X10X10</t>
  </si>
  <si>
    <t>FIBRA USO GERAL FRIGORIFICO - 10X10</t>
  </si>
  <si>
    <t>LIXEIRA C/PEDAL VERDE 240 L - 9359VDE</t>
  </si>
  <si>
    <t>MANTA ABRASIVA INDL - SSF</t>
  </si>
  <si>
    <t>PANO SEK MULTIUSO AZUL - 5X10X5</t>
  </si>
  <si>
    <t>REF 1780/6 ESCOVA 6 FILAS 131 MM</t>
  </si>
  <si>
    <t>REF 1780/6E ESCOVA 6 FILAS 131 MM</t>
  </si>
  <si>
    <t>REF 1840/3 ESCOVA 3 FILAS</t>
  </si>
  <si>
    <t>REF 1840/3E ESCOVA 3 FILAS</t>
  </si>
  <si>
    <t>REF 1840/40 ESCOVA 4 FILAS</t>
  </si>
  <si>
    <t>REF 1840/40E ESCOVA 4 FILAS</t>
  </si>
  <si>
    <t>REF 20614 ARQ ESTREITO VERMELHO</t>
  </si>
  <si>
    <t>REF 20616 ARQ ESTREITO CRISTAL VERDE</t>
  </si>
  <si>
    <t>REF 768/40 GARRAFA GOLE GUT LAR 3500 ML</t>
  </si>
  <si>
    <t>RODO PLAST 50CM SIMPLES C/ CABO 1X12</t>
  </si>
  <si>
    <t>RODO PLAST PUSH 50CM DUPLO C/CABO 1X12</t>
  </si>
  <si>
    <t>ROLO MULT LARANJA 65G 300MX0,33M PIC</t>
  </si>
  <si>
    <t>ROLO MULT VERDE 45GR 300MX0,33M PIC</t>
  </si>
  <si>
    <t>ROLO MULTI BRANCO 45GR 0,33 X 300M</t>
  </si>
  <si>
    <t>SABAO BRILHUS POTE 1 KG 1X12</t>
  </si>
  <si>
    <t>SACO PLAST P/ LIXO 60L 1X5X100</t>
  </si>
  <si>
    <t>SUPORTE MANUAL P/BETTACO 1X10 PROM</t>
  </si>
  <si>
    <t>SUPORTE P/FIBRA ABRAS.BT/LT 1X10 PROM</t>
  </si>
  <si>
    <t>TAMPA PP TELA MICTORIO DIAMETRO 77 MM</t>
  </si>
  <si>
    <t>TELA MICTORIO AZUL OCEANO</t>
  </si>
  <si>
    <t>TELA MICTORIO BRANCA EUCALIPTO</t>
  </si>
  <si>
    <t>TELA MICTORIO LILAS LAVANDA</t>
  </si>
  <si>
    <t>TELA MICTORIO VERDE NATUREZA</t>
  </si>
  <si>
    <t>VASS CERDA MACIA 60 CM 1 X 12 - 9064DE</t>
  </si>
  <si>
    <t>VASS TUPY CERDAS LONGAS S/CABO 1X12</t>
  </si>
  <si>
    <t>VASSOURA RIGIDA 60 CM 1 X 12 - 9063DE</t>
  </si>
  <si>
    <t>AUGEO SL 191</t>
  </si>
  <si>
    <t>ALCOOL BENZILICO</t>
  </si>
  <si>
    <t>ACIDO 2 ETIL HEXANOICO</t>
  </si>
  <si>
    <t>CJ BALDE/ESPREMEDOR 25 L VERTICAL 1X1</t>
  </si>
  <si>
    <t>ANTIMUSSOL UDF</t>
  </si>
  <si>
    <t>POLIGEM MA</t>
  </si>
  <si>
    <t>BALDE DE UTILIDADES CINZA 1X1</t>
  </si>
  <si>
    <t>BALDE DE UTILIDADES AMARELO 1X1</t>
  </si>
  <si>
    <t>SUPORTE MANUAL GRANDE SP9517</t>
  </si>
  <si>
    <t>SUPORTE PLAST P/MOP UMIDO SP9222</t>
  </si>
  <si>
    <t>SUPORTE PLAST GARRA P/ MOP SP9223</t>
  </si>
  <si>
    <t>UREIA</t>
  </si>
  <si>
    <t>REFIL BORRACHA RODO ALUMINIO 25 CM</t>
  </si>
  <si>
    <t>REFIL BORRACHA RODO 45CM 1X10​</t>
  </si>
  <si>
    <t>TUBO DE PAPEL 38,0X1,0X300,0MM​</t>
  </si>
  <si>
    <t>JUMBO RL TNT LARANJA 65G POLT 70 VISC 30</t>
  </si>
  <si>
    <t>JUMBO RL TNT VERDE 65G POLT 70 VISC 30</t>
  </si>
  <si>
    <t>JUMBO RL TNT BRANCO 65G POLT 70 VISC 30</t>
  </si>
  <si>
    <t>JUMBO RL TNT RECUPERADO BR</t>
  </si>
  <si>
    <t>JUMBO RL TNT RECUPERADO AZ</t>
  </si>
  <si>
    <t>JUMBO RL TNT RECUPERADO VD</t>
  </si>
  <si>
    <t>JUMBO RL TNT RECUPERADO LR</t>
  </si>
  <si>
    <t>FIBRA VERMELHA MF 225X150 - 1X100</t>
  </si>
  <si>
    <t>ROLO DE PANO MULTIUSO GRANDE</t>
  </si>
  <si>
    <t>CORANTE VERDE ALIZARINE</t>
  </si>
  <si>
    <t>ACIDO CITRICO</t>
  </si>
  <si>
    <t>COCOAMIDOPROPIL BETAINA- ALKOLAN CP 30</t>
  </si>
  <si>
    <t>ESSENCIA CAMOMILA INC76567</t>
  </si>
  <si>
    <t>ESSENCIA ERVA-DOCE  HS B.83322</t>
  </si>
  <si>
    <t>CORANTE AMARELO TARTAZINA</t>
  </si>
  <si>
    <t>LS TENSO E</t>
  </si>
  <si>
    <t>LAURIL ETER SULFATO SODIO 70</t>
  </si>
  <si>
    <t>CLORETO DE SODIO EXTRA FINO</t>
  </si>
  <si>
    <t>PEG-150 DISTEARATE- ALKEST DE 600</t>
  </si>
  <si>
    <t>MISTURA ISOTIAZOLININAS  LA</t>
  </si>
  <si>
    <t>BASE PEROLIZANTE GENAPOL EGL</t>
  </si>
  <si>
    <t>AMIDA 80 ALKOLAN PK2M</t>
  </si>
  <si>
    <t>ACUSOL OP 301- OPULYN</t>
  </si>
  <si>
    <t>ESSENCIA MACA VERDE DIER B 4872</t>
  </si>
  <si>
    <t>FIO PAVIO M3011 70%ALG 30%POL VERMELHO</t>
  </si>
  <si>
    <t>FIO PAVIO M-3011 70%ALG.30%POL AZUL</t>
  </si>
  <si>
    <t>FIO PAVIO M-3011 70%ALG.30%POL VERDE</t>
  </si>
  <si>
    <t>FIO PAVIO M-3011 70%ALG 30%POL AMARELO</t>
  </si>
  <si>
    <t>EMULSAO FORTICRYL 2033</t>
  </si>
  <si>
    <t>TRIBUTIL CITRATO</t>
  </si>
  <si>
    <t>CARBONATO DE SODIO</t>
  </si>
  <si>
    <t>ALCOOL ETI</t>
  </si>
  <si>
    <t>BICARBONATO DE SODIO</t>
  </si>
  <si>
    <t>BOBINA HOT STAMPING LUX KLX 220 PRATA</t>
  </si>
  <si>
    <t>CARBONATO DE POTASSIO</t>
  </si>
  <si>
    <t>GLICERINA VEGETAL BIDESTILADA</t>
  </si>
  <si>
    <t>PLANTAREN 2000</t>
  </si>
  <si>
    <t>ACIDO FOSFORICO 85</t>
  </si>
  <si>
    <t>LIXEIRA C/ PEDAL 25L BRANCA 1X4</t>
  </si>
  <si>
    <t>LIXEIRA INOX DESCARTE​</t>
  </si>
  <si>
    <t>LIXEIRA C/ PEDAL 45L PRETA/AMARELA 1X4</t>
  </si>
  <si>
    <t>LIXEIRA C/ PEDAL 45L BRANCA 1X4</t>
  </si>
  <si>
    <t>LIXEIRA C/ PEDAL 60L PRETA/AMARELA 1X4</t>
  </si>
  <si>
    <t>LIXEIRA C/ PEDAL 87L PRETA/AMARELA 1X4</t>
  </si>
  <si>
    <t>LIXEIRA C/ PEDAL 87L BRANCA 1X4</t>
  </si>
  <si>
    <t>LIXEIRA C/ PEDAL 60L BRANCA 1X3​</t>
  </si>
  <si>
    <t>TUBO DE PAPEL 38,0X1,0X285,0MM​</t>
  </si>
  <si>
    <t>CORANTE LARANJA ARTIFICIAL CA03126</t>
  </si>
  <si>
    <t>BEROL 226 SB</t>
  </si>
  <si>
    <t>ESSENCIA CITRUS CAP</t>
  </si>
  <si>
    <t>ALCOOL 96</t>
  </si>
  <si>
    <t>HEDP NA4</t>
  </si>
  <si>
    <t>TRIPOLIFOSFATO DE SODIO</t>
  </si>
  <si>
    <t>POLIGEN AX 402</t>
  </si>
  <si>
    <t>POLIGEN WHS</t>
  </si>
  <si>
    <t>POLIGEN LB WE1</t>
  </si>
  <si>
    <t>POLIGEN ASR 3000</t>
  </si>
  <si>
    <t>EMULSAO SILICONE MEM 0039</t>
  </si>
  <si>
    <t>LIXEIRA C/ PEDAL 20LT 1X6</t>
  </si>
  <si>
    <t>LIXEIRA C/ PEDAL 50LT 1X6</t>
  </si>
  <si>
    <t>LIXEIRA BASCULANTE 40LT 1X6</t>
  </si>
  <si>
    <t>LIXEIRA BASCULANTE 70LT 1X6</t>
  </si>
  <si>
    <t>LIXEIRA SELETIVA AMARELA 60L 1X6</t>
  </si>
  <si>
    <t>LIXEIRA SELETIVA AZUL 60LT 1X6</t>
  </si>
  <si>
    <t>LIXEIRA SELETIVA VERDE 60LT 1X6</t>
  </si>
  <si>
    <t>LIXEIRA SELETIVA VERMELHA 60LT 1X6</t>
  </si>
  <si>
    <t>CONTAINER PLASTICO 660L. AZUL 1X1</t>
  </si>
  <si>
    <t>CONTAINER PLASTICO 660L. VERDE 1X1</t>
  </si>
  <si>
    <t>CONTAINER PLASTICO 660L. BRANCO 1X1</t>
  </si>
  <si>
    <t>JUMBO RL TNT LARANJA 35G 50VIS/50POL EC</t>
  </si>
  <si>
    <t>JUMBO RL TNT VERDE 35G 50VIS/50POL EC</t>
  </si>
  <si>
    <t>JUMBO RL TNT CINZA 35G 20VIS/80POL</t>
  </si>
  <si>
    <t>TESTEIRA SP9345/ SP9330</t>
  </si>
  <si>
    <t>ARMACAO METALICA SP9345</t>
  </si>
  <si>
    <t>ARMACAO METALICA SP9330</t>
  </si>
  <si>
    <t>CONTAINER PLASTICO 660L 1X1 PRETO</t>
  </si>
  <si>
    <t>CONTAINER PLASTICO 660L 1X1 CINZA</t>
  </si>
  <si>
    <t>CONSERVADORA PISO GL350 220V</t>
  </si>
  <si>
    <t>CONSERVADORA PISO GL510 220V</t>
  </si>
  <si>
    <t>CONSERVADORA PISO GL410 220V</t>
  </si>
  <si>
    <t>JUMBO RL TNT BRANCO 35G 50VISC/50POL EC</t>
  </si>
  <si>
    <t>JUMBO RL TNT AZUL 35G 50VISC/50POL EC</t>
  </si>
  <si>
    <t>BEROL LS</t>
  </si>
  <si>
    <t>SUPORTE P/ CONSERVADORA 350</t>
  </si>
  <si>
    <t>FLANGE P/ CONSERVADORA DE PISO N.09</t>
  </si>
  <si>
    <t>FLANGE P/ CONSERVADORA PISO N.10</t>
  </si>
  <si>
    <t>SUPORTE P/ CONSERVADORA 410</t>
  </si>
  <si>
    <t>SUPORTE P/ CONSERVADORA 510</t>
  </si>
  <si>
    <t>ESCOVA DE LAVAGEM 350</t>
  </si>
  <si>
    <t>ESCOVA DE LAVAGEM 410</t>
  </si>
  <si>
    <t>ESCOVA CARPETE 350</t>
  </si>
  <si>
    <t>ESCOVA CARPETE 410</t>
  </si>
  <si>
    <t>ESCOVA CARPETE 510</t>
  </si>
  <si>
    <t>ESCOVA POLIDORA/ DE LUSTRAR 350</t>
  </si>
  <si>
    <t>ESCOVA POLIDORA/ DE LUSTRAR 410</t>
  </si>
  <si>
    <t>ESCOVA POLIDORA/ DE LUSTRAR 510</t>
  </si>
  <si>
    <t>ESCOVA DE LAVAGEM 510</t>
  </si>
  <si>
    <t>ESSENCIA SPARKLING</t>
  </si>
  <si>
    <t>ESSENCIA BLUE WATER</t>
  </si>
  <si>
    <t>FLANGE P/ CONSERVADORA PISO N.05</t>
  </si>
  <si>
    <t>LIXEIRA BASCULANTE AZ 70L 1X6</t>
  </si>
  <si>
    <t>CONSERVE T - IPEL</t>
  </si>
  <si>
    <t>CONSERVE CX - IPEL</t>
  </si>
  <si>
    <t>LIXEIRA BASCULANTE AM 70L 1X6</t>
  </si>
  <si>
    <t>LIXEIRA BASCULANTE VR 70L 1X6</t>
  </si>
  <si>
    <t>LIXEIRA BASCULANTE MR 70L 1X6</t>
  </si>
  <si>
    <t>LIXEIRA BASCULANTE VD 70L 1X6</t>
  </si>
  <si>
    <t>EMULSAO PU NKX 240</t>
  </si>
  <si>
    <t>COMPOSTO PVC IP 109/75 DOVE</t>
  </si>
  <si>
    <t>EMB 193</t>
  </si>
  <si>
    <t>EMULGIN CO40</t>
  </si>
  <si>
    <t>LIXEIRA PLASTICA C/PEDAL PRO 25L 1X5</t>
  </si>
  <si>
    <t>LIXEIRA PLASTICA C/PEDAL PRO 50L 1X5</t>
  </si>
  <si>
    <t>VALVULA GATILHO C/ESP TRANSP (9347)</t>
  </si>
  <si>
    <t>ROLO TECIDO NAO TECIDO VD 300X0,30M 40G</t>
  </si>
  <si>
    <t>ROLO TECIDO NAO TECIDO LR 300X0,30M 40G</t>
  </si>
  <si>
    <t>LIXEIRA 200L C/ TAMPA 1X1  ​</t>
  </si>
  <si>
    <t>CONJ. PRATELEIRA E HASTE 1X1 ​</t>
  </si>
  <si>
    <t>CONJ. TAMPAS LATERAIS 1X1</t>
  </si>
  <si>
    <t>CONJ. RODAS P/CARRO PRATELEIRA 1X1</t>
  </si>
  <si>
    <t>CARRO BASCULANTE 400L 1X1</t>
  </si>
  <si>
    <t>CONJ. RODAS P/ CARRO BASCULANTE 1X1</t>
  </si>
  <si>
    <t>CARRO CUBA 400L 1X1</t>
  </si>
  <si>
    <t>CONJ. RODAS P/ CARRO CUBA 1X1</t>
  </si>
  <si>
    <t>TAMPA BASCULANTE P/ CARRO CUBA 1X1</t>
  </si>
  <si>
    <t>GLYDANT TM PLUS TM LIQUID</t>
  </si>
  <si>
    <t>GOMA XANTANA M200</t>
  </si>
  <si>
    <t>ESSENCIA UVA ITALIA</t>
  </si>
  <si>
    <t>CORANTE ANILINA VERMELHO LIMPOL</t>
  </si>
  <si>
    <t>ESSENCIA ACAI - LESSENCE</t>
  </si>
  <si>
    <t>ESSENCIA CERELA E AVELA - LESSENCE</t>
  </si>
  <si>
    <t>ESSENCIA LIVE ALADIM - LESSENCE</t>
  </si>
  <si>
    <t>PIG MASTER VIOLETA 482</t>
  </si>
  <si>
    <t>ESCOVA PLASTICO REDONDA 1X6</t>
  </si>
  <si>
    <t>REFIL LAMINA ACO ANGULAR 1X10</t>
  </si>
  <si>
    <t>REFIL LAMINA ACO RETO 1X10</t>
  </si>
  <si>
    <t>ALPHALETT 10</t>
  </si>
  <si>
    <t>ALPHABIO 2000</t>
  </si>
  <si>
    <t>PUNHO DIAMETRO 22MM (2000804)</t>
  </si>
  <si>
    <t>PUNHO DIAMETRO 25,4MM (2000805)</t>
  </si>
  <si>
    <t>PIGMENTO PR D 30794 MD - PRETO</t>
  </si>
  <si>
    <t>BASE PLACA SINALIZADORA</t>
  </si>
  <si>
    <t>RODAS LIXEIRAS</t>
  </si>
  <si>
    <t>RESERVATORIO PLAST LATERAIS GD 1X1​​</t>
  </si>
  <si>
    <t>REFIL MOP MICROFIBRA MULTIUSO 1X4</t>
  </si>
  <si>
    <t>CABO ALUMINIO MULTIUSO 1X1</t>
  </si>
  <si>
    <t>BASE PLAST P/MOP MIC MULTIUSO 1X1</t>
  </si>
  <si>
    <t>ACESSORIO PLAST CONECTOR MANGUEIRA 1X1</t>
  </si>
  <si>
    <t>PIG MASTER VERDE VD 430</t>
  </si>
  <si>
    <t>PIG MASTER LILAS LI4634</t>
  </si>
  <si>
    <t>RESERVATORIO PLAST LATERAIS PQ 1X1​​</t>
  </si>
  <si>
    <t>BALDE PLAST VR ACESSORIO P/REF 9077</t>
  </si>
  <si>
    <t>RODO PLAST EVA C/ESCOVA 48CM CZ 1X6</t>
  </si>
  <si>
    <t>VISEIRA PROTETOR FACIAL (2007493)</t>
  </si>
  <si>
    <t>ARMACAO PROTETOR FACIAL 2020A (2007492)</t>
  </si>
  <si>
    <t>ELASTICO PROTETOR FACIAL (3004441)</t>
  </si>
  <si>
    <t>CABO MOP ORGINAL/PLUS</t>
  </si>
  <si>
    <t>RODA PARA AS LIXEIRAS 9358/9359</t>
  </si>
  <si>
    <t>VISOR PAPEL TOALHA - 2007374</t>
  </si>
  <si>
    <t>TAMPA PAPEL TOALHA - 2007375</t>
  </si>
  <si>
    <t>CABO METAL P/CJ BALDE E MOP SUPERPRO 1X1</t>
  </si>
  <si>
    <t>CABO METAL 1,5M P/CJ BALDE SP9090 1X4</t>
  </si>
  <si>
    <t>BASE PLASTICA SP9090 1X4</t>
  </si>
  <si>
    <t>REFIL UNIVERSAL CJ MOP9085/9090/9098 1X4</t>
  </si>
  <si>
    <t>PRENSA PRODUTO 9068</t>
  </si>
  <si>
    <t>CARRO FUNCIONAL SP90106</t>
  </si>
  <si>
    <t>PLACA SINALIZADORA SP90107</t>
  </si>
  <si>
    <t>CARRO SP90105</t>
  </si>
  <si>
    <t>AC 100A - 1752 / 9001C​ INV</t>
  </si>
  <si>
    <t>AC 103A - 888/878</t>
  </si>
  <si>
    <t>AC 137A - 570</t>
  </si>
  <si>
    <t>AC 137B - 570</t>
  </si>
  <si>
    <t>AC 18A - 1641</t>
  </si>
  <si>
    <t>AC 277A - 1742</t>
  </si>
  <si>
    <t>AC 27A - 1292 KB</t>
  </si>
  <si>
    <t>AC 27C - 1292</t>
  </si>
  <si>
    <t>AC 28C - 130040 KB</t>
  </si>
  <si>
    <t>AC 291A - 1312</t>
  </si>
  <si>
    <t>AC 307A - 1852</t>
  </si>
  <si>
    <t>AC 307B - 1852</t>
  </si>
  <si>
    <t>AC 33A - 12</t>
  </si>
  <si>
    <t>AC 794A - 9148</t>
  </si>
  <si>
    <t>AC 94C - 1002 / BTN1002H</t>
  </si>
  <si>
    <t>AC 94D - 1882 BT2022 BTN1002H BT3030D KB</t>
  </si>
  <si>
    <t>BOB PEBD CANELA TUBULAR 1,55 M X 0,14 MM</t>
  </si>
  <si>
    <t>CARTELA PILOTO LINHA PRO</t>
  </si>
  <si>
    <t>CARTELA REFIL BOR RODO ALUMINIO 50CM</t>
  </si>
  <si>
    <t>CARTELA REFIL BOR RODO ALUMINIO 70CM</t>
  </si>
  <si>
    <t>CX  MASTER 9075/9076</t>
  </si>
  <si>
    <t>CX SP30352 PANOS​</t>
  </si>
  <si>
    <t>CX 13001/4 PMG</t>
  </si>
  <si>
    <t>CX 13002/4 PMG</t>
  </si>
  <si>
    <t>CX 160 - 5708</t>
  </si>
  <si>
    <t>CX 251 - 111</t>
  </si>
  <si>
    <t>CX 784 - 9685</t>
  </si>
  <si>
    <t>CX 791 - 9069D</t>
  </si>
  <si>
    <t>CX 794 - 9148</t>
  </si>
  <si>
    <t>CX 797 - 9514</t>
  </si>
  <si>
    <t>CX 800 - 950210</t>
  </si>
  <si>
    <t>CX 801 - 9136</t>
  </si>
  <si>
    <t>CX 802 - 9419</t>
  </si>
  <si>
    <t>CX 804 - 9160TP</t>
  </si>
  <si>
    <t>CX 812 - 9516PR</t>
  </si>
  <si>
    <t>CX 813 - 9471</t>
  </si>
  <si>
    <t>CX 814 - 9154</t>
  </si>
  <si>
    <t>CX 821 - 9354</t>
  </si>
  <si>
    <t>CX 822 - 650</t>
  </si>
  <si>
    <t>CX 824 - 931230P</t>
  </si>
  <si>
    <t>CX 825 - 931130P</t>
  </si>
  <si>
    <t>CX 831 - 9160RD</t>
  </si>
  <si>
    <t>CX 832 - 9160RT</t>
  </si>
  <si>
    <t>CX 835 - 9075</t>
  </si>
  <si>
    <t>CX 837 - 9279</t>
  </si>
  <si>
    <t>CX 838 - 9272</t>
  </si>
  <si>
    <t>CX 839 - 9200</t>
  </si>
  <si>
    <t>CX 840 - 9199</t>
  </si>
  <si>
    <t>CX 843 - 105MM 9610/9810/9910</t>
  </si>
  <si>
    <t>CX 844 - 9360</t>
  </si>
  <si>
    <t>CX 845 - 9277P/9277C</t>
  </si>
  <si>
    <t>CX 848 - 9412</t>
  </si>
  <si>
    <t>CX 850 - 9998</t>
  </si>
  <si>
    <t>CX 852 - 9268</t>
  </si>
  <si>
    <t>CX 853 - 9269</t>
  </si>
  <si>
    <t>CX 855 - 9406P</t>
  </si>
  <si>
    <t>CX 856 - 9315</t>
  </si>
  <si>
    <t>CX 862 - 9009C</t>
  </si>
  <si>
    <t>CX 863 - 9414</t>
  </si>
  <si>
    <t>CX 867 - 9254C</t>
  </si>
  <si>
    <t>CX 876 - 9054C</t>
  </si>
  <si>
    <t>CX 889 - 9415</t>
  </si>
  <si>
    <t>CX 893 - 9210</t>
  </si>
  <si>
    <t>CX 894 - 9208</t>
  </si>
  <si>
    <t>CX 895 - 9205/9206</t>
  </si>
  <si>
    <t>CX 896 - 9203/9204</t>
  </si>
  <si>
    <t>CX 898 - 9212</t>
  </si>
  <si>
    <t>CX 899 - 9207</t>
  </si>
  <si>
    <t>CX 900 - 9209</t>
  </si>
  <si>
    <t>CX 901 - 9001</t>
  </si>
  <si>
    <t>CX 915 - 9110/9111/9114/9115</t>
  </si>
  <si>
    <t>CX 9238</t>
  </si>
  <si>
    <t>CX 9160SC</t>
  </si>
  <si>
    <t>CX 922 - 9237</t>
  </si>
  <si>
    <t>CX 929 - 9201</t>
  </si>
  <si>
    <t>CX 932 - 9402</t>
  </si>
  <si>
    <t>CX 9349</t>
  </si>
  <si>
    <t>CX 9351</t>
  </si>
  <si>
    <t>CX 9352</t>
  </si>
  <si>
    <t>CX 9354</t>
  </si>
  <si>
    <t>CX 9360</t>
  </si>
  <si>
    <t>CX 937 - 9501/9503</t>
  </si>
  <si>
    <t>CX 939 - 9214</t>
  </si>
  <si>
    <t>CX 940 - 9215</t>
  </si>
  <si>
    <t>CX 941 - 9216</t>
  </si>
  <si>
    <t>CX 947 - 90501</t>
  </si>
  <si>
    <t>CX 962 - 9018</t>
  </si>
  <si>
    <t>CX 966 - 9501</t>
  </si>
  <si>
    <t>CX 976 - 9139</t>
  </si>
  <si>
    <t>CX 984 - 10025/10027/10030</t>
  </si>
  <si>
    <t>CX 985 - 10032/10033/10035</t>
  </si>
  <si>
    <t>CX 986 - 10038/10041</t>
  </si>
  <si>
    <t>CX 987 - 10044/10048</t>
  </si>
  <si>
    <t>CX 992 - 9516</t>
  </si>
  <si>
    <t>ETIQ 1671 (/40) NOVICA</t>
  </si>
  <si>
    <t>ETIQ 8000 TABUA CORTE EXTRA GD</t>
  </si>
  <si>
    <t>ETIQ 8001 PORTA DETERGENTE</t>
  </si>
  <si>
    <t>ETIQ 8002 PORTA CAFE</t>
  </si>
  <si>
    <t>ETIQ 8006 BALEIRO MD</t>
  </si>
  <si>
    <t>ETIQ 8007 BALEIRO GR</t>
  </si>
  <si>
    <t>ETIQ 8008 POTE ORG</t>
  </si>
  <si>
    <t>ETIQ 8010 BISNAGA P/ CONDIMENTO</t>
  </si>
  <si>
    <t>ETIQ 8020 BANDEJA REDONDA</t>
  </si>
  <si>
    <t>ETIQ 8021 BANDEJA RETANGULAR</t>
  </si>
  <si>
    <t>ETIQ 8025 ORG MEDIO ALTO</t>
  </si>
  <si>
    <t>ETIQ 8030 TRAVESSA P/ALIMENTOS PQ</t>
  </si>
  <si>
    <t>ETIQ 8031 TRAVESSA P/ALIMENTOS MD</t>
  </si>
  <si>
    <t>ETIQ 8032 TRAVESSA P/ALIMENTOS</t>
  </si>
  <si>
    <t>ETIQ 8033 TRAVESSA P/ALIMENTOS</t>
  </si>
  <si>
    <t>ETIQ BALDE OVAL 19L REF 8040 - PRODUTO</t>
  </si>
  <si>
    <t>ETIQ 8041 BALAIO LIMPEZA</t>
  </si>
  <si>
    <t>ETIQ 8050 GARRAFA GOLE GUT 3500ML</t>
  </si>
  <si>
    <t>ETIQ 8056 ORG GRANDE</t>
  </si>
  <si>
    <t>ETIQ 8065 ORG LARGO</t>
  </si>
  <si>
    <t>ETIQ 8100 CACAMBA 610 P</t>
  </si>
  <si>
    <t>ETIQ 8106 ESPATULA 6 CM</t>
  </si>
  <si>
    <t>ETIQ 8108 ESPATULA 8 CM</t>
  </si>
  <si>
    <t>ETIQ 8110 ESPATULA 10 CM</t>
  </si>
  <si>
    <t>ETIQ 8203 ESCOVA 3 FILAS</t>
  </si>
  <si>
    <t>ETIQ 8204 ESCOVA 4 FILAS</t>
  </si>
  <si>
    <t>ETIQ 8206 ESCOVA 6 FILAS</t>
  </si>
  <si>
    <t>ETIQ 8300 ESTANTE P/150 KG</t>
  </si>
  <si>
    <t>ETIQ 8304 ESTANTE P/250 KG</t>
  </si>
  <si>
    <t>ETIQ 8306 ESTANTE P/250 KG PRATA</t>
  </si>
  <si>
    <t>ETIQ 8310 ARQ ESTREITO</t>
  </si>
  <si>
    <t>ETIQ 8320 ARQ ESTREITO CRISTAL</t>
  </si>
  <si>
    <t>ETIQ 8330 ARQ ESTREITO VERMELHO</t>
  </si>
  <si>
    <t>ETIQ 8340 ARQ ESTREITO CRISTAL</t>
  </si>
  <si>
    <t>ETIQ 8350 ARQ ESTREITO AZUL</t>
  </si>
  <si>
    <t>ETIQ 8360 ARQ ESTREITO FUME</t>
  </si>
  <si>
    <t>ETIQ 8370 PAPELEIRO BRANCO</t>
  </si>
  <si>
    <t>ETIQ 8372 PAPELEIRO PRETO</t>
  </si>
  <si>
    <t>ETIQ 8380 PAPELEIRO</t>
  </si>
  <si>
    <t>ETIQ 8382 PAPELEIRO</t>
  </si>
  <si>
    <t>ETIQ 9009 - PRO</t>
  </si>
  <si>
    <t>ETIQ 9013 CABO ALUM 1,50M 22MM - PRO</t>
  </si>
  <si>
    <t>ETIQ 9016 CABO CHAPA 0,85M 22MM - PRO</t>
  </si>
  <si>
    <t>ETIQ 9069D - PRO</t>
  </si>
  <si>
    <t>ETIQ 9108 - TECIDO - PRO</t>
  </si>
  <si>
    <t>ETIQ 9110 - TECIDO - PRO</t>
  </si>
  <si>
    <t>ETIQ 9111 - TECIDO - PRO</t>
  </si>
  <si>
    <t>ETIQ 9136 ESCOVA BETTAJEANS PRO GR</t>
  </si>
  <si>
    <t>ETIQ 9148 - PRO</t>
  </si>
  <si>
    <t>ETIQ 9203 - TECIDO - PRO</t>
  </si>
  <si>
    <t>ETIQ 9205 - TECIDO - PRO</t>
  </si>
  <si>
    <t>ETIQ 9207 - TECIDO - PRO</t>
  </si>
  <si>
    <t>ETIQ 9209 - TECIDO - PRO</t>
  </si>
  <si>
    <t>ETIQ 9211 - TECIDO - PRO</t>
  </si>
  <si>
    <t>ETIQ 9212 - TECIDO - PRO</t>
  </si>
  <si>
    <t>ETIQ 9254 - PRO</t>
  </si>
  <si>
    <t>ETIQ 9256 - PRO</t>
  </si>
  <si>
    <t>ETIQ 9257 - PRO</t>
  </si>
  <si>
    <t>ETIQ 9258 - PRO</t>
  </si>
  <si>
    <t>ETIQ 9259 - PRO</t>
  </si>
  <si>
    <t>ETIQ 9348 PULVERIZADOR</t>
  </si>
  <si>
    <t>ETIQ 9349 - PRO</t>
  </si>
  <si>
    <t>ETIQ 9406P - PRO</t>
  </si>
  <si>
    <t>ETIQ 9471 - PRO</t>
  </si>
  <si>
    <t>ETIQ 9515 - PRO</t>
  </si>
  <si>
    <t>ETIQ 9516 SUP FIBRA</t>
  </si>
  <si>
    <t>ETIQ 9516BR SUP FIBRA</t>
  </si>
  <si>
    <t>ETIQ 9516PR - PRO</t>
  </si>
  <si>
    <t>ETIQ 9685 - PRO</t>
  </si>
  <si>
    <t>ETIQ LOGO SUPER PRO</t>
  </si>
  <si>
    <t>FILME POLIOLEF 500 MMX15MIC</t>
  </si>
  <si>
    <t>FITA DUPLA FACE 6MMX50 M</t>
  </si>
  <si>
    <t>ROT 9401</t>
  </si>
  <si>
    <t>ROT 9402</t>
  </si>
  <si>
    <t>ROT 9403</t>
  </si>
  <si>
    <t>ROT 9406P</t>
  </si>
  <si>
    <t>ROT 9418</t>
  </si>
  <si>
    <t>ROT 9419</t>
  </si>
  <si>
    <t>ROT 9471</t>
  </si>
  <si>
    <t>ROT 9501</t>
  </si>
  <si>
    <t>ROT 9503</t>
  </si>
  <si>
    <t>SACO PEBD 1,31X1,00X0,10</t>
  </si>
  <si>
    <t>SACO PEBD TRANS IMPR. 100X220X0,010</t>
  </si>
  <si>
    <t>SACO PEBD 10X1,70X0,20</t>
  </si>
  <si>
    <t>SACO PEBD 11X26X0,10 - 2156E</t>
  </si>
  <si>
    <t>SACO PEBD 14,5X39X0,10</t>
  </si>
  <si>
    <t>SACO PEBD 17,5X32X0,1 - 21526/174150EX</t>
  </si>
  <si>
    <t>SACO PEBD 25X48X0,10</t>
  </si>
  <si>
    <t>SACO PEBD 28,5X37X0,10</t>
  </si>
  <si>
    <t>SACO PEBD 28X48X0,10</t>
  </si>
  <si>
    <t>SACO PEBD 37X26X0,10</t>
  </si>
  <si>
    <t>SACO PEBD 40X50X0,10</t>
  </si>
  <si>
    <t>SACO PEBD 41X52X0,10</t>
  </si>
  <si>
    <t>SACO PEBD 60X80X0,20</t>
  </si>
  <si>
    <t>SACO PEBD 67X65X0,10</t>
  </si>
  <si>
    <t>SACO PEBD 80X140X0,10</t>
  </si>
  <si>
    <t>SACO PEBD MOP UMIDO 440X200X80MIC</t>
  </si>
  <si>
    <t>SACO PEBDL + PEBD 111 REC REC</t>
  </si>
  <si>
    <t>AC 54EA - 86818 TASK</t>
  </si>
  <si>
    <t>AC 8042/A</t>
  </si>
  <si>
    <t>BOMBONA 5LT VIRGEM BRANCA​</t>
  </si>
  <si>
    <t>CX 782</t>
  </si>
  <si>
    <t>CX 8042</t>
  </si>
  <si>
    <t>CX 811 - 9515PR</t>
  </si>
  <si>
    <t>CX 886 - 14005</t>
  </si>
  <si>
    <t>CX 9082/9084</t>
  </si>
  <si>
    <t>CX 963 - 9077-9078</t>
  </si>
  <si>
    <t>CX SP9108</t>
  </si>
  <si>
    <t>ETIQ 9018 - PRO</t>
  </si>
  <si>
    <t>ETIQ 9515PR - PRO</t>
  </si>
  <si>
    <t>LUVA DESCARTAVEL TAM UNICO</t>
  </si>
  <si>
    <t>ROT DE PLASTICO 15000</t>
  </si>
  <si>
    <t>ROT DE PLASTICO 15100</t>
  </si>
  <si>
    <t>ROT DE PLASTICO 15250</t>
  </si>
  <si>
    <t>ROT DE PLASTICO 15260</t>
  </si>
  <si>
    <t>ROT DE PLASTICO 15800</t>
  </si>
  <si>
    <t>ROT DE PLASTICO 15810</t>
  </si>
  <si>
    <t>ROT DE PLASTICO 15820</t>
  </si>
  <si>
    <t>ROT DE PLASTICO 15830</t>
  </si>
  <si>
    <t>SACO PEDB 210X250X65X0,0034 PET+PE</t>
  </si>
  <si>
    <t>SACO PEBD 240X260X64X0,0034 PET+PE</t>
  </si>
  <si>
    <t>CJ POTE 21G/TAMPA8G IMPR BRILHUS 1KG</t>
  </si>
  <si>
    <t>CX 906 - 15000</t>
  </si>
  <si>
    <t>BOMBONA BRANCA 5 LT 180G COPOLIMERO</t>
  </si>
  <si>
    <t>ETIQ SP9005VD</t>
  </si>
  <si>
    <t>ETIQ SP9005VR</t>
  </si>
  <si>
    <t>ETIQ SP9005AZ</t>
  </si>
  <si>
    <t>ETIQ SP9004VD</t>
  </si>
  <si>
    <t>ETIQ SP9005AM</t>
  </si>
  <si>
    <t>ETIQ SP9004AM</t>
  </si>
  <si>
    <t>ETIQ SP9004VR</t>
  </si>
  <si>
    <t>ETIQ SP9004AZ</t>
  </si>
  <si>
    <t>ETIQ SP9063AM</t>
  </si>
  <si>
    <t>ETIQ SP9063VR</t>
  </si>
  <si>
    <t>ETIQ SP9063AZ</t>
  </si>
  <si>
    <t>ETIQ SP9063VD</t>
  </si>
  <si>
    <t>ETIQ SP9064AM</t>
  </si>
  <si>
    <t>ETIQ SP9064VR</t>
  </si>
  <si>
    <t>ETIQ SP9064AZ</t>
  </si>
  <si>
    <t>ETIQ SP9064VD</t>
  </si>
  <si>
    <t>CX N413 QUIMICO 1L</t>
  </si>
  <si>
    <t>ROT C150001</t>
  </si>
  <si>
    <t>ETIQ SP9223</t>
  </si>
  <si>
    <t>ETIQ SP9222</t>
  </si>
  <si>
    <t>CX SP9222</t>
  </si>
  <si>
    <t>CX SP9223</t>
  </si>
  <si>
    <t>ETIQ LACRE DO SEKITO</t>
  </si>
  <si>
    <t>ROT C151001</t>
  </si>
  <si>
    <t>ROT C153101</t>
  </si>
  <si>
    <t>BOMBONA 1LT LIMPA CHAPA</t>
  </si>
  <si>
    <t>CX 9061</t>
  </si>
  <si>
    <t>TAMPA P/ BOMBONA 1 LT</t>
  </si>
  <si>
    <t>ETIQ 9307P 140X120MM</t>
  </si>
  <si>
    <t>ETIQ 9308P 140X120MM</t>
  </si>
  <si>
    <t>ETIQ 9309P 140X120MM</t>
  </si>
  <si>
    <t>ETIQ 9310P 140X120MM</t>
  </si>
  <si>
    <t>ETIQ 931130P 140X120MM</t>
  </si>
  <si>
    <t>ETIQ 931230P 140X120MM</t>
  </si>
  <si>
    <t>ETIQ 9311P 140X120MM</t>
  </si>
  <si>
    <t>ETIQ 9312P 140X120MM</t>
  </si>
  <si>
    <t>ETIQ 9313P 140X120MM</t>
  </si>
  <si>
    <t>ETIQ 9314P 140X120MM</t>
  </si>
  <si>
    <t>ETIQ 9315P 140X120MM</t>
  </si>
  <si>
    <t>ETIQ 9316P 140X120MM</t>
  </si>
  <si>
    <t>ETIQ 9317P 140X120MM</t>
  </si>
  <si>
    <t>ETIQ 9318P 140X120MM</t>
  </si>
  <si>
    <t>ETIQ 9319P 140X120MM</t>
  </si>
  <si>
    <t>CX SP9051</t>
  </si>
  <si>
    <t>CX SP9048</t>
  </si>
  <si>
    <t>CX DISPLAY 9302</t>
  </si>
  <si>
    <t>CX 9302</t>
  </si>
  <si>
    <t>CX 9301</t>
  </si>
  <si>
    <t>ROT SP15601 SABONETE LIQ PEROLIZADO</t>
  </si>
  <si>
    <t>ROT SP15600 SABONETE LIQUIDO</t>
  </si>
  <si>
    <t>CX SABONETE LIQUIDO PRO</t>
  </si>
  <si>
    <t>SACO PEBD MASTER 42X70CM 10MIC​</t>
  </si>
  <si>
    <t>EMB TUBO 53x73x0,08 TRANSPARENTE​</t>
  </si>
  <si>
    <t>CX 931130P - 825</t>
  </si>
  <si>
    <t>ETIQ SP15450</t>
  </si>
  <si>
    <t>ETIQ SP15430​</t>
  </si>
  <si>
    <t>CX 372 15400/15500 - 220X140X255</t>
  </si>
  <si>
    <t>FRASCO DOSADOR 1L</t>
  </si>
  <si>
    <t>TAMPA FRASCO DOSADOR 1L</t>
  </si>
  <si>
    <t>ROT SP15602 SABONETE ESPUMA MACA VERDE</t>
  </si>
  <si>
    <t>CX 9348</t>
  </si>
  <si>
    <t>ETIQ 9703</t>
  </si>
  <si>
    <t>CX SP9708</t>
  </si>
  <si>
    <t>SACO SP18008BR​</t>
  </si>
  <si>
    <t>SACO PEBD SP9108VR</t>
  </si>
  <si>
    <t>SACO PEBD SP9108VD</t>
  </si>
  <si>
    <t>SACO PEBD SP9108AZ</t>
  </si>
  <si>
    <t>ROT LIMPA CHAPA</t>
  </si>
  <si>
    <t>CX N414 LIMPA CHAPA</t>
  </si>
  <si>
    <t>SACO PEBD SP9117VD</t>
  </si>
  <si>
    <t>SACO PEBD SP9117VR</t>
  </si>
  <si>
    <t>SACO PEBD SP9117AM</t>
  </si>
  <si>
    <t>SACO PEBD SP9109AM</t>
  </si>
  <si>
    <t>SACO PEBD SP9109VR</t>
  </si>
  <si>
    <t>SACO PEBD SP9109VD</t>
  </si>
  <si>
    <t>SACO PEBD SP9109AZ</t>
  </si>
  <si>
    <t>SACO PEBD SP9108AM</t>
  </si>
  <si>
    <t>SACO PEBD SP9117AZ</t>
  </si>
  <si>
    <t>CX 9703</t>
  </si>
  <si>
    <t>CX SP7000 - PRIMAFER</t>
  </si>
  <si>
    <t>CX SP7001 - PRIMAFER</t>
  </si>
  <si>
    <t>CX SP7002 - PRIMAFER</t>
  </si>
  <si>
    <t>CX SP7003 - PRIMAFER</t>
  </si>
  <si>
    <t>TERMO INCOLIVEL 0,25 X 470</t>
  </si>
  <si>
    <t>TERMO INCOLIVEL 0,25 X 400</t>
  </si>
  <si>
    <t>ETIQ. SP7000 - PRIMAFER 9700B</t>
  </si>
  <si>
    <t>ETIQ. SP7001 - PRIMAFER 9701B</t>
  </si>
  <si>
    <t>ETIQ. SP7002 - PRIMAFER 9702B</t>
  </si>
  <si>
    <t>ETIQ. SP7003 - PRIMAFER 9702RB</t>
  </si>
  <si>
    <t>ETIQ SP6000P</t>
  </si>
  <si>
    <t>ETIQ SP6001P</t>
  </si>
  <si>
    <t>ETIQ SP6002P</t>
  </si>
  <si>
    <t>ETIQ  SP6003P</t>
  </si>
  <si>
    <t>SACO LISO 56,0X63,0X0,008 COR VERMELHA</t>
  </si>
  <si>
    <t>ETIQ CAIXA BALDE OVAL 19L REF 8040</t>
  </si>
  <si>
    <t>ETIQ 9403</t>
  </si>
  <si>
    <t>ETIQ 9418</t>
  </si>
  <si>
    <t>ETIQ LIXO RECICLAVEL PEQUENA</t>
  </si>
  <si>
    <t>ETIQ LIXO RECICLAVEL MEDIA</t>
  </si>
  <si>
    <t>ETIQ LIXO RECICLAVEL GRANDE</t>
  </si>
  <si>
    <t>CX LIXEIRA 25L PRO</t>
  </si>
  <si>
    <t>CX LIXEIRA 45L PRO</t>
  </si>
  <si>
    <t>CX LIXEIRA 60L PRO</t>
  </si>
  <si>
    <t>CX LIXEIRA 87L PRO</t>
  </si>
  <si>
    <t>SACO PEBD 14,5X34,5CM 8MIC​​​​​</t>
  </si>
  <si>
    <t>ETIQ SP6010P 89X75 MM</t>
  </si>
  <si>
    <t>ETIQ SP6020P 89X75 MM</t>
  </si>
  <si>
    <t>ETIQ SP930930P</t>
  </si>
  <si>
    <t>ETIQ SP931030P</t>
  </si>
  <si>
    <t>FRASCO VIRG/NAT 1L C/ALCA TAMPA FLIPTOP</t>
  </si>
  <si>
    <t>TAMPA BRANCA - CATCHUP C/ BATOQUE</t>
  </si>
  <si>
    <t>ETIQ SP6018P</t>
  </si>
  <si>
    <t>ETIQ SP6019P</t>
  </si>
  <si>
    <t>CX 938/1 9504/3</t>
  </si>
  <si>
    <t>TAMPA BOMBONA 5LT BRANCA</t>
  </si>
  <si>
    <t>SACO- BOBINA FOLHA CANELA 2,10X0,09M​</t>
  </si>
  <si>
    <t>SACO LISO 20 X 80 X 0,04</t>
  </si>
  <si>
    <t>SACO LISO 44 X 60 X 0,04</t>
  </si>
  <si>
    <t>AC LIX 25</t>
  </si>
  <si>
    <t>AC LIX 45</t>
  </si>
  <si>
    <t>CX 9345- SEM IMPRESSAO</t>
  </si>
  <si>
    <t>ETIQ SP6040P</t>
  </si>
  <si>
    <t>ETIQ SP6030P</t>
  </si>
  <si>
    <t>AC 120/240 SP</t>
  </si>
  <si>
    <t>CX 1 FERRAGEM</t>
  </si>
  <si>
    <t>CX 3 KITS</t>
  </si>
  <si>
    <t>CX 2 RODAS</t>
  </si>
  <si>
    <t>ETIQ SP9331P 89X90MM</t>
  </si>
  <si>
    <t>ETIQ SP9332P 89X90MM</t>
  </si>
  <si>
    <t>ETIQ SP9333P 89X90MM</t>
  </si>
  <si>
    <t>ETIQ SP9334P 89X90MM</t>
  </si>
  <si>
    <t>ETIQ SP9336P 89X90MM</t>
  </si>
  <si>
    <t>ETIQ SP9335P 89X90MM</t>
  </si>
  <si>
    <t>ROT DE PLASTICO SP15520</t>
  </si>
  <si>
    <t>ETIQ SP6017P 86X90 MM</t>
  </si>
  <si>
    <t>ETIQ SP6016P 86X90 MM</t>
  </si>
  <si>
    <t>ETIQ SP2035LR 150X120MM</t>
  </si>
  <si>
    <t>ETIQ SP2035AZ 150X120MM</t>
  </si>
  <si>
    <t>ETIQ SP2035VD 150X120MM</t>
  </si>
  <si>
    <t>ETIQ SP2035BR 150X120MM</t>
  </si>
  <si>
    <t>ETIQ SP2045LR 90X86MM</t>
  </si>
  <si>
    <t>ETIQ SP2045AZ 90X86MM</t>
  </si>
  <si>
    <t>ETIQ SP2045VD 90X86MM</t>
  </si>
  <si>
    <t>ETIQ SP2045BR 90X86MM</t>
  </si>
  <si>
    <t>ETIQ SP204530LR 90X86MM</t>
  </si>
  <si>
    <t>ETIQ SP204530AZ 90X86MM</t>
  </si>
  <si>
    <t>ETIQ SP204530VD 90X86MM</t>
  </si>
  <si>
    <t>ETIQ SP204530BR 90X86MM</t>
  </si>
  <si>
    <t>ETIQ SP2840LR 90X86MM</t>
  </si>
  <si>
    <t>ETIQ SP2840AZ 90X86MM</t>
  </si>
  <si>
    <t>ETIQ SP2840VD 90X86MM</t>
  </si>
  <si>
    <t>ETIQ SP2840BR 90X86MM</t>
  </si>
  <si>
    <t>ETIQ SP3040LR 90X86MM</t>
  </si>
  <si>
    <t>ETIQ SP3040AZ 90X86MM</t>
  </si>
  <si>
    <t>ETIQ SP3040VD 90X86MM</t>
  </si>
  <si>
    <t>ETIQ SP3040BR 90X86MM</t>
  </si>
  <si>
    <t>ETIQ SP3045LR 90X86MM</t>
  </si>
  <si>
    <t>ETIQ SP3045AZ 90X86MM</t>
  </si>
  <si>
    <t>ETIQ SP3045VD 90X86MM</t>
  </si>
  <si>
    <t>ETIQ SP3045BR 90X86MM</t>
  </si>
  <si>
    <t>ETIQ SP3065LR 90X86MM</t>
  </si>
  <si>
    <t>ETIQ SP3065VD 90X86MM</t>
  </si>
  <si>
    <t>ETIQ SP304530LR 90X86MM</t>
  </si>
  <si>
    <t>ETIQ SP304530AZ 90X86MM</t>
  </si>
  <si>
    <t>ETIQ SP304530VD 90X86MM</t>
  </si>
  <si>
    <t>ETIQ SP304530BR 90X86MM</t>
  </si>
  <si>
    <t>ETIQ SP2050LR 90X86MM</t>
  </si>
  <si>
    <t>ETIQ SP2050AZ 90X86MM</t>
  </si>
  <si>
    <t>ETIQ SP2050VD 90X86MM</t>
  </si>
  <si>
    <t>ETIQ SP2050BR 90X86MM</t>
  </si>
  <si>
    <t>ETIQ SP3050LR 90X86MM</t>
  </si>
  <si>
    <t>ETIQ SP3050AZ 90X86MM</t>
  </si>
  <si>
    <t>ETIQ SP3050VD 90X86MM</t>
  </si>
  <si>
    <t>ETIQ SP3050BR 90X86MM</t>
  </si>
  <si>
    <t>CX SP204530</t>
  </si>
  <si>
    <t>SACO PEBD SP18040PR​ 13,5X37CM 8MIC​</t>
  </si>
  <si>
    <t>MANUAL MONTAGEM LIX 9358/9359</t>
  </si>
  <si>
    <t>MANUAL MONTAGEM LIX 9320/9321</t>
  </si>
  <si>
    <t>MANUAL MONTAGEM LIX SP935</t>
  </si>
  <si>
    <t>ETIQ SP9671LR</t>
  </si>
  <si>
    <t>CX PANO 30/40</t>
  </si>
  <si>
    <t>TUBETE BATOQUE 50X2,0X32 MM​​</t>
  </si>
  <si>
    <t>BATOQUE ROSCA 28 TRANSPARENTE</t>
  </si>
  <si>
    <t>CX SP9370R</t>
  </si>
  <si>
    <t>AC 841 - PLACA SINALIZ</t>
  </si>
  <si>
    <t>ETIQ SP3035LR</t>
  </si>
  <si>
    <t>ETIQ SP3035VD 90X86MM</t>
  </si>
  <si>
    <t>CX SP9345</t>
  </si>
  <si>
    <t>CX SP9330</t>
  </si>
  <si>
    <t>ETIQ SP305030VD</t>
  </si>
  <si>
    <t>ETIQ SP305030LR</t>
  </si>
  <si>
    <t>CX 305030</t>
  </si>
  <si>
    <t>ETQ SP305030BR</t>
  </si>
  <si>
    <t>ETIQ SP305030AZ</t>
  </si>
  <si>
    <t>ETIQ PRIMAFER 65X20 BOPP 2 CORES</t>
  </si>
  <si>
    <t>EMBAL STAND UP PRATA COM ZIPER - ESP007Z</t>
  </si>
  <si>
    <t>EMBALAGEM STAND UP PRATA - ESP003</t>
  </si>
  <si>
    <t>CX SP155501</t>
  </si>
  <si>
    <t>TAMPA 28MM C/ LACRE E LAINE</t>
  </si>
  <si>
    <t>CX SP15530</t>
  </si>
  <si>
    <t>CX SP155401</t>
  </si>
  <si>
    <t>CX SP155403</t>
  </si>
  <si>
    <t>CX SP15550 / SP15410</t>
  </si>
  <si>
    <t>CX SP16350E</t>
  </si>
  <si>
    <t>CX SP16410E</t>
  </si>
  <si>
    <t>CX SP16510E</t>
  </si>
  <si>
    <t>CX SP661</t>
  </si>
  <si>
    <t>CX SP662</t>
  </si>
  <si>
    <t>CX SP663</t>
  </si>
  <si>
    <t>ROT SP15530</t>
  </si>
  <si>
    <t>ROT SP15540</t>
  </si>
  <si>
    <t>ROT SP155401 FRENTE</t>
  </si>
  <si>
    <t>ROT SP155401 VERSO</t>
  </si>
  <si>
    <t>ROT SP155403 FRENTE</t>
  </si>
  <si>
    <t>ROT SP155403 VERSO</t>
  </si>
  <si>
    <t>ROT SP15550</t>
  </si>
  <si>
    <t>ETIQ SP2035LR</t>
  </si>
  <si>
    <t>ETIQ SP2024LR 120X150</t>
  </si>
  <si>
    <t>SACO PLAST TRANSP 10X20X0,06</t>
  </si>
  <si>
    <t>FRANCO 500ML VIRGEM NATURAL</t>
  </si>
  <si>
    <t>TAMPA BRANCA 32MM SOROPLAST P/2LT​</t>
  </si>
  <si>
    <t>BOMBONA 2L REDONDA C/ALCA VIRGEM BRANCA</t>
  </si>
  <si>
    <t>ETIQ SP2024VD 120X150</t>
  </si>
  <si>
    <t>ETIQ SP2035VD</t>
  </si>
  <si>
    <t>ROT SP15410</t>
  </si>
  <si>
    <t>ETIQ SP303530LR</t>
  </si>
  <si>
    <t>ETIQ SP303530VD</t>
  </si>
  <si>
    <t>AC SP16 ESCOVAS</t>
  </si>
  <si>
    <t>ETIQ SP3035AZ</t>
  </si>
  <si>
    <t>ETIQ SP3035BR</t>
  </si>
  <si>
    <t>ETIQ SP2024AZ 120X150</t>
  </si>
  <si>
    <t>ROT SP15603 SABONETE</t>
  </si>
  <si>
    <t>ROT SP15604 SABONETE</t>
  </si>
  <si>
    <t>ROT SP15560 DESINFETANTE</t>
  </si>
  <si>
    <t>ROT SP15561</t>
  </si>
  <si>
    <t>ROT SP15562</t>
  </si>
  <si>
    <t>ROT SP15110</t>
  </si>
  <si>
    <t>CX SP15560</t>
  </si>
  <si>
    <t>CX 938 INB</t>
  </si>
  <si>
    <t>ETIQ SP2024BR 120X150</t>
  </si>
  <si>
    <t>ETIQ SP303530AZ</t>
  </si>
  <si>
    <t>ETIQ SP303530BR</t>
  </si>
  <si>
    <t>CX 505CA</t>
  </si>
  <si>
    <t>CX 685CA</t>
  </si>
  <si>
    <t>CX 350CA</t>
  </si>
  <si>
    <t>CX 410CA</t>
  </si>
  <si>
    <t>CX 510CA</t>
  </si>
  <si>
    <t>CX PEDAL LIX. 120L</t>
  </si>
  <si>
    <t>CX PEQ AMOSTRA GRATIS 469X266</t>
  </si>
  <si>
    <t>ETIQ SP303530CZ</t>
  </si>
  <si>
    <t>ROT SP15605 SAB LIQ BACTERICIDA</t>
  </si>
  <si>
    <t>ETIQ SP3035CZ</t>
  </si>
  <si>
    <t>CX SP6670</t>
  </si>
  <si>
    <t>CX SP6440</t>
  </si>
  <si>
    <t>FRASCO 300ML AMOSTRA GRATIS</t>
  </si>
  <si>
    <t>ROT SP155305 OXY</t>
  </si>
  <si>
    <t>RESERVATORIO BLADER 600ML C/ BATOQUE</t>
  </si>
  <si>
    <t>CX 9029</t>
  </si>
  <si>
    <t>ETIQ 9029C</t>
  </si>
  <si>
    <t>ETIQ 9030C</t>
  </si>
  <si>
    <t>CX 9031</t>
  </si>
  <si>
    <t>CX 9151</t>
  </si>
  <si>
    <t>ETIQ 9151C</t>
  </si>
  <si>
    <t>CX 9020</t>
  </si>
  <si>
    <t>ETIQ 9020LR</t>
  </si>
  <si>
    <t>CX 9103 - TELA GOTA</t>
  </si>
  <si>
    <t>SACO PET+PE 22X25 MOSCA CR-CRISTAL</t>
  </si>
  <si>
    <t>SACO PET+PE 22X25 MOSCA SP9102LA/AZ​</t>
  </si>
  <si>
    <t>SACO PET+PE 22X25 MOSCA AZ-AZUL</t>
  </si>
  <si>
    <t>SACO PET+PE 22X25 MOSCA VD-VERDE</t>
  </si>
  <si>
    <t>SACO PET+PE 19X25 GOTA CR-CRISTAL</t>
  </si>
  <si>
    <t>SACO PET+PE 19X25 GOTA SP9103LA/AZ​</t>
  </si>
  <si>
    <t>SACO PET+PE 19X25 GOTA AZ-AZUL</t>
  </si>
  <si>
    <t>SACO PET+PE 19X25 GOTA VD-VERDE</t>
  </si>
  <si>
    <t>CX FRTA</t>
  </si>
  <si>
    <t>ROT SP9522FRTA</t>
  </si>
  <si>
    <t>CX 5035</t>
  </si>
  <si>
    <t>CX 5041</t>
  </si>
  <si>
    <t>ROT SP9523FRTA</t>
  </si>
  <si>
    <t>CX 9500TA</t>
  </si>
  <si>
    <t>ROT SP9500TA</t>
  </si>
  <si>
    <t>CX 9506TA</t>
  </si>
  <si>
    <t>AC 9029/9031-B</t>
  </si>
  <si>
    <t>AC 9029/9031-A</t>
  </si>
  <si>
    <t>ROT SP9506TA</t>
  </si>
  <si>
    <t>CX 5051</t>
  </si>
  <si>
    <t>BOMBONA 5L BRANCA 180G C/TAMPA BATOQUE</t>
  </si>
  <si>
    <t>FILME POLIOLEFINICO 700MM X 19MIC​</t>
  </si>
  <si>
    <t>ETIQ LACRE SUPERPRO TRANSPARENTE</t>
  </si>
  <si>
    <t>CX803 BTN49067</t>
  </si>
  <si>
    <t>ETIQ. BTN49067​</t>
  </si>
  <si>
    <t>AC 9009</t>
  </si>
  <si>
    <t>SACO PET + PE TELA 9104LA</t>
  </si>
  <si>
    <t>SACO PET + PE TELA 9104VD</t>
  </si>
  <si>
    <t>CX SP9702/6​</t>
  </si>
  <si>
    <t>ROT SP15607</t>
  </si>
  <si>
    <t>ROT SP15608</t>
  </si>
  <si>
    <t>ROT SP15610</t>
  </si>
  <si>
    <t>ROT SP15611</t>
  </si>
  <si>
    <t>ETIQ SP9702/6</t>
  </si>
  <si>
    <t>ROT SP15609</t>
  </si>
  <si>
    <t>ROTULO SP15840</t>
  </si>
  <si>
    <t>SACO IMPRESSO SP9720 40X49X0,05</t>
  </si>
  <si>
    <t>SACO IMPRESSO SP9721 37X48X0,05​</t>
  </si>
  <si>
    <t>SACO IMPRESSO SP9722 24X42X0,05</t>
  </si>
  <si>
    <t>SACO IMPRESSO SP9724 22X29X0,05</t>
  </si>
  <si>
    <t>CX SP9720</t>
  </si>
  <si>
    <t>CX SP9721</t>
  </si>
  <si>
    <t>CX SP9722</t>
  </si>
  <si>
    <t>CX SP9724</t>
  </si>
  <si>
    <t>ROTULO SP18040PR - SACO LIXO</t>
  </si>
  <si>
    <t>ROTULO SP18100PR - SACO LIXO</t>
  </si>
  <si>
    <t>ROTULO SP18200PR - SACO LIXO</t>
  </si>
  <si>
    <t>ROTULO SP18150PR - SACO LIXO</t>
  </si>
  <si>
    <t>ROTULO SP18060PR - SACO LIXO</t>
  </si>
  <si>
    <t>ROTULO SP18105PR - SACO LIXO</t>
  </si>
  <si>
    <t>SACO PEBD 17,5X36CM 8MIC​​​​​</t>
  </si>
  <si>
    <t>SACO PEBD MASTER 37X75CM 10MC​​</t>
  </si>
  <si>
    <t>SACO PEBD 18X39CM 8MIC​​​​​​​​</t>
  </si>
  <si>
    <t>ETIQ 9247B - HEAT TRANSFER</t>
  </si>
  <si>
    <t>ETIQ 9245B - HEAT TRANSFER</t>
  </si>
  <si>
    <t>ETIQ 9246B - HEAT TRANSFER</t>
  </si>
  <si>
    <t>ETIQ 9244B - HEAT TRANSFER</t>
  </si>
  <si>
    <t>CX 9104 TELA</t>
  </si>
  <si>
    <t>CX SP906C​</t>
  </si>
  <si>
    <t>SACO PEBD MASTER 36X56CM 10MIC​​​</t>
  </si>
  <si>
    <t>SACO PEBD MASTER 38X66CM 10MIC​​</t>
  </si>
  <si>
    <t>SACO PEBD MASTER 44X46CM 10MI​C</t>
  </si>
  <si>
    <t>ROTULO SP18040PR - MASTER</t>
  </si>
  <si>
    <t>ROTULO SP18105PR - MASTER</t>
  </si>
  <si>
    <t>ROTULO SP18100PR - MASTER</t>
  </si>
  <si>
    <t>ROTULO SP18150PR - MASTER</t>
  </si>
  <si>
    <t>ROTULO SP18060PR - MASTER</t>
  </si>
  <si>
    <t>ROTULO SP15460</t>
  </si>
  <si>
    <t>​SACO IF1026P 830X410X85 15MIC​</t>
  </si>
  <si>
    <t>CX 9506BA/2</t>
  </si>
  <si>
    <t>CX SP9504BA/2</t>
  </si>
  <si>
    <t>FILME TERMO ENCOLHIVEL 450X60-F.SIMPLES</t>
  </si>
  <si>
    <t>TAMPA FLIPTOP 28/410</t>
  </si>
  <si>
    <t>CX SP9441</t>
  </si>
  <si>
    <t>ROT SP15612</t>
  </si>
  <si>
    <t>ROTULO SP18020PR - MASTER</t>
  </si>
  <si>
    <t>SACO PEBD SP18020PR​ 12X33,5CM 8MIC​</t>
  </si>
  <si>
    <t>CX SP7400</t>
  </si>
  <si>
    <t>ETIQ SP7400</t>
  </si>
  <si>
    <t>SACO PEBD SP7400 32X36,5CM 10MIC</t>
  </si>
  <si>
    <t>MANUAL SP7400</t>
  </si>
  <si>
    <t>SACO PEBD SP18105PR 17,5X36CM 8 MIC</t>
  </si>
  <si>
    <t>ETIQ 9249B - HEAT TRANSFER (MASCARA)</t>
  </si>
  <si>
    <t>CX SP15620</t>
  </si>
  <si>
    <t>TAMPA BRANCA P/ BISNAGA 300G</t>
  </si>
  <si>
    <t>BISNAGA BIODEGRADAVEL BRANCA 300G</t>
  </si>
  <si>
    <t>SACO PEBD 19X35CM 8MIC​</t>
  </si>
  <si>
    <t>CX PANO 9301​ S/IMPRESSAO</t>
  </si>
  <si>
    <t>TUBO DE PAPEL 38,0X0,8X268,0MM</t>
  </si>
  <si>
    <t>ETIQ SP2720LR 150x180mm</t>
  </si>
  <si>
    <t>ETIQ SP2720AZ 150x180mm</t>
  </si>
  <si>
    <t>ROT SP2720VD 150x180mm</t>
  </si>
  <si>
    <t>ROT SP2720BR 150x180mm</t>
  </si>
  <si>
    <t>ETIQ SP2735LR 150x180mm</t>
  </si>
  <si>
    <t>ROT SP2735AZ 150x180mm</t>
  </si>
  <si>
    <t>ETIQ SP2735VD 150x180mm</t>
  </si>
  <si>
    <t>ETIQ SP2735BR 150x180mm</t>
  </si>
  <si>
    <t>ETIQ SP273530LR 120x150mm</t>
  </si>
  <si>
    <t>ETIQ SP273530AZ 120x150mm</t>
  </si>
  <si>
    <t>ETIQ SP273530VD 120x150mm</t>
  </si>
  <si>
    <t>ETIQ SP273530BR 120x150mm</t>
  </si>
  <si>
    <t>ROTULO SP18150PRM - MASTER</t>
  </si>
  <si>
    <t>ROTULO SP18200PRM - MASTER</t>
  </si>
  <si>
    <t>ROTULO SP18150PRR - MASTER</t>
  </si>
  <si>
    <t>SACO PEBD MASTER 37X75CM 10MIC</t>
  </si>
  <si>
    <t>SACO PEBD SP18150PRM 17,5X35CM 8MIC</t>
  </si>
  <si>
    <t>ROTULO SP18200PRL - MASTER</t>
  </si>
  <si>
    <t>CX SP203530</t>
  </si>
  <si>
    <t>ETIQ SP203530AZ 120X150MM</t>
  </si>
  <si>
    <t>ETIQ SP203530LR 120X150MM</t>
  </si>
  <si>
    <t>ETIQ SP203530VD 120X150MM</t>
  </si>
  <si>
    <t>ETIQ SP203530BR 120X150MM</t>
  </si>
  <si>
    <t>SACO PEBD 35X63CM 80MIC</t>
  </si>
  <si>
    <t>ROTULO SP18105PLA</t>
  </si>
  <si>
    <t>ROTULO SP18150PRA</t>
  </si>
  <si>
    <t>ROTULO SP18105PMA</t>
  </si>
  <si>
    <t>ROTULO SP18105PRA</t>
  </si>
  <si>
    <t>ROTULO SP18150PMA</t>
  </si>
  <si>
    <t>ROTULO SP18150PLA</t>
  </si>
  <si>
    <t>SACO 60X70X0,07 SANFONA 14</t>
  </si>
  <si>
    <t>ETIQ SP2716LR 150x180MM</t>
  </si>
  <si>
    <t>ETIQ SP2716VD 150x180MM</t>
  </si>
  <si>
    <t>ETIQ SP2716AZ 150x180MM</t>
  </si>
  <si>
    <t>ETIQ SP2016LR 150x180MM</t>
  </si>
  <si>
    <t>ETIQ SP2716BR 150x180MM</t>
  </si>
  <si>
    <t>ETIQ SP2016BR 150x180MM</t>
  </si>
  <si>
    <t>ETIQ SP2016VD 150x180MM</t>
  </si>
  <si>
    <t>ETIQ SP2016AZ 150x180MM</t>
  </si>
  <si>
    <t>ETIQ SP2780AZ 150X180MM</t>
  </si>
  <si>
    <t>ETIQ SP2080LR 150X180MM</t>
  </si>
  <si>
    <t>ETIQ SP2080VD 150X180MM</t>
  </si>
  <si>
    <t>ETIQ SP2080BR 150X180MM</t>
  </si>
  <si>
    <t>ETIQ SP2080AZ 150X180MM</t>
  </si>
  <si>
    <t>SACO B2B 80x90x21 21 MIC</t>
  </si>
  <si>
    <t>ETIQUETA SP9676VR</t>
  </si>
  <si>
    <t>ETIQUETA SP9676AZ</t>
  </si>
  <si>
    <t>ETIQUETA SP9676AM</t>
  </si>
  <si>
    <t>ETIQUETA SP9676VD</t>
  </si>
  <si>
    <t>CAIXA SP9676</t>
  </si>
  <si>
    <t>MANUAL SP40/2AC 16x22cm</t>
  </si>
  <si>
    <t>SACO 9134P 19x35</t>
  </si>
  <si>
    <t>CX350HD</t>
  </si>
  <si>
    <t>CX410HD</t>
  </si>
  <si>
    <t>CX510HD</t>
  </si>
  <si>
    <t>CX 880 - 940610</t>
  </si>
  <si>
    <t>ROTULO SP18200 LAN</t>
  </si>
  <si>
    <t>ROTULO SP18200 MAN</t>
  </si>
  <si>
    <t>ROTULO SP18250 LAN</t>
  </si>
  <si>
    <t>ROTULO SP18250 MAN</t>
  </si>
  <si>
    <t>ROT. LUVA LATEX S/VERNIZ SLIM M</t>
  </si>
  <si>
    <t>ROT. LUVA LATEX S/VERNIZ SLIM G</t>
  </si>
  <si>
    <t>CAIXA LUVA</t>
  </si>
  <si>
    <t>ROT. LUVA LATEX S/VERNIZ SLIM P</t>
  </si>
  <si>
    <t>ROTULO SP35240AZ 120X120 MM</t>
  </si>
  <si>
    <t>ROTULO SP35240LR 120X120 MM</t>
  </si>
  <si>
    <t>ROTULO SP35240BR 120X120 MM</t>
  </si>
  <si>
    <t>ROTULO SP35240VD 120X120 MM</t>
  </si>
  <si>
    <t>ETIQ SP35300BR 120X120 MM</t>
  </si>
  <si>
    <t>ETIQ SP35300VD 120X120 MM</t>
  </si>
  <si>
    <t>TUBO DE PAPEL 30x268x1mm</t>
  </si>
  <si>
    <t>ADESIVO P/JUNTA MOTORES MARROM 73G</t>
  </si>
  <si>
    <t>SACO 48x75x0,10 - BORRIFADORES</t>
  </si>
  <si>
    <t>ACESSORIO 720X350mm</t>
  </si>
  <si>
    <t>SACO LIXEIRAS HOSP. 65X1,80 S/IMP</t>
  </si>
  <si>
    <t>JALECO TAPE CINZA 815 ML C/LOGO GG</t>
  </si>
  <si>
    <t>JALECO TAPE CINZA 815 ML C/LOGO GR</t>
  </si>
  <si>
    <t>BERMUDA CINZA SOLASOL ELASTICO M</t>
  </si>
  <si>
    <t>CALCA CINZA SOLASOL ELASTICO G</t>
  </si>
  <si>
    <t>CALCA CINZA SOLASOL ELASTICO M</t>
  </si>
  <si>
    <t>CAMISETA POLIV CZ MESC GOLA V G</t>
  </si>
  <si>
    <t>CAMISETA POLIV CZ MESC GOLA V P</t>
  </si>
  <si>
    <t>CAMISETA POLIV CZ MESC GOLA V PUNHO LR M</t>
  </si>
  <si>
    <t>CATALOGO DE PRODUTO</t>
  </si>
  <si>
    <t>SACOLA PERSONALIZADA</t>
  </si>
  <si>
    <t>BANNER</t>
  </si>
  <si>
    <t>CALENDARIO SUPERPRO</t>
  </si>
  <si>
    <t>CANETA GI 145B</t>
  </si>
  <si>
    <t>CANETA PLASTICA GI 218</t>
  </si>
  <si>
    <t>ESPELHO ESCOVA</t>
  </si>
  <si>
    <t>PORTA CANETA MULTIPLO</t>
  </si>
  <si>
    <t>CAMISETA AZ MG JAP BL ALMO PROD EXP GG</t>
  </si>
  <si>
    <t>ABRAC D 3/4</t>
  </si>
  <si>
    <t>BROCA ACO RAPIDO 5,20MM</t>
  </si>
  <si>
    <t>CHAPA DE POLICARBONATO 6MM 1000X2000MM</t>
  </si>
  <si>
    <t>COMPOSTO GALV A FRIO CRZ-LATA 0,68KG</t>
  </si>
  <si>
    <t>CONDUITE SANFONADO PVC 1</t>
  </si>
  <si>
    <t>CONDUITE SANFONADO PVC 1/2</t>
  </si>
  <si>
    <t>CONDUITE SANFONADO PVC 3/4</t>
  </si>
  <si>
    <t>CONDULETE TP C 3/4</t>
  </si>
  <si>
    <t>FILTRO DE LINHA LF-06480</t>
  </si>
  <si>
    <t>FLUIDO DE FREIO-500 ML</t>
  </si>
  <si>
    <t>INSERTO 24 CONTAT HARTING FEMEA ROSCADO</t>
  </si>
  <si>
    <t>LIXA FERRO G-120</t>
  </si>
  <si>
    <t>O RING 2122 NBR SHORE90  28,24X2,62</t>
  </si>
  <si>
    <t>O RING 2213 NBR SHORE90 23,39X3,53</t>
  </si>
  <si>
    <t>O-RING 2123-SHORE-90-PARKER</t>
  </si>
  <si>
    <t>PAQUIMETRO 150MM - MITUTOYO</t>
  </si>
  <si>
    <t>PARAF ALLEN C/CAB M 10X50 MA OX</t>
  </si>
  <si>
    <t>PARAF ALLEN C/CAB M 10X70 MA OX</t>
  </si>
  <si>
    <t>PARAF OLHAL MA 12 G8 0,75T B.LOTTI</t>
  </si>
  <si>
    <t>PARAF OLHAL MA 16 G8 1,5T B.LOTTI</t>
  </si>
  <si>
    <t>PARAF OLHAL MA 20 G8 2,3T B.LOTTI</t>
  </si>
  <si>
    <t>OLHAL MA 24 G8 3,2T B.LOTTI</t>
  </si>
  <si>
    <t>PARF ALL C/C M20X70MM</t>
  </si>
  <si>
    <t>PASSADOR D FIOS PORC-SERTEC 67206-48 TSC</t>
  </si>
  <si>
    <t>PASSADOR DE FITA 3M-70MM (H-183)</t>
  </si>
  <si>
    <t>PASTILHA P/FREIO 790P</t>
  </si>
  <si>
    <t>PINO EXTR 1530 A 3,00X350MM</t>
  </si>
  <si>
    <t>PINO EXTR 1530 A 4,00X350MM</t>
  </si>
  <si>
    <t>PINO EXTR TP A DIAM 3,0X250 MM</t>
  </si>
  <si>
    <t>RODA DE TRACAO EMPIL MR-016-340X140</t>
  </si>
  <si>
    <t>TINTA ACAB SINTETICO AM SEG D 06112137</t>
  </si>
  <si>
    <t>UN</t>
  </si>
  <si>
    <t>TINTA ACAB SINTETICO PR OPACO D 41117132</t>
  </si>
  <si>
    <t>DESINCRUSTANTE LIQUIDO</t>
  </si>
  <si>
    <t>ALICATE DE PRESSAO</t>
  </si>
  <si>
    <t>RESIST BLIND 25X37,5X63MM 240V 620W</t>
  </si>
  <si>
    <t>PARAF OLHAL MA 14 580 ZB</t>
  </si>
  <si>
    <t>GAXETA 4,8X22,5X31,7</t>
  </si>
  <si>
    <t>GAXETA 5X22X30</t>
  </si>
  <si>
    <t>GAXETA 16X24X5,7 NITRILICA</t>
  </si>
  <si>
    <t>PONTEIRA UTILITARIA WD1850PO RIDGID</t>
  </si>
  <si>
    <t>MICRORRUPTOR SWITCH OMRON D4MC-2000</t>
  </si>
  <si>
    <t>PALLETS</t>
  </si>
  <si>
    <t>RACK METALICO</t>
  </si>
  <si>
    <t>PACOTE OFFICE</t>
  </si>
  <si>
    <t>MOLDE PARA INJECAO</t>
  </si>
  <si>
    <t>MOLDE DE INJECAO SR 321F</t>
  </si>
  <si>
    <t>ASPIRADOR DE PO</t>
  </si>
  <si>
    <t>VEICULOS</t>
  </si>
  <si>
    <t>MOLDE DE INJECAO 9515</t>
  </si>
  <si>
    <t>MOLDE DE INJECAO 9516</t>
  </si>
  <si>
    <t>MOLDE DE INJECAO 9517</t>
  </si>
  <si>
    <t>ARMARIO BAIXO</t>
  </si>
  <si>
    <t>PALETEIRO HIDRAULICO</t>
  </si>
  <si>
    <t>MOLDE BASE DISPENSADOR DE PAPEL GRANDE</t>
  </si>
  <si>
    <t>MOLDE TAMPA DISPENSADOR DE PAPEL GRANDE</t>
  </si>
  <si>
    <t>MOLDE BASE DISPENSADOR DE PAPEL PEQUENO</t>
  </si>
  <si>
    <t>MOLDE TAMPA DISPENSADOR DE PAPEL PEQUENO</t>
  </si>
  <si>
    <t>MOLDE BASE SUPORTE GUARDANAPO</t>
  </si>
  <si>
    <t>MOLDE TAMPA SUPORTE GUARDANAPO</t>
  </si>
  <si>
    <t>MOLDE BASE SUPORTE PAPEL HIGIENICO</t>
  </si>
  <si>
    <t>MOLDE TAMPA SUPORTE PAPEL HIGIENICO</t>
  </si>
  <si>
    <t>MOLDE DA LENTE DOS SUPORTES</t>
  </si>
  <si>
    <t>MOLDE DA BASE DA MOLA DOS SUPORTES</t>
  </si>
  <si>
    <t>MOLDE DO PINO DOS SUPORTES</t>
  </si>
  <si>
    <t>COLETOR WLAN DOLPHIN 7600/5300SR/6500 LP</t>
  </si>
  <si>
    <t>CARREGADOR DOLPHIN 7600/6500 LP</t>
  </si>
  <si>
    <t>BATERIA DOLPHIN 7600 STD/6500 LP</t>
  </si>
  <si>
    <t>MOLDE DE INJECAO 6 CAV TAMPA DA TELA</t>
  </si>
  <si>
    <t>SWITCH 3COM</t>
  </si>
  <si>
    <t>CARREGADOR DE BATERIA - 4090</t>
  </si>
  <si>
    <t>CARRO PARA TRANSPORTE DE MATERIAIS</t>
  </si>
  <si>
    <t>MOLDE DE INJ 2 CAV CAPA ESCOVAO 40/6O CM</t>
  </si>
  <si>
    <t>GARANTIA HP NOTEBOOKS NEXT BUSINESS DAY</t>
  </si>
  <si>
    <t>NOTEBOOK  HP 420 W7 PRO LE584LT AC4</t>
  </si>
  <si>
    <t>DESUMIDIFICADOR HBSR</t>
  </si>
  <si>
    <t>MOLDE DISPENSADOR SABONETE LIQUIDO</t>
  </si>
  <si>
    <t>TAMPO EM MADEIRA 1015X3000MM</t>
  </si>
  <si>
    <t>DESK HP</t>
  </si>
  <si>
    <t>MONITOR HP 19 LCD LE1911 EM887AA ABA</t>
  </si>
  <si>
    <t>AR CONDICIONADO</t>
  </si>
  <si>
    <t>ENCERADEIRA INDUSTRIAL 220V</t>
  </si>
  <si>
    <t>RADIO COMUNICADOR</t>
  </si>
  <si>
    <t>MESA</t>
  </si>
  <si>
    <t>CADEIRA</t>
  </si>
  <si>
    <t>PURIFICADOR AR AQUAFLEX</t>
  </si>
  <si>
    <t>CLICHE PADRAO</t>
  </si>
  <si>
    <t>BERCO PARA GABARITO</t>
  </si>
  <si>
    <t>MONITOR HP 20</t>
  </si>
  <si>
    <t>MEMORIA 4G</t>
  </si>
  <si>
    <t>SANSUNG SMARTPHONE</t>
  </si>
  <si>
    <t>TUNEL TERMO-ENCOLHIVEL PARA SELADORAS</t>
  </si>
  <si>
    <t>RODA PALETEIRA</t>
  </si>
  <si>
    <t>APARELHO GLOSSMETER</t>
  </si>
  <si>
    <t>PALETEIRA BALANCA DIGITAL DIGITRON</t>
  </si>
  <si>
    <t>REGUA DE ACO D2 TEMPERADO USINADO</t>
  </si>
  <si>
    <t>ACS-CP-C</t>
  </si>
  <si>
    <t>ACESSORIOS P/ACCESS POINT CISCO INJETOR</t>
  </si>
  <si>
    <t>CILINDRO COMP ADN-16-120-A-P-A</t>
  </si>
  <si>
    <t>SAIDA LATERAL PARA ELETRODUTO 3/4</t>
  </si>
  <si>
    <t>CARREGADOR 48V/90A T* 380V/ 320A</t>
  </si>
  <si>
    <t>MICROCOMPUTADOR DELL LATI 14 3400 COREI5</t>
  </si>
  <si>
    <t>SMARTPHONE XIAOMI/REDMI NOTE 8 PRO 64GB</t>
  </si>
  <si>
    <t>PROTARGAL BIO-45</t>
  </si>
  <si>
    <t>KIT FERRAMENTAS</t>
  </si>
  <si>
    <t>EXPOSITOR TELADO - 25000</t>
  </si>
  <si>
    <t>KIT 2  VIZIA SUPERPRO</t>
  </si>
  <si>
    <t>PORTA CATALOGO 2 FRENTES​ 1X1</t>
  </si>
  <si>
    <t>FOGAO 4 BOCAS GRECIA ATLAS - BIVOLT</t>
  </si>
  <si>
    <t>TANQUINHO 110V</t>
  </si>
  <si>
    <t>NETBOOK</t>
  </si>
  <si>
    <t>JAQUETA NYLON</t>
  </si>
  <si>
    <t>EXPOSITOR QUIMICO METAL SUPERPRO 1X1</t>
  </si>
  <si>
    <t>SB EXPOSITOR ARAMADO EXP</t>
  </si>
  <si>
    <t>LUVA VINIL DESCART AZUL C/PO M</t>
  </si>
  <si>
    <t>LUVA VINIL DESCART CLEAR S/PO M</t>
  </si>
  <si>
    <t>EXPOSITOR DISPLAY PARA DISCOS</t>
  </si>
  <si>
    <t>REGUA P/ GONDOLA SUPERPRO 330X40MM 1X100</t>
  </si>
  <si>
    <t>ADESIVO SUPERPRO BANCADA 600X330MM 1X100</t>
  </si>
  <si>
    <t>DILUENTE DOMINO MC-270 BK</t>
  </si>
  <si>
    <t>PELICULA STRETCH  250</t>
  </si>
  <si>
    <t>FITA ACO 1075 PICOTE LSRT 2300X50X1,1MM</t>
  </si>
  <si>
    <t>NAVALHA HSS CIRCULAR DIAM 75X17X2,1MM30</t>
  </si>
  <si>
    <t>VALVULA ALAVANCA LATERAL 1/4 - HV1-14L10</t>
  </si>
  <si>
    <t>CORREIA 2PV 0/05 1850 X180 AF</t>
  </si>
  <si>
    <t>FACA PICOTE 2300X33X2 DESENHO MPP01002</t>
  </si>
  <si>
    <t>10051E</t>
  </si>
  <si>
    <t>DISCO ULTRA REMOVEDOR AZUL 510MM 1X20</t>
  </si>
  <si>
    <t>10051S</t>
  </si>
  <si>
    <t>DISCO ULTRA REMOV.AZUL ONDA 510MM 1X20</t>
  </si>
  <si>
    <t>11041E</t>
  </si>
  <si>
    <t>DISCO LUSTRADOR VERMELHO 410MM 1X20</t>
  </si>
  <si>
    <t>11044E</t>
  </si>
  <si>
    <t>DISCO LUSTRADOR VERMELHO 440MM 1X20</t>
  </si>
  <si>
    <t>11051E</t>
  </si>
  <si>
    <t>DISCO RESTAURADOR VERMELHO 510MM 1X20</t>
  </si>
  <si>
    <t>12044E</t>
  </si>
  <si>
    <t>DISCO LUSTRADOR CHAMPAGNE - 1 X 20</t>
  </si>
  <si>
    <t>LUVAS MULTIUSO AM LATEX G SUPERPRO 1X48</t>
  </si>
  <si>
    <t>LUVAS MULTIUSO AM LATEX M SUPERPRO 1X48</t>
  </si>
  <si>
    <t>LUVAS MULTIUSO AM LATEX P SUPERPRO 1X48</t>
  </si>
  <si>
    <t>LUVAS MULTIUSO AZ LATEX G SUPERPRO 1X48</t>
  </si>
  <si>
    <t>LUVAS MULTIUSO AZ LATEX M SUPERPRO 1X48</t>
  </si>
  <si>
    <t>LUVAS MULTIUSO AZ LATEX P SUPERPRO 1X48</t>
  </si>
  <si>
    <t>13000G</t>
  </si>
  <si>
    <t>ESFREBOM LUVA MULTIUSO G</t>
  </si>
  <si>
    <t>13000GE</t>
  </si>
  <si>
    <t>LUVAS MULTIUSO QUALITY STANDARD - 12X12</t>
  </si>
  <si>
    <t>LUVAS MULTIUSO LR LATEX G SUPERPRO 1X48</t>
  </si>
  <si>
    <t>LUVAS MULTIUSO LR LATEX M SUPERPRO 1X48</t>
  </si>
  <si>
    <t>LUVAS MULTIUSO LR LATEX P SUPERPRO 1X48</t>
  </si>
  <si>
    <t>13000M</t>
  </si>
  <si>
    <t>ESFREBOM LUVA MULTIUSO M</t>
  </si>
  <si>
    <t>13000ME</t>
  </si>
  <si>
    <t>LUVAS MULTIUSO QUALITY STANDARD</t>
  </si>
  <si>
    <t>13000P</t>
  </si>
  <si>
    <t>ESFREBOM LUVA MULTIUSO P</t>
  </si>
  <si>
    <t>13000PE</t>
  </si>
  <si>
    <t>LUVAS VERNIZ  AM LATEX G SUPERPRO 1X48</t>
  </si>
  <si>
    <t>LUVAS VERNIZ  AM LATEX M SUPERPRO 1X48</t>
  </si>
  <si>
    <t>LUVAS VERNIZ  AM LATEX P SUPERPRO 1X48</t>
  </si>
  <si>
    <t>LUVAS VERNIZ  AZ LATEX G SUPERPRO 1X48</t>
  </si>
  <si>
    <t>LUVAS VERNIZ  AZ LATEX M SUPERPRO 1X48</t>
  </si>
  <si>
    <t>LUVAS VERNIZ AZ LATEX P SUPERPRO 1X48</t>
  </si>
  <si>
    <t>13001G</t>
  </si>
  <si>
    <t>LUVAS VERNIZ SILVER QUALITY STANDARD</t>
  </si>
  <si>
    <t>13001M</t>
  </si>
  <si>
    <t>ESFREBOM LUVA FASHION U</t>
  </si>
  <si>
    <t>13001P</t>
  </si>
  <si>
    <t>LUVAS NITRILICA G SUPERPRO 1X48</t>
  </si>
  <si>
    <t>LUVAS NITRILICA M SUPERPRO 1X48</t>
  </si>
  <si>
    <t>LUVAS NITRILICA P SUPERPRO 1X48</t>
  </si>
  <si>
    <t>13002G</t>
  </si>
  <si>
    <t>ESFREBOM LUVA COZINHA G</t>
  </si>
  <si>
    <t>13002GE</t>
  </si>
  <si>
    <t>LUVA NIT.C/FORRO QUALITY STANDARD-12X12</t>
  </si>
  <si>
    <t>13002M</t>
  </si>
  <si>
    <t>ESFREBOM LUVA COZINHA M</t>
  </si>
  <si>
    <t>13002ME</t>
  </si>
  <si>
    <t>LUVA NITRILICA C/FORRO QUALITY STANDARD</t>
  </si>
  <si>
    <t>13002P</t>
  </si>
  <si>
    <t>ESFREBOM LUVA COZINHA P</t>
  </si>
  <si>
    <t>13002PE</t>
  </si>
  <si>
    <t>13003G</t>
  </si>
  <si>
    <t>LUVAS DE VINIL DESCARTAVEL TAM G-10X100</t>
  </si>
  <si>
    <t>13003M</t>
  </si>
  <si>
    <t>LUVAS DE VINIL DESCARTAVEL TAM M-10X100</t>
  </si>
  <si>
    <t>13003P</t>
  </si>
  <si>
    <t>LUVAS DE VINIL DESCARTAVEL TAM P-10X100</t>
  </si>
  <si>
    <t>13006/G</t>
  </si>
  <si>
    <t>LUVA VINIL DESCART CLEAR S/PO 1X100X10 G</t>
  </si>
  <si>
    <t>13006/M</t>
  </si>
  <si>
    <t>LUVA VINIL DESCART CLEAR S/PO 1X100X10 M</t>
  </si>
  <si>
    <t>13006/P</t>
  </si>
  <si>
    <t>LUVA VINIL DESCART CLEAR S/PO 1X100X10 P</t>
  </si>
  <si>
    <t>13006AZ/G</t>
  </si>
  <si>
    <t>LUVA VINIL DESCART AZUL S/PO 1X100X10 G</t>
  </si>
  <si>
    <t>13006AZ/M</t>
  </si>
  <si>
    <t>LUVA VINIL DESCART AZUL S/PO 1X100X10 M</t>
  </si>
  <si>
    <t>13006AZ/P</t>
  </si>
  <si>
    <t>LUVA VINIL DESCART AZUL S/PO 1X100X10 P</t>
  </si>
  <si>
    <t>13007/G</t>
  </si>
  <si>
    <t>LUVA VINIL DESCART CLEAR C/PO 1X100X10 G</t>
  </si>
  <si>
    <t>13007/M</t>
  </si>
  <si>
    <t>LUVA VINIL DESCART CLEAR C/PO 1X100X10 M</t>
  </si>
  <si>
    <t>13007/P</t>
  </si>
  <si>
    <t>LUVA VINIL DESCART CLEAR C/PO 1X100X10 P</t>
  </si>
  <si>
    <t>13007AZ/G</t>
  </si>
  <si>
    <t>LUVA VINIL DESCART AZUL C/PO 1X100X10 G</t>
  </si>
  <si>
    <t>13007AZ/M</t>
  </si>
  <si>
    <t>LUVA VINIL DESCART AZUL C/PO 1X100X10 M</t>
  </si>
  <si>
    <t>13007AZ/P</t>
  </si>
  <si>
    <t>LUVA VINIL DESCART AZUL C/PO 1X100X10 P</t>
  </si>
  <si>
    <t>13008/G</t>
  </si>
  <si>
    <t>LUVA TPE DESCARTAVEL CLEAR 1X100X6 G</t>
  </si>
  <si>
    <t>13008AZ/G</t>
  </si>
  <si>
    <t>LUVA TPE DESCARTAVEL AZUL 1X100X6 G</t>
  </si>
  <si>
    <t>13008AZ/M</t>
  </si>
  <si>
    <t>LUVA TPE DESCARTAVEL AZUL 1X100X6 M</t>
  </si>
  <si>
    <t>298/01</t>
  </si>
  <si>
    <t>299/01</t>
  </si>
  <si>
    <t>3011-1</t>
  </si>
  <si>
    <t>PRATELEIRA DE VIDRO 6MM 40X10CM MULTIUSO</t>
  </si>
  <si>
    <t>3021-1</t>
  </si>
  <si>
    <t>CANTONEIRA 20X20CM ANG METAL/VIDRO</t>
  </si>
  <si>
    <t>3023-1</t>
  </si>
  <si>
    <t>CANTONEIRA DE VIDRO 6MM 20X20CM MULTIUSO</t>
  </si>
  <si>
    <t>5012-2</t>
  </si>
  <si>
    <t>CANTONEIRA BANHEIRO PLASTICA C/GANCHO BR</t>
  </si>
  <si>
    <t>5100-2</t>
  </si>
  <si>
    <t>ESPELHO EMOLDURADO QUADRADO PLASTICO BR</t>
  </si>
  <si>
    <t>5110-2</t>
  </si>
  <si>
    <t>ESPELHO OVAL CON MOLDURA 3PZ - BLANCO</t>
  </si>
  <si>
    <t>615/7</t>
  </si>
  <si>
    <t>8100E</t>
  </si>
  <si>
    <t>CACAMBA  10 L</t>
  </si>
  <si>
    <t>8108E</t>
  </si>
  <si>
    <t>8110E</t>
  </si>
  <si>
    <t>8203E</t>
  </si>
  <si>
    <t>8204E</t>
  </si>
  <si>
    <t>8206E</t>
  </si>
  <si>
    <t>8306E</t>
  </si>
  <si>
    <t>9001CE</t>
  </si>
  <si>
    <t>VASSOURA CASA E RUA PRO C/CABO 1X12</t>
  </si>
  <si>
    <t>9003CE</t>
  </si>
  <si>
    <t>900450E</t>
  </si>
  <si>
    <t>900550E</t>
  </si>
  <si>
    <t>ESCOVAO - 1 X 12</t>
  </si>
  <si>
    <t>9005DE</t>
  </si>
  <si>
    <t>9006CE</t>
  </si>
  <si>
    <t>900750E</t>
  </si>
  <si>
    <t>VASSOURAO GARI CERDAS RIGIDAS EXPORTACAO</t>
  </si>
  <si>
    <t>9008CE</t>
  </si>
  <si>
    <t>9009C</t>
  </si>
  <si>
    <t>VASSOURA MULT. ANGULAR PEQ SUPERPRO 1X12</t>
  </si>
  <si>
    <t>9010E</t>
  </si>
  <si>
    <t>9012E</t>
  </si>
  <si>
    <t>CABO DE CHAPA DE ACO 130CM C/ROSCA 1X12</t>
  </si>
  <si>
    <t>9014E</t>
  </si>
  <si>
    <t>CABO ALUMINIO 1,50 M</t>
  </si>
  <si>
    <t>9015E</t>
  </si>
  <si>
    <t>CABO CHAPA DE ACO 1,20 M</t>
  </si>
  <si>
    <t>9019E</t>
  </si>
  <si>
    <t>CABO ALUMINIO 150CM C/ROSCA 1X6</t>
  </si>
  <si>
    <t>9021CE</t>
  </si>
  <si>
    <t>9032E</t>
  </si>
  <si>
    <t>9033E</t>
  </si>
  <si>
    <t>90502E</t>
  </si>
  <si>
    <t>90503E</t>
  </si>
  <si>
    <t>9050E</t>
  </si>
  <si>
    <t>RODO ALUM. 50CM BORR. SIMPLES S/CABO 1X6</t>
  </si>
  <si>
    <t>9051CE</t>
  </si>
  <si>
    <t>RODO PLASTICO BORRACHA SIMPLES 30 CM</t>
  </si>
  <si>
    <t>9052CE</t>
  </si>
  <si>
    <t>RODO PLASTICO BORRACHA SIMPLES 40 CM</t>
  </si>
  <si>
    <t>9053CE</t>
  </si>
  <si>
    <t>RODO PLAST.PUSH 30CM DUPLO C/CABO 1X12</t>
  </si>
  <si>
    <t>9054CE</t>
  </si>
  <si>
    <t>RODO PLAST.PUSH 40CM DUPLO C/CABO 1X12</t>
  </si>
  <si>
    <t>9056E</t>
  </si>
  <si>
    <t>RODO DE ALUMINIO  BORRACHA  50 CM</t>
  </si>
  <si>
    <t>9057E</t>
  </si>
  <si>
    <t>RODO ALUM 70CM BORR SIMPLES S/CABO-1X6</t>
  </si>
  <si>
    <t>9058E</t>
  </si>
  <si>
    <t>RODO ALUM. 70CM BORR.DUPLA S/CABO 1X6</t>
  </si>
  <si>
    <t>9063DE</t>
  </si>
  <si>
    <t>VASSOURA RIGIDA 60 CM CX C/12</t>
  </si>
  <si>
    <t>9064DE</t>
  </si>
  <si>
    <t>VASSOURA CERDAS MACIAS 60 CM CX C/ 12</t>
  </si>
  <si>
    <t>9067E</t>
  </si>
  <si>
    <t>9068E</t>
  </si>
  <si>
    <t>CJ BALDE/ESPREMEDOR DIV.AGUAS 20LT 1X1</t>
  </si>
  <si>
    <t>9069D</t>
  </si>
  <si>
    <t>ESCOVAO PIACA  30 CM  CX C/ 12 UNID</t>
  </si>
  <si>
    <t>9069DE</t>
  </si>
  <si>
    <t>9070DE</t>
  </si>
  <si>
    <t>ESCOVAO PIACA 40 CM CX C/ 12 UNID</t>
  </si>
  <si>
    <t>9075E</t>
  </si>
  <si>
    <t>CJ BALDE/ESPREMEDOR 25LT HORIZONTAL 1X1</t>
  </si>
  <si>
    <t>9076E</t>
  </si>
  <si>
    <t>CJ BALDE/ESPREMEDOR 25LT VERTICAL 1X1</t>
  </si>
  <si>
    <t>9081/1</t>
  </si>
  <si>
    <t>PRENSA PLAST P/BALDE 9081 1X1</t>
  </si>
  <si>
    <t>9081E</t>
  </si>
  <si>
    <t>CJ BALDE/ESPREMEDOR 32LT 1X1</t>
  </si>
  <si>
    <t>9100E</t>
  </si>
  <si>
    <t>9108PE</t>
  </si>
  <si>
    <t>MOP UMIDO P.CORTADA 300GR PAVIO 1X12</t>
  </si>
  <si>
    <t>9109PE</t>
  </si>
  <si>
    <t>9110P</t>
  </si>
  <si>
    <t>MOP UMIDO P.COBRADA ALGODAO 300G 1X12</t>
  </si>
  <si>
    <t>9110PE</t>
  </si>
  <si>
    <t>MOP UMIDO P.DOBRADA 300GR PAVIO 1X12</t>
  </si>
  <si>
    <t>9111P</t>
  </si>
  <si>
    <t>MOP UMIDO P.COBRADA ALGODAO 340G 1X12</t>
  </si>
  <si>
    <t>9111PE</t>
  </si>
  <si>
    <t>MOP UMIDO P.DOBRADA 340GR PAVIO 1X12</t>
  </si>
  <si>
    <t>9112E</t>
  </si>
  <si>
    <t>MOP UMIDO PONTA CORT.340GR CINZA -1X12</t>
  </si>
  <si>
    <t>9116PE</t>
  </si>
  <si>
    <t>9117PE</t>
  </si>
  <si>
    <t>9118E</t>
  </si>
  <si>
    <t>9137TE</t>
  </si>
  <si>
    <t>9138TE</t>
  </si>
  <si>
    <t>9139E</t>
  </si>
  <si>
    <t>ESCOVA P/AZULEJOS E CANTINHOS - 1X12</t>
  </si>
  <si>
    <t>9140E</t>
  </si>
  <si>
    <t>ESCOVA SANITARIA SANILUX S/SUPORTE 1X36</t>
  </si>
  <si>
    <t>9142E</t>
  </si>
  <si>
    <t>ESCOVA ESPANADEIRA VARREMESA - 1X6</t>
  </si>
  <si>
    <t>9143E</t>
  </si>
  <si>
    <t>ESCOVA SANITARIA COM SUPORTE - 1 X 12</t>
  </si>
  <si>
    <t>9144E</t>
  </si>
  <si>
    <t>9145E</t>
  </si>
  <si>
    <t>9146E</t>
  </si>
  <si>
    <t>9148E</t>
  </si>
  <si>
    <t>ESCOVA MULTIUSO VR 1X12</t>
  </si>
  <si>
    <t>9152E</t>
  </si>
  <si>
    <t>RODO PLAST.50CM SIMPLES C/ CABO 1X12</t>
  </si>
  <si>
    <t>9154E</t>
  </si>
  <si>
    <t>RODO PLAST.PUSH 50CM DUPLO C/CABO 1X12</t>
  </si>
  <si>
    <t>9157SP</t>
  </si>
  <si>
    <t>RODO 45CM SUPERPRO</t>
  </si>
  <si>
    <t>9157SP/1</t>
  </si>
  <si>
    <t>9157SP/2</t>
  </si>
  <si>
    <t>9157SP/3</t>
  </si>
  <si>
    <t>9157SP/4</t>
  </si>
  <si>
    <t>RODO PLASTICO 45CM SUPERPRO</t>
  </si>
  <si>
    <t>9158SP</t>
  </si>
  <si>
    <t>RODO 65CM SUPERPRO</t>
  </si>
  <si>
    <t>9158SP/1</t>
  </si>
  <si>
    <t>RODO 65CM PLASTICO SUPERPRO</t>
  </si>
  <si>
    <t>9158SP/2</t>
  </si>
  <si>
    <t>9158SP/3</t>
  </si>
  <si>
    <t>9158SP/4</t>
  </si>
  <si>
    <t>9160E</t>
  </si>
  <si>
    <t>CARRO FUNCIONAL C/ BOLSA VINIL 1X1</t>
  </si>
  <si>
    <t>RODA FRONTAL PLAST CARRO9160 SUPERPRO1X2</t>
  </si>
  <si>
    <t>RODA TRAS. PLAST CARRO9160 SUPERPRO1X2</t>
  </si>
  <si>
    <t>BOLSA VINIL P/CARRO 9160 SUPERPRO 1X3</t>
  </si>
  <si>
    <t>9160SCE</t>
  </si>
  <si>
    <t>BOLSA DE VINIL CARRO FUNCIONAL 1X3</t>
  </si>
  <si>
    <t>TAMPA PLASTICO P/CARRO 9160 1X1</t>
  </si>
  <si>
    <t>9170E</t>
  </si>
  <si>
    <t>CARRO HOTEL 1X1</t>
  </si>
  <si>
    <t>9199E</t>
  </si>
  <si>
    <t>9200E</t>
  </si>
  <si>
    <t>CONJUNTO MOP PO 60 CM - 1X12</t>
  </si>
  <si>
    <t>9203E</t>
  </si>
  <si>
    <t>9204E</t>
  </si>
  <si>
    <t>MOP PO ALGODAO NATURAL 30CM 1X12</t>
  </si>
  <si>
    <t>9205E</t>
  </si>
  <si>
    <t>9206E</t>
  </si>
  <si>
    <t>MOP PO ALGODAO NATURAL 40CM 1X12</t>
  </si>
  <si>
    <t>9207E</t>
  </si>
  <si>
    <t>9208E</t>
  </si>
  <si>
    <t>MOP PO ALGODAO NATURAL 60CM 1X12</t>
  </si>
  <si>
    <t>9209E</t>
  </si>
  <si>
    <t>9210E</t>
  </si>
  <si>
    <t>MOP PO ALGODAO NATURAL 80CM EXPORTACAO</t>
  </si>
  <si>
    <t>9212E</t>
  </si>
  <si>
    <t>REFIL ZIGZAG LA 30CM 1X12</t>
  </si>
  <si>
    <t>9215E</t>
  </si>
  <si>
    <t>ARMACAO P/MOP PO 410 G</t>
  </si>
  <si>
    <t>9216E</t>
  </si>
  <si>
    <t>ARMACAO METALICA P/MOP PO 470 G</t>
  </si>
  <si>
    <t>9224E</t>
  </si>
  <si>
    <t>SUPORTE MOP UMIDO EXPORTACAO</t>
  </si>
  <si>
    <t>9230E</t>
  </si>
  <si>
    <t>9237E</t>
  </si>
  <si>
    <t>9245B</t>
  </si>
  <si>
    <t>PLACA SINALIZ PLAST PISO ESCORREG.1X3</t>
  </si>
  <si>
    <t>9245BE</t>
  </si>
  <si>
    <t>PLACA SINALIZ - PISO ESCORREGADIO - 1X3</t>
  </si>
  <si>
    <t>9246B</t>
  </si>
  <si>
    <t>PLACA SINALIZ PLAST AREA DE TRABALHO 1X3</t>
  </si>
  <si>
    <t>9246BE</t>
  </si>
  <si>
    <t>PLACA SINALIZ - AREA DE TRABALHO - 1X3</t>
  </si>
  <si>
    <t>9248BE</t>
  </si>
  <si>
    <t>PLACA SINALIZ - PISO MOLHADO - 1X3</t>
  </si>
  <si>
    <t>9249SP</t>
  </si>
  <si>
    <t>PLACA SINALIZADORA SUPERPRO</t>
  </si>
  <si>
    <t>9253CE</t>
  </si>
  <si>
    <t>PA JEITOSA</t>
  </si>
  <si>
    <t>9254C</t>
  </si>
  <si>
    <t>PA METALICA C/CABO 1X12</t>
  </si>
  <si>
    <t>9254CE</t>
  </si>
  <si>
    <t>9255DE</t>
  </si>
  <si>
    <t>9256AM</t>
  </si>
  <si>
    <t>LIXEIRA PLASTICA SELETIVA AM 60L 1X6</t>
  </si>
  <si>
    <t>9256AME</t>
  </si>
  <si>
    <t>LIXEIRA SELETIVA AMARELA 60 L</t>
  </si>
  <si>
    <t>9256AZ</t>
  </si>
  <si>
    <t>LIXEIRA PLASTICA SELETIVA AZ 60L 1X6</t>
  </si>
  <si>
    <t>9256AZE</t>
  </si>
  <si>
    <t>LIXEIRA SELETIVA AZUL 60 L</t>
  </si>
  <si>
    <t>9256VD</t>
  </si>
  <si>
    <t>LIXEIRA PLASTICA SELETIVA VD 60L 1X6</t>
  </si>
  <si>
    <t>9256VDE</t>
  </si>
  <si>
    <t>LIXEIRA SELETIVA VERDE 60 L</t>
  </si>
  <si>
    <t>9256VR</t>
  </si>
  <si>
    <t>LIXEIRA PLASTICA SELETIVA VR 60L 1X6</t>
  </si>
  <si>
    <t>9256VRE</t>
  </si>
  <si>
    <t>LIXEIRA SELETICA VERMELHA 60 L</t>
  </si>
  <si>
    <t>9257AM</t>
  </si>
  <si>
    <t>LIXEIRA PLASTICA BASCULANTE 105L 1X6 AM</t>
  </si>
  <si>
    <t>9257AME</t>
  </si>
  <si>
    <t>9257AZ</t>
  </si>
  <si>
    <t>LIXEIRA PLASTICA BASCULANTE 105L 1X6 AZ</t>
  </si>
  <si>
    <t>9257VD</t>
  </si>
  <si>
    <t>LIXEIRA PLASTICA BASCULANTE 105L 1X6 VD</t>
  </si>
  <si>
    <t>9257VDE</t>
  </si>
  <si>
    <t>9257VR</t>
  </si>
  <si>
    <t>LIXEIRA PLASTICA BASCULANTE 105L 1X6 VR</t>
  </si>
  <si>
    <t>9260E</t>
  </si>
  <si>
    <t>PA COLETORA C/TAMPA</t>
  </si>
  <si>
    <t>9268B</t>
  </si>
  <si>
    <t>REFIL LUVA RODO COMBINADO 25CM - 1 X 6</t>
  </si>
  <si>
    <t>9269B</t>
  </si>
  <si>
    <t>REFIL LUVA RODO COMB.35 CM - 1 X 6</t>
  </si>
  <si>
    <t>9272E</t>
  </si>
  <si>
    <t>RODO ESPONJA E SPRAY - 1X12</t>
  </si>
  <si>
    <t>9277C</t>
  </si>
  <si>
    <t>BALDE PLAST. ANTI-CHAMA 8 LT - CINZA 2X1</t>
  </si>
  <si>
    <t>9277P</t>
  </si>
  <si>
    <t>BALDE PLAST. ANTI-CHAMA 8 LT - PRETO 2X1</t>
  </si>
  <si>
    <t>9279E</t>
  </si>
  <si>
    <t>RODO E ESPONJA - 1X12</t>
  </si>
  <si>
    <t>REFIL MOP PVA SEKITO P SUPERPRO 1X6</t>
  </si>
  <si>
    <t>9301E</t>
  </si>
  <si>
    <t>PANO SEK MULTIUSO AZUL - 10X5</t>
  </si>
  <si>
    <t>9307P</t>
  </si>
  <si>
    <t>ROLO MULT BRANCO 300MX0,33M PIC 70/30</t>
  </si>
  <si>
    <t>9308P</t>
  </si>
  <si>
    <t>ROLO MULT LARANJA 300X0,33M PIC65G 70/30</t>
  </si>
  <si>
    <t>9308PE</t>
  </si>
  <si>
    <t>ROLO MULT.LARANJA 65GR 300MX0,33M PIC.</t>
  </si>
  <si>
    <t>9309P</t>
  </si>
  <si>
    <t>ROLO MULT AZUL 300X 0,33M PIC45G 70/30</t>
  </si>
  <si>
    <t>9310P</t>
  </si>
  <si>
    <t>ROLO MULT BRANCO 300X0,33M PIC 45G 70/30</t>
  </si>
  <si>
    <t>931130P</t>
  </si>
  <si>
    <t>ROLO MULT LARANJA 30X0,30M PIC 45G</t>
  </si>
  <si>
    <t>931130PE</t>
  </si>
  <si>
    <t>ROLO MULT LARANJA 45GR 30MX0,33M C/PIC</t>
  </si>
  <si>
    <t>9311P</t>
  </si>
  <si>
    <t>ROLO MULT LARANJA 300X0,33M PIC45G 70/30</t>
  </si>
  <si>
    <t>9311PE</t>
  </si>
  <si>
    <t>ROLO MULT.LARANJA 45GR 300M X 0,33M PIC.</t>
  </si>
  <si>
    <t>931230P</t>
  </si>
  <si>
    <t>ROLO MULT VERDE 30X0,30M PIC 45G</t>
  </si>
  <si>
    <t>931230PE</t>
  </si>
  <si>
    <t>ROLO MULT.VERDE 45GR 30MX0,33M C/PICOTE</t>
  </si>
  <si>
    <t>9312P</t>
  </si>
  <si>
    <t>ROLO MULT VERDE 300X0,33M PIC 45G 70/30</t>
  </si>
  <si>
    <t>9312PE</t>
  </si>
  <si>
    <t>ROLO MULT.VERDE 45GR 300MX0,33M PIC.</t>
  </si>
  <si>
    <t>9313P</t>
  </si>
  <si>
    <t>ROLO MULT VERDE 300MX0,33M PIC 65G 70/30</t>
  </si>
  <si>
    <t>9313PE</t>
  </si>
  <si>
    <t>ROLO MULTIUSO VERDE 65GR 300MX0,33M PIC</t>
  </si>
  <si>
    <t>9314E</t>
  </si>
  <si>
    <t>9314P</t>
  </si>
  <si>
    <t>ROLO MULT BRANCO 300X0,30M PIC 40G</t>
  </si>
  <si>
    <t>9315E</t>
  </si>
  <si>
    <t>9315P</t>
  </si>
  <si>
    <t>ROLO MULT AZUL 300X0,33M PIC 40G 70/30</t>
  </si>
  <si>
    <t>9316P</t>
  </si>
  <si>
    <t>ROLO MULT VERDE 300X0,33M PIC 40G 70/30</t>
  </si>
  <si>
    <t>9317P</t>
  </si>
  <si>
    <t>ROLO MULT LARANJA 300X0,30M PIC 40G</t>
  </si>
  <si>
    <t>9317PE</t>
  </si>
  <si>
    <t>ROLO MULTIUSO LARANJA 300M X0,33M C/PIC.</t>
  </si>
  <si>
    <t>9318P</t>
  </si>
  <si>
    <t>ROLO MULT VERDE 300X0,20M PIC 40G</t>
  </si>
  <si>
    <t>9319P</t>
  </si>
  <si>
    <t>ROLO MULT LARANJA 300X0,22M 40G 70/30</t>
  </si>
  <si>
    <t>9320AZ</t>
  </si>
  <si>
    <t>LIXEIRA PLASTICA S/PEDAL AZ 120L 1X1</t>
  </si>
  <si>
    <t>9320LR</t>
  </si>
  <si>
    <t>LIXEIRA PLASTICA S/PEDAL LR 120L 1X1</t>
  </si>
  <si>
    <t>9320LRE</t>
  </si>
  <si>
    <t>LIXEIRA PLASTICA S/ PEDAL 120L - LARANJA</t>
  </si>
  <si>
    <t>9320TPAZ</t>
  </si>
  <si>
    <t>TAMPA PLASTICA P/LIXEIRA 120L AZ 1X1</t>
  </si>
  <si>
    <t>9320TPLR</t>
  </si>
  <si>
    <t>TAMPA PLASTICA P/LIXEIRA 120L LR 1X1</t>
  </si>
  <si>
    <t>9321AZ</t>
  </si>
  <si>
    <t>LIXEIRA PLASTICA S/PEDAL AZ 240L 1X1</t>
  </si>
  <si>
    <t>9321LR</t>
  </si>
  <si>
    <t>LIXEIRA PLASTICA S/PEDAL LR 240L 1X1</t>
  </si>
  <si>
    <t>9321LRE</t>
  </si>
  <si>
    <t>LIXEIRA PLASTICA S/PEDAL 240L - LARANJA</t>
  </si>
  <si>
    <t>9321TPAZ</t>
  </si>
  <si>
    <t>TAMPA PLASTICA P/LIXEIRA 240L AZ 1X1</t>
  </si>
  <si>
    <t>9321TPLR</t>
  </si>
  <si>
    <t>TAMPA PLASTICA P/LIXEIRA 240L LR 1X1</t>
  </si>
  <si>
    <t>9358/9359R</t>
  </si>
  <si>
    <t>RODA PARA LIXEIRAS 120/240L SUPERPRO 1x2</t>
  </si>
  <si>
    <t>9358AME</t>
  </si>
  <si>
    <t>LIXEIRA PLASTICA C/ PEDAL 120L -AMARELA</t>
  </si>
  <si>
    <t>9358AZE</t>
  </si>
  <si>
    <t>LIXEIRA PLASTICA C/ PEDAL 120L - AZUL</t>
  </si>
  <si>
    <t>9358CZE</t>
  </si>
  <si>
    <t>LIXEIRA PLASTICA C/ PEDAL 120L - CINZA</t>
  </si>
  <si>
    <t>9358TPAM</t>
  </si>
  <si>
    <t>TAMPA PLASTICA P/LIXEIRA 120L AM 1X1</t>
  </si>
  <si>
    <t>9358TPAZ</t>
  </si>
  <si>
    <t>9358TPCZ</t>
  </si>
  <si>
    <t>TAMPA PLASTICA P/LIXEIRA 120L CZ 1X1</t>
  </si>
  <si>
    <t>9358TPVD</t>
  </si>
  <si>
    <t>TAMPA PLASTICA P/LIXEIRA 120L VD 1X1</t>
  </si>
  <si>
    <t>9358TPVR</t>
  </si>
  <si>
    <t>TAMPA PLASTICA P/LIXEIRA 120L VR 1X1</t>
  </si>
  <si>
    <t>9358VDE</t>
  </si>
  <si>
    <t>LIXEIRA PLASTICA C/ PEDAL 120L - VERDE</t>
  </si>
  <si>
    <t>9358VRE</t>
  </si>
  <si>
    <t>LIXEIRA PLASTICA C/ PEDAL 120L -VERMELHA</t>
  </si>
  <si>
    <t>9359AME</t>
  </si>
  <si>
    <t>LIXEIRA PLASTICA C/ PEDAL 240L -AMARELA</t>
  </si>
  <si>
    <t>9359CZE</t>
  </si>
  <si>
    <t>LIXEIRA PLASTICA C/ PEDAL 240L - CINZA</t>
  </si>
  <si>
    <t>9359TPAM</t>
  </si>
  <si>
    <t>TAMPA PLASTICA P/LIXEIRA 240L AM 1X1</t>
  </si>
  <si>
    <t>9359TPAZ</t>
  </si>
  <si>
    <t>9359TPCZ</t>
  </si>
  <si>
    <t>TAMPA PLASTICA P/LIXEIRA 240L CZ 1X1</t>
  </si>
  <si>
    <t>9359TPVD</t>
  </si>
  <si>
    <t>TAMPA PLASTICA P/LIXEIRA 240L VD 1X1</t>
  </si>
  <si>
    <t>9359TPVR</t>
  </si>
  <si>
    <t>TAMPA PLASTICA P/LIXEIRA 240L VR 1X1</t>
  </si>
  <si>
    <t>9359VDE</t>
  </si>
  <si>
    <t>LIXEIRA PLASTICA C/ PEDAL 240L - VERDE</t>
  </si>
  <si>
    <t>9359VRE</t>
  </si>
  <si>
    <t>LIXEIRA PLASTICA C/ PEDAL 240L -VERMELHA</t>
  </si>
  <si>
    <t>9360E</t>
  </si>
  <si>
    <t>BALDE DUPLO 15LT 1X1</t>
  </si>
  <si>
    <t>9401E</t>
  </si>
  <si>
    <t>ESPONJA DUPLA FACE 9401E</t>
  </si>
  <si>
    <t>9402E</t>
  </si>
  <si>
    <t>9403E</t>
  </si>
  <si>
    <t>ESPONJA DUPLA FACE BRANCA SUAVE 9403E</t>
  </si>
  <si>
    <t>9404E</t>
  </si>
  <si>
    <t>ESPONJA DUPLA FACE VERDE FORTE 9404E</t>
  </si>
  <si>
    <t>9405/5</t>
  </si>
  <si>
    <t>ESPONJAO DUPLA FACE ESFREBOM 1X20X5</t>
  </si>
  <si>
    <t>9405E</t>
  </si>
  <si>
    <t>9406FE</t>
  </si>
  <si>
    <t>ESPONJA DUPLA FACE BRILHUS - 12X10</t>
  </si>
  <si>
    <t>9406P</t>
  </si>
  <si>
    <t>ESPONJA DUPLAFACE BRILHUS PLUS - 1X10X12</t>
  </si>
  <si>
    <t>9409E</t>
  </si>
  <si>
    <t>9410E</t>
  </si>
  <si>
    <t>9422E</t>
  </si>
  <si>
    <t>ESPONJA LAVA  CARRO CX C/24 UNID</t>
  </si>
  <si>
    <t>9471/5</t>
  </si>
  <si>
    <t>ESPONJA ABRASIVA PLUS - 24X5</t>
  </si>
  <si>
    <t>9500/5</t>
  </si>
  <si>
    <t>FIBRA LIMP. BETTACO 1X40X5</t>
  </si>
  <si>
    <t>950011E</t>
  </si>
  <si>
    <t>BETTACO - 1 MT X 10 MTS</t>
  </si>
  <si>
    <t>9500E</t>
  </si>
  <si>
    <t>9501E</t>
  </si>
  <si>
    <t>FIBRA VERDE LIMPEZA GERAL - 10X10</t>
  </si>
  <si>
    <t>9502/5</t>
  </si>
  <si>
    <t>FIBRA LIMP. USO GERAL 102X260 1X20X5</t>
  </si>
  <si>
    <t>950210E</t>
  </si>
  <si>
    <t>9502E</t>
  </si>
  <si>
    <t>FIBRA LIMP. USO GERAL 102X260 1X10X10</t>
  </si>
  <si>
    <t>9503E</t>
  </si>
  <si>
    <t>FIBRA LIMPEZA USO LEVE -1X10X10</t>
  </si>
  <si>
    <t>9504E</t>
  </si>
  <si>
    <t>FIBRA LIMP. USO LEVE 102X260 1X10X10</t>
  </si>
  <si>
    <t>9505E</t>
  </si>
  <si>
    <t>950610E</t>
  </si>
  <si>
    <t>9506E</t>
  </si>
  <si>
    <t>FIBRA LIMP. PESADA 102X260 1X10X10</t>
  </si>
  <si>
    <t>9508E</t>
  </si>
  <si>
    <t>FIBRA LIMP. BETTACO 102X260 1X10X10</t>
  </si>
  <si>
    <t>9509E</t>
  </si>
  <si>
    <t>FIBRA LIMP. LEVE AZUL 102X260 10X10</t>
  </si>
  <si>
    <t>9513E</t>
  </si>
  <si>
    <t>FIBRA LIMPEZA SUP.FINA 102X260-1X10X10</t>
  </si>
  <si>
    <t>9515E</t>
  </si>
  <si>
    <t>9515PR</t>
  </si>
  <si>
    <t>SUPORTE PLAST MANUAL P/BETTACO PROM 1X10</t>
  </si>
  <si>
    <t>9516BR</t>
  </si>
  <si>
    <t>SUPORTE P/FIBRAS LT - 1X10</t>
  </si>
  <si>
    <t>9516BRE</t>
  </si>
  <si>
    <t>9516PR</t>
  </si>
  <si>
    <t>​SUPORTE PLAST P/FIBRA MIG MOP AZ 1X10</t>
  </si>
  <si>
    <t>9522FRE</t>
  </si>
  <si>
    <t>9630E</t>
  </si>
  <si>
    <t>9641E</t>
  </si>
  <si>
    <t>DISCO REMOVEDOR PRETO 410 MM - 1 X 20</t>
  </si>
  <si>
    <t>9644E</t>
  </si>
  <si>
    <t>DISCO REMOVEDOR PRETO 440 MM - 1 X 20</t>
  </si>
  <si>
    <t>9651E</t>
  </si>
  <si>
    <t>DISCO REMOVEDOR PRETO 510 MM 1X20</t>
  </si>
  <si>
    <t>9673CE</t>
  </si>
  <si>
    <t>VASSOURA NOVICA PRO C/CABO 1X12 AZUL</t>
  </si>
  <si>
    <t>9675CE</t>
  </si>
  <si>
    <t>VASSOURA NOVICA PRO C/CABO 1X12 VERDE</t>
  </si>
  <si>
    <t>9684E</t>
  </si>
  <si>
    <t>9685E</t>
  </si>
  <si>
    <t>9700E</t>
  </si>
  <si>
    <t>SUPORTE P/ PAPEL HIGIENICO - 1X6</t>
  </si>
  <si>
    <t>9701E</t>
  </si>
  <si>
    <t>SUPORTE P/PAPEL TOALHA - 1X6</t>
  </si>
  <si>
    <t>9702E</t>
  </si>
  <si>
    <t>SUPORTE P/SABONETE LIQUIDO 1X14</t>
  </si>
  <si>
    <t>9702RE</t>
  </si>
  <si>
    <t>RESERVATORIO SABONETE LIQUIDO - 1X58</t>
  </si>
  <si>
    <t>9703E</t>
  </si>
  <si>
    <t>SUPORTE PARA PAPEL -1 X 14</t>
  </si>
  <si>
    <t>9830E</t>
  </si>
  <si>
    <t>9835E</t>
  </si>
  <si>
    <t>9841E</t>
  </si>
  <si>
    <t>9844E</t>
  </si>
  <si>
    <t>DISCO LIMPADOR VERDE 440MM 1X20</t>
  </si>
  <si>
    <t>9851E</t>
  </si>
  <si>
    <t>DISCO LIMPADOR VERDE 510 MM 1X20</t>
  </si>
  <si>
    <t>9941E</t>
  </si>
  <si>
    <t>9944E</t>
  </si>
  <si>
    <t>DISCO LUSTRADOR BRANCO 440MM 1X20</t>
  </si>
  <si>
    <t>9951E</t>
  </si>
  <si>
    <t>DISCO LUSTRADOR BRANCO 510MM 1X20</t>
  </si>
  <si>
    <t>AT90/60</t>
  </si>
  <si>
    <t>PALHA DE ACO N 1</t>
  </si>
  <si>
    <t>AT90/70</t>
  </si>
  <si>
    <t>PALHA DE ACO N 2</t>
  </si>
  <si>
    <t>BT12</t>
  </si>
  <si>
    <t>NOVICA PA DE ACO 1X12</t>
  </si>
  <si>
    <t>BT1232</t>
  </si>
  <si>
    <t>NOVICA RODO VAI VEM PLUS C/CABO M 1X12</t>
  </si>
  <si>
    <t>BT1393</t>
  </si>
  <si>
    <t>NOVICA MOP FIT PLASTICO PLAST 1X6</t>
  </si>
  <si>
    <t>BT1395</t>
  </si>
  <si>
    <t>​NOVICA MOP COMPACTO 10L 1X4​</t>
  </si>
  <si>
    <t>BT1398</t>
  </si>
  <si>
    <t>NOVICA MOP LAVA E SECA PLAST 1x2</t>
  </si>
  <si>
    <t>BT1398R</t>
  </si>
  <si>
    <t>REFIL NOVICA MOP LAVA E SECA 1x12</t>
  </si>
  <si>
    <t>BT167215</t>
  </si>
  <si>
    <t>NOVICA VASSOURA ORIGINAL C/CABO 1X15</t>
  </si>
  <si>
    <t>BT1681</t>
  </si>
  <si>
    <t>NOVICA VASSOURA FACIL S/CABO - 1X12</t>
  </si>
  <si>
    <t>BT168215</t>
  </si>
  <si>
    <t>​NOVICA FACIL C\CABO - 1X15</t>
  </si>
  <si>
    <t>BT1902</t>
  </si>
  <si>
    <t>NOVICA MOP TWISTER PLAST 7L 1X1​</t>
  </si>
  <si>
    <t>BT1912</t>
  </si>
  <si>
    <t>NOVICA MOP SPRAY C/CABO E TECIDO 1X4</t>
  </si>
  <si>
    <t>BT191R</t>
  </si>
  <si>
    <t>NOVICA REFIL TECIDO MOP SPRAY 1X6</t>
  </si>
  <si>
    <t>BT1932</t>
  </si>
  <si>
    <t>NOVICA MOP TORCAO MICROFIBRA 1X6</t>
  </si>
  <si>
    <t>BT1980</t>
  </si>
  <si>
    <t>NOVICA LIMPA VIDROS SPRAY PLASTIC 1X6</t>
  </si>
  <si>
    <t>BT1981</t>
  </si>
  <si>
    <t>NOVICA LIMPA VIDROS P PLASTIC 1X12​</t>
  </si>
  <si>
    <t>BT2003</t>
  </si>
  <si>
    <t>BRILHUS VASSOURA MULTIUSO C/CABO 1X15</t>
  </si>
  <si>
    <t>BT2012</t>
  </si>
  <si>
    <t>BRILHUS VASSOURA PARA RUA C/CABO 1X15</t>
  </si>
  <si>
    <t>BT202</t>
  </si>
  <si>
    <t>NOVICA REFIL ROLO ADESIVO PLAST 1X12</t>
  </si>
  <si>
    <t>BT2020</t>
  </si>
  <si>
    <t>BRILHUS PA PARA LIXO PLASTICA 1X36</t>
  </si>
  <si>
    <t>BT2022</t>
  </si>
  <si>
    <t>BRILHUS VASSOURA PISO DELICA C/CABO 1X12</t>
  </si>
  <si>
    <t>BT2023</t>
  </si>
  <si>
    <t>BRILHUS MOP ESFREGAO ALGODAO C/CABO 1X12</t>
  </si>
  <si>
    <t>BT2024</t>
  </si>
  <si>
    <t>BRILHUS MOP SEK+ C/CABO 1X6</t>
  </si>
  <si>
    <t>BT2025</t>
  </si>
  <si>
    <t>BRILHUS RODO PLASTICO C/CABO P 1X12</t>
  </si>
  <si>
    <t>BT2026</t>
  </si>
  <si>
    <t>BRILHUS ESPALHADOR CERA C/CABO 1X12</t>
  </si>
  <si>
    <t>BT2028</t>
  </si>
  <si>
    <t>BRILHUS RODO PLASTICO C/CABO M 1X12</t>
  </si>
  <si>
    <t>BT2029</t>
  </si>
  <si>
    <t>BRILHUS VASSOURA CANTOS C/CABO 1X12</t>
  </si>
  <si>
    <t>BT2033</t>
  </si>
  <si>
    <t>ESCOVA DE MADEIRA BRILHUS 1X36</t>
  </si>
  <si>
    <t>BT2034</t>
  </si>
  <si>
    <t>BRILHUS DESENTUPIDOR PLASTICO 1X36</t>
  </si>
  <si>
    <t>BT2046</t>
  </si>
  <si>
    <t>BRILHUS PANO FLANELA P ALGODAO UNI 1X24</t>
  </si>
  <si>
    <t>BT2047</t>
  </si>
  <si>
    <t>BRILHUS PANO FLANELA M ALGODAO UNI 1X24</t>
  </si>
  <si>
    <t>BT2048</t>
  </si>
  <si>
    <t>BRILHUS PANO FLANELA G ALGODAO UNI 1X24</t>
  </si>
  <si>
    <t>BT2050</t>
  </si>
  <si>
    <t>BRILHUS MOP SPRAY PLASTICO 1X4</t>
  </si>
  <si>
    <t>BT2054</t>
  </si>
  <si>
    <t>BRILHUS PRENDEDOR ROUPAS MADEIRA 1X24</t>
  </si>
  <si>
    <t>BT250</t>
  </si>
  <si>
    <t>NOVICA ESCOVA MULTIUSO PLAST (SKET) 1X36</t>
  </si>
  <si>
    <t>BT254</t>
  </si>
  <si>
    <t>BETTANIN ESCOVA PEGA FORTE 1X12</t>
  </si>
  <si>
    <t>BT260</t>
  </si>
  <si>
    <t>NOVICA ESCOVA VARREMESA PLASTICA 1X12</t>
  </si>
  <si>
    <t>BT280</t>
  </si>
  <si>
    <t>NOVICA ESCOVA LAVA JARRAS 1x12</t>
  </si>
  <si>
    <t>BT281</t>
  </si>
  <si>
    <t>NOVICA ESCOVA LAVA COPOS 1x12</t>
  </si>
  <si>
    <t>BT4072</t>
  </si>
  <si>
    <t>JEITOSA VASSOURA MULTIUSO - 1X15</t>
  </si>
  <si>
    <t>BT457</t>
  </si>
  <si>
    <t>ESFREBOM ESPONJA MAGICA C/2 UNI 1X24</t>
  </si>
  <si>
    <t>BT459</t>
  </si>
  <si>
    <t>ESFREBOM FIBRA ABRASIVA MULT 3 UNI 1X24</t>
  </si>
  <si>
    <t>BT46</t>
  </si>
  <si>
    <t>NOVICA SUPORTE MULTI 31CM 1X6</t>
  </si>
  <si>
    <t>BT4620</t>
  </si>
  <si>
    <t>ESFREBOM LIMPA FORNO LIQ SPRAY 300ML1X12</t>
  </si>
  <si>
    <t>BT47</t>
  </si>
  <si>
    <t>NOVICA SUPORTE MULTI 41CM 1X6</t>
  </si>
  <si>
    <t>BT4822</t>
  </si>
  <si>
    <t>ESPONJA ONDA NAO RISCA 1X36</t>
  </si>
  <si>
    <t>BT4862</t>
  </si>
  <si>
    <t>ESFREBOM ESPONJA BANHEIRO C/ABRASIV 1X60</t>
  </si>
  <si>
    <t>BT4983</t>
  </si>
  <si>
    <t>ESFREBOM PANO PRATO MICROFIBRA UN 1X24</t>
  </si>
  <si>
    <t>BT4991</t>
  </si>
  <si>
    <t>ESFREBOM PANO EVOLUTION ROLO  C/52 1X12​</t>
  </si>
  <si>
    <t>BT5800</t>
  </si>
  <si>
    <t>SANILUX PEDRA SANITARIA MISTA 1X48</t>
  </si>
  <si>
    <t>BT5810</t>
  </si>
  <si>
    <t>SANILUX PEDRA NAFTALINA 1X30</t>
  </si>
  <si>
    <t>BT5820</t>
  </si>
  <si>
    <t>SANILUX LIMPA BOX 300 ML 1X12</t>
  </si>
  <si>
    <t>BT5911</t>
  </si>
  <si>
    <t>SANILUX BLOCO SANITARIO OCEANO 1X24</t>
  </si>
  <si>
    <t>BT5911R</t>
  </si>
  <si>
    <t>SANILUX REFIL BLOCO SANITARIO OCEAN 1X24</t>
  </si>
  <si>
    <t>BT5912</t>
  </si>
  <si>
    <t>SANILUX BLOCO SANITARIO 5 ESTAGIOS 1X24</t>
  </si>
  <si>
    <t>BT5932</t>
  </si>
  <si>
    <t>SANILUX PASTILHA ADESIVA PINHAISC/3 1X24</t>
  </si>
  <si>
    <t>BT5940</t>
  </si>
  <si>
    <t>SANILUX APLICADOR GEL LAVANDA 6 APL 1X12</t>
  </si>
  <si>
    <t>BT5940R</t>
  </si>
  <si>
    <t>SANILUX FIL GEL LAVANDA 6 APL 1X12</t>
  </si>
  <si>
    <t>BT5941</t>
  </si>
  <si>
    <t>SANILUX APLICADOR GEL OCEANO 6 APL 1X12</t>
  </si>
  <si>
    <t>BT5941R</t>
  </si>
  <si>
    <t>SANILUX REFIL GEL OCEANO 6 APL 1X12</t>
  </si>
  <si>
    <t>BT5942</t>
  </si>
  <si>
    <t>SANILUX APLICADOR GEL PINHAIS 6 APL 1X12</t>
  </si>
  <si>
    <t>BT5951</t>
  </si>
  <si>
    <t>SANILUX APLICADOR GEL OCEANO UNI 1X24</t>
  </si>
  <si>
    <t>BT5952</t>
  </si>
  <si>
    <t>SANILUX APLICADOR GEL PINHAIS UNI 1X24</t>
  </si>
  <si>
    <t>BT621</t>
  </si>
  <si>
    <t>ESFREBOM SUPORTE PARA ESPONJA 1X12​</t>
  </si>
  <si>
    <t>BT623</t>
  </si>
  <si>
    <t>ESFREBOM RALO PARA PIA 1X24</t>
  </si>
  <si>
    <t>BT710</t>
  </si>
  <si>
    <t>NOVICA EVITA MOFO NATURAL 130G 1X12</t>
  </si>
  <si>
    <t>BT711</t>
  </si>
  <si>
    <t>NOVICA EVITA MOFO SOFT 130G 1X12</t>
  </si>
  <si>
    <t>BT712</t>
  </si>
  <si>
    <t>NOVICA EVITA MOFO LAVANDA 130G 1X12</t>
  </si>
  <si>
    <t>BT9000</t>
  </si>
  <si>
    <t>NOVICA LIMPA REJUNTES LIQ 1L 1X12</t>
  </si>
  <si>
    <t>BT9003</t>
  </si>
  <si>
    <t>NOVICA PISOS LAMIN E VINIL LIQ 1L 1X12</t>
  </si>
  <si>
    <t>BTN1389R</t>
  </si>
  <si>
    <t>NOVICA REFIL MOP TURBO MICROFIB 17L 1X6</t>
  </si>
  <si>
    <t>BTN2050R</t>
  </si>
  <si>
    <t>BRILHUS MOP SPRAY REFIL TECIDO 1X6</t>
  </si>
  <si>
    <t>BTN5911R</t>
  </si>
  <si>
    <t>BTN5940R</t>
  </si>
  <si>
    <t>SANILUX REFIL GEL LAVANDA 6 APL 1X12</t>
  </si>
  <si>
    <t>C009100E</t>
  </si>
  <si>
    <t>C10030</t>
  </si>
  <si>
    <t>DISCO ULTRA REMOVEDOR AZUL 300MM 1X20</t>
  </si>
  <si>
    <t>C10035</t>
  </si>
  <si>
    <t>DISCO ULTRA REMOVEDOR AZUL 350MM 1X20</t>
  </si>
  <si>
    <t>C10038</t>
  </si>
  <si>
    <t>DISCO ULTRA REMOVEDOR AZUL 380MM 1X20</t>
  </si>
  <si>
    <t>C10041</t>
  </si>
  <si>
    <t>DISCO ULTRA REMOVEDOR AZUL 410MM 1X20</t>
  </si>
  <si>
    <t>C10044</t>
  </si>
  <si>
    <t>DISCO ULTRA REMOVEDOR AZUL 440MM 1X20</t>
  </si>
  <si>
    <t>C10051</t>
  </si>
  <si>
    <t>C10051E</t>
  </si>
  <si>
    <t>C10051S</t>
  </si>
  <si>
    <t>DISCO ULTRA REMOV. AZUL ONDA 510MM 1X20</t>
  </si>
  <si>
    <t>C11030</t>
  </si>
  <si>
    <t>DISCO RESTAURADOR VERMELHO 300 - 1X20</t>
  </si>
  <si>
    <t>C11038</t>
  </si>
  <si>
    <t>DISCO RESTAURADOR VERMELHO 380MM - 1X20</t>
  </si>
  <si>
    <t>C11041E</t>
  </si>
  <si>
    <t>C11044E</t>
  </si>
  <si>
    <t>C11051E</t>
  </si>
  <si>
    <t>DISCO LUSTR. VERMELHO 510MM 1X20</t>
  </si>
  <si>
    <t>C12030</t>
  </si>
  <si>
    <t>DISCO LUSTRADOR CHAMPAGNE 300MM 1X20</t>
  </si>
  <si>
    <t>C12038</t>
  </si>
  <si>
    <t>DISCO LUSTRADOR CHAMPAGNE 380 1X20</t>
  </si>
  <si>
    <t>C12044</t>
  </si>
  <si>
    <t>DISCO LUSTRADOR CHAMPAGNE 440 1X20</t>
  </si>
  <si>
    <t>C12044E</t>
  </si>
  <si>
    <t>C130004G</t>
  </si>
  <si>
    <t>C130004M</t>
  </si>
  <si>
    <t>C130004P</t>
  </si>
  <si>
    <t>C13000G</t>
  </si>
  <si>
    <t>C13000GE</t>
  </si>
  <si>
    <t>C13000M</t>
  </si>
  <si>
    <t>C13000ME</t>
  </si>
  <si>
    <t>C13000P</t>
  </si>
  <si>
    <t>C13000PE</t>
  </si>
  <si>
    <t>C130014G</t>
  </si>
  <si>
    <t>C130014M</t>
  </si>
  <si>
    <t>C130014P</t>
  </si>
  <si>
    <t>C13001G</t>
  </si>
  <si>
    <t>LUVAS VERNIZ SILVER QUALITY STAND 12X12</t>
  </si>
  <si>
    <t>C13001M</t>
  </si>
  <si>
    <t>C13001P</t>
  </si>
  <si>
    <t>LUVAS VERNIZ SILVER QUALITY STD. - 12X12</t>
  </si>
  <si>
    <t>C130024G</t>
  </si>
  <si>
    <t>LUVAS NITRIL.C/FORRO QUALITY STANDARD</t>
  </si>
  <si>
    <t>C130024M</t>
  </si>
  <si>
    <t>C130024P</t>
  </si>
  <si>
    <t>C13002G</t>
  </si>
  <si>
    <t>LUVAS NITRILICA C FORRO QUALITY ST 12X12</t>
  </si>
  <si>
    <t>C13002GE</t>
  </si>
  <si>
    <t>C13002M</t>
  </si>
  <si>
    <t>C13002ME</t>
  </si>
  <si>
    <t>C13002P</t>
  </si>
  <si>
    <t>C13002PE</t>
  </si>
  <si>
    <t>C13003G</t>
  </si>
  <si>
    <t>C13003M</t>
  </si>
  <si>
    <t>C13003P</t>
  </si>
  <si>
    <t>C14005</t>
  </si>
  <si>
    <t>C18105PRLA</t>
  </si>
  <si>
    <t>SUPERPRO SACO LIXO LV ALM 105L C/100 1X5</t>
  </si>
  <si>
    <t>C18105PRMA</t>
  </si>
  <si>
    <t>SUPERPRO SACO LIXO MD ALM 105L C/100 1X5</t>
  </si>
  <si>
    <t>C18105PRRA</t>
  </si>
  <si>
    <t>SUPERPRO SACO LIXO REF ALM 105L C100 1X5</t>
  </si>
  <si>
    <t>C49067</t>
  </si>
  <si>
    <t>ROLO TECIDO NAO TECIDO AZ 25X0,30M 35G</t>
  </si>
  <si>
    <t>C650</t>
  </si>
  <si>
    <t>C8000</t>
  </si>
  <si>
    <t>C8001</t>
  </si>
  <si>
    <t>C8002</t>
  </si>
  <si>
    <t>C8006</t>
  </si>
  <si>
    <t>C8007</t>
  </si>
  <si>
    <t>BALEIRO GRANDE 4,4 L</t>
  </si>
  <si>
    <t>C8008</t>
  </si>
  <si>
    <t>POTE ORGANIZADOR  RETANGULAR 6,1 L</t>
  </si>
  <si>
    <t>C8020</t>
  </si>
  <si>
    <t>C8021</t>
  </si>
  <si>
    <t>C8025</t>
  </si>
  <si>
    <t>C8030</t>
  </si>
  <si>
    <t>C8031</t>
  </si>
  <si>
    <t>C8032</t>
  </si>
  <si>
    <t>C8033</t>
  </si>
  <si>
    <t>C8040</t>
  </si>
  <si>
    <t>BALDE OVAL  19 L</t>
  </si>
  <si>
    <t>C8041</t>
  </si>
  <si>
    <t>C8050</t>
  </si>
  <si>
    <t>C8056</t>
  </si>
  <si>
    <t>C8065</t>
  </si>
  <si>
    <t>C8100</t>
  </si>
  <si>
    <t>C8100E</t>
  </si>
  <si>
    <t>C8106</t>
  </si>
  <si>
    <t>C8108</t>
  </si>
  <si>
    <t>C8108E</t>
  </si>
  <si>
    <t>C8110</t>
  </si>
  <si>
    <t>C8110E</t>
  </si>
  <si>
    <t>C8203</t>
  </si>
  <si>
    <t>C8203E</t>
  </si>
  <si>
    <t>C8204</t>
  </si>
  <si>
    <t>C8204E</t>
  </si>
  <si>
    <t>C8206</t>
  </si>
  <si>
    <t>C8206E</t>
  </si>
  <si>
    <t>C8300</t>
  </si>
  <si>
    <t>C8304</t>
  </si>
  <si>
    <t>C8306</t>
  </si>
  <si>
    <t>C8306E</t>
  </si>
  <si>
    <t>C8310</t>
  </si>
  <si>
    <t>C8320</t>
  </si>
  <si>
    <t>C8330</t>
  </si>
  <si>
    <t>C8340</t>
  </si>
  <si>
    <t>C8350</t>
  </si>
  <si>
    <t>C8360</t>
  </si>
  <si>
    <t>C8370</t>
  </si>
  <si>
    <t>C8372</t>
  </si>
  <si>
    <t>C8380</t>
  </si>
  <si>
    <t>C8382</t>
  </si>
  <si>
    <t>C9001</t>
  </si>
  <si>
    <t>C9001CE</t>
  </si>
  <si>
    <t>C9003CE</t>
  </si>
  <si>
    <t>C900450E</t>
  </si>
  <si>
    <t>C9004AM</t>
  </si>
  <si>
    <t>VASSOURA 40CM S/CABO AMARELA 1x12</t>
  </si>
  <si>
    <t>C9004AZ</t>
  </si>
  <si>
    <t>VASSOURA 40CM S/CABO AZUL 1x12</t>
  </si>
  <si>
    <t>C9004VD</t>
  </si>
  <si>
    <t>VASSOURA 40CM S/CABO VERDE 1x12</t>
  </si>
  <si>
    <t>C9004VR</t>
  </si>
  <si>
    <t>VASSOURA 40CM S/CABO VERMELHA 1x12</t>
  </si>
  <si>
    <t>C9005</t>
  </si>
  <si>
    <t>VASSOURAO 40CM CERDAS RIGIDAS 1X6</t>
  </si>
  <si>
    <t>C900550E</t>
  </si>
  <si>
    <t>C9005AM</t>
  </si>
  <si>
    <t>VASSOURA RIGIDA 40CM S/CABO AMARELA 1X12</t>
  </si>
  <si>
    <t>C9005AZ</t>
  </si>
  <si>
    <t>VASSOURA RIGIDA 40CM S/CABO AZUL 1X12</t>
  </si>
  <si>
    <t>C9005VD</t>
  </si>
  <si>
    <t>VASSOURA RIGIDA 40CM S/CABO VERDE 1X12</t>
  </si>
  <si>
    <t>C9005VR</t>
  </si>
  <si>
    <t>VASSOURA RIGIDA 40CM S/CABO VERMELHA1X12</t>
  </si>
  <si>
    <t>C9006CE</t>
  </si>
  <si>
    <t>C900750E</t>
  </si>
  <si>
    <t>C9008CE</t>
  </si>
  <si>
    <t>C9009C</t>
  </si>
  <si>
    <t>VASS.ANGULAR PEQUENA C/CABO 1X12</t>
  </si>
  <si>
    <t>C9010E</t>
  </si>
  <si>
    <t>C9012E</t>
  </si>
  <si>
    <t>CABO CHAPA DE ACO 130CM C/ ROSCA 1X12</t>
  </si>
  <si>
    <t>C9013</t>
  </si>
  <si>
    <t>76151CABO ALUMINIO 150CM C/PRESILHA 1X6</t>
  </si>
  <si>
    <t>C9014</t>
  </si>
  <si>
    <t>CABO ALUMINIO 150CM 1X6</t>
  </si>
  <si>
    <t>C9014E</t>
  </si>
  <si>
    <t>C9015E</t>
  </si>
  <si>
    <t>C9016</t>
  </si>
  <si>
    <t>CABO CHAPA DE ACO 85CM C/ROSCA 1X6</t>
  </si>
  <si>
    <t>C9018</t>
  </si>
  <si>
    <t>VASS. TUPY CERDAS LONGAS S/CABO 1X12</t>
  </si>
  <si>
    <t>C9019</t>
  </si>
  <si>
    <t>C9019E</t>
  </si>
  <si>
    <t>C9021CE</t>
  </si>
  <si>
    <t>C9032E</t>
  </si>
  <si>
    <t>C9033E</t>
  </si>
  <si>
    <t>C9050</t>
  </si>
  <si>
    <t>C90502</t>
  </si>
  <si>
    <t>C90503</t>
  </si>
  <si>
    <t>C9050E</t>
  </si>
  <si>
    <t>RODO ALUMINIO 50CM BORR. SIMPLES</t>
  </si>
  <si>
    <t>C9051CE</t>
  </si>
  <si>
    <t>C9052CE</t>
  </si>
  <si>
    <t>C9054CE</t>
  </si>
  <si>
    <t>RODO PLAST. BORRACHA DUPLA 40 CM</t>
  </si>
  <si>
    <t>C9056</t>
  </si>
  <si>
    <t>RODO ALUMINIO 50CM BORR.DUPLA S/CABO 1X6</t>
  </si>
  <si>
    <t>C9056E</t>
  </si>
  <si>
    <t>RODO ALUMINIO 50CM BORR. DUPLA</t>
  </si>
  <si>
    <t>C9057</t>
  </si>
  <si>
    <t>RODO ALUM.70CM BORR.IMPLES S/CABO-1X6</t>
  </si>
  <si>
    <t>C9057E</t>
  </si>
  <si>
    <t>RODO ALUMINIO 70CM BORR. SIMPLES</t>
  </si>
  <si>
    <t>C9058</t>
  </si>
  <si>
    <t>C9058E</t>
  </si>
  <si>
    <t>RODO ALUMINIO 70CM BORR. DUPLA</t>
  </si>
  <si>
    <t>C9063AM</t>
  </si>
  <si>
    <t>VASSOURA RIGIDA 60CM S/CABO AMARELA 1X12</t>
  </si>
  <si>
    <t>C9063AZ</t>
  </si>
  <si>
    <t>VASSOURA RIGIDA 60CM S/CABO AZUL 1X12</t>
  </si>
  <si>
    <t>C9063DE</t>
  </si>
  <si>
    <t>C9063VD</t>
  </si>
  <si>
    <t>VASSOURA RIGIDA 60CM S/CABO VERDE 1x12</t>
  </si>
  <si>
    <t>C9063VR</t>
  </si>
  <si>
    <t>VASSOURA RIGIDA 60CM S/CABO VERMELHA1X12</t>
  </si>
  <si>
    <t>C9064AM</t>
  </si>
  <si>
    <t>VASSOURA MACIA 60CM S/CABO AMARELA 1x12</t>
  </si>
  <si>
    <t>C9064AZ</t>
  </si>
  <si>
    <t>VASSOURA MACIA 60CM S/CABO AZUL 1x12</t>
  </si>
  <si>
    <t>C9064DE</t>
  </si>
  <si>
    <t>C9064VD</t>
  </si>
  <si>
    <t>VASSOURA MACIA 60CM S/CABO VERDE 1x12</t>
  </si>
  <si>
    <t>C9064VR</t>
  </si>
  <si>
    <t>VASSOURA MACIA 60CM S/CABO VERMELHA 1X1</t>
  </si>
  <si>
    <t>C9067</t>
  </si>
  <si>
    <t>C9067E</t>
  </si>
  <si>
    <t>C9068</t>
  </si>
  <si>
    <t>CJ BALDE/ESPREMEDOR 20LT 1X1</t>
  </si>
  <si>
    <t>C9068E</t>
  </si>
  <si>
    <t>CJ BALDE/ESPREMEDOR 20LT - 1X1</t>
  </si>
  <si>
    <t>C9069D</t>
  </si>
  <si>
    <t>VASSOURA PIACA 30 CM C/C 1X12</t>
  </si>
  <si>
    <t>C9069DE</t>
  </si>
  <si>
    <t>VASSOURA PIACA  30 CM  CX C/12 UNID</t>
  </si>
  <si>
    <t>C9070DE</t>
  </si>
  <si>
    <t>C9075</t>
  </si>
  <si>
    <t>C9075E</t>
  </si>
  <si>
    <t>C9076</t>
  </si>
  <si>
    <t>C9077</t>
  </si>
  <si>
    <t>CARRO MULTIFUNCIONAL C/ESPREMEDOR</t>
  </si>
  <si>
    <t>C9078</t>
  </si>
  <si>
    <t>CARRO MULTIF C/ESPREM. ALAVANCA EMBAIXO</t>
  </si>
  <si>
    <t>C9081</t>
  </si>
  <si>
    <t>C9081/1</t>
  </si>
  <si>
    <t>ESPREMEDOR PARA BALDE 9081</t>
  </si>
  <si>
    <t>C9081E</t>
  </si>
  <si>
    <t>C9082</t>
  </si>
  <si>
    <t>BALDE DE UTILIDADES  CINZA   1 X 1</t>
  </si>
  <si>
    <t>C9084</t>
  </si>
  <si>
    <t>BALDE DE UTILIDADES AMARELO 1 X 1</t>
  </si>
  <si>
    <t>C9100</t>
  </si>
  <si>
    <t>LUVA MAGICA LINHA PRO - 1X6</t>
  </si>
  <si>
    <t>C9100E</t>
  </si>
  <si>
    <t>C9102AZ</t>
  </si>
  <si>
    <t>TELA MICTORIO AZUL OCEANO 1X12</t>
  </si>
  <si>
    <t>C9102BR</t>
  </si>
  <si>
    <t>TELA MICTORIO BRANCA EUCALIPTO 1X12</t>
  </si>
  <si>
    <t>C9102LA</t>
  </si>
  <si>
    <t>TELA MICTORIO LILAS LAVANDA 1X12</t>
  </si>
  <si>
    <t>C9102VD</t>
  </si>
  <si>
    <t>C9109PE</t>
  </si>
  <si>
    <t>C9110AM</t>
  </si>
  <si>
    <t>MOP P.DOBRADA 300GR PAVIO BANDA AM 1X12</t>
  </si>
  <si>
    <t>C9110AZ</t>
  </si>
  <si>
    <t>C9110P</t>
  </si>
  <si>
    <t>C9110VD</t>
  </si>
  <si>
    <t>MOP P.DOBRADA 300GR PAVIO BANDA CD 1X12</t>
  </si>
  <si>
    <t>C9110VR</t>
  </si>
  <si>
    <t>MOP P.DOBRADA 300GR PAVIO BANDA VR 1X12</t>
  </si>
  <si>
    <t>C9111</t>
  </si>
  <si>
    <t>C9111AM</t>
  </si>
  <si>
    <t>MOP P.DOBRADA 340GR PAVIO BANDA AM 1X12</t>
  </si>
  <si>
    <t>C9111AZ</t>
  </si>
  <si>
    <t>MOP P.DOBRADA 340GR PAVIO BANDA AZ 1X12</t>
  </si>
  <si>
    <t>C9111P</t>
  </si>
  <si>
    <t>MOP UMIDO P.DOBRADA 390GR PAVIO 1X12</t>
  </si>
  <si>
    <t>C9111VD</t>
  </si>
  <si>
    <t>MOP P.DOBRADA 340GR PAVIO BANDA VD 1X12</t>
  </si>
  <si>
    <t>C9111VR</t>
  </si>
  <si>
    <t>MOP P.DOBRADA 340GR PAVIO BANDA VR 1X12</t>
  </si>
  <si>
    <t>C9112</t>
  </si>
  <si>
    <t>C9112E</t>
  </si>
  <si>
    <t>MOP UMIDO PONTA CORTADA  - 1 X 12</t>
  </si>
  <si>
    <t>C9113</t>
  </si>
  <si>
    <t>C9114</t>
  </si>
  <si>
    <t>C9114AM</t>
  </si>
  <si>
    <t>MOP P.D.300GR PAVIO VERDE BANDA AM 1X12</t>
  </si>
  <si>
    <t>C9114AZ</t>
  </si>
  <si>
    <t>MOP P.D.300GR PAVIO VERDE BANDA AZ 1X12</t>
  </si>
  <si>
    <t>C9114VD</t>
  </si>
  <si>
    <t>MOP P.D.300GR PAVIO VERDE BANDA VD 1X12</t>
  </si>
  <si>
    <t>C9114VR</t>
  </si>
  <si>
    <t>MOP P.D.300GR PAVIO VERDE BANDA VR 1X12</t>
  </si>
  <si>
    <t>C9115</t>
  </si>
  <si>
    <t>C9115AM</t>
  </si>
  <si>
    <t>MOP P.D.340GR PAVIO VERDE BANDA AM 1X12</t>
  </si>
  <si>
    <t>C9115AZ</t>
  </si>
  <si>
    <t>MOP P.D.340GR PAVIO VERDE BANDA AZ 1X12</t>
  </si>
  <si>
    <t>C9115VD</t>
  </si>
  <si>
    <t>MOP P.D.340GR PAVIO VERDE BANDA VD 1X12</t>
  </si>
  <si>
    <t>C9115VR</t>
  </si>
  <si>
    <t>MOP P.D.340GR PAVIO VERDE BANDA VR 1X12</t>
  </si>
  <si>
    <t>C9116PE</t>
  </si>
  <si>
    <t>C9117PE</t>
  </si>
  <si>
    <t>C9135</t>
  </si>
  <si>
    <t>MINI MOP MICROFIBRA TIRAS 1x12</t>
  </si>
  <si>
    <t>C9136</t>
  </si>
  <si>
    <t>C9137TE</t>
  </si>
  <si>
    <t>C9139E</t>
  </si>
  <si>
    <t>ESCOVA P/AZULEJOS E CANTINHOS</t>
  </si>
  <si>
    <t>C9140E</t>
  </si>
  <si>
    <t>C9142E</t>
  </si>
  <si>
    <t>ESCOVA ESPANADEIRA VARREMESA - 1 X 12</t>
  </si>
  <si>
    <t>C9143E</t>
  </si>
  <si>
    <t>C9144E</t>
  </si>
  <si>
    <t>C9145</t>
  </si>
  <si>
    <t>ESCOVA MULTIUSO CABO LONGO - 1X12</t>
  </si>
  <si>
    <t>C9145E</t>
  </si>
  <si>
    <t>C9146E</t>
  </si>
  <si>
    <t>C9147</t>
  </si>
  <si>
    <t>ESCOVA PURPIC COM POTE 1X12</t>
  </si>
  <si>
    <t>C9148</t>
  </si>
  <si>
    <t>ESCOVA MULTIUSO - 1X12</t>
  </si>
  <si>
    <t>C9148AZ</t>
  </si>
  <si>
    <t>ESCOVA MULTIUSO AZUL - 1X12</t>
  </si>
  <si>
    <t>C9148E</t>
  </si>
  <si>
    <t>C9152E</t>
  </si>
  <si>
    <t>C9154E</t>
  </si>
  <si>
    <t>C9160</t>
  </si>
  <si>
    <t>C9160E</t>
  </si>
  <si>
    <t>C9160RD</t>
  </si>
  <si>
    <t>RODA DIANTEIRA CARRO MULTIFUNCIONAL</t>
  </si>
  <si>
    <t>C9160RT</t>
  </si>
  <si>
    <t>RODA TRASEIRA CARRO MULTIFUNCIONAL</t>
  </si>
  <si>
    <t>C9160SC</t>
  </si>
  <si>
    <t>BOLSA DE VINIL CARRO FUNCIONAL - 1X3</t>
  </si>
  <si>
    <t>C9160SCE</t>
  </si>
  <si>
    <t>C9160TP</t>
  </si>
  <si>
    <t>TAMPA PLASTICA CARRO FUNCIONAL - 1X1</t>
  </si>
  <si>
    <t>C9170</t>
  </si>
  <si>
    <t>C9170E</t>
  </si>
  <si>
    <t>C9197</t>
  </si>
  <si>
    <t>C9198</t>
  </si>
  <si>
    <t>SUPORTE MOP PO 60 - 1X12</t>
  </si>
  <si>
    <t>C9199</t>
  </si>
  <si>
    <t>C9199E</t>
  </si>
  <si>
    <t>C9200</t>
  </si>
  <si>
    <t>C9201</t>
  </si>
  <si>
    <t>C9204</t>
  </si>
  <si>
    <t>C9204E</t>
  </si>
  <si>
    <t>C9206</t>
  </si>
  <si>
    <t>C9206E</t>
  </si>
  <si>
    <t>C9208</t>
  </si>
  <si>
    <t>C9208E</t>
  </si>
  <si>
    <t>C9210</t>
  </si>
  <si>
    <t>MOP PO ALGODAO NATURAL 80CM 1X12</t>
  </si>
  <si>
    <t>C9210E</t>
  </si>
  <si>
    <t>C9212</t>
  </si>
  <si>
    <t>C9214</t>
  </si>
  <si>
    <t>ARMACAO METALICA P/MOP PO 40CM 1X6</t>
  </si>
  <si>
    <t>C9215</t>
  </si>
  <si>
    <t>C9215E</t>
  </si>
  <si>
    <t>C9216</t>
  </si>
  <si>
    <t>ARMACAO METALICA P/MOP PO 80CM 1X6</t>
  </si>
  <si>
    <t>C9216E</t>
  </si>
  <si>
    <t>C9224</t>
  </si>
  <si>
    <t>SUPORTE PLAST. P/MOP UMIDO 1X6</t>
  </si>
  <si>
    <t>C9224E</t>
  </si>
  <si>
    <t>C9225</t>
  </si>
  <si>
    <t>C9226</t>
  </si>
  <si>
    <t>C9230E</t>
  </si>
  <si>
    <t>C9231</t>
  </si>
  <si>
    <t>BALDE PLAST. 28LTS C/RODIZIO - 1X1</t>
  </si>
  <si>
    <t>C9233</t>
  </si>
  <si>
    <t>C9237</t>
  </si>
  <si>
    <t>C9238</t>
  </si>
  <si>
    <t>PRENSA PLASTICA P/BALDE 1X1</t>
  </si>
  <si>
    <t>C9241</t>
  </si>
  <si>
    <t>C9244B</t>
  </si>
  <si>
    <t>PLACA SINALIZ - BANHEIRO FECHADO - 1X3</t>
  </si>
  <si>
    <t>C9245B</t>
  </si>
  <si>
    <t>C9245BE</t>
  </si>
  <si>
    <t>C9246B</t>
  </si>
  <si>
    <t>C9247B</t>
  </si>
  <si>
    <t>PLACA SINALIZ - EM MANUTENCAO - 1X3</t>
  </si>
  <si>
    <t>C9248B</t>
  </si>
  <si>
    <t>C9248BE</t>
  </si>
  <si>
    <t>C9249B</t>
  </si>
  <si>
    <t>PLACA SINALIZACAO EM BRANCO - 1X3</t>
  </si>
  <si>
    <t>C9253CE</t>
  </si>
  <si>
    <t>C9254C</t>
  </si>
  <si>
    <t>C9254CE</t>
  </si>
  <si>
    <t>C9255DE</t>
  </si>
  <si>
    <t>C9256</t>
  </si>
  <si>
    <t>C9256AM</t>
  </si>
  <si>
    <t>C9256AME</t>
  </si>
  <si>
    <t>C9256AZ</t>
  </si>
  <si>
    <t>C9256AZE</t>
  </si>
  <si>
    <t>C9256VD</t>
  </si>
  <si>
    <t>C9256VDE</t>
  </si>
  <si>
    <t>C9256VR</t>
  </si>
  <si>
    <t>C9256VRE</t>
  </si>
  <si>
    <t>C9257</t>
  </si>
  <si>
    <t>C9257AM</t>
  </si>
  <si>
    <t>C9257AME</t>
  </si>
  <si>
    <t>C9257AZ</t>
  </si>
  <si>
    <t>C9257VD</t>
  </si>
  <si>
    <t>C9257VDE</t>
  </si>
  <si>
    <t>C9257VR</t>
  </si>
  <si>
    <t>C9258</t>
  </si>
  <si>
    <t>C9259</t>
  </si>
  <si>
    <t>LIXEIRA PLASTICA 103L S/RODIZIOS 1X3</t>
  </si>
  <si>
    <t>C9260E</t>
  </si>
  <si>
    <t>C9268B</t>
  </si>
  <si>
    <t>C9269B</t>
  </si>
  <si>
    <t>C9272</t>
  </si>
  <si>
    <t>C9272E</t>
  </si>
  <si>
    <t>C9277C</t>
  </si>
  <si>
    <t>SUPERPRO BALDE PLAST. ANTI-CHAMA 8L 2X1</t>
  </si>
  <si>
    <t>C9277P</t>
  </si>
  <si>
    <t>C9279</t>
  </si>
  <si>
    <t>C9279E</t>
  </si>
  <si>
    <t>C9300</t>
  </si>
  <si>
    <t>MOP SEKITO 1X6</t>
  </si>
  <si>
    <t>C9300F</t>
  </si>
  <si>
    <t>MOP SEKITO 1X6 CABO FIXO</t>
  </si>
  <si>
    <t>C9300R</t>
  </si>
  <si>
    <t>MOP SEKITO REFIL 1X6</t>
  </si>
  <si>
    <t>C9301</t>
  </si>
  <si>
    <t>C9301E</t>
  </si>
  <si>
    <t>C9302</t>
  </si>
  <si>
    <t>C9307P</t>
  </si>
  <si>
    <t>ROLO MULTIUSO BRANCO 65GR 300X33CM</t>
  </si>
  <si>
    <t>C9308P</t>
  </si>
  <si>
    <t>C9308PE</t>
  </si>
  <si>
    <t>C9309P</t>
  </si>
  <si>
    <t>ROLO MULT.AZUL 45GR 300M X 0,33M PIC</t>
  </si>
  <si>
    <t>C9310</t>
  </si>
  <si>
    <t>C9310P</t>
  </si>
  <si>
    <t>ROLO MULT.BRANCO 45GR 300M X0,33M PIC.</t>
  </si>
  <si>
    <t>C931130P</t>
  </si>
  <si>
    <t>ROLO MULT.LARANJA 45GR 30MX0,33M C/PIC.</t>
  </si>
  <si>
    <t>C9311P</t>
  </si>
  <si>
    <t>ROLO MULTIUSO LARANJA 45GR 300MX33CM P</t>
  </si>
  <si>
    <t>C9311PE</t>
  </si>
  <si>
    <t>C931230P</t>
  </si>
  <si>
    <t>ROLO MULTIUSO VERDE 45GR 30MX33CM C/P</t>
  </si>
  <si>
    <t>C9312P</t>
  </si>
  <si>
    <t>ROLO MULTIUSO VERDE 45GR 300MX33CM P</t>
  </si>
  <si>
    <t>C9312PE</t>
  </si>
  <si>
    <t>C9313P</t>
  </si>
  <si>
    <t>ROLO MULTIUSO VERDE 65GR 300MX0,33M PIC.</t>
  </si>
  <si>
    <t>C9313PE</t>
  </si>
  <si>
    <t>ROLO MULTIUSO VERDE 65GR 300MX33CM C/PIC</t>
  </si>
  <si>
    <t>C9314</t>
  </si>
  <si>
    <t>C9314P</t>
  </si>
  <si>
    <t>ROLO MULT.BRANCO 40GR 300MX0,33M PIC</t>
  </si>
  <si>
    <t>C9315</t>
  </si>
  <si>
    <t>C9315E</t>
  </si>
  <si>
    <t>C9315P</t>
  </si>
  <si>
    <t>ROLO MULTIUSO AZUL 40GR 300MX0,33M PIC</t>
  </si>
  <si>
    <t>C9316P</t>
  </si>
  <si>
    <t>ROLO MULTIUSO VERDE 300M X 33CM C/PICOTE</t>
  </si>
  <si>
    <t>C9317P</t>
  </si>
  <si>
    <t>ROLO MULTIUSO LARANJA 300MX33CM C/PICOTE</t>
  </si>
  <si>
    <t>C9318P</t>
  </si>
  <si>
    <t>ROLO MULTIUSO VERDE 40GR 300X22CM PICOT.</t>
  </si>
  <si>
    <t>C9319P</t>
  </si>
  <si>
    <t>ROLO MULTIUSO LARANJA 40GR 300X22CM P</t>
  </si>
  <si>
    <t>C9320AZ</t>
  </si>
  <si>
    <t>LIXEIRA PLASTICA S/ PEDAL 120L - AZUL</t>
  </si>
  <si>
    <t>C9320LR</t>
  </si>
  <si>
    <t>C9320LRE</t>
  </si>
  <si>
    <t>C9320TAZ</t>
  </si>
  <si>
    <t>TAMPA LIXEIRA  120L AZUL</t>
  </si>
  <si>
    <t>C9320TLR</t>
  </si>
  <si>
    <t>TAMPA LIXEIRA  120L LARANJA</t>
  </si>
  <si>
    <t>C9321AZ</t>
  </si>
  <si>
    <t>LIXEIRA PLASTICA S/ PEDAL 240L - AZUL</t>
  </si>
  <si>
    <t>C9321LR</t>
  </si>
  <si>
    <t>C9321TAZ</t>
  </si>
  <si>
    <t>TAMPA LIXEIRA  240L AZUL</t>
  </si>
  <si>
    <t>C9321TLR</t>
  </si>
  <si>
    <t>TAMPA LIXEIRA  240L LARANJA</t>
  </si>
  <si>
    <t>C93230PE</t>
  </si>
  <si>
    <t>C9324</t>
  </si>
  <si>
    <t>LIXEIRA COM RODINHAS 120L  1 X 1</t>
  </si>
  <si>
    <t>C9348</t>
  </si>
  <si>
    <t>C9349</t>
  </si>
  <si>
    <t>LIXEIRA COM PEDAL PEQUENA 6,6 L - 1 X 6</t>
  </si>
  <si>
    <t>C9350</t>
  </si>
  <si>
    <t>LIXEIRA RETA BASCULANTE MEDIA 8,8L-1X6</t>
  </si>
  <si>
    <t>C9351</t>
  </si>
  <si>
    <t>LIXEIRA COM PEDAL 13.50 L - 1X6</t>
  </si>
  <si>
    <t>C9352</t>
  </si>
  <si>
    <t>C9353</t>
  </si>
  <si>
    <t>C9354</t>
  </si>
  <si>
    <t>C9355</t>
  </si>
  <si>
    <t>C9356</t>
  </si>
  <si>
    <t>LIXEIRA PLASTICA C/ PEDAL - 36 LITROS</t>
  </si>
  <si>
    <t>C9356B</t>
  </si>
  <si>
    <t>LIXEIRA PLASTICA C/ PEDAL BRANCA - 36LTS</t>
  </si>
  <si>
    <t>C9357</t>
  </si>
  <si>
    <t>LIXEIRA PLASTICA C/ PEDAL - 72 LITROS</t>
  </si>
  <si>
    <t>C9357B</t>
  </si>
  <si>
    <t>LIXEIRA PLASTICA C/ PEDAL BRANCA - 72LTS</t>
  </si>
  <si>
    <t>C9358AM</t>
  </si>
  <si>
    <t>LIXEIRA PLASTICA C/ PEDAL 120L - AMARELA</t>
  </si>
  <si>
    <t>C9358AME</t>
  </si>
  <si>
    <t>C9358AZ</t>
  </si>
  <si>
    <t>C9358AZE</t>
  </si>
  <si>
    <t>C9358BR</t>
  </si>
  <si>
    <t>LIXEIRA PLASTICA C/ PEDAL 120L - BRANCA</t>
  </si>
  <si>
    <t>C9358CZ</t>
  </si>
  <si>
    <t>C9358CZE</t>
  </si>
  <si>
    <t>C9358TAM</t>
  </si>
  <si>
    <t>TAMPA LIXEIRA  120L AMARELA</t>
  </si>
  <si>
    <t>C9358TAZ</t>
  </si>
  <si>
    <t>C9358TCZ</t>
  </si>
  <si>
    <t>TAMPA LIXEIRA  120L CINZA</t>
  </si>
  <si>
    <t>C9358TVD</t>
  </si>
  <si>
    <t>TAMPA LIXEIRA  120L VERDE</t>
  </si>
  <si>
    <t>C9358TVR</t>
  </si>
  <si>
    <t>TAMPA LIXEIRA  120L VERMELHO</t>
  </si>
  <si>
    <t>C9358VD</t>
  </si>
  <si>
    <t>C9358VDE</t>
  </si>
  <si>
    <t>C9358VR</t>
  </si>
  <si>
    <t>LIXEIRA PLASTICA C/PEDAL 120L-VERMELHA</t>
  </si>
  <si>
    <t>C9358VRE</t>
  </si>
  <si>
    <t>C9359AM</t>
  </si>
  <si>
    <t>LIXEIRA PLASTICA C/ PEDAL 240L - AMARELA</t>
  </si>
  <si>
    <t>C9359AME</t>
  </si>
  <si>
    <t>C9359AZ</t>
  </si>
  <si>
    <t>LIXEIRA PLASTICA C/ PEDAL 240L - AZUL</t>
  </si>
  <si>
    <t>C9359BR</t>
  </si>
  <si>
    <t>LIXEIRA PLASTICA C/PEDAL 240L-BRANCA</t>
  </si>
  <si>
    <t>C9359CZ</t>
  </si>
  <si>
    <t>C9359CZE</t>
  </si>
  <si>
    <t>C9359TAM</t>
  </si>
  <si>
    <t>TAMPA LIXEIRA  240L AMARELA</t>
  </si>
  <si>
    <t>C9359TAZ</t>
  </si>
  <si>
    <t>C9359TCZ</t>
  </si>
  <si>
    <t>TAMPA LIXEIRA  240L CINZA</t>
  </si>
  <si>
    <t>C9359TVD</t>
  </si>
  <si>
    <t>TAMPA LIXEIRA  240L VERDE</t>
  </si>
  <si>
    <t>C9359TVR</t>
  </si>
  <si>
    <t>TAMPA LIXEIRA  240L VERMELHO</t>
  </si>
  <si>
    <t>C9359VD</t>
  </si>
  <si>
    <t>C9359VDE</t>
  </si>
  <si>
    <t>C9359VR</t>
  </si>
  <si>
    <t>LIXEIRA PLASTICA C/PEDAL 240L-VERMELHA</t>
  </si>
  <si>
    <t>C9359VRE</t>
  </si>
  <si>
    <t>C9360</t>
  </si>
  <si>
    <t>BALDE DUPLO C/ESCORREDOR 15LT 1X1</t>
  </si>
  <si>
    <t>C9401E</t>
  </si>
  <si>
    <t>C9402</t>
  </si>
  <si>
    <t>C9402E</t>
  </si>
  <si>
    <t>ESPONJA TEFLON DUPLA FACE 9402E</t>
  </si>
  <si>
    <t>C9403E</t>
  </si>
  <si>
    <t>C9404E</t>
  </si>
  <si>
    <t>C9405/5</t>
  </si>
  <si>
    <t>ESPONJAO DUPLA FACE ESFREBOM 20X5</t>
  </si>
  <si>
    <t>C9405E</t>
  </si>
  <si>
    <t>ESPONJAO DUPLA FACE 9405E</t>
  </si>
  <si>
    <t>C9406FE</t>
  </si>
  <si>
    <t>ESPONJA DUPLA FACE BRILHUS - 1X10X12</t>
  </si>
  <si>
    <t>C9406P</t>
  </si>
  <si>
    <t>C9409E</t>
  </si>
  <si>
    <t>C9410E</t>
  </si>
  <si>
    <t>C9412</t>
  </si>
  <si>
    <t>C9414</t>
  </si>
  <si>
    <t>ESPONJAO DUPLA FACE 245X90X20</t>
  </si>
  <si>
    <t>C9415</t>
  </si>
  <si>
    <t>C9419</t>
  </si>
  <si>
    <t>ESPONJAO COM MANTA BRANCA</t>
  </si>
  <si>
    <t>C9421</t>
  </si>
  <si>
    <t>C9422E</t>
  </si>
  <si>
    <t>C9450</t>
  </si>
  <si>
    <t>C94502</t>
  </si>
  <si>
    <t>C9452</t>
  </si>
  <si>
    <t>C9453</t>
  </si>
  <si>
    <t>FIBRA LIMPEZA PESADA TIPO ATLAS</t>
  </si>
  <si>
    <t>C9456</t>
  </si>
  <si>
    <t>MANTA ESFREBOM 456 RECUPERADA</t>
  </si>
  <si>
    <t>C94563</t>
  </si>
  <si>
    <t>C94572</t>
  </si>
  <si>
    <t>C9458</t>
  </si>
  <si>
    <t>C945910</t>
  </si>
  <si>
    <t>C94592</t>
  </si>
  <si>
    <t>C9460</t>
  </si>
  <si>
    <t>MANTA ABRASIVA INDL - ASF GRAO400</t>
  </si>
  <si>
    <t>C9461</t>
  </si>
  <si>
    <t>C9462</t>
  </si>
  <si>
    <t>MANTA ABRASIVA INDL - AM</t>
  </si>
  <si>
    <t>C9463</t>
  </si>
  <si>
    <t>C9464</t>
  </si>
  <si>
    <t>C9465</t>
  </si>
  <si>
    <t>FIBRA AZUL 25 MM X 50 M</t>
  </si>
  <si>
    <t>C94662</t>
  </si>
  <si>
    <t>C9471</t>
  </si>
  <si>
    <t>C9471/5</t>
  </si>
  <si>
    <t>C9500/5</t>
  </si>
  <si>
    <t>FIBRA LIMP. BETTACO 40X5</t>
  </si>
  <si>
    <t>C950010</t>
  </si>
  <si>
    <t>C950011E</t>
  </si>
  <si>
    <t>C9500E</t>
  </si>
  <si>
    <t>C9501</t>
  </si>
  <si>
    <t>C9501E</t>
  </si>
  <si>
    <t>FIBRA VERDE LIMPEZA GERAL - 1 X 100</t>
  </si>
  <si>
    <t>C9502/5</t>
  </si>
  <si>
    <t>FIBRA LIMPEZA USO GERAL - 20X5</t>
  </si>
  <si>
    <t>C950210</t>
  </si>
  <si>
    <t>C950210E</t>
  </si>
  <si>
    <t>C9502E</t>
  </si>
  <si>
    <t>C9503</t>
  </si>
  <si>
    <t>C9503E</t>
  </si>
  <si>
    <t>C9504/3</t>
  </si>
  <si>
    <t>FIBRA LIMPEZA LEVE EMB C/3 1X40</t>
  </si>
  <si>
    <t>FIBRA LIMP USO LEVE 102X260/2 1X5x20</t>
  </si>
  <si>
    <t>C9504E</t>
  </si>
  <si>
    <t>C9505E</t>
  </si>
  <si>
    <t>C950610</t>
  </si>
  <si>
    <t>FIBRA LIMPEZA PESADA EM ROLO 134MMX10M</t>
  </si>
  <si>
    <t>C95062</t>
  </si>
  <si>
    <t>C9509E</t>
  </si>
  <si>
    <t>C9513E</t>
  </si>
  <si>
    <t>FIBRA LIMP. SUPER FINA 102X260 - 1X10X10</t>
  </si>
  <si>
    <t>C9514</t>
  </si>
  <si>
    <t>FIBRA SUPER FINA CINZA SF 280X230-1X100</t>
  </si>
  <si>
    <t>C9515PR</t>
  </si>
  <si>
    <t>SUPORTE MANUAL P/BETTACO 1X10 PROMOC.</t>
  </si>
  <si>
    <t>C9516BR</t>
  </si>
  <si>
    <t>C9516BRE</t>
  </si>
  <si>
    <t>C9516PR</t>
  </si>
  <si>
    <t>SUP. P/FIBRA ABRASIVA BT/LT 1X10 PROMO.</t>
  </si>
  <si>
    <t>C9522FRE</t>
  </si>
  <si>
    <t>C9601</t>
  </si>
  <si>
    <t>SACO PLASTICO P/ LIXO 60L 1X5X100</t>
  </si>
  <si>
    <t>C9602</t>
  </si>
  <si>
    <t>C9630E</t>
  </si>
  <si>
    <t>DISCO REMOVEDOR PRETO 300 MM - 1 X 20</t>
  </si>
  <si>
    <t>C9641E</t>
  </si>
  <si>
    <t>C9644E</t>
  </si>
  <si>
    <t>C9673CE</t>
  </si>
  <si>
    <t>C9684E</t>
  </si>
  <si>
    <t>C9685</t>
  </si>
  <si>
    <t>VASSOURA SUPER BOLA C/CABO 1X8</t>
  </si>
  <si>
    <t>C9685E</t>
  </si>
  <si>
    <t>C9700</t>
  </si>
  <si>
    <t>SUPORTE PARA PAPEL HIGIENICO - 1 X 6</t>
  </si>
  <si>
    <t>C9700E</t>
  </si>
  <si>
    <t>C9701</t>
  </si>
  <si>
    <t>SUPORTE PARA PAPEL TOALHA - 1 X 6</t>
  </si>
  <si>
    <t>C9701E</t>
  </si>
  <si>
    <t>C9702</t>
  </si>
  <si>
    <t>SUPORTE PARA SABONETE LIQUIDO-1 X 14</t>
  </si>
  <si>
    <t>C9702E</t>
  </si>
  <si>
    <t>C9702R</t>
  </si>
  <si>
    <t>RESERVATORIO SABONETE LIQUIDO - 1X24</t>
  </si>
  <si>
    <t>C9702RE</t>
  </si>
  <si>
    <t>C9703</t>
  </si>
  <si>
    <t>C9703E</t>
  </si>
  <si>
    <t>C9730</t>
  </si>
  <si>
    <t>DISCO POLIDOR MARROM 300MM 1X20</t>
  </si>
  <si>
    <t>C9830E</t>
  </si>
  <si>
    <t>C9841E</t>
  </si>
  <si>
    <t>C9844E</t>
  </si>
  <si>
    <t>C9846</t>
  </si>
  <si>
    <t>C9915</t>
  </si>
  <si>
    <t>DISCO LUSTRADOR BRANCO 150MM 1X40</t>
  </si>
  <si>
    <t>C9930</t>
  </si>
  <si>
    <t>DISCO LUSTRADOR BRANCO 300 MM -1 X 20</t>
  </si>
  <si>
    <t>C9941E</t>
  </si>
  <si>
    <t>C9944E</t>
  </si>
  <si>
    <t>DISCO LUSTRADOR BRANCO 440 MM - 1 X 20</t>
  </si>
  <si>
    <t>C9951E</t>
  </si>
  <si>
    <t>LUSTRADOR BRANCO 510 MM - 1 X 20</t>
  </si>
  <si>
    <t>C9998</t>
  </si>
  <si>
    <t>CSP15000</t>
  </si>
  <si>
    <t>DETERGENTE HIG PRO 1X2X5LTS</t>
  </si>
  <si>
    <t>CSP15100</t>
  </si>
  <si>
    <t>CSP15110</t>
  </si>
  <si>
    <t>REMOVEDOR PLUS LIMP PRO PLUS 1X2X5LTS</t>
  </si>
  <si>
    <t>CSP15200</t>
  </si>
  <si>
    <t>SELADOR PRO BRILHO 1X2X5LTS</t>
  </si>
  <si>
    <t>CSP15210</t>
  </si>
  <si>
    <t>SELADOR PRO BRILHO RUA 1X2X5LTS</t>
  </si>
  <si>
    <t>CSP15300</t>
  </si>
  <si>
    <t>CERA ACRILICA LUMI PRO 1X2X5LTS</t>
  </si>
  <si>
    <t>CSP15310</t>
  </si>
  <si>
    <t>CERA ACR.LUMI PRO HIGH SPEED 1X2X5LTS</t>
  </si>
  <si>
    <t>CSP15320</t>
  </si>
  <si>
    <t>CERA ALTO TRANSITO SUPER BRILHO 1X2X5LTS</t>
  </si>
  <si>
    <t>CSP15330</t>
  </si>
  <si>
    <t>RESTAURADOR DE BRILHO PRO REST. 1X2X5LTS</t>
  </si>
  <si>
    <t>CSP8010</t>
  </si>
  <si>
    <t>BISNAGA PARA CONDIMENTOS</t>
  </si>
  <si>
    <t>CSP8042</t>
  </si>
  <si>
    <t>SABAO BRILHUS POTE 1 KG  1X12</t>
  </si>
  <si>
    <t>CSP9101</t>
  </si>
  <si>
    <t>PANO SEK MICROFIBRAS BANHEIRO -1X24</t>
  </si>
  <si>
    <t>CSP9108</t>
  </si>
  <si>
    <t>BASTAO SANITARIO SUPERPRO</t>
  </si>
  <si>
    <t>CSP9110P</t>
  </si>
  <si>
    <t>MOP UMIDO P/DOBRADA 300GR FIO PAVIO 1X12</t>
  </si>
  <si>
    <t>CSP9111P</t>
  </si>
  <si>
    <t>MOP UMIDO P/DOBRADA 340GR FIO PAVIO 1X12</t>
  </si>
  <si>
    <t>CSP9114P</t>
  </si>
  <si>
    <t>MOP UNIDO P/DOBRADA 300GR F/CORDAO 1X12</t>
  </si>
  <si>
    <t>CSP9115P</t>
  </si>
  <si>
    <t>MOP UMIDO P/DOBRADA 340GR F/CORDAO 1X12</t>
  </si>
  <si>
    <t>CSP9127P</t>
  </si>
  <si>
    <t>REFIL MINI MOP P/DOBRADA 220GR 1X12</t>
  </si>
  <si>
    <t>CSP9128P</t>
  </si>
  <si>
    <t>REFIL MINI MOP P/DOBRADA 260GR 1X12</t>
  </si>
  <si>
    <t>CSP9330</t>
  </si>
  <si>
    <t>SUPORTE PARA ROLO 45G 30 METROS 1X1</t>
  </si>
  <si>
    <t>CSP9345</t>
  </si>
  <si>
    <t>SUPORTE PARA ROLO 45G 300 METROS  1X1</t>
  </si>
  <si>
    <t>CSP9365</t>
  </si>
  <si>
    <t>SUPORTE PARA ROLO 65G 300 METROS 1X1</t>
  </si>
  <si>
    <t>CSP9467</t>
  </si>
  <si>
    <t>FIBRA MF VERMELHA 100X290-1X100</t>
  </si>
  <si>
    <t>DSP9702R</t>
  </si>
  <si>
    <t>RESERVATORIO PLASTICO SUPER PRO</t>
  </si>
  <si>
    <t>ID350MR</t>
  </si>
  <si>
    <t>BETTECH DISCO MARROM 350MM 1x10</t>
  </si>
  <si>
    <t>ID440BR</t>
  </si>
  <si>
    <t>BETTECH DISCO BRANCO 440MM 1X10​</t>
  </si>
  <si>
    <t>ID440MR</t>
  </si>
  <si>
    <t>BETTECH DISCO MARROM 440MM 1x10</t>
  </si>
  <si>
    <t>ID440PT</t>
  </si>
  <si>
    <t>DISCO REMOVEDOR PRETO 440MM</t>
  </si>
  <si>
    <t>ID440VM</t>
  </si>
  <si>
    <t>BETTECH DISCO VERMELHO 440MM 1x10</t>
  </si>
  <si>
    <t>ID510MR</t>
  </si>
  <si>
    <t>BETTECH DISCO MARROM 510MM 1x10</t>
  </si>
  <si>
    <t>IF1324P</t>
  </si>
  <si>
    <t>FOLHA LIMPEZA PESADA 130X240MM</t>
  </si>
  <si>
    <t>IF2227AMFX</t>
  </si>
  <si>
    <t>FOLHA AMFX VERMELHA</t>
  </si>
  <si>
    <t>IR920AMFX</t>
  </si>
  <si>
    <t>BETTECH MANTA ABRASIVA AMFX 920MM 1X1</t>
  </si>
  <si>
    <t>IR920F</t>
  </si>
  <si>
    <t>ROLO FIBRA FRIGORIFICO</t>
  </si>
  <si>
    <t>IR920MBR</t>
  </si>
  <si>
    <t>ROLO MANTA BRANCA ESPONJA</t>
  </si>
  <si>
    <t>OR98110</t>
  </si>
  <si>
    <t>LIXEIRA FERRO REDONDA PRETA 12,5L</t>
  </si>
  <si>
    <t>OR98111</t>
  </si>
  <si>
    <t>LIXEIRA FERRO REDONDA PRATA 12,5L</t>
  </si>
  <si>
    <t>OR98411</t>
  </si>
  <si>
    <t>LIXEIRA FERRO QUADRADA PRATA 16,5L</t>
  </si>
  <si>
    <t>PR1016-2</t>
  </si>
  <si>
    <t>LIXEIRA RETANGULAR 6L C/ PEDAL PLAST BR</t>
  </si>
  <si>
    <t>PR1016-20</t>
  </si>
  <si>
    <t>LIXEIRA RETANGULAR 6L PLASTICO VR</t>
  </si>
  <si>
    <t>PR1016-5</t>
  </si>
  <si>
    <t>LIXEIRA RETANGULAR 6L C/ PEDAL PLAST CZ</t>
  </si>
  <si>
    <t>PR1016-6</t>
  </si>
  <si>
    <t>LIXEIRA RETANGULAR 6L C/ PEDAL PLAST BG</t>
  </si>
  <si>
    <t>PR1016-8</t>
  </si>
  <si>
    <t>LIXEIRA RETANGULAR 6L C/ PEDAL PLAST PR</t>
  </si>
  <si>
    <t>PR2621-2</t>
  </si>
  <si>
    <t>ESTRADO BANHO 54X42CM PLASTICO BR</t>
  </si>
  <si>
    <t>PR3031-1</t>
  </si>
  <si>
    <t>CANT DE VIDRO 6MM 20X20CM HASTE METAL PO</t>
  </si>
  <si>
    <t>PR3032-1</t>
  </si>
  <si>
    <t>PRAT VIDRO 6MM 30X10CM HASTE METAL POLID</t>
  </si>
  <si>
    <t>PR3033-1</t>
  </si>
  <si>
    <t>PRAT VIDRO 6MM 40X10CM HASTE METAL POLID</t>
  </si>
  <si>
    <t>PR6801</t>
  </si>
  <si>
    <t>REGADOR 2L PLASTICO CZ</t>
  </si>
  <si>
    <t>SP11035CA</t>
  </si>
  <si>
    <t>DISCO REST. VERMELHO 35CM SUPERPRO 1X10</t>
  </si>
  <si>
    <t>SP11041CA</t>
  </si>
  <si>
    <t>DISCO REST. VERMELHO 41CM SUPERPRO 1X10</t>
  </si>
  <si>
    <t>SP11044CA</t>
  </si>
  <si>
    <t>DISCO REST. VERMELHO 44CM SUPERPRO 1X10</t>
  </si>
  <si>
    <t>SP11051CA</t>
  </si>
  <si>
    <t>DISCO REST. VERMELHO 51CM SUPERPRO 1X10</t>
  </si>
  <si>
    <t>SP120240</t>
  </si>
  <si>
    <t>MECANISMO ACO PEDAL CONTAINER 660L 1X1</t>
  </si>
  <si>
    <t>SP12035CA</t>
  </si>
  <si>
    <t>DISCO LUSTRADOR CHAMPAGNE DIAM.350MM1X10</t>
  </si>
  <si>
    <t>SP12041CA</t>
  </si>
  <si>
    <t>DISCO LUSTRADOR CHAMPAGNE DIAM.410MM1X10</t>
  </si>
  <si>
    <t>SP12051CA</t>
  </si>
  <si>
    <t>DISCO LUSTRADOR CHAMPAGNE 510 1X10</t>
  </si>
  <si>
    <t>SP13001GS</t>
  </si>
  <si>
    <t>LUVA LATEX S/VERNIZ SLIM G 1X48</t>
  </si>
  <si>
    <t>SP13001MS</t>
  </si>
  <si>
    <t>LUVA LATEX S/VERNIZ SLIM M 1X48</t>
  </si>
  <si>
    <t>SP13001PS</t>
  </si>
  <si>
    <t>LUVA LATEX S/VERNIZ SLIM P 1X48</t>
  </si>
  <si>
    <t>SP13003/4G</t>
  </si>
  <si>
    <t>LUVA PVC SUPERPRO PLUS AM G 1X48</t>
  </si>
  <si>
    <t>SP13003/4M</t>
  </si>
  <si>
    <t>LUVA PVC SUPERPRO PLUS AM M 1X48</t>
  </si>
  <si>
    <t>SP13003/4P</t>
  </si>
  <si>
    <t>LUVA PVC SUPERPRO PLUS AM P 1X48</t>
  </si>
  <si>
    <t>SP13004/G</t>
  </si>
  <si>
    <t>LUVA DESCARTAVEL MULTIUSO G 1X10</t>
  </si>
  <si>
    <t>SP13004/M</t>
  </si>
  <si>
    <t>LUVA DESCARTAVEL MULTIUSO M 1X10</t>
  </si>
  <si>
    <t>SP13004/P</t>
  </si>
  <si>
    <t>LUVA DESCARTAVEL MULTIUSO P 1X10</t>
  </si>
  <si>
    <t>LUVA LATEX PUNHO LONGO G SUPERPRO 1X48​</t>
  </si>
  <si>
    <t>LUVA LATEX PUNHO LONGO M SUPERPRO 1X48​</t>
  </si>
  <si>
    <t>LUVA LATEX PUNHO LONGO P SUPERPRO 1X48​</t>
  </si>
  <si>
    <t>SP13505CA</t>
  </si>
  <si>
    <t>DISCO PELO PORCO DIAM.505MM 1X5</t>
  </si>
  <si>
    <t>SP13685CA</t>
  </si>
  <si>
    <t>DISCO PELO PORCO DIAM.685MM 1X5</t>
  </si>
  <si>
    <t>DETERGENTE HIG PRO 5L SUPERPRO 1X2</t>
  </si>
  <si>
    <t>SP150001</t>
  </si>
  <si>
    <t>REMOVEDOR LIMP PRO 5L SUPERPRO 1X2</t>
  </si>
  <si>
    <t>SP151001</t>
  </si>
  <si>
    <t>SP15110</t>
  </si>
  <si>
    <t>SP151101</t>
  </si>
  <si>
    <t>LIMP PRO PLUS REMOVEDOR AMOSTRA GRATIS</t>
  </si>
  <si>
    <t>SP15200</t>
  </si>
  <si>
    <t>SP152001</t>
  </si>
  <si>
    <t>SELADOR ACRILICO DE BASE AQUOSA PROSEL 1</t>
  </si>
  <si>
    <t>SP15210</t>
  </si>
  <si>
    <t>SP152101</t>
  </si>
  <si>
    <t>PRO RUA SELADOR ACABAMENTO ACRILICO 1X4X</t>
  </si>
  <si>
    <t>SELADOR ACRILICO PROSEL 5L SUPERPRO 1X2</t>
  </si>
  <si>
    <t>SP15260</t>
  </si>
  <si>
    <t>SP15300</t>
  </si>
  <si>
    <t>CERA ACRILICA LUMI PRO 1X2X5LT</t>
  </si>
  <si>
    <t>SP153001</t>
  </si>
  <si>
    <t>LUMIPRO ACABAMENTO ACRILICO 1X4X1LT</t>
  </si>
  <si>
    <t>SP15310</t>
  </si>
  <si>
    <t>CERA ACR LUMI PRO HIGH SPEED 1X2X5LTS</t>
  </si>
  <si>
    <t>SP153101</t>
  </si>
  <si>
    <t>SP15320</t>
  </si>
  <si>
    <t>SP153201</t>
  </si>
  <si>
    <t>ACABAMENTO ACRILICO ALTO TRANSITO LUMI S</t>
  </si>
  <si>
    <t>SP15330</t>
  </si>
  <si>
    <t>SP153301</t>
  </si>
  <si>
    <t>PRORESTAURADOR LIMP E RESTAURADOR DE AC</t>
  </si>
  <si>
    <t>SP15400</t>
  </si>
  <si>
    <t>LIMPA VIDRO PRO 1X3 LTS</t>
  </si>
  <si>
    <t>SP15410</t>
  </si>
  <si>
    <t>SP15430</t>
  </si>
  <si>
    <t>LIMPA VIDRO/INOX 2 EM 1 5L 1X2</t>
  </si>
  <si>
    <t>DESENGORDURANTE PRO 5L SUPERPRO 1X2</t>
  </si>
  <si>
    <t>DETERGENTE DESENGRAXANT 5L SUPERPRO1X2</t>
  </si>
  <si>
    <t>SP15500</t>
  </si>
  <si>
    <t>DESENGORDURANTE PRO 3X1 LTS</t>
  </si>
  <si>
    <t>SP15510</t>
  </si>
  <si>
    <t>SP15520</t>
  </si>
  <si>
    <t>SP15530</t>
  </si>
  <si>
    <t>SP155305</t>
  </si>
  <si>
    <t>SP15540</t>
  </si>
  <si>
    <t>LIMPA PEDRA PRONTO USO 2X5L</t>
  </si>
  <si>
    <t>SP155401</t>
  </si>
  <si>
    <t>SP155403</t>
  </si>
  <si>
    <t>SP15540AG</t>
  </si>
  <si>
    <t>SP15550</t>
  </si>
  <si>
    <t>DESINFETANTE LAVANDA 5L SUPERPRO 1x2</t>
  </si>
  <si>
    <t>SP15560AG</t>
  </si>
  <si>
    <t>SP15561</t>
  </si>
  <si>
    <t>SP15561AG</t>
  </si>
  <si>
    <t>SP15562</t>
  </si>
  <si>
    <t>SP15563</t>
  </si>
  <si>
    <t>DESINFETANTE PROQUAT 2X5L</t>
  </si>
  <si>
    <t>DESINFETANTE EUCALIPTO 5L SUPERPRO 1x2</t>
  </si>
  <si>
    <t>DESINFETANTE PINHO 5L SUPERPRO 1x2</t>
  </si>
  <si>
    <t>SABONETE BACTERICI CAMOMILA SUPERPRO1X2</t>
  </si>
  <si>
    <t>SABONETE BACTERICI ERVA DOCE SUPERPRO1X2</t>
  </si>
  <si>
    <t>SP15602</t>
  </si>
  <si>
    <t>SABONETE BACTERICIDA ESPUMA MACA VD 1X2</t>
  </si>
  <si>
    <t>SABONETE BACTERICI COTTON SUPERPRO1X2</t>
  </si>
  <si>
    <t>SP15603AG</t>
  </si>
  <si>
    <t>SP15604</t>
  </si>
  <si>
    <t>SABONETE BACTERICIDA LIQUIDO MARINE 1X2</t>
  </si>
  <si>
    <t>SP15604AG</t>
  </si>
  <si>
    <t>SABONETE BACTERICIDA SUPERPRO1X2</t>
  </si>
  <si>
    <t>SP15605AG</t>
  </si>
  <si>
    <t>SP15607</t>
  </si>
  <si>
    <t>SABONETE BACTERICIDA LIQUIDO LAVANDA 1X2</t>
  </si>
  <si>
    <t>SP15608</t>
  </si>
  <si>
    <t>SABONETE BACTERIC LIQ CEREJA E AVELA 1X2</t>
  </si>
  <si>
    <t>SP15609</t>
  </si>
  <si>
    <t>SABONETE BACTERICIDA LIQUIDO ACAI 1X2</t>
  </si>
  <si>
    <t>SP15610</t>
  </si>
  <si>
    <t>SABONETE BACTERICIDA LIQUIDO UVA 1X2</t>
  </si>
  <si>
    <t>SP15611</t>
  </si>
  <si>
    <t>SABONETE BACTERIC LIQ FLOR DE MACA 1X2</t>
  </si>
  <si>
    <t>SP15612</t>
  </si>
  <si>
    <t>SABONETE BACTERICIDA ESPUMA 5L 1X2X5</t>
  </si>
  <si>
    <t>SP15620</t>
  </si>
  <si>
    <t>SABONETE EM GEL NEUTRALIZADOR300G 1X12</t>
  </si>
  <si>
    <t>SP15700</t>
  </si>
  <si>
    <t>BIOBACT 150GR 1X12</t>
  </si>
  <si>
    <t>SP15701</t>
  </si>
  <si>
    <t>BIOBACT 500GR 1X6</t>
  </si>
  <si>
    <t>ACABAMENTO ACRIL. LUMIPRO 5L SUPERPRO1X2</t>
  </si>
  <si>
    <t>SP15810</t>
  </si>
  <si>
    <t>SP15820</t>
  </si>
  <si>
    <t>SP15830</t>
  </si>
  <si>
    <t>SP15840</t>
  </si>
  <si>
    <t>SP16000</t>
  </si>
  <si>
    <t>TOALHA INTERFOLHAS 23X20CM CX C/2000 FLS</t>
  </si>
  <si>
    <t>SP16001</t>
  </si>
  <si>
    <t>TOALHA INTERFOLHA 20,3X20CM FD C/1000FL</t>
  </si>
  <si>
    <t>SP16100</t>
  </si>
  <si>
    <t>TOALHA BOBINA P/ALAV.0,20X200MT 1 X 6</t>
  </si>
  <si>
    <t>SP16101</t>
  </si>
  <si>
    <t>TOALHA BOB PUXE CORTE 0,20X200MT 1 x 6</t>
  </si>
  <si>
    <t>SP16200</t>
  </si>
  <si>
    <t>PAPEL HIG 0,10X300MTS 1 x 8</t>
  </si>
  <si>
    <t>SP16201</t>
  </si>
  <si>
    <t>PAPEL HIG F DUPLA 10X19CM CX C/8000FL</t>
  </si>
  <si>
    <t>SP16300</t>
  </si>
  <si>
    <t>GUARDANAPO DISP MESA 10X19CM CXC/4800FLS</t>
  </si>
  <si>
    <t>SP163501</t>
  </si>
  <si>
    <t>CONSERVADORA DE PISO SUPERPRO 350 110V</t>
  </si>
  <si>
    <t>SP16350EC</t>
  </si>
  <si>
    <t>ESCOVA CARPETE 350 1X1</t>
  </si>
  <si>
    <t>SP16350EL</t>
  </si>
  <si>
    <t>ESCOVA DE LAVAGEM 350 1X1</t>
  </si>
  <si>
    <t>SP164102</t>
  </si>
  <si>
    <t>CONSERVADORA DE PISO SUPERPRO 410 220V</t>
  </si>
  <si>
    <t>SP16410EC</t>
  </si>
  <si>
    <t>ESCOVA CARPETE 410 1X1</t>
  </si>
  <si>
    <t>SP17000</t>
  </si>
  <si>
    <t>PANO UMEDECIDO LIMPA VIDRO/INOX 1X9</t>
  </si>
  <si>
    <t>SP17000R</t>
  </si>
  <si>
    <t>REFIL UMEDECIDO LIMPA VIDRO/INOX 1X12</t>
  </si>
  <si>
    <t>SP17005CZ</t>
  </si>
  <si>
    <t>FITA ANTIDERRAPANTE CINZA 0,05X5M 1X12</t>
  </si>
  <si>
    <t>SP17005PR</t>
  </si>
  <si>
    <t>FITA ANTIDERRAPANTE PRETA 0,05X5M 1X12</t>
  </si>
  <si>
    <t>SP17005TR</t>
  </si>
  <si>
    <t>FITA ANTIDERRAPANTE TRANSP 0,05X5M 1X12</t>
  </si>
  <si>
    <t>SP17010CZ</t>
  </si>
  <si>
    <t>FITA ANTIDERRAPANTE CINZA 0,05X10M 1X12</t>
  </si>
  <si>
    <t>SP17010PR</t>
  </si>
  <si>
    <t>FITA ANTIDERRAPANTE PRETA 0,05X10M 1X12</t>
  </si>
  <si>
    <t>SP17010TR</t>
  </si>
  <si>
    <t>FITA ANTIDERRAPANTE TRANSP 0,05X10M 1X12</t>
  </si>
  <si>
    <t>SP17100</t>
  </si>
  <si>
    <t>PANO UMEDECIDO DESINFETANTE MULTIUSO 1X4</t>
  </si>
  <si>
    <t>SP17100R</t>
  </si>
  <si>
    <t>REFIL UMEDECIDO DESINFETANTE MULTIUSO1X6</t>
  </si>
  <si>
    <t>SP17101</t>
  </si>
  <si>
    <t>PANO UMEDECIDO DESENGORDURANTE 1X4</t>
  </si>
  <si>
    <t>SP17101R</t>
  </si>
  <si>
    <t>REFIL PANO UMEDECIDO DESENGORDURANTE 1X6</t>
  </si>
  <si>
    <t>SP17102</t>
  </si>
  <si>
    <t>PANO UMEDECIDO LIMPEZA PESADA 1X4</t>
  </si>
  <si>
    <t>SP17102R</t>
  </si>
  <si>
    <t>REFIL PANO UMEDECIDO LIMPEZA PESADA 1X6</t>
  </si>
  <si>
    <t>SP18020PR</t>
  </si>
  <si>
    <t>SACO LIXO SUPERPRO 20L 1X10X100</t>
  </si>
  <si>
    <t>SP18040PR</t>
  </si>
  <si>
    <t>SACO LIXO PLASTICO SUPERPRO 40L 1X10X100</t>
  </si>
  <si>
    <t>SP18060PR</t>
  </si>
  <si>
    <t>SACO LIXO PLASTICO SUPERPRO 60L 1X10X100</t>
  </si>
  <si>
    <t>SP18100PR</t>
  </si>
  <si>
    <t>SACO LIXO PLASTICO SUPERPRO 100L 1X10X50</t>
  </si>
  <si>
    <t>SP18105PMA</t>
  </si>
  <si>
    <t>SACO LIXO PLAST 105L MD SUPERPRO1X5X100</t>
  </si>
  <si>
    <t>SP18105PR</t>
  </si>
  <si>
    <t>SACO LIXO PLASTICO SUPERPRO 105L 1X10X50</t>
  </si>
  <si>
    <t>SP18105PRA</t>
  </si>
  <si>
    <t>SACO LIXO PLAST 105L RF SUPERPRO1X5X100</t>
  </si>
  <si>
    <t>SP18150PR</t>
  </si>
  <si>
    <t>SACO LIXO PLASTICO SUPERPRO 150L 1X4X50</t>
  </si>
  <si>
    <t>SP18150PRA</t>
  </si>
  <si>
    <t>SACO LIXO PLAST 150L RF SUPERPRO1X4X50</t>
  </si>
  <si>
    <t>SP18150PRM</t>
  </si>
  <si>
    <t>SACO LIXO PLAST 150L MD SUPERPRO1X4X50</t>
  </si>
  <si>
    <t>SP18150PRR</t>
  </si>
  <si>
    <t>SP18200LAN</t>
  </si>
  <si>
    <t>SACO LIXO PLAST 200L LV SUPERPRO1X4X50</t>
  </si>
  <si>
    <t>SP18200MAN</t>
  </si>
  <si>
    <t>SACO LIXO PLAST 200L MD SUPERPRO1X4X50</t>
  </si>
  <si>
    <t>SP18200PR</t>
  </si>
  <si>
    <t>SACO LIXO PLASTICO SUPERPRO 200L 1X1X50​</t>
  </si>
  <si>
    <t>SP18200PRL</t>
  </si>
  <si>
    <t>SACO LIXO PLAST 200L LV SUPERPRO1X1X50</t>
  </si>
  <si>
    <t>SP18200PRM</t>
  </si>
  <si>
    <t>SACO LIXO PLAST 200L MD SUPERPRO1X1X50</t>
  </si>
  <si>
    <t>SP18400</t>
  </si>
  <si>
    <t>ODORIZADOR AMBIENTE JASMIM 400ML 1X12</t>
  </si>
  <si>
    <t>SP18410</t>
  </si>
  <si>
    <t>ODORIZADOR AMBIENTE LAVANDA 400ML 1X12</t>
  </si>
  <si>
    <t>SP18420</t>
  </si>
  <si>
    <t>ODORIZADOR AMB CRAVO CANELA 400ML 1X12</t>
  </si>
  <si>
    <t>SP18430</t>
  </si>
  <si>
    <t>ODORIZADOR AMBIENTE CITRUS 400ML 1X12</t>
  </si>
  <si>
    <t>SP18600</t>
  </si>
  <si>
    <t>NEUTRALIZADOR AMBIENTE 400ML 1X12</t>
  </si>
  <si>
    <t>SP2016AZ</t>
  </si>
  <si>
    <t>ROLO TEC N TEC PROLIMP AZ 160X0,20M 35G</t>
  </si>
  <si>
    <t>SP2016BR</t>
  </si>
  <si>
    <t>ROLO TEC N TEC PROLIMP BR 160X0,20M 35G</t>
  </si>
  <si>
    <t>SP2016LR</t>
  </si>
  <si>
    <t>ROLO TEC N TEC PROLIMP LR 160X0,20M 35G</t>
  </si>
  <si>
    <t>SP2016VD</t>
  </si>
  <si>
    <t>ROLO TEC N TEC PROLIMP VD 160X0,20M 35G</t>
  </si>
  <si>
    <t>SP2024AZ</t>
  </si>
  <si>
    <t>ROLO TECIDO NAO TECIDO AZ 240MX0,20M 35G</t>
  </si>
  <si>
    <t>SP2024BR</t>
  </si>
  <si>
    <t>ROLO TECIDO NAO TECIDO BR 240MX0,20M 35G</t>
  </si>
  <si>
    <t>SP2024LR</t>
  </si>
  <si>
    <t>ROLO TECIDO NAO TECIDO LR 240MX0,20M 35G</t>
  </si>
  <si>
    <t>SP2024VD</t>
  </si>
  <si>
    <t>ROLO TECIDO NAO TECIDO VD 240MX0,20M 35G</t>
  </si>
  <si>
    <t>SP203530AZ</t>
  </si>
  <si>
    <t>ROLO TECIDO NAO TEC AZ 30X0,20M 35G 1X12</t>
  </si>
  <si>
    <t>SP203530BR</t>
  </si>
  <si>
    <t>ROLO TECIDO NAO TEC BR 30X0,20M 35G 1X12</t>
  </si>
  <si>
    <t>SP203530LR</t>
  </si>
  <si>
    <t>ROLO TECIDO NAO TEC LR 30X0,20M 35G 1X12</t>
  </si>
  <si>
    <t>SP203530VD</t>
  </si>
  <si>
    <t>ROLO TECIDO NAO TEC VD 30X0,20M 35G 1X12</t>
  </si>
  <si>
    <t>SP2035AZ</t>
  </si>
  <si>
    <t>ROLO TECIDO NAO TECIDO AZ 300X0,20M 35G</t>
  </si>
  <si>
    <t>SP2035BR</t>
  </si>
  <si>
    <t>ROLO TECIDO NAO TECIDO BR 300X0,20M 35G</t>
  </si>
  <si>
    <t>SP2035LR</t>
  </si>
  <si>
    <t>ROLO TECIDO NAO TECIDO LR 300MX0,20M 35G</t>
  </si>
  <si>
    <t>SP2035VD</t>
  </si>
  <si>
    <t>ROLO TECIDO NAO TECIDO VD 300X0,20M 35G</t>
  </si>
  <si>
    <t>SP2040AZ</t>
  </si>
  <si>
    <t>ROLO TECIDO NAO TECIDO AZ 300MX0,285M</t>
  </si>
  <si>
    <t>SP2040BR</t>
  </si>
  <si>
    <t>ROLO TECIDO NAO TECIDO BR 300MX0,285M​​</t>
  </si>
  <si>
    <t>SP2040LR</t>
  </si>
  <si>
    <t>ROLO TECIDO NAO TECIDO LR 300MX0,285M​</t>
  </si>
  <si>
    <t>SP2040VD</t>
  </si>
  <si>
    <t>ROLO TECIDO NAO TECIDO VD 300MX0,285M​</t>
  </si>
  <si>
    <t>SP204530AZ</t>
  </si>
  <si>
    <t>ROLO TECIDO NAO TEC AZ 30X0,20M 45G 1X12</t>
  </si>
  <si>
    <t>SP204530BR</t>
  </si>
  <si>
    <t>ROLO TECIDO NAO TEC BR 30X0,20M 45G 1X12</t>
  </si>
  <si>
    <t>SP204530LR</t>
  </si>
  <si>
    <t>ROLO TECIDO NAO TEC LR 30X0,20M 45G 1X12</t>
  </si>
  <si>
    <t>SP204530VD</t>
  </si>
  <si>
    <t>ROLO TECIDO NAO TEC VD 30X0,20M 45G 1X12</t>
  </si>
  <si>
    <t>SP2045AZ</t>
  </si>
  <si>
    <t>ROLO TECIDO NAO TECIDO AZ 300X0,20M 45G</t>
  </si>
  <si>
    <t>SP2045BR</t>
  </si>
  <si>
    <t>ROLO TECIDO NAO TECIDO BR 300X0,20M 45G</t>
  </si>
  <si>
    <t>SP2045LR</t>
  </si>
  <si>
    <t>ROLO TECIDO NAO TECIDO LR 300X0,20M 45G</t>
  </si>
  <si>
    <t>SP2045VD</t>
  </si>
  <si>
    <t>ROLO TECIDO NAO TECIDO VD 300X0,20M 45G</t>
  </si>
  <si>
    <t>SP2050AZ</t>
  </si>
  <si>
    <t>ROLO TECIDO NAO TECIDO AZ 300X0,20M 40G</t>
  </si>
  <si>
    <t>SP2050BR</t>
  </si>
  <si>
    <t>ROLO TECIDO NAO TECIDO BR 300X0,20M 40G</t>
  </si>
  <si>
    <t>SP2050LR</t>
  </si>
  <si>
    <t>ROLO TECIDO NAO TECIDO LR 300X0,20M 40G</t>
  </si>
  <si>
    <t>SP2050VD</t>
  </si>
  <si>
    <t>ROLO TECIDO NAO TECIDO VD 300X0,20M 40G</t>
  </si>
  <si>
    <t>SP2080AZ</t>
  </si>
  <si>
    <t>ROLO TEC N TEC PROLIMP AZ 300X0,20M 35G</t>
  </si>
  <si>
    <t>SP2080BR</t>
  </si>
  <si>
    <t>ROLO TEC N TEC PROLIMP BR 300X0,20M 35G</t>
  </si>
  <si>
    <t>SP2080LR</t>
  </si>
  <si>
    <t>ROLO TEC N TEC PROLIMP LR 300X0,20M 35G</t>
  </si>
  <si>
    <t>SP2080VD</t>
  </si>
  <si>
    <t>ROLO TEC N TEC PROLIMP VD 300X0,20M 35G</t>
  </si>
  <si>
    <t>SP252M</t>
  </si>
  <si>
    <t>ESPREMEDOR PLASTICO LEVE 252​</t>
  </si>
  <si>
    <t>SP252MP</t>
  </si>
  <si>
    <t>ESPREMEDOR PLASTICO PESADO 252​MP</t>
  </si>
  <si>
    <t>SP2780AZ</t>
  </si>
  <si>
    <t>ROLO TEC N TEC PROLIMP AZ 300X0,27M 35G</t>
  </si>
  <si>
    <t>SP2840AZ</t>
  </si>
  <si>
    <t>ROLO TECIDO NAO TECIDO AZ 240X0,285M 35G</t>
  </si>
  <si>
    <t>SP2840BR</t>
  </si>
  <si>
    <t>ROLO TECIDO NAO TECIDO BR 240X0,285M 35G</t>
  </si>
  <si>
    <t>SP2840LR</t>
  </si>
  <si>
    <t>ROLO TECIDO NAO TECIDO LR 240X0,285M 35G</t>
  </si>
  <si>
    <t>SP2840VD</t>
  </si>
  <si>
    <t>ROLO TECIDO NAO TECIDO VD 240X0,285M 35G</t>
  </si>
  <si>
    <t>SP3001475</t>
  </si>
  <si>
    <t>JUMBO SD TNT LARANJA 45G 50 VIS/ 50 POL​</t>
  </si>
  <si>
    <t>SP3001476</t>
  </si>
  <si>
    <t>JUMBO SD TNT AZUL 45G 50 VIS/ 50 POL​</t>
  </si>
  <si>
    <t>SP3001477</t>
  </si>
  <si>
    <t>JUMBO SD TNT VERDE 45G 50 VIS/ 50 POL​</t>
  </si>
  <si>
    <t>SP3001479</t>
  </si>
  <si>
    <t>JUMBO SD TNT BRANCO 45G 50 VIS/ 50 POL​</t>
  </si>
  <si>
    <t>SP3002520</t>
  </si>
  <si>
    <t>JUMBO SD TNT LARANJA 35G 50VIS/50POL EC</t>
  </si>
  <si>
    <t>SP3002521</t>
  </si>
  <si>
    <t>JUMBO SD TNT LARANJA 35G 20VIS/80POL EC</t>
  </si>
  <si>
    <t>SP3002524</t>
  </si>
  <si>
    <t>JUMBO SD TNT VERDE 35G 50VIS/50POL EC​</t>
  </si>
  <si>
    <t>SP3002525</t>
  </si>
  <si>
    <t>JUMBO SD TNT VERDE 35G 20VISC/80POL EC</t>
  </si>
  <si>
    <t>SP3002721</t>
  </si>
  <si>
    <t>JUMBO SD TNT BRANCO 35G 50VISC/50POL EC​</t>
  </si>
  <si>
    <t>SP3002722</t>
  </si>
  <si>
    <t>JUMBO SD TNT BRANCO 35G 20VISC/80POL EC</t>
  </si>
  <si>
    <t>SP3002730</t>
  </si>
  <si>
    <t>JUMBO SD TNT AZUL 35G 50VISC/50POL EC​</t>
  </si>
  <si>
    <t>SP3002731</t>
  </si>
  <si>
    <t>JUMBO SD TNT AZUL 35G 20VISC/80POL EC</t>
  </si>
  <si>
    <t>SP3005050</t>
  </si>
  <si>
    <t>JUMBO RL TNT AZUL 35G 10 VP5 / 90 POL</t>
  </si>
  <si>
    <t>SP3005051</t>
  </si>
  <si>
    <t>SP3005052</t>
  </si>
  <si>
    <t>SP3005053</t>
  </si>
  <si>
    <t>SP3007030</t>
  </si>
  <si>
    <t>JUMBO SD TNT BRANCO 60G 75VIS 25POL EC</t>
  </si>
  <si>
    <t>SP30352AZ</t>
  </si>
  <si>
    <t>ROLO TECIDO NAO TECIDO AZ 25MX0,30M 1X12</t>
  </si>
  <si>
    <t>SP30352BR</t>
  </si>
  <si>
    <t>ROLO TECIDO NAO TECIDO BR 25MX0,30X 1X12</t>
  </si>
  <si>
    <t>SP30352LR</t>
  </si>
  <si>
    <t>ROLO TECIDO NAO TECIDO LR 25MX0,30M 1X12</t>
  </si>
  <si>
    <t>SP30352VD</t>
  </si>
  <si>
    <t>ROLO TECIDO NAO TECIDO VD 25MX0,30M 1X12</t>
  </si>
  <si>
    <t>SP303530AZ</t>
  </si>
  <si>
    <t>ROLO TECIDO NAO TECIDO AZ 30X0,30M 1X12</t>
  </si>
  <si>
    <t>SP303530BR</t>
  </si>
  <si>
    <t>ROLO TECIDO NAO TECIDO BR 30X0,30M 1X12</t>
  </si>
  <si>
    <t>SP303530CZ</t>
  </si>
  <si>
    <t>ROLO TECIDO NAO TECIDO CZ 30X0,30M 1X12</t>
  </si>
  <si>
    <t>SP303530LR</t>
  </si>
  <si>
    <t>ROLO TECIDO NAO TECIDO LR 30MX0,30M 1X12</t>
  </si>
  <si>
    <t>SP303530VD</t>
  </si>
  <si>
    <t>ROLO TECIDO NAO TECIDO VD 30MX0,30M 1X12</t>
  </si>
  <si>
    <t>SP3035AZ</t>
  </si>
  <si>
    <t>ROLO TECIDO NAO TECIDO AZ 300X0,30M</t>
  </si>
  <si>
    <t>SP3035BR</t>
  </si>
  <si>
    <t>ROLO TECIDO NAO TECIDO BR 300X0,30M</t>
  </si>
  <si>
    <t>SP3035CZ</t>
  </si>
  <si>
    <t>ROLO TECIDO NAO TECIDO CZ 300X0,30M 1X1</t>
  </si>
  <si>
    <t>SP3035LR</t>
  </si>
  <si>
    <t>ROLO TECIDO NAO TECIDO LR 300MX0,30M</t>
  </si>
  <si>
    <t>SP3035VD</t>
  </si>
  <si>
    <t>ROLO TECIDO NAO TECIDO VD 300MX0,30M</t>
  </si>
  <si>
    <t>SP3040AZ</t>
  </si>
  <si>
    <t>ROLO TECIDO NAO TECIDO AZ 300X0,30M 40G</t>
  </si>
  <si>
    <t>SP3040BR</t>
  </si>
  <si>
    <t>ROLO TECIDO NAO TECIDO BR 300X0,30M 40G</t>
  </si>
  <si>
    <t>SP3040LR</t>
  </si>
  <si>
    <t>SP3040VD</t>
  </si>
  <si>
    <t>PANO TNT MULTIUSO 35G​ SUPERPRO 1X25</t>
  </si>
  <si>
    <t>SP304501VR</t>
  </si>
  <si>
    <t>TECIDO NAO TECIDO MULTIUSO 1X25</t>
  </si>
  <si>
    <t>SP304502</t>
  </si>
  <si>
    <t>TECIDO NAO TECIDO MULTIUSO 2X120 35G</t>
  </si>
  <si>
    <t>SP304502VR</t>
  </si>
  <si>
    <t>TECIDO NAO TECIDO MULTIUSO 2X120</t>
  </si>
  <si>
    <t>SP304530AZ</t>
  </si>
  <si>
    <t>ROLO TECIDO NAO TEC AZ 30X0,30M 45G 1X12</t>
  </si>
  <si>
    <t>SP304530BR</t>
  </si>
  <si>
    <t>ROLO TECIDO NAO TEC BR 30X0,30M 45G 1X12</t>
  </si>
  <si>
    <t>SP304530LR</t>
  </si>
  <si>
    <t>ROLO TECIDO NAO TEC LR 30X0,30M 45G 1X12</t>
  </si>
  <si>
    <t>SP304530VD</t>
  </si>
  <si>
    <t>ROLO TECIDO NAO TEC VD 30X0,30M 45G 1X12</t>
  </si>
  <si>
    <t>SP3045AZ</t>
  </si>
  <si>
    <t>ROLO TECIDO NAO TECIDO AZ 300MX0,30M 45G</t>
  </si>
  <si>
    <t>SP3045BR</t>
  </si>
  <si>
    <t>ROLO TECIDO NAO TECIDO BR 300X0,30M 45G</t>
  </si>
  <si>
    <t>SP3045LR</t>
  </si>
  <si>
    <t>ROLO TECIDO NAO TECIDO LR 300MX0,30M 45G</t>
  </si>
  <si>
    <t>SP3045VD</t>
  </si>
  <si>
    <t>ROLO TECIDO NAO TECIDO VD 300X0,30M 45G</t>
  </si>
  <si>
    <t>SP305030AZ</t>
  </si>
  <si>
    <t>ROLO TECIDO NAO TEC AZ30MX0,30M 40G 1X12</t>
  </si>
  <si>
    <t>SP305030BR</t>
  </si>
  <si>
    <t>ROLO TECIDO NAO TEC BR30MX0,30M 40G 1X12</t>
  </si>
  <si>
    <t>SP305030LR</t>
  </si>
  <si>
    <t>ROLO TECIDO NAO TEC LR30MX0,30M 40G 1X12</t>
  </si>
  <si>
    <t>SP305030VD</t>
  </si>
  <si>
    <t>ROLO TECIDO NAO TEC VD30MX0,30M 40G 1X12</t>
  </si>
  <si>
    <t>SP3050AZ</t>
  </si>
  <si>
    <t>SP3050BR</t>
  </si>
  <si>
    <t>SP3050LR</t>
  </si>
  <si>
    <t>SP3050VD</t>
  </si>
  <si>
    <t>SP3065LR</t>
  </si>
  <si>
    <t>ROLO TECIDO NAO TECIDO LR 300X0,30M 65G</t>
  </si>
  <si>
    <t>SP3065VD</t>
  </si>
  <si>
    <t>ROLO TECIDO NAO TECIDO VD 300X0,30M 65G</t>
  </si>
  <si>
    <t>ROLO TNT 240MX0,20M 35G AZ PROCLEAN 1X1</t>
  </si>
  <si>
    <t>ROLO TNT 240MX0,20M 35G LR PROCLEAN 1X1</t>
  </si>
  <si>
    <t>ROLO TNT 240MX0,20M 35G VD PROCLEAN 1X1</t>
  </si>
  <si>
    <t>ROLO TNT 30MX0,27M 35G AZ PROCLEAN 1X12</t>
  </si>
  <si>
    <t>ROLO TNT 30MX0,27M 35G BR PROCLEAN 1X12</t>
  </si>
  <si>
    <t>ROLO TNT 30MX0,27M 35G LR PROCLEAN 1X12</t>
  </si>
  <si>
    <t>ROLO TNT 30MX0,27M 35G VD PROCLEAN 1X12</t>
  </si>
  <si>
    <t>SP3528AZ</t>
  </si>
  <si>
    <t>ROLO PRO SLIM AZ 300 X 0,28 M 35G</t>
  </si>
  <si>
    <t>SP3528BR</t>
  </si>
  <si>
    <t>ROLO PRO SLIM BR 300 X 0,28 M 35G</t>
  </si>
  <si>
    <t>SP3528LR</t>
  </si>
  <si>
    <t>ROLO PRO SLIM LR 300 X 0,28 M 35G</t>
  </si>
  <si>
    <t>SP3528VD</t>
  </si>
  <si>
    <t>ROLO PRO SLIM VD 300 X 0,28 M 35G</t>
  </si>
  <si>
    <t>ROLO PANO AZ 300MX0,27M CEL PROCLEAN 1X1</t>
  </si>
  <si>
    <t>ROLO PANO BR 300MX0,27M CEL PROCLEAN 1X1</t>
  </si>
  <si>
    <t>ROLO PANO LR 300MX0,27M CEL PROCLEAN 1X1</t>
  </si>
  <si>
    <t>ROLO PANO VD 300MX0,27M CEL PROCLEAN 1X1</t>
  </si>
  <si>
    <t>SP355025AZ</t>
  </si>
  <si>
    <t>ROLO PRO SLIM  AZ 25X0,30M 35G​ 1X12</t>
  </si>
  <si>
    <t>SP355025BR</t>
  </si>
  <si>
    <t>ROLO PRO SLIM  BR 25X0,30M 35G 1X12​</t>
  </si>
  <si>
    <t>SP355025LR</t>
  </si>
  <si>
    <t>​ROLO PRO SLIM  LR 25X0,30M 35G 1X12</t>
  </si>
  <si>
    <t>SP355025VD</t>
  </si>
  <si>
    <t>ROLO PRO SLIM  VD 25X0,30M 35G​ 1X12</t>
  </si>
  <si>
    <t>SP3550AZ</t>
  </si>
  <si>
    <t>ROLO PRO SLIM AZ 300X0,30M 35G​​​</t>
  </si>
  <si>
    <t>SP3550BR</t>
  </si>
  <si>
    <t>ROLO PRO SLIM BR 300X0,30M 35G​​</t>
  </si>
  <si>
    <t>SP3550LR</t>
  </si>
  <si>
    <t>ROLO PRO SLIM LR 300X0,30M 35G​​</t>
  </si>
  <si>
    <t>SP3550VD</t>
  </si>
  <si>
    <t>ROLO PRO SLIM VD 300X0,30M 35G​​</t>
  </si>
  <si>
    <t>SP4010</t>
  </si>
  <si>
    <t>VARREDEIRA PROFISSIONAL MANUAL 1X1</t>
  </si>
  <si>
    <t>SP4010/1</t>
  </si>
  <si>
    <t>EIXO CENTRAL REGULAGEM ALTURA</t>
  </si>
  <si>
    <t>SP4010/10</t>
  </si>
  <si>
    <t>CJ FIXACAO DA ESCOVA CENTRAL</t>
  </si>
  <si>
    <t>SP4010/11</t>
  </si>
  <si>
    <t>TAMPA RESERVATORIO RESIDUOS</t>
  </si>
  <si>
    <t>SP4010/12</t>
  </si>
  <si>
    <t>RESERVATORIO DE RESIDUOS</t>
  </si>
  <si>
    <t>SP4010/13</t>
  </si>
  <si>
    <t>ALCA TAMPA RESERVATORIO</t>
  </si>
  <si>
    <t>SP4010/14</t>
  </si>
  <si>
    <t>MANOPLA DOS CABOS</t>
  </si>
  <si>
    <t>SP4010/15</t>
  </si>
  <si>
    <t>RASPADOR ESCOVA CENTRAL</t>
  </si>
  <si>
    <t>SP4010/2</t>
  </si>
  <si>
    <t>RODA TRASEIRA</t>
  </si>
  <si>
    <t>SP4010/3</t>
  </si>
  <si>
    <t>CJ FIXACAO E MOVIMENTO RODA TRASEIRA</t>
  </si>
  <si>
    <t>SP4010/4</t>
  </si>
  <si>
    <t>CORREIA TRASEIRA DIREITA</t>
  </si>
  <si>
    <t>SP4010/5</t>
  </si>
  <si>
    <t>CORREIA TRASEIRA ESQUERDA</t>
  </si>
  <si>
    <t>SP4010/6</t>
  </si>
  <si>
    <t>CORREIA DIANTEIRA E/D</t>
  </si>
  <si>
    <t>SP4010/7</t>
  </si>
  <si>
    <t>ESCOVA DIANTEIRA</t>
  </si>
  <si>
    <t>SP4010/8</t>
  </si>
  <si>
    <t>CJ FIXACAO DA ESCOVA DIANTEIRA</t>
  </si>
  <si>
    <t>SP4010/9</t>
  </si>
  <si>
    <t>ESCOVA CENTRAL P/VARREDEIRA PROFISSIONAL</t>
  </si>
  <si>
    <t>SP4020</t>
  </si>
  <si>
    <t>VARREDEIRA MULTIUSO MANUAL 1X1</t>
  </si>
  <si>
    <t>SP4020/1</t>
  </si>
  <si>
    <t>ESCOVA LATERAL P/VARREDEIRA MULTIUSO 1X2</t>
  </si>
  <si>
    <t>SP4020/2</t>
  </si>
  <si>
    <t>ESCOVA CENTRAL P/VARREDEIRA MULTIUSO 1X1</t>
  </si>
  <si>
    <t>SP4020/3</t>
  </si>
  <si>
    <t>RASPADOR P/ VARREDEIRA MULTIUSO 1X1</t>
  </si>
  <si>
    <t>SP5035PS</t>
  </si>
  <si>
    <t>DISCO NYLON ECOPRO PS MARROM 35MM 1X10</t>
  </si>
  <si>
    <t>PANTEC PCT BR 0,30MX0,38M50G SUPERPRO1X1</t>
  </si>
  <si>
    <t>SP5041PS</t>
  </si>
  <si>
    <t>DISCO NYLON ECOPRO PS MARROM 410MM 1X10</t>
  </si>
  <si>
    <t>SP5051PS</t>
  </si>
  <si>
    <t>DISCO NYLON ECOPRO PS MARROM 510MM 1X10</t>
  </si>
  <si>
    <t>SP5220</t>
  </si>
  <si>
    <t>SP5251</t>
  </si>
  <si>
    <t>DISCO MICROFIBRA LIMPEZA 510MM 1X5</t>
  </si>
  <si>
    <t>SP5450</t>
  </si>
  <si>
    <t>LIXEIRA C/ PEDAL 50 LT 1X6</t>
  </si>
  <si>
    <t>SP6000P</t>
  </si>
  <si>
    <t>ROLO NON WOVEN VD 300X0,30M PIC 40G</t>
  </si>
  <si>
    <t>SP6001P</t>
  </si>
  <si>
    <t>ROLO NON WOVEN LA 300X0,30M PIC40G</t>
  </si>
  <si>
    <t>SP6002P</t>
  </si>
  <si>
    <t>ROLO NON WOVEN AZ 300X0,33M PIC40G 50/50</t>
  </si>
  <si>
    <t>SP6003P</t>
  </si>
  <si>
    <t>ROLO NON WOVEN BR 300X0,33M PIC 40G50/50</t>
  </si>
  <si>
    <t>SP6018P</t>
  </si>
  <si>
    <t>ROLO NOW WOVEN VD 300X0,22M PIC 40G50/50</t>
  </si>
  <si>
    <t>SP6019P</t>
  </si>
  <si>
    <t>ROLO NOW WOVEN LA 300X0,22M PIC 40G50/50</t>
  </si>
  <si>
    <t>SP6440</t>
  </si>
  <si>
    <t>LIXEIRA BASCUL. 40L SUPERPRO 1X6</t>
  </si>
  <si>
    <t>SP6670</t>
  </si>
  <si>
    <t>LIXEIRA PLASTICA BASCULANTE 70L 1X6</t>
  </si>
  <si>
    <t>SP6670AM</t>
  </si>
  <si>
    <t>LIXEIRA PLASTICA BASCULANTE AM 70L 1X6</t>
  </si>
  <si>
    <t>SP6670AZ</t>
  </si>
  <si>
    <t>LIXEIRA PLASTICA BASCULANTE AZ 70L 1X6</t>
  </si>
  <si>
    <t>SP6670CC</t>
  </si>
  <si>
    <t>LIXEIRA PLASTICA BASCULANTE 70L 1X1</t>
  </si>
  <si>
    <t>SP6670MR</t>
  </si>
  <si>
    <t>LIXEIRA PLASTICA BASCULANTE MR 70L 1X6</t>
  </si>
  <si>
    <t>SP6670VD</t>
  </si>
  <si>
    <t>LIXEIRA PLASTICA BASCULANTE VD 70L 1X6</t>
  </si>
  <si>
    <t>SP6670VR</t>
  </si>
  <si>
    <t>LIXEIRA PLASTICA BASCULANTE VR 70L 1X6</t>
  </si>
  <si>
    <t>SP7000</t>
  </si>
  <si>
    <t>SUPORTE PAPEL HIGIENICO PRIMAFER 1X3</t>
  </si>
  <si>
    <t>SP7001</t>
  </si>
  <si>
    <t>SUPORTE PAPEL TOALHA PRIMAFER 1X3</t>
  </si>
  <si>
    <t>SP7002</t>
  </si>
  <si>
    <t>SUPORTE SAB. LIQ. C/RESERV. PRIMAFER 1X3</t>
  </si>
  <si>
    <t>SP7003</t>
  </si>
  <si>
    <t>RESERVATORIO SAB. LIQ. PRIMAFER 1X6</t>
  </si>
  <si>
    <t>SP7100</t>
  </si>
  <si>
    <t>LUVA DESCARTAVEL PLASTICA PRO 1X10</t>
  </si>
  <si>
    <t>SP7200</t>
  </si>
  <si>
    <t>TOUCA DESCARTAVEL TNT PRO 1X10X100</t>
  </si>
  <si>
    <t>SP7300</t>
  </si>
  <si>
    <t>MASCARA DESCARTAVEL TNT PRO 1X6X25​</t>
  </si>
  <si>
    <t>SP7310</t>
  </si>
  <si>
    <t>MASCARA DESCARTAVEL TNT SLIM 1X10X50</t>
  </si>
  <si>
    <t>SP7400</t>
  </si>
  <si>
    <t>PROTETOR FACIAL SUPERPRO 1X10</t>
  </si>
  <si>
    <t>SP8010</t>
  </si>
  <si>
    <t>PROPELL PCT 50G 28X35CM SUPERPRO 1X8</t>
  </si>
  <si>
    <t>PROPELL PCT 60G 28X35CM SUPERPRO1X8</t>
  </si>
  <si>
    <t>PROPELL RL 416UN 24,5X43,5CM SUPERPRO1X1</t>
  </si>
  <si>
    <t>SP8042</t>
  </si>
  <si>
    <t>ROLO PANO PROPELL MAX SUPERPRO 1X12</t>
  </si>
  <si>
    <t>SP8300</t>
  </si>
  <si>
    <t>PAPELEIRO P/ BANHEIRO BRANCO 1X12</t>
  </si>
  <si>
    <t>SP8340</t>
  </si>
  <si>
    <t>TAPETE VINIL 60X40CM C ALEAT CZXPR 1X6</t>
  </si>
  <si>
    <t>ORGANIZADOR LIMP. C3 PLAST SUPERPRO1X12</t>
  </si>
  <si>
    <t>ORGANIZADOR LIMP. C5 PLAST SUPERPRO1X12</t>
  </si>
  <si>
    <t>DESENTUPIDOR A VACUO PLAST. SUPERPRO1X12</t>
  </si>
  <si>
    <t>ESPANADOR MICROFIBRA CZ SUPERPRO 1X10</t>
  </si>
  <si>
    <t>SP8802</t>
  </si>
  <si>
    <t>ESPANADOR MICROFIBRA PEGA PO C/CABO 1X6</t>
  </si>
  <si>
    <t>SP8803</t>
  </si>
  <si>
    <t>ESPANADOR MICROFIBRA MULTIUSO C/CABO 1X6</t>
  </si>
  <si>
    <t>SP9-200</t>
  </si>
  <si>
    <t>LIXEIRA PLASTICA 200L C/TAMPA 1X1</t>
  </si>
  <si>
    <t>SP9-400PR</t>
  </si>
  <si>
    <t>CARRO CUBA PLASTICO 400L PR 1X1</t>
  </si>
  <si>
    <t>SP9-400RD</t>
  </si>
  <si>
    <t>CONJ. RODAS P/CARRO CUBA 400L 1X1</t>
  </si>
  <si>
    <t>SP9-400TPR</t>
  </si>
  <si>
    <t>TAMPA BASCULANTE PLAST P/CARRO CUBA 1X1</t>
  </si>
  <si>
    <t>SP9-500PR</t>
  </si>
  <si>
    <t>CARRO BASCULANTE PLASTICO 400L 1X1</t>
  </si>
  <si>
    <t>SP9-500RD</t>
  </si>
  <si>
    <t>SP9004AM</t>
  </si>
  <si>
    <t>VASSOURA RETA PLAST 40CM  AM 1X12</t>
  </si>
  <si>
    <t>SP9004AZ</t>
  </si>
  <si>
    <t>VASSOURA RETA PLAST 40CM AZ 1X12</t>
  </si>
  <si>
    <t>SP9004VD</t>
  </si>
  <si>
    <t>VASSOURA RETA PLAST 40CM  VD 1X12</t>
  </si>
  <si>
    <t>SP9004VR</t>
  </si>
  <si>
    <t>VASSOURA RETA PLAST 40CM VR 1X12</t>
  </si>
  <si>
    <t>SP9005AM</t>
  </si>
  <si>
    <t>VASSOURA RIGID.PLAST 40CM S/CABO AM 1X12</t>
  </si>
  <si>
    <t>SP9005AZ</t>
  </si>
  <si>
    <t>VASSOURA RIGID.PLAST 40CM S/CABO AZ 1X12</t>
  </si>
  <si>
    <t>SP9005VD</t>
  </si>
  <si>
    <t>VASSOURA RIGID.PLAST 40CM S/CABO VD 1X12</t>
  </si>
  <si>
    <t>SP9005VR</t>
  </si>
  <si>
    <t>VASSOURA RIGID.PLAST 40CM S/CABO VR 1X12</t>
  </si>
  <si>
    <t>LIMPA VIDROS SECA RAPIDO SUPERPRO 1X6</t>
  </si>
  <si>
    <t>REFIL LIMPA VIDRO SECA RAP SUPERPRO 1X12</t>
  </si>
  <si>
    <t>LIMPA VIDROS RODO E ESPUMA SUPERPRO 1X6</t>
  </si>
  <si>
    <t>LIMPA VIDROS COM MOLA SUPERPRO 1X6</t>
  </si>
  <si>
    <t>REFIL P/LIMPA VIDROS ART. SUPERPRO 1X12</t>
  </si>
  <si>
    <t>BALDE C/ESP.  2 AGUAS 20L SOLUTION 1X1</t>
  </si>
  <si>
    <t>CARRO FUNCIONAL PLAST  SOLUTION 1X1</t>
  </si>
  <si>
    <t>PLACA SINALIZ PLAST SOLUTION 1X6​</t>
  </si>
  <si>
    <t>CABO ALUM.140CM AM SUPERPRO 1X6</t>
  </si>
  <si>
    <t>CABO ALUM.140CM AZ SUPERPRO 1X6</t>
  </si>
  <si>
    <t>SP9010CC</t>
  </si>
  <si>
    <t>CABO ALUMINIO 140CM 1X8</t>
  </si>
  <si>
    <t>CABO ALUM.140CM VD SUPERPRO 1X6</t>
  </si>
  <si>
    <t>CABO ALUM.140CM VR SUPERPRO 1X6</t>
  </si>
  <si>
    <t>ESPALHADOR DE CERAS SOLUTION 1X24</t>
  </si>
  <si>
    <t>LIMPA PISOS SOLUTION 1X24</t>
  </si>
  <si>
    <t>LIMPA VIDROS SOLUTION 1X24</t>
  </si>
  <si>
    <t>BUCHA CONICA P/CABO ALUM. SUPERPRO1X6</t>
  </si>
  <si>
    <t>SP9014P</t>
  </si>
  <si>
    <t>PUNHO PLASTICO DIAM 25,4MM(3003512)</t>
  </si>
  <si>
    <t>SP9015R</t>
  </si>
  <si>
    <t>PONTEIRA ROSCA DO CABO 21 (2000818)</t>
  </si>
  <si>
    <t>CABO ALUM.140CM ESTRIADO AM SUPERPRO 1X6</t>
  </si>
  <si>
    <t>CABO ALUM.140CM ESTRIADO AZ SUPERPRO 1X6</t>
  </si>
  <si>
    <t>CABO ALUM.140CM ESTRIADO VD SUPERPRO 1X6</t>
  </si>
  <si>
    <t>CABO ALUM.140CM ESTRIADO VR SUPERPRO 1X6</t>
  </si>
  <si>
    <t>SP9019P</t>
  </si>
  <si>
    <t>PUNHO PLAST DIAM 22MM (3003511)</t>
  </si>
  <si>
    <t>CABO ALUM.400CM EXTENSOR SUPERPRO 1X6</t>
  </si>
  <si>
    <t>CABO ALUM.600CM EXTENSOR SUPERPRO 1X6</t>
  </si>
  <si>
    <t>CABO ALUM.LAVA-CAR C/AGUA SUPERPRO 1X6</t>
  </si>
  <si>
    <t>SP9038</t>
  </si>
  <si>
    <t>CABO ALUM LAVA-CAR P/ SP9688 1x4</t>
  </si>
  <si>
    <t>SP9045</t>
  </si>
  <si>
    <t>CABO ACO REFORCO 0,213CM X 68CM 1X12</t>
  </si>
  <si>
    <t>SP9046</t>
  </si>
  <si>
    <t>CABO ACO REFORCO 0,213CM X 128CM 1X12</t>
  </si>
  <si>
    <t>SP9047</t>
  </si>
  <si>
    <t>LIMPA VIDRO PLAST SPRAY C/REFIL 1X12</t>
  </si>
  <si>
    <t>SP9048</t>
  </si>
  <si>
    <t>REFIL TPE RODO ALUM 45CM SUPERPRO1X10</t>
  </si>
  <si>
    <t>SP9049</t>
  </si>
  <si>
    <t>REFIL MICROFIBRA LIMPA VIDRO 1X12</t>
  </si>
  <si>
    <t>SP9050CZ</t>
  </si>
  <si>
    <t>RODO PLAST EVA C/ ESCOVA 48CM CZ 1x6</t>
  </si>
  <si>
    <t>SP9051</t>
  </si>
  <si>
    <t>REFIL BORRACHA RODO ALUM 45CM 1X12</t>
  </si>
  <si>
    <t>SP9055</t>
  </si>
  <si>
    <t>RODO PLAST DUPLO SUPERPRO 65CM 1X12</t>
  </si>
  <si>
    <t>SP9055AM</t>
  </si>
  <si>
    <t>RODO PLAST DUPLO SUPERPRO 65CM AM 1X12</t>
  </si>
  <si>
    <t>SP9055AZ</t>
  </si>
  <si>
    <t>RODO PLAST DUPLO SUPERPRO 65CM AZ 1X12</t>
  </si>
  <si>
    <t>SP9055BR</t>
  </si>
  <si>
    <t>RODO PLAST DUPLO SUPERPRO 65CM BR 1X6</t>
  </si>
  <si>
    <t>SP9055VD</t>
  </si>
  <si>
    <t>RODO PLAST DUPLO SUPERPRO 65CM VD 1X12</t>
  </si>
  <si>
    <t>SP9055VR</t>
  </si>
  <si>
    <t>RODO PLAST DUPLO SUPERPRO 65CM VR 1X12</t>
  </si>
  <si>
    <t>SP9056</t>
  </si>
  <si>
    <t>RODO PLAST DUPLO SUPERPRO 45CM 1X12</t>
  </si>
  <si>
    <t>SP9056AM</t>
  </si>
  <si>
    <t>RODO PLAST DUPLO SUPERPRO 45CM AM 1X12</t>
  </si>
  <si>
    <t>SP9056AZ</t>
  </si>
  <si>
    <t>RODO PLAST DUPLO SUPERPRO 45CM AZ 1X12</t>
  </si>
  <si>
    <t>SP9056VD</t>
  </si>
  <si>
    <t>RODO PLAST DUPLO SUPERPRO 45CM VD 1X12</t>
  </si>
  <si>
    <t>SP9056VR</t>
  </si>
  <si>
    <t>RODO PLAST DUPLO SUPERPRO 45CM VR 1X12</t>
  </si>
  <si>
    <t>CONJ. DE RODO LIMPA VIDROS SUPERPRO 1x12</t>
  </si>
  <si>
    <t>RODO PLAST. COMB. PVIDRO35CM SUPERPRO1X6</t>
  </si>
  <si>
    <t>SP9062</t>
  </si>
  <si>
    <t>RODO COMBI.PLAST LIMPA/RETIRA AGUA 1X12</t>
  </si>
  <si>
    <t>APLICADOR PLAST DE CERA SUPERPRO 1X12</t>
  </si>
  <si>
    <t>MICROFIBRA P/APLICADOR CERA SUPERPRO1X12</t>
  </si>
  <si>
    <t>SP9063AM</t>
  </si>
  <si>
    <t>VASSOURA RIGID.PLAST 60CM S/CABO AM 1X12</t>
  </si>
  <si>
    <t>SP9063AZ</t>
  </si>
  <si>
    <t>VASSOURA RIGID.PLAST 60CM S/CABO AZ 1X12</t>
  </si>
  <si>
    <t>SP9063VD</t>
  </si>
  <si>
    <t>VASSOURA RIGID.PLAST 60CM S/CABO VD 1X12</t>
  </si>
  <si>
    <t>SP9063VR</t>
  </si>
  <si>
    <t>VASSOURA RIGID.PLAST 60CM S/CABO VR 1X12</t>
  </si>
  <si>
    <t>RODO PLAST C/REFIL TPE 35CM SUPERPRO1X12</t>
  </si>
  <si>
    <t>SP9064/1</t>
  </si>
  <si>
    <t>REFIL MICROFIBRA 35CM 1X6</t>
  </si>
  <si>
    <t>SP9064AM</t>
  </si>
  <si>
    <t>VASSOURA CERDA MACIA PLAST 60CM AM 1X12</t>
  </si>
  <si>
    <t>SP9064AZ</t>
  </si>
  <si>
    <t>VASSOURA CERDA MACIA PLAST 60CM AZ 1X12</t>
  </si>
  <si>
    <t>SP9064VD</t>
  </si>
  <si>
    <t>VASSOURA CERDA MACIA PLAST 60CM VD 1X12</t>
  </si>
  <si>
    <t>SP9064VR</t>
  </si>
  <si>
    <t>VASSOURA CERDA MACIA PLAST 60CM VR 1X12</t>
  </si>
  <si>
    <t>RODO COMB PLAST LAVA E SECA SUPERPRO1X12</t>
  </si>
  <si>
    <t>SP9066</t>
  </si>
  <si>
    <t>RODO PLASTICO COMBINADO P/VIDRO 45CM 1X6</t>
  </si>
  <si>
    <t>SP9066/1</t>
  </si>
  <si>
    <t>REFIL MICROFIBRA 45CM 1X6</t>
  </si>
  <si>
    <t>SP9067</t>
  </si>
  <si>
    <t>RODO COMBINADO PLAST LAVA/SECA FIXO 1X12</t>
  </si>
  <si>
    <t>SP9067/1</t>
  </si>
  <si>
    <t>REFIL MICROFIBRA P/SP9067 1X12</t>
  </si>
  <si>
    <t>SP9067/2</t>
  </si>
  <si>
    <t>REFIL ACRILICO SINTETICO P/SP9067 1X12</t>
  </si>
  <si>
    <t>PRENSA BALDE 20L SUPERPRO 1X1</t>
  </si>
  <si>
    <t>SP9069</t>
  </si>
  <si>
    <t>RODO PLAST LIMPA VIDRO C/DISPENSER 1X12</t>
  </si>
  <si>
    <t>SP9069R</t>
  </si>
  <si>
    <t>REFIL MICROFIBRA P/SP9069 1X12</t>
  </si>
  <si>
    <t>SP906C</t>
  </si>
  <si>
    <t>CABO ACO70CM C/ BUCHA CONICA SUPERPRO1X6</t>
  </si>
  <si>
    <t>SP9070</t>
  </si>
  <si>
    <t>CJ LIMPA VIDRO SUPERPRO 1X1</t>
  </si>
  <si>
    <t>SP9071</t>
  </si>
  <si>
    <t>RASPADOR ANGULAR PLASTICO C/CABO 1X4</t>
  </si>
  <si>
    <t>SP9071/1</t>
  </si>
  <si>
    <t>REFIL LAMINA ACO ANGULAR 1X1X10</t>
  </si>
  <si>
    <t>SP9072</t>
  </si>
  <si>
    <t>RASPADOR RETO PLASTICO COMPACTO 1X4</t>
  </si>
  <si>
    <t>SP9072/1</t>
  </si>
  <si>
    <t>REFIL LAMINA ACO RETO 1X1X10​</t>
  </si>
  <si>
    <t>SP9077B</t>
  </si>
  <si>
    <t>BALDE PLAST VR ACESSORIO 9077 1X1</t>
  </si>
  <si>
    <t>CJ BALDE ESPREM.PLAST 44L SUPERPRO 1X1</t>
  </si>
  <si>
    <t>PRENSA PLAST P/BALDE SP9079 SUPERPRO 1X1</t>
  </si>
  <si>
    <t>RODO ARTICULADO 50CM SUPERPRO 1X12</t>
  </si>
  <si>
    <t>REFIL RODO ARTICULADO 50CM SUPERPRO 1X12</t>
  </si>
  <si>
    <t>RODO ARTICULADO 35CM SUPERPRO 1X12</t>
  </si>
  <si>
    <t>REFIL RODO ARTICULADO 35CM SUPERPRO 1X12</t>
  </si>
  <si>
    <t>RODO ARTICULADO 60CM SUPERPRO 1X12</t>
  </si>
  <si>
    <t>REFIL RODO ARTICULADO 60CM SUPERPRO 1X12</t>
  </si>
  <si>
    <t>SP9083AM</t>
  </si>
  <si>
    <t>BALDE MULTIUSO AM SUPERPRO 1X1</t>
  </si>
  <si>
    <t>MOP GIRATORIO CESTO INOX SUPERPRO 1X1</t>
  </si>
  <si>
    <t>SP9085B</t>
  </si>
  <si>
    <t>BASE PLAST P/MOP SP9085 PROCLEAN 1X1</t>
  </si>
  <si>
    <t>CABO METAL P/MOP SP9085 PROCLEAN 1x1</t>
  </si>
  <si>
    <t>SP9085R</t>
  </si>
  <si>
    <t>REFIL MICROFIBRA PMOP SP9085 PROCLEAN1x4</t>
  </si>
  <si>
    <t>SP9086</t>
  </si>
  <si>
    <t>SUPERPRO BALDE C/MOP PEQUENO 1X1</t>
  </si>
  <si>
    <t>SP9086/4R</t>
  </si>
  <si>
    <t>REFIL MICROFIBRA P/BALDE SP9086 1X4</t>
  </si>
  <si>
    <t>SP9086B</t>
  </si>
  <si>
    <t>BASE PLAST P/MOP SP9086 1X1</t>
  </si>
  <si>
    <t>SP9086C</t>
  </si>
  <si>
    <t>CABO METAL P/CJ BALDE E MOP SP9086 1X1</t>
  </si>
  <si>
    <t>SP9086R</t>
  </si>
  <si>
    <t>REFIL MICROFIBRA P/BALDE SP9086 1X6</t>
  </si>
  <si>
    <t>SP9087</t>
  </si>
  <si>
    <t>SP9088</t>
  </si>
  <si>
    <t>CJ BALDE E MOP PLAST GRANDE 1X1</t>
  </si>
  <si>
    <t>SP9088R</t>
  </si>
  <si>
    <t>REFIL MICROFIBRA P/BALDE SP9088 1X6</t>
  </si>
  <si>
    <t>CJ BALDE E MOP PLAST SUPERPRO 1X1</t>
  </si>
  <si>
    <t>BASE PLAST P/MOP SP9090 SUPERPRO 1X1</t>
  </si>
  <si>
    <t>CABO METAL P/MOP SP9090 SUPERPRO 1X1</t>
  </si>
  <si>
    <t>REFIL MICROFIBRA PMOP SP9090 SUPERPRO1X4</t>
  </si>
  <si>
    <t>SP9096</t>
  </si>
  <si>
    <t>CJ BALDE MOP PLAST COMPACTO S/PEDAL 1X1</t>
  </si>
  <si>
    <t>SP9096B</t>
  </si>
  <si>
    <t>BASE PLAST P/ MOP SP9096 1X1</t>
  </si>
  <si>
    <t>SP9096C</t>
  </si>
  <si>
    <t>CABO METAL P/CJ BALDE E MOP SP9096 1X1</t>
  </si>
  <si>
    <t>SP9096R</t>
  </si>
  <si>
    <t>REFIL MICROFIBRA UNIVERSAL 1X4​​</t>
  </si>
  <si>
    <t>CONJ. BALDE MOP 2 AGUAS PROCLEAN 1X1</t>
  </si>
  <si>
    <t>REFIL MOP 2 AGUAS SP9097 PROCLEAN 1X2</t>
  </si>
  <si>
    <t>MOP DUAS AGUAS CESTO INOX SUPERPRO 1X1</t>
  </si>
  <si>
    <t>SP9101</t>
  </si>
  <si>
    <t>PANO SEK BANHEIRO 1X24</t>
  </si>
  <si>
    <t>SP9102AZ</t>
  </si>
  <si>
    <t>SP9102BR</t>
  </si>
  <si>
    <t>SP9102CR</t>
  </si>
  <si>
    <t>TELA MICTORIO PVC COTON 1X12</t>
  </si>
  <si>
    <t>SP9103AZ</t>
  </si>
  <si>
    <t>SP9103CR</t>
  </si>
  <si>
    <t>SP9103LA</t>
  </si>
  <si>
    <t>SP9103VD</t>
  </si>
  <si>
    <t>TELA MICTORIO PVC NATUREZA 1X12 GOTA</t>
  </si>
  <si>
    <t>SP9104LA</t>
  </si>
  <si>
    <t>SP9104VD</t>
  </si>
  <si>
    <t>SP9108</t>
  </si>
  <si>
    <t>TELA MICTORIO C/ LIMPADOR SANITARIO</t>
  </si>
  <si>
    <t>SP9109AZ</t>
  </si>
  <si>
    <t>MOP UMIDO P CORTADA 300GR AZUL 1X12​</t>
  </si>
  <si>
    <t>SP9110AM</t>
  </si>
  <si>
    <t>SP9110VD</t>
  </si>
  <si>
    <t>SP9110VR</t>
  </si>
  <si>
    <t>SP9111AM</t>
  </si>
  <si>
    <t>SP9111AZ</t>
  </si>
  <si>
    <t>SP9111VD</t>
  </si>
  <si>
    <t>SP9111VR</t>
  </si>
  <si>
    <t>SP9113CZ</t>
  </si>
  <si>
    <t>MOP PONTA DOBRADA MICOFIBRA 300G CZ 1X12</t>
  </si>
  <si>
    <t>SP9114AM</t>
  </si>
  <si>
    <t>SP9114AZ</t>
  </si>
  <si>
    <t>SP9114P</t>
  </si>
  <si>
    <t>MOP PO MICROFIBRA 60CM 1X12</t>
  </si>
  <si>
    <t>SP9114VD</t>
  </si>
  <si>
    <t>SP9114VR</t>
  </si>
  <si>
    <t>SP9115AM</t>
  </si>
  <si>
    <t>SP9115AZ</t>
  </si>
  <si>
    <t>SP9115P</t>
  </si>
  <si>
    <t>SP9115VD</t>
  </si>
  <si>
    <t>SP9115VR</t>
  </si>
  <si>
    <t>SP9119</t>
  </si>
  <si>
    <t>SP9120</t>
  </si>
  <si>
    <t>MINI MOP MICROFIBRA PRO 1X12</t>
  </si>
  <si>
    <t>SP9129</t>
  </si>
  <si>
    <t>CONJ ARMACAO ALUMINIO E MOP 40CM 1X6</t>
  </si>
  <si>
    <t>SP9129R</t>
  </si>
  <si>
    <t>REFIL MOP MICROFIBRA 40CM 1X6</t>
  </si>
  <si>
    <t>MOP UMIDO ALGODAO 190G PROCLEAN 1X12</t>
  </si>
  <si>
    <t>SP9148AZ</t>
  </si>
  <si>
    <t>ESCOVA PLAST MULTIUSO AZ 1X12</t>
  </si>
  <si>
    <t>SP9151</t>
  </si>
  <si>
    <t>ESCOVA TPR MULTIUSO MANUAL 1X6</t>
  </si>
  <si>
    <t>SP9155</t>
  </si>
  <si>
    <t>RODO GALVANIZADO 62 CM 1X6</t>
  </si>
  <si>
    <t>SP9161</t>
  </si>
  <si>
    <t>CARRO ALTA CAPACIDADE PLASTICO PRETO 1X1</t>
  </si>
  <si>
    <t>SP9161/1</t>
  </si>
  <si>
    <t>CJ COLETOR PLASTICO P/CARRO SP9161 1X1</t>
  </si>
  <si>
    <t>SP9161/2</t>
  </si>
  <si>
    <t>SUPORTE MULT.PLASTICO P/CARRO SP9161 1X3</t>
  </si>
  <si>
    <t>CARRO FUNCIONAL PLAST. SUPERPRO 1X1</t>
  </si>
  <si>
    <t>SP9165</t>
  </si>
  <si>
    <t>CARRO PRATELEIRA PLASTICO PEQ.PRETO 1X1</t>
  </si>
  <si>
    <t>SP9165/2</t>
  </si>
  <si>
    <t>CONJ. PLASTICO TAMPAS LATERAIS 1X1</t>
  </si>
  <si>
    <t>SP9165/3</t>
  </si>
  <si>
    <t>SP9165/4</t>
  </si>
  <si>
    <t>CONJ RESERVATORIOS PLAST LATERAIS 1X1</t>
  </si>
  <si>
    <t>SP9166</t>
  </si>
  <si>
    <t>CARRO PRATELEIRA PLASTICO PEQ.BEGE 1X1</t>
  </si>
  <si>
    <t>SP9167</t>
  </si>
  <si>
    <t>CARRO PRATELEIRA PLASTICO GRANDE 1X1</t>
  </si>
  <si>
    <t>SP9174</t>
  </si>
  <si>
    <t>CARRO ARMAZEM ACO 2 RODAS CAP.55KG 1X1</t>
  </si>
  <si>
    <t>SP9175</t>
  </si>
  <si>
    <t>CARRO ARMAZEM ACO 2 RODAS CAP.75KG 1X1</t>
  </si>
  <si>
    <t>RODO EVA 35CM AM SOLUTION 1X10</t>
  </si>
  <si>
    <t>RODO EVA 35CM AZ SOLUTION 1X10</t>
  </si>
  <si>
    <t>RODO EVA 35CM CZ SOLUTION 1X10</t>
  </si>
  <si>
    <t>RODO EVA 35CM VD SOLUTION 1X10</t>
  </si>
  <si>
    <t>RODO EVA 35CM VR SOLUTION 1X10</t>
  </si>
  <si>
    <t>RODO EVA 45CM AM SOLUTION 1X10</t>
  </si>
  <si>
    <t>RODO EVA 45CM AZ SOLUTION 1X10</t>
  </si>
  <si>
    <t>RODO EVA 45CM CZ SOLUTION 1X10</t>
  </si>
  <si>
    <t>RODO EVA 45CM VD SOLUTION 1X10</t>
  </si>
  <si>
    <t>RODO EVA 45CM VR SOLUTION 1X10</t>
  </si>
  <si>
    <t>RODO EVA 55CM AM SOLUTION 1X10</t>
  </si>
  <si>
    <t>RODO EVA 55CM AZ SOLUTION 1X10</t>
  </si>
  <si>
    <t>RODO EVA 55CM CZ SOLUTION 1X10</t>
  </si>
  <si>
    <t>RODO EVA 55CM VD SOLUTION 1X10</t>
  </si>
  <si>
    <t>RODO EVA 55CM VR SOLUTION 1X10</t>
  </si>
  <si>
    <t>RODO EVA 65CM AM SOLUTION 1X10</t>
  </si>
  <si>
    <t>RODO EVA 65CM AZ SOLUTION 1X10</t>
  </si>
  <si>
    <t>RODO EVA 65CM CZ SOLUTION 1X10</t>
  </si>
  <si>
    <t>RODO EVA 65CM VD SOLUTION 1X10</t>
  </si>
  <si>
    <t>RODO EVA 65CM VR SOLUTION 1X10</t>
  </si>
  <si>
    <t>SP9203</t>
  </si>
  <si>
    <t>PANO MULTIUSO AMARELO C/7 METROS 1X8</t>
  </si>
  <si>
    <t>MOP PO ACRILICO SINT. 100CM SUPERPRO1X12</t>
  </si>
  <si>
    <t>MOP PO ACRILICO SINT. 120CM SUPERPRO1X12</t>
  </si>
  <si>
    <t>SP9222</t>
  </si>
  <si>
    <t>BASE ALUMINIO P/MOP PLANO 60CM 1X6</t>
  </si>
  <si>
    <t>SP9223</t>
  </si>
  <si>
    <t>SUPORTE PLAST GARRA P/MOP CABO 1X6</t>
  </si>
  <si>
    <t>SP9250</t>
  </si>
  <si>
    <t>BARREIRA PLASTICA PANTOGRAFICA 2,5M 1X1</t>
  </si>
  <si>
    <t>SP9251C</t>
  </si>
  <si>
    <t>PA PLASTICA  C/CABO CZ SUPERPRO 1X12</t>
  </si>
  <si>
    <t>SP9252PM</t>
  </si>
  <si>
    <t>SINALIZADOR COMPACTO PISO MOLHADO 1X4</t>
  </si>
  <si>
    <t>SP9280</t>
  </si>
  <si>
    <t>CARRO FUNCIONAL HOPITALAR MX303 1X1</t>
  </si>
  <si>
    <t>SP930930P</t>
  </si>
  <si>
    <t>ROLO MULT AZUL 30X0,33M PIC 45G 70/30</t>
  </si>
  <si>
    <t>SP931030P</t>
  </si>
  <si>
    <t>ROLO MULT BRANCO 30X0,33M PIC 45G 70/30</t>
  </si>
  <si>
    <t>ROLO MICROFIBRA C/30 PANOS SUPERPRO 1X6</t>
  </si>
  <si>
    <t>SP9320</t>
  </si>
  <si>
    <t>PANO MICROFIBRA LUMI PRO MULTIUSO 1X8X3</t>
  </si>
  <si>
    <t>SP9320AZ/3</t>
  </si>
  <si>
    <t>LIXEIRA PLASTICA S/PEDAL AZ 120L 1X3</t>
  </si>
  <si>
    <t>SP9320LR/3</t>
  </si>
  <si>
    <t>LIXEIRA PLASTICA S/PEDAL LR 120L 1X3</t>
  </si>
  <si>
    <t>PANO MICROFIBRA USO GERAL SUPERPRO 1X8</t>
  </si>
  <si>
    <t>SP9321AZ/3</t>
  </si>
  <si>
    <t>LIXEIRA PLASTICA S/PEDAL AZ 240L 1X3</t>
  </si>
  <si>
    <t>SP9321LR/3</t>
  </si>
  <si>
    <t>LIXEIRA PLASTICA S/PEDAL 240L LR C/3</t>
  </si>
  <si>
    <t>SP9322</t>
  </si>
  <si>
    <t>PANO MICROFIBRA ECO PRO 1X8X3</t>
  </si>
  <si>
    <t>PANO MICROFIBRA LIMP PRO SUPERPRO 1X24</t>
  </si>
  <si>
    <t>PANO MICROFIBRA MULTIUSO SUPERPRO 1x4X8</t>
  </si>
  <si>
    <t>PANO MICROFIBRA MULTI. AM SUPERPRO1x4X8</t>
  </si>
  <si>
    <t>PANO MICROFIBRA MULTI. AZ SUPERPRO1x4X8</t>
  </si>
  <si>
    <t>PANO MICROFIBRA MULTI. VD SUPERPRO1x4X8</t>
  </si>
  <si>
    <t>PANO MICROFIBRA MULTI. VR SUPERPRO1x4X8</t>
  </si>
  <si>
    <t>SUPORTE METAL P/ROLO PANO SUPERPRO 1X1</t>
  </si>
  <si>
    <t>SP932525BR</t>
  </si>
  <si>
    <t>SP9326</t>
  </si>
  <si>
    <t>PANO MICROFIBRA LIMPEZA DELICADA 1X12</t>
  </si>
  <si>
    <t>PANO MICROFIBRA LIMPA VIDRO SUPERPRO 1X8</t>
  </si>
  <si>
    <t>PANO MICROFIBRA USO GERAL SUPERPRO 1X12</t>
  </si>
  <si>
    <t>PANO MICROFIBRA MULT AM SUPERPRO 1X24</t>
  </si>
  <si>
    <t>PANO MICROFIBRA MULT AZ SUPERPRO 1X24</t>
  </si>
  <si>
    <t>PANO MICROFIBRA MULT VD SUPERPRO 1X24</t>
  </si>
  <si>
    <t>PANO MICROFIBRA MULT VR SUPERPRO 1X24</t>
  </si>
  <si>
    <t>SP9330</t>
  </si>
  <si>
    <t>SUPORTE PARA ROLO 45G 30 METROS 1X2</t>
  </si>
  <si>
    <t>MOP SEKITO PVA 27CM PROCLEAN 1X6</t>
  </si>
  <si>
    <t>REFIL MOP SEKITO PVA 30CM PROCLEAN 1X6</t>
  </si>
  <si>
    <t>PANO MAGICO MULT PVA AZ SUPERPRO 1X10</t>
  </si>
  <si>
    <t>PANO MICROF. SUPERPRO MULTIUSO BR 1X1X50</t>
  </si>
  <si>
    <t>SP9340</t>
  </si>
  <si>
    <t>SUPERPRO MOP SEKITO GRANDE 1X6</t>
  </si>
  <si>
    <t>REFIL MOP SEKITO G 38CM SUPERPRO  1X6</t>
  </si>
  <si>
    <t>SP9340R</t>
  </si>
  <si>
    <t>REFIL MOP SEKITO PVA GRANDE 1X6</t>
  </si>
  <si>
    <t>SP9345</t>
  </si>
  <si>
    <t>SUPORTE METAL P/ROLO PANO 300M 1X2</t>
  </si>
  <si>
    <t>SP935050BR</t>
  </si>
  <si>
    <t>LIXEIRA PLAST C/PEDAL 50L BR SUPERPRO1X5</t>
  </si>
  <si>
    <t>MOP SEKITO PVA GRANDE PROCLEAN 1X6</t>
  </si>
  <si>
    <t>REFIL MOP SEKITO PVA G PROCLEAN 1X6</t>
  </si>
  <si>
    <t>LIXEIRA PLAST CPEDAL 100L BR SUPERPRO1X4</t>
  </si>
  <si>
    <t>SP93515BG</t>
  </si>
  <si>
    <t>LIXEIRA PLASTICA C/PEDAL BG 13,5L 1X8</t>
  </si>
  <si>
    <t>LIXEIRA PLAST CPEDAL 15L BR SUPERPRO1X8</t>
  </si>
  <si>
    <t>SP93525BR</t>
  </si>
  <si>
    <t>LIXEIRA PLASTICA C/PEDAL BR 25L 1X4</t>
  </si>
  <si>
    <t>SP93530PR</t>
  </si>
  <si>
    <t>LIXEIRA PLASTICA C/PEDAL PR/AM 30L 1X4</t>
  </si>
  <si>
    <t>SP93545BR</t>
  </si>
  <si>
    <t>LIXEIRA PLASTICA C/PEDAL BR 45L 1X4</t>
  </si>
  <si>
    <t>SP93545PR</t>
  </si>
  <si>
    <t>LIXEIRA PLASTICA C/PEDAL PR/AM 45L 1X4</t>
  </si>
  <si>
    <t>LIXEIRA PLAST CPEDAL 50L BR SUPERPRO 1X4</t>
  </si>
  <si>
    <t>SP93560BR</t>
  </si>
  <si>
    <t>LIXEIRA PLASTICA C/PEDAL BR 60L 1X3</t>
  </si>
  <si>
    <t>SP93560PR</t>
  </si>
  <si>
    <t>LIXEIRA PLASTICA C/PEDAL PR/AM 60L 1X3</t>
  </si>
  <si>
    <t>LIXEIRA PLAST CPEDAL 80L BR SUPERPRO1X4</t>
  </si>
  <si>
    <t>SP93587BR</t>
  </si>
  <si>
    <t>LIXEIRA PLASTICA C/PEDAL BR 87L 1X3</t>
  </si>
  <si>
    <t>SP93587PR</t>
  </si>
  <si>
    <t>LIXEIRA PLASTICA C/PEDAL PR/AM 87L 1X3</t>
  </si>
  <si>
    <t>SP9358AM/3</t>
  </si>
  <si>
    <t>LIXEIRA PLAST CPEDAL AM 120L SUPERPRO1X3</t>
  </si>
  <si>
    <t>SP9358AZ/3</t>
  </si>
  <si>
    <t>LIXEIRA PLAST CPEDAL AZ 120L SUPERPRO1X3</t>
  </si>
  <si>
    <t>SP9358BR/3</t>
  </si>
  <si>
    <t>LIXEIRA PLAST CPEDAL BR 120L SUPERPRO1X3</t>
  </si>
  <si>
    <t>SP9358CZ/3</t>
  </si>
  <si>
    <t>LIXEIRA PLAST CPEDAL CZ 120L SUPERPRO1X3</t>
  </si>
  <si>
    <t>SP9358MR/3</t>
  </si>
  <si>
    <t>LIXEIRA PLAST CPEDAL MR 120L SUPERPRO1X3</t>
  </si>
  <si>
    <t>SP9358PD</t>
  </si>
  <si>
    <t>PEDAL LIXEIRA 120L SUPERPRO 1X1</t>
  </si>
  <si>
    <t>SP9358TPMR</t>
  </si>
  <si>
    <t>TAMPA PLASTICA P/LIXEIRA 120L MR 1X1</t>
  </si>
  <si>
    <t>SP9358VD/3</t>
  </si>
  <si>
    <t>LIXEIRA PLAST CPEDAL VD 120L SUPERPRO1X3</t>
  </si>
  <si>
    <t>SP9358VR/3</t>
  </si>
  <si>
    <t>LIXEIRA PLAST CPEDAL VR 120L SUPERPRO1X3</t>
  </si>
  <si>
    <t>SP9359AM/3</t>
  </si>
  <si>
    <t>LIXEIRA PLAST CPEDAL AM 240L SUPERPRO1X3</t>
  </si>
  <si>
    <t>SP9359AZ/3</t>
  </si>
  <si>
    <t>LIXEIRA PLAST CPEDAL AZ 240L SUPERPRO1X3</t>
  </si>
  <si>
    <t>SP9359BR/3</t>
  </si>
  <si>
    <t>LIXEIRA PLAST CPEDAL BR 240L SUPERPRO1X3</t>
  </si>
  <si>
    <t>SP9359CZ/3</t>
  </si>
  <si>
    <t>LIXEIRA PLAST CPEDAL CZ 240L SUPERPRO1X3</t>
  </si>
  <si>
    <t>SP9359MR/3</t>
  </si>
  <si>
    <t>LIXEIRA PLAST CPEDAL MR 240L SUPERPRO1X3</t>
  </si>
  <si>
    <t>SP9359PD</t>
  </si>
  <si>
    <t>PEDAL LIXEIRA 240L SUPERPRO 1X1</t>
  </si>
  <si>
    <t>SP9359TPMR</t>
  </si>
  <si>
    <t>TAMPA PLASTICA P/LIXEIRA 240L MR 1X1</t>
  </si>
  <si>
    <t>SP9359VD/3</t>
  </si>
  <si>
    <t>LIXEIRA PLAST CPEDAL VD 240L SUPERPRO1X3</t>
  </si>
  <si>
    <t>SP9359VR/3</t>
  </si>
  <si>
    <t>LIXEIRA PLAST CPEDAL VR 240L SUPERPRO1X3</t>
  </si>
  <si>
    <t>SP9365</t>
  </si>
  <si>
    <t>SP93660AZ</t>
  </si>
  <si>
    <t>CONTAINER PLASTICO AZ 660L 1X1</t>
  </si>
  <si>
    <t>SP93660BR</t>
  </si>
  <si>
    <t>CONTAINER PLASTICO BR 660L 1X1</t>
  </si>
  <si>
    <t>SP93660CZ</t>
  </si>
  <si>
    <t>CONTAINER PLASTICO CZ 660L 1X1</t>
  </si>
  <si>
    <t>SP93660PR</t>
  </si>
  <si>
    <t>CONTAINER PLASTICO PR 660L 1X1</t>
  </si>
  <si>
    <t>SP93660VD</t>
  </si>
  <si>
    <t>CONTAINER PLASTICO VD 660L 1X1</t>
  </si>
  <si>
    <t>MOP C/ SPRAY SUPERPRO 1X4</t>
  </si>
  <si>
    <t>REFIL MICROF P/SP9370 SUPERPRO 1X6</t>
  </si>
  <si>
    <t>SP9370/2</t>
  </si>
  <si>
    <t>REFIL MICROF USO GERAL P/SP9370 1X6</t>
  </si>
  <si>
    <t>SP9370/3</t>
  </si>
  <si>
    <t>REFIL MICROF LIMP LEVE P/SP9370 1X6</t>
  </si>
  <si>
    <t>LIXEIRA INOX C/PEDAL 3L SUPERPRO 1X6</t>
  </si>
  <si>
    <t>LIXEIRA INOX C/PEDAL 5L SUPERPRO 1X4</t>
  </si>
  <si>
    <t>SP93705PR</t>
  </si>
  <si>
    <t>LIXEIRA INOX C/PEDAL 5L PR FOSCA 1X4</t>
  </si>
  <si>
    <t>RESERVATORIO PLASTICO P/SP9370 1X6</t>
  </si>
  <si>
    <t>LIXEIRA INOX C/PEDAL12L SUPERPRO 1X4</t>
  </si>
  <si>
    <t>SP93712PR</t>
  </si>
  <si>
    <t>LIXEIRA INOX C/PEDAL 12L PR FOSCA 1X4</t>
  </si>
  <si>
    <t>SP9372</t>
  </si>
  <si>
    <t>MOP PLANO SPRAY PROFISSIONAL 1X1</t>
  </si>
  <si>
    <t>LIXEIRA INOX C/PEDAL 20L SUPERPRO 1X2</t>
  </si>
  <si>
    <t>LIXEIRA INOX C/PEDAL 30L SUPERPRO 1X2</t>
  </si>
  <si>
    <t>CESTO MET. P/LIXO 8,5L PR SUPERPRO1X12​​</t>
  </si>
  <si>
    <t>CESTO METAL 12,5L PR SUPERPRO 1X12​​</t>
  </si>
  <si>
    <t>SP93860</t>
  </si>
  <si>
    <t>CJ LIXEIRA PLASTICA SELETIVA 60L 1X1</t>
  </si>
  <si>
    <t>SP93860B</t>
  </si>
  <si>
    <t>BASE PLAST P/CJ LIXEIRA SP93860 1X1</t>
  </si>
  <si>
    <t>SP93860G</t>
  </si>
  <si>
    <t>GANCHO PLASTIC P/BASE SP93860B 1X4</t>
  </si>
  <si>
    <t>SP940610</t>
  </si>
  <si>
    <t>ESPONJA DUPLAFACE SUPERPRO 1X10X10</t>
  </si>
  <si>
    <t>FIBRA VERMELHA AMF GR240 1x10x10</t>
  </si>
  <si>
    <t>SP9441</t>
  </si>
  <si>
    <t>ESPONJA MULT 35X7,5CM SUPERPRO1X120</t>
  </si>
  <si>
    <t>SP9445</t>
  </si>
  <si>
    <t>ESPONJA AZ E BR 24,5X9CM SUPERPRO 1X90</t>
  </si>
  <si>
    <t>ESPONJA MAGICA SUPERPRO 1X24</t>
  </si>
  <si>
    <t>ESPONJA MÁGICA C/3 SUPERPRO 1X24</t>
  </si>
  <si>
    <t>SP9462</t>
  </si>
  <si>
    <t>SP9467</t>
  </si>
  <si>
    <t>FIBRA MF VERMELHA 290 X 100</t>
  </si>
  <si>
    <t>SP9504/3</t>
  </si>
  <si>
    <t>SP9504INB</t>
  </si>
  <si>
    <t>FIBRA LIMPEZA LEVE INBRISA 1X100</t>
  </si>
  <si>
    <t>FIBRA LIMP. PESADA 101x225 SUPERPRO 1X50</t>
  </si>
  <si>
    <t>FIBRA LIMP PESADA 102X260/2 1X5x20</t>
  </si>
  <si>
    <t>SP950953</t>
  </si>
  <si>
    <t>ROLO FIBRA LIMP. LEVE AZUL 0,15MX53M</t>
  </si>
  <si>
    <t>BASE PARA FIBRAS 22CM SOLUTION 1X10</t>
  </si>
  <si>
    <t>BASE PARA FIBRAS 40CM SOLUTION 1X10</t>
  </si>
  <si>
    <t>SP952290FR</t>
  </si>
  <si>
    <t>MANTA VERDE GERAL IND. 1X45</t>
  </si>
  <si>
    <t>SP9635CA</t>
  </si>
  <si>
    <t>DISCO REMOV. PRETO 30CM SUPERPRO 1x10</t>
  </si>
  <si>
    <t>SP9641CA</t>
  </si>
  <si>
    <t>DISCO REMOV. PRETO 41CM SUPERPRO 1X10</t>
  </si>
  <si>
    <t>SP9644CA</t>
  </si>
  <si>
    <t>DISCO REMOV. PRETO 44CM SUPERPRO 1X10</t>
  </si>
  <si>
    <t>SP9651CA</t>
  </si>
  <si>
    <t>DISCO REMOV. PRETO 51CM SUPERPRO 1X10</t>
  </si>
  <si>
    <t>SP9671LR</t>
  </si>
  <si>
    <t>VASSOURA MULTIUSO PLAST S/CABO LR 1X12</t>
  </si>
  <si>
    <t>SP9676AM</t>
  </si>
  <si>
    <t>VASSOURA PLAST S/CABO AM PROCLEAN 1X12</t>
  </si>
  <si>
    <t>SP9676AZ</t>
  </si>
  <si>
    <t>VASSOURA PLAST S/CABO AZ PROCLEAN 1X12</t>
  </si>
  <si>
    <t>SP9676VR</t>
  </si>
  <si>
    <t>VASSOURA PLAST S/CABO VR PROCLEAN 1X12</t>
  </si>
  <si>
    <t>SP9686</t>
  </si>
  <si>
    <t>VASSOURA TPR MULTIUSO S/ CABO 1X6​</t>
  </si>
  <si>
    <t>VASSOURA PLAST LAVA-CAR BOLA SUPERPR 1X6</t>
  </si>
  <si>
    <t>SP9688</t>
  </si>
  <si>
    <t>ESCOVA LAVA-CAR BOLA C/ RESERVATORIO 1x6</t>
  </si>
  <si>
    <t>SP9689</t>
  </si>
  <si>
    <t>MOP MICROFIBRA MULTIUSO C/CABO 1X4​</t>
  </si>
  <si>
    <t>SP9689/1</t>
  </si>
  <si>
    <t>BASE PLAST P/MOP MIC MULTIUSO 1X1​</t>
  </si>
  <si>
    <t>SP9689/2</t>
  </si>
  <si>
    <t>CABO ALUMINIO MULTIUSO 1X1​</t>
  </si>
  <si>
    <t>SP9689R</t>
  </si>
  <si>
    <t>VASSOURA PLAST. PLACA SOLAR SUPERPRO 1X6</t>
  </si>
  <si>
    <t>VASSOURA PLAST. LAVA TUDO SOLUTION 1X6</t>
  </si>
  <si>
    <t>SP9702/6</t>
  </si>
  <si>
    <t>SP9705</t>
  </si>
  <si>
    <t>SUPORTE PLAST PAPEL TOALHA ALAVANCA 1X1</t>
  </si>
  <si>
    <t>SP9706</t>
  </si>
  <si>
    <t>SUPORTE PLAST PAPEL TOALHA AUTOCORTE 1X1</t>
  </si>
  <si>
    <t>SUPORTE PLAST SABON. ESPUMA SUPERPRO1X6</t>
  </si>
  <si>
    <t>SP9707R</t>
  </si>
  <si>
    <t>RESERVATORIO PLAST P/SP9707SUPERPRO 1x6</t>
  </si>
  <si>
    <t>SP9707V</t>
  </si>
  <si>
    <t>VALVULA PLASTICO P/SP9707 1X12</t>
  </si>
  <si>
    <t>SP9710</t>
  </si>
  <si>
    <t>DISPENSADOR P/ COPO DE 200ML 1X6</t>
  </si>
  <si>
    <t>SP9711</t>
  </si>
  <si>
    <t>DISPENSADOR PLASTICO P/COPO 50ML 1X6</t>
  </si>
  <si>
    <t>TOALHEIRO PLAST AUTO CORTE SUPERPRO 1X1</t>
  </si>
  <si>
    <t>SUPORTE PLAST SABONETE ESP.SUPERPRO 1X6</t>
  </si>
  <si>
    <t>SP9716R</t>
  </si>
  <si>
    <t>RESERVTORIO PLAST P/SP9716 1X10</t>
  </si>
  <si>
    <t>PULVERIZADOR MULT PLAST 1L SUPERPRO 1X6</t>
  </si>
  <si>
    <t>PULVERIZADOR MULT PLAST 2L SUPERPRO 1X6</t>
  </si>
  <si>
    <t>SP9720</t>
  </si>
  <si>
    <t>SP9721</t>
  </si>
  <si>
    <t>SP9722</t>
  </si>
  <si>
    <t>SP9724</t>
  </si>
  <si>
    <t>PORTA GUARDANAPO P/MESA PLAST PLUS 1X6​​</t>
  </si>
  <si>
    <t>SP9735CA</t>
  </si>
  <si>
    <t>DISCO POLIDOR MARROM 30CM SUPERPRO 1x10</t>
  </si>
  <si>
    <t>SP9741CA</t>
  </si>
  <si>
    <t>DISCO POLIDOR MARROM 41CM SUPERPRO 1x10</t>
  </si>
  <si>
    <t>SP9751CA</t>
  </si>
  <si>
    <t>DISCO POLIDOR MARROM 51CM SUPERPRO 1x10</t>
  </si>
  <si>
    <t>SP9835CA</t>
  </si>
  <si>
    <t>DISCO LIMPADOR VERDE 35CM SUPERPRO 1x10</t>
  </si>
  <si>
    <t>SP9835HP</t>
  </si>
  <si>
    <t>DISCO LIMP VERDE HPAD ABRASIVO 350MM 1x5</t>
  </si>
  <si>
    <t>SP9841CA</t>
  </si>
  <si>
    <t>DISCO LIMPADOR VERDE 41CM SUPERPRO 1x10</t>
  </si>
  <si>
    <t>SP9841HP</t>
  </si>
  <si>
    <t>DISCO LIMP VERDE HPAD ABRASIVO 410MM 1x5</t>
  </si>
  <si>
    <t>SP9844CA</t>
  </si>
  <si>
    <t>DISCO LIMPADOR VERDE 44CM SUPERPRO 1x10</t>
  </si>
  <si>
    <t>SP9851CA</t>
  </si>
  <si>
    <t>DISCO LIMPADOR VERDE 51CM SUPERPRO 1x10</t>
  </si>
  <si>
    <t>SP9851HP</t>
  </si>
  <si>
    <t>DISCO LIMP VERDE HPAD ABRASIVO 510MM 1x5</t>
  </si>
  <si>
    <t>SP9935CA</t>
  </si>
  <si>
    <t>DISCO LUSTRADOR BRANCO 35CM SUPERPRO1x10</t>
  </si>
  <si>
    <t>SP9941CA</t>
  </si>
  <si>
    <t>DISCO LUSTRADOR BRANCO 41CM SUPERPRO1x10</t>
  </si>
  <si>
    <t>SP9944CA</t>
  </si>
  <si>
    <t>DISCO LUSTRADOR BRANCO 44CM SUPERPRO1x10</t>
  </si>
  <si>
    <t>SP9951CA</t>
  </si>
  <si>
    <t>DISCO LUSTRADOR BRANCO 51CM SUPERPRO1x10</t>
  </si>
  <si>
    <t>SR2207</t>
  </si>
  <si>
    <t>LIXEIRA C/ PEDAL PLASTICO SANREMO 7L</t>
  </si>
  <si>
    <t>SR2207/20</t>
  </si>
  <si>
    <t>SR2209/20</t>
  </si>
  <si>
    <t>LIXEIRA BASCULANTE PLASTICO SANREMO 9L</t>
  </si>
  <si>
    <t>SR2215</t>
  </si>
  <si>
    <t>LIXEIRA C/ PEDAL PLASTICO SANREMO 15L</t>
  </si>
  <si>
    <t>SR2215/20</t>
  </si>
  <si>
    <t>SR271</t>
  </si>
  <si>
    <t>LIXEIRA PLASTICA COM TAMPA 6L</t>
  </si>
  <si>
    <t>SR271/01</t>
  </si>
  <si>
    <t>SR272</t>
  </si>
  <si>
    <t>LIXEIRA PLASTICA COM PEDAL 6L</t>
  </si>
  <si>
    <t>SR273</t>
  </si>
  <si>
    <t>LIXEIRA BASCULANTE PLASTICO SANREMO 4,3L</t>
  </si>
  <si>
    <t>SR273/01</t>
  </si>
  <si>
    <t>LIXEIRA REDONDA BASCULANTE PLASTICO 4,3L</t>
  </si>
  <si>
    <t>SR274/01</t>
  </si>
  <si>
    <t>LIXEIRA RED C/ PEDAL PLAST SANREMO 6,6L</t>
  </si>
  <si>
    <t>SR275/01</t>
  </si>
  <si>
    <t>LIXEIRA RED C/ PEDAL PLAST SANREMO 13,5L</t>
  </si>
  <si>
    <t>SR275/20</t>
  </si>
  <si>
    <t>SR279/20</t>
  </si>
  <si>
    <t>SR281/20</t>
  </si>
  <si>
    <t>SR357/1</t>
  </si>
  <si>
    <t>SR590/3</t>
  </si>
  <si>
    <t>SR62/1</t>
  </si>
  <si>
    <t>LIXEIRA BASCULANTE PLASTICO SANREMO 15L</t>
  </si>
  <si>
    <t>SR64/21</t>
  </si>
  <si>
    <t>LIXEIRA SELETIVA AZUL PLAST SANREMO 40L</t>
  </si>
  <si>
    <t>SR64/22</t>
  </si>
  <si>
    <t>LIXEIRA SELETIVA VERMELHA PL SANREMO 40L</t>
  </si>
  <si>
    <t>SR64/23</t>
  </si>
  <si>
    <t>LIXEIRA SELETIVA AMARELA PL SANREMO 40L</t>
  </si>
  <si>
    <t>SR64/24</t>
  </si>
  <si>
    <t>LIXEIRA SELETIVA VERDE PLAST SANREMO 40L</t>
  </si>
  <si>
    <t>SR64/25</t>
  </si>
  <si>
    <t>LIXEIRA SELETIVA MARROM PL SANREMO 40L</t>
  </si>
  <si>
    <t>0805</t>
  </si>
  <si>
    <t>ETIQ SUPERPRO - LACRE</t>
  </si>
  <si>
    <t>ETIQ 9404</t>
  </si>
  <si>
    <t>CX 9915 - DISCO 150</t>
  </si>
  <si>
    <t>ETIQ 9031C</t>
  </si>
  <si>
    <t>CX 9030</t>
  </si>
  <si>
    <t>CX SP9442</t>
  </si>
  <si>
    <t>SACO PEBD MASTER 34X52CM 10MIC​​</t>
  </si>
  <si>
    <t>SACO PEBD SP18150PRR 17,5X35CM 8MIC</t>
  </si>
  <si>
    <t>SACO PEBD 48X73CM 10MIC</t>
  </si>
  <si>
    <t>ACESSORIO 860-A</t>
  </si>
  <si>
    <t>ROTULO SACO PARA LIXO SP18105PRL</t>
  </si>
  <si>
    <t>ROTULO SACO PARA LIXO SP18150PRL</t>
  </si>
  <si>
    <t>AC 865-A</t>
  </si>
  <si>
    <t>0806</t>
  </si>
  <si>
    <t>SP18250LAN</t>
  </si>
  <si>
    <t>SACO LIXO PLAST 250L LV SUPERPRO1X1X50</t>
  </si>
  <si>
    <t>SP18250MAN</t>
  </si>
  <si>
    <t>SACO LIXO PLAST 250L MD SUPERPRO1X1X50</t>
  </si>
  <si>
    <t>TOTAL</t>
  </si>
  <si>
    <t>COMPRA</t>
  </si>
  <si>
    <t>DEPOSITO ALMOXARIFADO SUPERPRO</t>
  </si>
  <si>
    <t xml:space="preserve">DEPOSITO ALMOX E PRODUÇÃO BETTANIN </t>
  </si>
  <si>
    <t>REQUISIÇÃO</t>
  </si>
  <si>
    <t>PEDIDO</t>
  </si>
  <si>
    <t>STATUS</t>
  </si>
  <si>
    <t>4505399014/00050</t>
  </si>
  <si>
    <t>DATA</t>
  </si>
  <si>
    <t>4505398723/00020</t>
  </si>
  <si>
    <t>18.08.2026</t>
  </si>
  <si>
    <t>14.08.2026</t>
  </si>
  <si>
    <t xml:space="preserve">ACESSÓRIOS </t>
  </si>
  <si>
    <t>CAIXAS</t>
  </si>
  <si>
    <t>ETIQUETAS</t>
  </si>
  <si>
    <t>FILMES</t>
  </si>
  <si>
    <t>ROTULO</t>
  </si>
  <si>
    <t>SACO</t>
  </si>
  <si>
    <t>OUTROS</t>
  </si>
  <si>
    <t>CAIXA</t>
  </si>
  <si>
    <t>ETIQUETA</t>
  </si>
  <si>
    <t>VALVULA</t>
  </si>
  <si>
    <t>ITENS COMPRADOS (SANREMO)</t>
  </si>
  <si>
    <t>ITENS COMPRADOS (BETTANIN)</t>
  </si>
  <si>
    <t>FRASCO</t>
  </si>
  <si>
    <t>JUMBO</t>
  </si>
  <si>
    <t>PERFIL</t>
  </si>
  <si>
    <t>PIGMENTO</t>
  </si>
  <si>
    <t>4505337207/00050</t>
  </si>
  <si>
    <t>30.07.2026</t>
  </si>
  <si>
    <t>4505398940/00010</t>
  </si>
  <si>
    <t>12.08.2026</t>
  </si>
  <si>
    <t>4505069593/00060</t>
  </si>
  <si>
    <t>27.03.2026</t>
  </si>
  <si>
    <t>4505337207/00040</t>
  </si>
  <si>
    <t>4505398940/00020</t>
  </si>
  <si>
    <t>13.08.2026</t>
  </si>
  <si>
    <t>4505336966/00200</t>
  </si>
  <si>
    <t>31.07.2026</t>
  </si>
  <si>
    <t>0048471083/0001</t>
  </si>
  <si>
    <t>12.11.2025</t>
  </si>
  <si>
    <t>4505193833/00010</t>
  </si>
  <si>
    <t>28.05.2026</t>
  </si>
  <si>
    <t>4505398940/00030</t>
  </si>
  <si>
    <t>4505390348/00020</t>
  </si>
  <si>
    <t>17.08.2026</t>
  </si>
  <si>
    <t>4505399014/00010</t>
  </si>
  <si>
    <t>4505336966/00190</t>
  </si>
  <si>
    <t>4505398940/00040</t>
  </si>
  <si>
    <t>4505336966/00180
4505399014/00020</t>
  </si>
  <si>
    <t>31.07.2026
13.08.2026</t>
  </si>
  <si>
    <t>4505398940/00050</t>
  </si>
  <si>
    <t>4505399014/00030</t>
  </si>
  <si>
    <t>4505337207/00140</t>
  </si>
  <si>
    <t>4505398940/00060</t>
  </si>
  <si>
    <t>14.07.2026 - 
17.08.2026</t>
  </si>
  <si>
    <t>4505327845/00020 -
4505399014/00060</t>
  </si>
  <si>
    <t>4505399014/00070</t>
  </si>
  <si>
    <t>4505289458/00010</t>
  </si>
  <si>
    <t>22.06.2026</t>
  </si>
  <si>
    <t>4505119848/00010</t>
  </si>
  <si>
    <t>30.04.2026</t>
  </si>
  <si>
    <t>4505398723/00040</t>
  </si>
  <si>
    <t>4505398723/00030</t>
  </si>
  <si>
    <t>0020738249/00010 *</t>
  </si>
  <si>
    <t>18.03.2026</t>
  </si>
  <si>
    <t>4505069682/00010</t>
  </si>
  <si>
    <t>25.03.2026</t>
  </si>
  <si>
    <t>QUANTIDADE</t>
  </si>
  <si>
    <t>50- 
500</t>
  </si>
  <si>
    <t>4505069679/00020</t>
  </si>
  <si>
    <t>19.03.2026</t>
  </si>
  <si>
    <t>4504984352/00020</t>
  </si>
  <si>
    <t>30.01.2026</t>
  </si>
  <si>
    <t>4505069679/00010</t>
  </si>
  <si>
    <t>31.03.2026</t>
  </si>
  <si>
    <t>0017784066/00010 *</t>
  </si>
  <si>
    <t>01.07.2025</t>
  </si>
  <si>
    <t>4505389096/00010</t>
  </si>
  <si>
    <t>15.07.2026</t>
  </si>
  <si>
    <t>4505389096/00020</t>
  </si>
  <si>
    <t>0022250181/00010 *</t>
  </si>
  <si>
    <t>4502501875/00010 - 
4505257256/00010</t>
  </si>
  <si>
    <t>420 - 
28.306</t>
  </si>
  <si>
    <t>03.08.2020 - 
01.07.2026</t>
  </si>
  <si>
    <t>4505163692/00040</t>
  </si>
  <si>
    <t>11.08.2026</t>
  </si>
  <si>
    <t>4503912889/00010</t>
  </si>
  <si>
    <t>14.02.2023</t>
  </si>
  <si>
    <t>4503012528/00080 - 
4503055437/00020</t>
  </si>
  <si>
    <t>7.840 - 
12.000</t>
  </si>
  <si>
    <t>23.04.2021-
21.05.2021</t>
  </si>
  <si>
    <t>0016750913/00070 *</t>
  </si>
  <si>
    <t>27.08.2025</t>
  </si>
  <si>
    <t>0020676084/00040 *</t>
  </si>
  <si>
    <t>09.06.2026</t>
  </si>
  <si>
    <t>0020676084/00080 *</t>
  </si>
  <si>
    <t>0020676084/00050 *</t>
  </si>
  <si>
    <t>0020676084/00020 *</t>
  </si>
  <si>
    <t>0020676084/00060 *</t>
  </si>
  <si>
    <t>0020676084/00030 *</t>
  </si>
  <si>
    <t>0020676084/00070 *</t>
  </si>
  <si>
    <t>0020676084/00010 *</t>
  </si>
  <si>
    <t>4502978693/00030 - 
4504053484/00030</t>
  </si>
  <si>
    <t>0017448935/00080 *</t>
  </si>
  <si>
    <t>02.07.2021-
06.06.2023-
21.10.2025</t>
  </si>
  <si>
    <t>4502978693/00040</t>
  </si>
  <si>
    <t>0018049916/00080 * - 
0020373822/00060 *</t>
  </si>
  <si>
    <t>1008 -
396*-
20*</t>
  </si>
  <si>
    <t>1.008-
2.100-
108*</t>
  </si>
  <si>
    <t>02.07.2021-
11.12.2025*-
13.05.2026*</t>
  </si>
  <si>
    <t>0014198475/00010 *</t>
  </si>
  <si>
    <t>06.02.2025</t>
  </si>
  <si>
    <t>4505082899/00010</t>
  </si>
  <si>
    <t>13.04.2026</t>
  </si>
  <si>
    <t>4504293600/00010
4504521212/00010
4504533114/00010
4504646727/00030
4504755240/00030
4504798583/00010
4504800807/00010
4505167885/00010</t>
  </si>
  <si>
    <t>472
46
174
233
2.926
340
340
2.330</t>
  </si>
  <si>
    <t>27.02.2024
07.08.2024
10.09.2024
12.05.2025
30.09.2025
23.10.2025
24.10.2025
24.04.2026</t>
  </si>
  <si>
    <t>4503837032/00020
4503837726/00030
4504692431/00030
4504755240/00020
4505063836/00030
4505385692/00010
4505385702/00010
4505394071/00010
4505394124/00010</t>
  </si>
  <si>
    <t>5.625
389
1.021
316
90
676
6.757
8.245
5.911</t>
  </si>
  <si>
    <t>21.12.2022
21.12.2022
13.08.2025
30.09.2025
09.03.2026
30.07.2026
30.07.2026
04.08.2026
04.08.2026</t>
  </si>
  <si>
    <t>4503991599/00010
4504646727/00010
4505385692/00020</t>
  </si>
  <si>
    <t>202
482
1.175</t>
  </si>
  <si>
    <t>27.04.2023
12.05.2025
30.07.2026</t>
  </si>
  <si>
    <t>0013673974/00040 *</t>
  </si>
  <si>
    <t>4504293600/00040
4504533114/00040
4504798583/00030</t>
  </si>
  <si>
    <t>418*
256
173
4.304</t>
  </si>
  <si>
    <t>27.02.2024
19.07.2024*
10.09.2024
23.10.2025</t>
  </si>
  <si>
    <t>4504692431/00040
4504798583/00050
4504800807/00050
4504921368/00090
4505063836/00040
4505284919/00010
4505394071/00020</t>
  </si>
  <si>
    <t>177
6.917
5.144
1.426
659
5
1.079</t>
  </si>
  <si>
    <t>13.08.2025
23.10.2025
24.10.2025
19.12.2025
09.03.2026
11.06.2026
04.08.2026</t>
  </si>
  <si>
    <t>4504692431/00010</t>
  </si>
  <si>
    <t>13.08.2025</t>
  </si>
  <si>
    <t>4504293600/00030
4504342457/00030
4504533114/00030
4504798583/00020
4504800807/00020</t>
  </si>
  <si>
    <t>0013673974/00030 *</t>
  </si>
  <si>
    <t>354
11
221
3.810
921
97*</t>
  </si>
  <si>
    <t>27.02.2024
27.03.2024
10.09.2024
23.10.2025
24.10.2025
19.07.2024*</t>
  </si>
  <si>
    <t>4504798583/00040
4504800807/00040
4504871891/00040
4505063836/00020</t>
  </si>
  <si>
    <t>2.167
343
2.761
328</t>
  </si>
  <si>
    <t>23.10.2025
24.10.2025
29.12.2025
09.03.2026</t>
  </si>
  <si>
    <t>4504293600/00020
4504533114/00020
4504670266/00010</t>
  </si>
  <si>
    <t>0013673974/00020 *</t>
  </si>
  <si>
    <t>89
92*
155
1.890</t>
  </si>
  <si>
    <t>27.02.2024
19.07.2024*
10.09.2024
04.07.2025</t>
  </si>
  <si>
    <t>4503837032/00030
4504692431/00020</t>
  </si>
  <si>
    <t>276
6.566</t>
  </si>
  <si>
    <t>21.12.2022
13.08.2025</t>
  </si>
  <si>
    <t>0021783249/00010 *</t>
  </si>
  <si>
    <t>4505387472/00010
4505387472/00020</t>
  </si>
  <si>
    <t>25.000
25.000</t>
  </si>
  <si>
    <t>14.08.2026
28.08.2026</t>
  </si>
  <si>
    <t>4505069862/00010</t>
  </si>
  <si>
    <t>0021511766/00010 *</t>
  </si>
  <si>
    <t>482
200*</t>
  </si>
  <si>
    <t>20.03.2026
10.06.2026*</t>
  </si>
  <si>
    <t>0016269062/00020 *</t>
  </si>
  <si>
    <t>0021511766/00020 *</t>
  </si>
  <si>
    <t>200*</t>
  </si>
  <si>
    <t>5200*</t>
  </si>
  <si>
    <t>0021893262/00010 *</t>
  </si>
  <si>
    <t>14.07.2026</t>
  </si>
  <si>
    <t>8250*</t>
  </si>
  <si>
    <t>400
500</t>
  </si>
  <si>
    <t>4505399014/00040</t>
  </si>
  <si>
    <t>4505398940/00070</t>
  </si>
  <si>
    <t>4505336966/00100</t>
  </si>
  <si>
    <t>4505398940/00080</t>
  </si>
  <si>
    <t>4505398940/00090</t>
  </si>
  <si>
    <t>4505336966/00010</t>
  </si>
  <si>
    <t>4505336966/00090</t>
  </si>
  <si>
    <t>4505069593/00180</t>
  </si>
  <si>
    <t>4505336966/00160</t>
  </si>
  <si>
    <t>4505336966/00130</t>
  </si>
  <si>
    <t>4505398940/00100</t>
  </si>
  <si>
    <t>4505336966/00030</t>
  </si>
  <si>
    <t>4505398940/00110</t>
  </si>
  <si>
    <t>4505398940/00120</t>
  </si>
  <si>
    <t>4505163349/00010</t>
  </si>
  <si>
    <t>22.04.2026</t>
  </si>
  <si>
    <t>4505398940/00130</t>
  </si>
  <si>
    <t>4505399014/00080</t>
  </si>
  <si>
    <t>4505398940/00140</t>
  </si>
  <si>
    <t>12,08,2026</t>
  </si>
  <si>
    <t>4505151853/00010</t>
  </si>
  <si>
    <t>23.04.2026</t>
  </si>
  <si>
    <t>4505398017/00020</t>
  </si>
  <si>
    <t>4505398017/00010</t>
  </si>
  <si>
    <t>4505398017/00030</t>
  </si>
  <si>
    <t>4505067934/00030</t>
  </si>
  <si>
    <t>17.03.2026</t>
  </si>
  <si>
    <t>0022267384/00010
0022267385/00010</t>
  </si>
  <si>
    <t>4.566
2.160</t>
  </si>
  <si>
    <t>24.08.2026
24.08.2026</t>
  </si>
  <si>
    <t>4505069682/00020
4505398723/00010</t>
  </si>
  <si>
    <t>10.000
5.000</t>
  </si>
  <si>
    <t>25.03.2026
17.08.2026</t>
  </si>
  <si>
    <t>4505390341/00010</t>
  </si>
  <si>
    <t>25.08.2026</t>
  </si>
  <si>
    <t>4505120124/00010
4505398510/00010</t>
  </si>
  <si>
    <t>500
318,500</t>
  </si>
  <si>
    <t>07.04.2026
07.08.2026</t>
  </si>
  <si>
    <t>4505400020/00010</t>
  </si>
  <si>
    <t>4505069541/00040</t>
  </si>
  <si>
    <t>4505060238/00010</t>
  </si>
  <si>
    <t>4505142714/00030</t>
  </si>
  <si>
    <t>4505398182/00010</t>
  </si>
  <si>
    <t>4505069541/00070</t>
  </si>
  <si>
    <t>4505142714/00050</t>
  </si>
  <si>
    <t>29.04.2026</t>
  </si>
  <si>
    <t>4505067862/00030</t>
  </si>
  <si>
    <t>13.03.2026</t>
  </si>
  <si>
    <t>4505012267/00020
4505069541/00050</t>
  </si>
  <si>
    <t>2.000
2.000</t>
  </si>
  <si>
    <t>26.02.2026
27.03.2026</t>
  </si>
  <si>
    <t>0022247719/00010
0022247720/00010</t>
  </si>
  <si>
    <t>7.700
1.200</t>
  </si>
  <si>
    <t>21.08.2026
21.08.2026</t>
  </si>
  <si>
    <t>0022266620/00010</t>
  </si>
  <si>
    <t>0022268369/00010</t>
  </si>
  <si>
    <t>10.09.2026</t>
  </si>
  <si>
    <t>0022247576/00010</t>
  </si>
  <si>
    <t>21.08.2026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</si>
</sst>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.000"/>
  </numFmts>
  <fonts count="9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4" fontId="1" fillId="0" borderId="0" xfId="0" applyNumberFormat="1" applyFont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vertical="top"/>
    </xf>
    <xf numFmtId="0" fontId="0" fillId="2" borderId="0" xfId="0" applyFill="1" applyAlignment="1">
      <alignment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4" fontId="1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horizontal="right" vertical="top"/>
    </xf>
    <xf numFmtId="4" fontId="1" fillId="0" borderId="3" xfId="0" applyNumberFormat="1" applyFont="1" applyBorder="1" applyAlignment="1">
      <alignment vertical="top"/>
    </xf>
    <xf numFmtId="0" fontId="0" fillId="0" borderId="3" xfId="0" applyBorder="1" applyAlignment="1">
      <alignment vertical="top"/>
    </xf>
    <xf numFmtId="164" fontId="0" fillId="0" borderId="4" xfId="1" applyNumberFormat="1" applyFont="1" applyBorder="1" applyAlignment="1">
      <alignment vertical="top"/>
    </xf>
    <xf numFmtId="164" fontId="0" fillId="0" borderId="6" xfId="1" applyNumberFormat="1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8" xfId="0" applyFont="1" applyBorder="1" applyAlignment="1">
      <alignment horizontal="right" vertical="top"/>
    </xf>
    <xf numFmtId="4" fontId="1" fillId="0" borderId="8" xfId="0" applyNumberFormat="1" applyFont="1" applyBorder="1" applyAlignment="1">
      <alignment vertical="top"/>
    </xf>
    <xf numFmtId="0" fontId="0" fillId="0" borderId="8" xfId="0" applyBorder="1" applyAlignment="1">
      <alignment vertical="top"/>
    </xf>
    <xf numFmtId="164" fontId="0" fillId="0" borderId="9" xfId="1" applyNumberFormat="1" applyFont="1" applyBorder="1" applyAlignment="1">
      <alignment vertical="top"/>
    </xf>
    <xf numFmtId="164" fontId="0" fillId="0" borderId="0" xfId="1" applyNumberFormat="1" applyFont="1" applyBorder="1" applyAlignment="1">
      <alignment vertical="top"/>
    </xf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0" fontId="1" fillId="0" borderId="11" xfId="0" applyFont="1" applyBorder="1" applyAlignment="1">
      <alignment vertical="top"/>
    </xf>
    <xf numFmtId="0" fontId="1" fillId="0" borderId="11" xfId="0" applyFont="1" applyBorder="1" applyAlignment="1">
      <alignment horizontal="right" vertical="top"/>
    </xf>
    <xf numFmtId="4" fontId="1" fillId="0" borderId="11" xfId="0" applyNumberFormat="1" applyFont="1" applyBorder="1" applyAlignment="1">
      <alignment vertical="top"/>
    </xf>
    <xf numFmtId="0" fontId="0" fillId="0" borderId="11" xfId="0" applyBorder="1" applyAlignment="1">
      <alignment vertical="top"/>
    </xf>
    <xf numFmtId="164" fontId="0" fillId="0" borderId="12" xfId="1" applyNumberFormat="1" applyFont="1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vertical="top"/>
    </xf>
    <xf numFmtId="3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0" fontId="1" fillId="4" borderId="0" xfId="0" applyFont="1" applyFill="1" applyAlignment="1">
      <alignment vertical="top"/>
    </xf>
    <xf numFmtId="165" fontId="1" fillId="4" borderId="0" xfId="0" applyNumberFormat="1" applyFont="1" applyFill="1" applyAlignment="1">
      <alignment vertical="top"/>
    </xf>
    <xf numFmtId="4" fontId="1" fillId="4" borderId="0" xfId="0" applyNumberFormat="1" applyFont="1" applyFill="1" applyAlignment="1">
      <alignment vertical="top"/>
    </xf>
    <xf numFmtId="3" fontId="1" fillId="4" borderId="0" xfId="0" applyNumberFormat="1" applyFont="1" applyFill="1" applyAlignment="1">
      <alignment vertical="top"/>
    </xf>
    <xf numFmtId="0" fontId="7" fillId="0" borderId="1" xfId="0" applyFont="1" applyBorder="1" applyAlignment="1">
      <alignment horizontal="right" vertical="top"/>
    </xf>
    <xf numFmtId="0" fontId="7" fillId="0" borderId="1" xfId="0" applyFont="1" applyBorder="1" applyAlignment="1">
      <alignment vertical="top"/>
    </xf>
    <xf numFmtId="43" fontId="5" fillId="0" borderId="1" xfId="1" applyFont="1" applyBorder="1"/>
    <xf numFmtId="0" fontId="6" fillId="0" borderId="0" xfId="0" applyFont="1"/>
    <xf numFmtId="164" fontId="5" fillId="0" borderId="1" xfId="1" applyNumberFormat="1" applyFont="1" applyBorder="1"/>
    <xf numFmtId="0" fontId="7" fillId="0" borderId="16" xfId="0" applyFont="1" applyBorder="1" applyAlignment="1">
      <alignment vertical="top"/>
    </xf>
    <xf numFmtId="164" fontId="5" fillId="0" borderId="16" xfId="1" applyNumberFormat="1" applyFont="1" applyBorder="1"/>
    <xf numFmtId="43" fontId="5" fillId="0" borderId="16" xfId="1" applyFont="1" applyBorder="1"/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3" fontId="6" fillId="0" borderId="11" xfId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7" xfId="0" applyFont="1" applyBorder="1" applyAlignment="1">
      <alignment horizontal="center" vertical="center"/>
    </xf>
    <xf numFmtId="164" fontId="5" fillId="0" borderId="18" xfId="1" applyNumberFormat="1" applyFont="1" applyFill="1" applyBorder="1"/>
    <xf numFmtId="164" fontId="5" fillId="0" borderId="19" xfId="1" applyNumberFormat="1" applyFont="1" applyFill="1" applyBorder="1"/>
    <xf numFmtId="0" fontId="5" fillId="0" borderId="1" xfId="0" applyFont="1" applyBorder="1"/>
    <xf numFmtId="14" fontId="5" fillId="0" borderId="1" xfId="0" applyNumberFormat="1" applyFont="1" applyBorder="1"/>
    <xf numFmtId="0" fontId="5" fillId="0" borderId="16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/>
    <xf numFmtId="164" fontId="5" fillId="0" borderId="18" xfId="1" applyNumberFormat="1" applyFont="1" applyBorder="1"/>
    <xf numFmtId="164" fontId="5" fillId="0" borderId="19" xfId="1" applyNumberFormat="1" applyFont="1" applyBorder="1"/>
    <xf numFmtId="0" fontId="6" fillId="0" borderId="21" xfId="0" applyFont="1" applyBorder="1" applyAlignment="1">
      <alignment horizontal="center"/>
    </xf>
    <xf numFmtId="0" fontId="5" fillId="0" borderId="22" xfId="0" applyFont="1" applyBorder="1"/>
    <xf numFmtId="0" fontId="5" fillId="0" borderId="23" xfId="0" applyFont="1" applyBorder="1"/>
    <xf numFmtId="0" fontId="6" fillId="0" borderId="20" xfId="0" applyFont="1" applyBorder="1" applyAlignment="1">
      <alignment horizontal="center" vertical="center"/>
    </xf>
    <xf numFmtId="164" fontId="5" fillId="0" borderId="24" xfId="1" applyNumberFormat="1" applyFont="1" applyFill="1" applyBorder="1"/>
    <xf numFmtId="164" fontId="5" fillId="0" borderId="25" xfId="1" applyNumberFormat="1" applyFont="1" applyFill="1" applyBorder="1"/>
    <xf numFmtId="164" fontId="5" fillId="0" borderId="26" xfId="1" applyNumberFormat="1" applyFont="1" applyFill="1" applyBorder="1"/>
    <xf numFmtId="0" fontId="7" fillId="5" borderId="16" xfId="0" applyFont="1" applyFill="1" applyBorder="1" applyAlignment="1">
      <alignment horizontal="right" vertical="top"/>
    </xf>
    <xf numFmtId="0" fontId="7" fillId="0" borderId="0" xfId="0" applyFont="1" applyAlignment="1">
      <alignment vertical="top"/>
    </xf>
    <xf numFmtId="164" fontId="5" fillId="0" borderId="0" xfId="1" applyNumberFormat="1" applyFont="1" applyBorder="1"/>
    <xf numFmtId="164" fontId="5" fillId="0" borderId="0" xfId="1" applyNumberFormat="1" applyFont="1" applyFill="1" applyBorder="1"/>
    <xf numFmtId="0" fontId="7" fillId="0" borderId="0" xfId="0" applyFont="1" applyAlignment="1">
      <alignment horizontal="right" vertical="top"/>
    </xf>
    <xf numFmtId="0" fontId="7" fillId="0" borderId="16" xfId="0" applyFont="1" applyBorder="1" applyAlignment="1">
      <alignment horizontal="right" vertical="top"/>
    </xf>
    <xf numFmtId="43" fontId="5" fillId="0" borderId="1" xfId="1" applyFont="1" applyFill="1" applyBorder="1"/>
    <xf numFmtId="0" fontId="5" fillId="0" borderId="1" xfId="0" applyFont="1" applyBorder="1" applyAlignment="1">
      <alignment wrapText="1"/>
    </xf>
    <xf numFmtId="3" fontId="5" fillId="0" borderId="1" xfId="0" applyNumberFormat="1" applyFont="1" applyBorder="1"/>
    <xf numFmtId="0" fontId="5" fillId="0" borderId="23" xfId="0" applyFont="1" applyBorder="1" applyAlignment="1">
      <alignment wrapText="1"/>
    </xf>
    <xf numFmtId="3" fontId="5" fillId="0" borderId="1" xfId="0" applyNumberFormat="1" applyFont="1" applyBorder="1" applyAlignment="1">
      <alignment wrapText="1"/>
    </xf>
    <xf numFmtId="3" fontId="5" fillId="0" borderId="16" xfId="0" applyNumberFormat="1" applyFont="1" applyBorder="1"/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5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122465</xdr:colOff>
      <xdr:row>1</xdr:row>
      <xdr:rowOff>54429</xdr:rowOff>
    </xdr:from>
    <xdr:to>
      <xdr:col>1</xdr:col>
      <xdr:colOff>272144</xdr:colOff>
      <xdr:row>1</xdr:row>
      <xdr:rowOff>495258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86E5220-0230-8B6E-F934-131C80BBF2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08" t="19535" r="3389" b="19070"/>
        <a:stretch>
          <a:fillRect/>
        </a:stretch>
      </xdr:blipFill>
      <xdr:spPr>
        <a:xfrm>
          <a:off x="122465" y="258536"/>
          <a:ext cx="1279072" cy="440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9AC4-59F8-4888-8BBC-004DD055A287}">
  <dimension ref="A1:P2622"/>
  <sheetViews>
    <sheetView showGridLines="0" zoomScale="70" zoomScaleNormal="70" workbookViewId="0">
      <pane ySplit="2" topLeftCell="A2528" activePane="bottomLeft" state="frozen"/>
      <selection pane="bottomLeft" activeCell="I2553" sqref="I2553"/>
    </sheetView>
  </sheetViews>
  <sheetFormatPr defaultRowHeight="15" x14ac:dyDescent="0.25"/>
  <cols>
    <col min="1" max="1" width="14.5703125" style="4" customWidth="1"/>
    <col min="2" max="2" width="14.5703125" style="5" bestFit="1" customWidth="1"/>
    <col min="3" max="3" width="54" style="5" bestFit="1" customWidth="1"/>
    <col min="4" max="4" width="9.140625" style="5" bestFit="1" customWidth="1"/>
    <col min="5" max="5" width="25.42578125" style="5" customWidth="1"/>
    <col min="6" max="6" width="8.85546875" style="5" bestFit="1" customWidth="1"/>
    <col min="7" max="7" width="13.5703125" style="5" customWidth="1"/>
    <col min="8" max="8" width="9.28515625" style="5" bestFit="1" customWidth="1"/>
    <col min="9" max="9" width="14.42578125" style="5" bestFit="1" customWidth="1"/>
    <col min="10" max="10" width="53.140625" style="5" bestFit="1" customWidth="1"/>
    <col min="11" max="11" width="9.140625" style="5" bestFit="1" customWidth="1"/>
    <col min="12" max="12" width="25.42578125" style="5" bestFit="1" customWidth="1"/>
    <col min="13" max="13" width="13.42578125" style="5" bestFit="1" customWidth="1"/>
    <col min="14" max="14" width="6.85546875" style="5" bestFit="1" customWidth="1"/>
    <col min="15" max="15" width="13.85546875" style="5" bestFit="1" customWidth="1"/>
    <col min="16" max="16" width="15.42578125" style="5" bestFit="1" customWidth="1"/>
    <col min="17" max="16384" width="9.140625" style="5"/>
  </cols>
  <sheetData>
    <row r="1" spans="1:16" x14ac:dyDescent="0.25">
      <c r="A1" s="6"/>
      <c r="B1" s="7" t="s">
        <v>185</v>
      </c>
      <c r="C1" s="7" t="s">
        <v>185</v>
      </c>
      <c r="D1" s="7" t="s">
        <v>185</v>
      </c>
      <c r="E1" s="7" t="s">
        <v>185</v>
      </c>
      <c r="F1" s="7" t="s">
        <v>185</v>
      </c>
      <c r="G1" s="7" t="s">
        <v>185</v>
      </c>
      <c r="H1" s="7" t="s">
        <v>185</v>
      </c>
      <c r="I1" s="7" t="s">
        <v>185</v>
      </c>
      <c r="J1" s="7" t="s">
        <v>185</v>
      </c>
      <c r="K1" s="7" t="s">
        <v>185</v>
      </c>
      <c r="L1" s="7" t="s">
        <v>185</v>
      </c>
      <c r="M1" s="7" t="s">
        <v>185</v>
      </c>
      <c r="N1" s="7" t="s">
        <v>185</v>
      </c>
      <c r="O1" s="8"/>
      <c r="P1" s="8"/>
    </row>
    <row r="2" spans="1:16" x14ac:dyDescent="0.25">
      <c r="A2" s="36" t="s">
        <v>1834</v>
      </c>
      <c r="B2" s="37" t="s">
        <v>5</v>
      </c>
      <c r="C2" s="37" t="s">
        <v>6</v>
      </c>
      <c r="D2" s="37" t="s">
        <v>8</v>
      </c>
      <c r="E2" s="37" t="s">
        <v>9</v>
      </c>
      <c r="F2" s="37" t="s">
        <v>10</v>
      </c>
      <c r="G2" s="37" t="s">
        <v>11</v>
      </c>
      <c r="H2" s="37" t="s">
        <v>12</v>
      </c>
      <c r="I2" s="37" t="s">
        <v>5</v>
      </c>
      <c r="J2" s="37" t="s">
        <v>6</v>
      </c>
      <c r="K2" s="37" t="s">
        <v>8</v>
      </c>
      <c r="L2" s="37" t="s">
        <v>9</v>
      </c>
      <c r="M2" s="37" t="s">
        <v>13</v>
      </c>
      <c r="N2" s="37" t="s">
        <v>14</v>
      </c>
      <c r="O2" s="36" t="s">
        <v>1833</v>
      </c>
      <c r="P2" s="36" t="s">
        <v>2051</v>
      </c>
    </row>
    <row r="3" spans="1:16" ht="15.75" thickBot="1" x14ac:dyDescent="0.3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  <c r="P3" s="11">
        <f>IFERROR(VLOOKUP($A4,'PROGRAMA MES '!$A:$B,2,0),0)</f>
        <v>2760</v>
      </c>
    </row>
    <row r="4" spans="1:16" x14ac:dyDescent="0.25">
      <c r="A4" s="89">
        <f>B4</f>
        <v>9007</v>
      </c>
      <c r="B4" s="17">
        <v>9007</v>
      </c>
      <c r="C4" s="17" t="s">
        <v>7</v>
      </c>
      <c r="D4" s="17">
        <v>99</v>
      </c>
      <c r="E4" s="17" t="s">
        <v>15</v>
      </c>
      <c r="F4" s="17">
        <v>1</v>
      </c>
      <c r="G4" s="17" t="s">
        <v>16</v>
      </c>
      <c r="H4" s="17" t="s">
        <v>17</v>
      </c>
      <c r="I4" s="18">
        <v>4000138</v>
      </c>
      <c r="J4" s="17" t="s">
        <v>18</v>
      </c>
      <c r="K4" s="17">
        <v>99</v>
      </c>
      <c r="L4" s="17" t="s">
        <v>15</v>
      </c>
      <c r="M4" s="19">
        <v>1667</v>
      </c>
      <c r="N4" s="17" t="s">
        <v>1</v>
      </c>
      <c r="O4" s="20">
        <f>M4/10000</f>
        <v>0.16669999999999999</v>
      </c>
      <c r="P4" s="21">
        <f>O4*$P$3</f>
        <v>460.09199999999998</v>
      </c>
    </row>
    <row r="5" spans="1:16" x14ac:dyDescent="0.25">
      <c r="A5" s="91"/>
      <c r="B5" s="13">
        <v>9007</v>
      </c>
      <c r="C5" s="13" t="s">
        <v>7</v>
      </c>
      <c r="D5" s="13">
        <v>99</v>
      </c>
      <c r="E5" s="13" t="s">
        <v>15</v>
      </c>
      <c r="F5" s="13">
        <v>1</v>
      </c>
      <c r="G5" s="13" t="s">
        <v>16</v>
      </c>
      <c r="H5" s="13" t="s">
        <v>17</v>
      </c>
      <c r="I5" s="14">
        <v>4001340</v>
      </c>
      <c r="J5" s="13" t="s">
        <v>19</v>
      </c>
      <c r="K5" s="13">
        <v>99</v>
      </c>
      <c r="L5" s="13" t="s">
        <v>15</v>
      </c>
      <c r="M5" s="13">
        <v>834</v>
      </c>
      <c r="N5" s="13" t="s">
        <v>1</v>
      </c>
      <c r="O5" s="16">
        <f t="shared" ref="O5:O8" si="0">M5/10000</f>
        <v>8.3400000000000002E-2</v>
      </c>
      <c r="P5" s="22">
        <f>O5*$P$3</f>
        <v>230.184</v>
      </c>
    </row>
    <row r="6" spans="1:16" x14ac:dyDescent="0.25">
      <c r="A6" s="91"/>
      <c r="B6" s="13">
        <v>9007</v>
      </c>
      <c r="C6" s="13" t="s">
        <v>7</v>
      </c>
      <c r="D6" s="13">
        <v>99</v>
      </c>
      <c r="E6" s="13" t="s">
        <v>15</v>
      </c>
      <c r="F6" s="13">
        <v>1</v>
      </c>
      <c r="G6" s="13" t="s">
        <v>16</v>
      </c>
      <c r="H6" s="13" t="s">
        <v>17</v>
      </c>
      <c r="I6" s="14">
        <v>4002360</v>
      </c>
      <c r="J6" s="13" t="s">
        <v>20</v>
      </c>
      <c r="K6" s="13">
        <v>99</v>
      </c>
      <c r="L6" s="13" t="s">
        <v>15</v>
      </c>
      <c r="M6" s="15">
        <v>10000</v>
      </c>
      <c r="N6" s="13" t="s">
        <v>1</v>
      </c>
      <c r="O6" s="16">
        <f t="shared" si="0"/>
        <v>1</v>
      </c>
      <c r="P6" s="22">
        <f>O6*$P$3</f>
        <v>2760</v>
      </c>
    </row>
    <row r="7" spans="1:16" x14ac:dyDescent="0.25">
      <c r="A7" s="91"/>
      <c r="B7" s="13">
        <v>9007</v>
      </c>
      <c r="C7" s="13" t="s">
        <v>7</v>
      </c>
      <c r="D7" s="13">
        <v>99</v>
      </c>
      <c r="E7" s="13" t="s">
        <v>15</v>
      </c>
      <c r="F7" s="13">
        <v>1</v>
      </c>
      <c r="G7" s="13" t="s">
        <v>16</v>
      </c>
      <c r="H7" s="13" t="s">
        <v>17</v>
      </c>
      <c r="I7" s="14">
        <v>4002826</v>
      </c>
      <c r="J7" s="13" t="s">
        <v>4</v>
      </c>
      <c r="K7" s="13">
        <v>99</v>
      </c>
      <c r="L7" s="13" t="s">
        <v>15</v>
      </c>
      <c r="M7" s="13">
        <v>10</v>
      </c>
      <c r="N7" s="13" t="s">
        <v>1</v>
      </c>
      <c r="O7" s="16">
        <f t="shared" si="0"/>
        <v>1E-3</v>
      </c>
      <c r="P7" s="22">
        <f>O7*$P$3</f>
        <v>2.7600000000000002</v>
      </c>
    </row>
    <row r="8" spans="1:16" ht="15.75" thickBot="1" x14ac:dyDescent="0.3">
      <c r="A8" s="90"/>
      <c r="B8" s="23">
        <v>9007</v>
      </c>
      <c r="C8" s="23" t="s">
        <v>7</v>
      </c>
      <c r="D8" s="23">
        <v>99</v>
      </c>
      <c r="E8" s="23" t="s">
        <v>15</v>
      </c>
      <c r="F8" s="23">
        <v>1</v>
      </c>
      <c r="G8" s="23" t="s">
        <v>21</v>
      </c>
      <c r="H8" s="23" t="s">
        <v>17</v>
      </c>
      <c r="I8" s="24" t="s">
        <v>22</v>
      </c>
      <c r="J8" s="23" t="s">
        <v>23</v>
      </c>
      <c r="K8" s="23">
        <v>3</v>
      </c>
      <c r="L8" s="23" t="s">
        <v>24</v>
      </c>
      <c r="M8" s="25">
        <v>10000</v>
      </c>
      <c r="N8" s="23" t="s">
        <v>1</v>
      </c>
      <c r="O8" s="26">
        <f t="shared" si="0"/>
        <v>1</v>
      </c>
      <c r="P8" s="27">
        <f>O8*$P$3</f>
        <v>2760</v>
      </c>
    </row>
    <row r="9" spans="1:16" x14ac:dyDescent="0.25">
      <c r="B9" s="1"/>
      <c r="C9" s="1"/>
      <c r="D9" s="1"/>
      <c r="E9" s="1"/>
      <c r="F9" s="1"/>
      <c r="G9" s="1"/>
      <c r="H9" s="1"/>
      <c r="I9" s="2"/>
      <c r="J9" s="1"/>
      <c r="K9" s="1"/>
      <c r="L9" s="1"/>
      <c r="M9" s="3"/>
      <c r="N9" s="1"/>
    </row>
    <row r="10" spans="1:16" ht="15.75" thickBot="1" x14ac:dyDescent="0.3">
      <c r="B10" s="1"/>
      <c r="C10" s="1"/>
      <c r="D10" s="1"/>
      <c r="E10" s="1"/>
      <c r="F10" s="1"/>
      <c r="G10" s="1"/>
      <c r="H10" s="1"/>
      <c r="I10" s="2"/>
      <c r="J10" s="1"/>
      <c r="K10" s="1"/>
      <c r="L10" s="1"/>
      <c r="M10" s="3"/>
      <c r="N10" s="1"/>
      <c r="P10" s="11">
        <f>IFERROR(VLOOKUP($A11,'PROGRAMA MES '!$A:$B,2,0),0)</f>
        <v>14400</v>
      </c>
    </row>
    <row r="11" spans="1:16" x14ac:dyDescent="0.25">
      <c r="A11" s="89">
        <f>B11</f>
        <v>9010</v>
      </c>
      <c r="B11" s="17">
        <v>9010</v>
      </c>
      <c r="C11" s="17" t="s">
        <v>25</v>
      </c>
      <c r="D11" s="17">
        <v>99</v>
      </c>
      <c r="E11" s="17" t="s">
        <v>15</v>
      </c>
      <c r="F11" s="17">
        <v>1</v>
      </c>
      <c r="G11" s="17" t="s">
        <v>16</v>
      </c>
      <c r="H11" s="17" t="s">
        <v>17</v>
      </c>
      <c r="I11" s="18">
        <v>4002366</v>
      </c>
      <c r="J11" s="17" t="s">
        <v>26</v>
      </c>
      <c r="K11" s="17">
        <v>99</v>
      </c>
      <c r="L11" s="17" t="s">
        <v>15</v>
      </c>
      <c r="M11" s="19">
        <v>10000</v>
      </c>
      <c r="N11" s="17" t="s">
        <v>1</v>
      </c>
      <c r="O11" s="20">
        <f t="shared" ref="O11:O13" si="1">M11/10000</f>
        <v>1</v>
      </c>
      <c r="P11" s="21">
        <f>O11*$P$10</f>
        <v>14400</v>
      </c>
    </row>
    <row r="12" spans="1:16" x14ac:dyDescent="0.25">
      <c r="A12" s="91"/>
      <c r="B12" s="13">
        <v>9010</v>
      </c>
      <c r="C12" s="13" t="s">
        <v>25</v>
      </c>
      <c r="D12" s="13">
        <v>99</v>
      </c>
      <c r="E12" s="13" t="s">
        <v>15</v>
      </c>
      <c r="F12" s="13">
        <v>1</v>
      </c>
      <c r="G12" s="13" t="s">
        <v>16</v>
      </c>
      <c r="H12" s="13" t="s">
        <v>17</v>
      </c>
      <c r="I12" s="14">
        <v>4012138</v>
      </c>
      <c r="J12" s="13" t="s">
        <v>27</v>
      </c>
      <c r="K12" s="13">
        <v>99</v>
      </c>
      <c r="L12" s="13" t="s">
        <v>15</v>
      </c>
      <c r="M12" s="13">
        <v>44.17</v>
      </c>
      <c r="N12" s="13" t="s">
        <v>3</v>
      </c>
      <c r="O12" s="16">
        <f t="shared" si="1"/>
        <v>4.4169999999999999E-3</v>
      </c>
      <c r="P12" s="22">
        <f>O12*$P$10</f>
        <v>63.604799999999997</v>
      </c>
    </row>
    <row r="13" spans="1:16" ht="15.75" thickBot="1" x14ac:dyDescent="0.3">
      <c r="A13" s="90"/>
      <c r="B13" s="23">
        <v>9010</v>
      </c>
      <c r="C13" s="23" t="s">
        <v>25</v>
      </c>
      <c r="D13" s="23">
        <v>99</v>
      </c>
      <c r="E13" s="23" t="s">
        <v>15</v>
      </c>
      <c r="F13" s="23">
        <v>1</v>
      </c>
      <c r="G13" s="23" t="s">
        <v>21</v>
      </c>
      <c r="H13" s="23" t="s">
        <v>17</v>
      </c>
      <c r="I13" s="24" t="s">
        <v>28</v>
      </c>
      <c r="J13" s="23" t="s">
        <v>29</v>
      </c>
      <c r="K13" s="23">
        <v>3</v>
      </c>
      <c r="L13" s="23" t="s">
        <v>24</v>
      </c>
      <c r="M13" s="25">
        <v>10000</v>
      </c>
      <c r="N13" s="23" t="s">
        <v>1</v>
      </c>
      <c r="O13" s="26">
        <f t="shared" si="1"/>
        <v>1</v>
      </c>
      <c r="P13" s="27">
        <f>O13*$P$10</f>
        <v>14400</v>
      </c>
    </row>
    <row r="14" spans="1:16" x14ac:dyDescent="0.25">
      <c r="B14" s="1"/>
      <c r="C14" s="1"/>
      <c r="D14" s="1"/>
      <c r="E14" s="1"/>
      <c r="F14" s="1"/>
      <c r="G14" s="1"/>
      <c r="H14" s="1"/>
      <c r="I14" s="2"/>
      <c r="J14" s="1"/>
      <c r="K14" s="1"/>
      <c r="L14" s="1"/>
      <c r="M14" s="3"/>
      <c r="N14" s="1"/>
    </row>
    <row r="15" spans="1:16" ht="15.75" thickBot="1" x14ac:dyDescent="0.3">
      <c r="B15" s="1"/>
      <c r="C15" s="1"/>
      <c r="D15" s="1"/>
      <c r="E15" s="1"/>
      <c r="F15" s="1"/>
      <c r="G15" s="1"/>
      <c r="H15" s="1"/>
      <c r="I15" s="2"/>
      <c r="J15" s="1"/>
      <c r="K15" s="1"/>
      <c r="L15" s="1"/>
      <c r="M15" s="3"/>
      <c r="N15" s="1"/>
      <c r="P15" s="11">
        <f>IFERROR(VLOOKUP($A16,'PROGRAMA MES '!$A:$B,2,0),0)</f>
        <v>1200</v>
      </c>
    </row>
    <row r="16" spans="1:16" x14ac:dyDescent="0.25">
      <c r="A16" s="89">
        <f>B16</f>
        <v>9012</v>
      </c>
      <c r="B16" s="17">
        <v>9012</v>
      </c>
      <c r="C16" s="17" t="s">
        <v>30</v>
      </c>
      <c r="D16" s="17">
        <v>99</v>
      </c>
      <c r="E16" s="17" t="s">
        <v>15</v>
      </c>
      <c r="F16" s="17">
        <v>1</v>
      </c>
      <c r="G16" s="17" t="s">
        <v>16</v>
      </c>
      <c r="H16" s="17" t="s">
        <v>17</v>
      </c>
      <c r="I16" s="18">
        <v>4002368</v>
      </c>
      <c r="J16" s="17" t="s">
        <v>31</v>
      </c>
      <c r="K16" s="17">
        <v>99</v>
      </c>
      <c r="L16" s="17" t="s">
        <v>15</v>
      </c>
      <c r="M16" s="19">
        <v>10000</v>
      </c>
      <c r="N16" s="17" t="s">
        <v>1</v>
      </c>
      <c r="O16" s="20">
        <f t="shared" ref="O16:O18" si="2">M16/10000</f>
        <v>1</v>
      </c>
      <c r="P16" s="21">
        <f>O16*$P$15</f>
        <v>1200</v>
      </c>
    </row>
    <row r="17" spans="1:16" x14ac:dyDescent="0.25">
      <c r="A17" s="91"/>
      <c r="B17" s="13">
        <v>9012</v>
      </c>
      <c r="C17" s="13" t="s">
        <v>30</v>
      </c>
      <c r="D17" s="13">
        <v>99</v>
      </c>
      <c r="E17" s="13" t="s">
        <v>15</v>
      </c>
      <c r="F17" s="13">
        <v>1</v>
      </c>
      <c r="G17" s="13" t="s">
        <v>16</v>
      </c>
      <c r="H17" s="13" t="s">
        <v>17</v>
      </c>
      <c r="I17" s="14">
        <v>4002826</v>
      </c>
      <c r="J17" s="13" t="s">
        <v>4</v>
      </c>
      <c r="K17" s="13">
        <v>99</v>
      </c>
      <c r="L17" s="13" t="s">
        <v>15</v>
      </c>
      <c r="M17" s="13">
        <v>1</v>
      </c>
      <c r="N17" s="13" t="s">
        <v>1</v>
      </c>
      <c r="O17" s="16">
        <f t="shared" si="2"/>
        <v>1E-4</v>
      </c>
      <c r="P17" s="22">
        <f t="shared" ref="P17:P18" si="3">O17*$P$15</f>
        <v>0.12000000000000001</v>
      </c>
    </row>
    <row r="18" spans="1:16" ht="15.75" thickBot="1" x14ac:dyDescent="0.3">
      <c r="A18" s="90"/>
      <c r="B18" s="23">
        <v>9012</v>
      </c>
      <c r="C18" s="23" t="s">
        <v>30</v>
      </c>
      <c r="D18" s="23">
        <v>99</v>
      </c>
      <c r="E18" s="23" t="s">
        <v>15</v>
      </c>
      <c r="F18" s="23">
        <v>1</v>
      </c>
      <c r="G18" s="23" t="s">
        <v>21</v>
      </c>
      <c r="H18" s="23" t="s">
        <v>17</v>
      </c>
      <c r="I18" s="24" t="s">
        <v>32</v>
      </c>
      <c r="J18" s="23" t="s">
        <v>33</v>
      </c>
      <c r="K18" s="23">
        <v>3</v>
      </c>
      <c r="L18" s="23" t="s">
        <v>24</v>
      </c>
      <c r="M18" s="25">
        <v>10000</v>
      </c>
      <c r="N18" s="23" t="s">
        <v>1</v>
      </c>
      <c r="O18" s="26">
        <f t="shared" si="2"/>
        <v>1</v>
      </c>
      <c r="P18" s="27">
        <f t="shared" si="3"/>
        <v>1200</v>
      </c>
    </row>
    <row r="19" spans="1:16" x14ac:dyDescent="0.25">
      <c r="B19" s="1"/>
      <c r="C19" s="1"/>
      <c r="D19" s="1"/>
      <c r="E19" s="1"/>
      <c r="F19" s="1"/>
      <c r="G19" s="1"/>
      <c r="H19" s="1"/>
      <c r="I19" s="2"/>
      <c r="J19" s="1"/>
      <c r="K19" s="1"/>
      <c r="L19" s="1"/>
      <c r="M19" s="3"/>
      <c r="N19" s="1"/>
    </row>
    <row r="20" spans="1:16" ht="15.75" thickBot="1" x14ac:dyDescent="0.3">
      <c r="B20" s="1"/>
      <c r="C20" s="1"/>
      <c r="D20" s="1"/>
      <c r="E20" s="1"/>
      <c r="F20" s="1"/>
      <c r="G20" s="1"/>
      <c r="H20" s="1"/>
      <c r="I20" s="2"/>
      <c r="J20" s="1"/>
      <c r="K20" s="1"/>
      <c r="L20" s="1"/>
      <c r="M20" s="3"/>
      <c r="N20" s="1"/>
      <c r="P20" s="11">
        <f>IFERROR(VLOOKUP($A21,'PROGRAMA MES '!$A:$B,2,0),0)</f>
        <v>0</v>
      </c>
    </row>
    <row r="21" spans="1:16" x14ac:dyDescent="0.25">
      <c r="A21" s="89">
        <f>B21</f>
        <v>9014</v>
      </c>
      <c r="B21" s="17">
        <v>9014</v>
      </c>
      <c r="C21" s="17" t="s">
        <v>34</v>
      </c>
      <c r="D21" s="17">
        <v>99</v>
      </c>
      <c r="E21" s="17" t="s">
        <v>15</v>
      </c>
      <c r="F21" s="17">
        <v>1</v>
      </c>
      <c r="G21" s="17" t="s">
        <v>35</v>
      </c>
      <c r="H21" s="17" t="s">
        <v>17</v>
      </c>
      <c r="I21" s="18">
        <v>3005652</v>
      </c>
      <c r="J21" s="17" t="s">
        <v>36</v>
      </c>
      <c r="K21" s="17">
        <v>99</v>
      </c>
      <c r="L21" s="17" t="s">
        <v>15</v>
      </c>
      <c r="M21" s="19">
        <v>10000</v>
      </c>
      <c r="N21" s="17" t="s">
        <v>1</v>
      </c>
      <c r="O21" s="20">
        <f t="shared" ref="O21:O26" si="4">M21/10000</f>
        <v>1</v>
      </c>
      <c r="P21" s="21">
        <f>O21*$P$20</f>
        <v>0</v>
      </c>
    </row>
    <row r="22" spans="1:16" x14ac:dyDescent="0.25">
      <c r="A22" s="91"/>
      <c r="B22" s="13">
        <v>9014</v>
      </c>
      <c r="C22" s="13" t="s">
        <v>34</v>
      </c>
      <c r="D22" s="13">
        <v>99</v>
      </c>
      <c r="E22" s="13" t="s">
        <v>15</v>
      </c>
      <c r="F22" s="13">
        <v>1</v>
      </c>
      <c r="G22" s="13" t="s">
        <v>35</v>
      </c>
      <c r="H22" s="13" t="s">
        <v>17</v>
      </c>
      <c r="I22" s="14">
        <v>3005679</v>
      </c>
      <c r="J22" s="13" t="s">
        <v>37</v>
      </c>
      <c r="K22" s="13">
        <v>99</v>
      </c>
      <c r="L22" s="13" t="s">
        <v>15</v>
      </c>
      <c r="M22" s="15">
        <v>10000</v>
      </c>
      <c r="N22" s="13" t="s">
        <v>1</v>
      </c>
      <c r="O22" s="16">
        <f t="shared" si="4"/>
        <v>1</v>
      </c>
      <c r="P22" s="22">
        <f t="shared" ref="P22:P26" si="5">O22*$P$20</f>
        <v>0</v>
      </c>
    </row>
    <row r="23" spans="1:16" x14ac:dyDescent="0.25">
      <c r="A23" s="91"/>
      <c r="B23" s="13">
        <v>9014</v>
      </c>
      <c r="C23" s="13" t="s">
        <v>34</v>
      </c>
      <c r="D23" s="13">
        <v>99</v>
      </c>
      <c r="E23" s="13" t="s">
        <v>15</v>
      </c>
      <c r="F23" s="13">
        <v>1</v>
      </c>
      <c r="G23" s="13" t="s">
        <v>16</v>
      </c>
      <c r="H23" s="13" t="s">
        <v>17</v>
      </c>
      <c r="I23" s="14">
        <v>4002370</v>
      </c>
      <c r="J23" s="13" t="s">
        <v>38</v>
      </c>
      <c r="K23" s="13">
        <v>99</v>
      </c>
      <c r="L23" s="13" t="s">
        <v>15</v>
      </c>
      <c r="M23" s="15">
        <v>10000</v>
      </c>
      <c r="N23" s="13" t="s">
        <v>1</v>
      </c>
      <c r="O23" s="16">
        <f t="shared" si="4"/>
        <v>1</v>
      </c>
      <c r="P23" s="22">
        <f t="shared" si="5"/>
        <v>0</v>
      </c>
    </row>
    <row r="24" spans="1:16" x14ac:dyDescent="0.25">
      <c r="A24" s="91"/>
      <c r="B24" s="13">
        <v>9014</v>
      </c>
      <c r="C24" s="13" t="s">
        <v>34</v>
      </c>
      <c r="D24" s="13">
        <v>99</v>
      </c>
      <c r="E24" s="13" t="s">
        <v>15</v>
      </c>
      <c r="F24" s="13">
        <v>1</v>
      </c>
      <c r="G24" s="13" t="s">
        <v>16</v>
      </c>
      <c r="H24" s="13" t="s">
        <v>17</v>
      </c>
      <c r="I24" s="14">
        <v>4002826</v>
      </c>
      <c r="J24" s="13" t="s">
        <v>4</v>
      </c>
      <c r="K24" s="13">
        <v>99</v>
      </c>
      <c r="L24" s="13" t="s">
        <v>15</v>
      </c>
      <c r="M24" s="13">
        <v>20</v>
      </c>
      <c r="N24" s="13" t="s">
        <v>1</v>
      </c>
      <c r="O24" s="16">
        <f t="shared" si="4"/>
        <v>2E-3</v>
      </c>
      <c r="P24" s="22">
        <f t="shared" si="5"/>
        <v>0</v>
      </c>
    </row>
    <row r="25" spans="1:16" x14ac:dyDescent="0.25">
      <c r="A25" s="91"/>
      <c r="B25" s="13">
        <v>9014</v>
      </c>
      <c r="C25" s="13" t="s">
        <v>34</v>
      </c>
      <c r="D25" s="13">
        <v>99</v>
      </c>
      <c r="E25" s="13" t="s">
        <v>15</v>
      </c>
      <c r="F25" s="13">
        <v>1</v>
      </c>
      <c r="G25" s="13" t="s">
        <v>16</v>
      </c>
      <c r="H25" s="13" t="s">
        <v>17</v>
      </c>
      <c r="I25" s="14">
        <v>4003583</v>
      </c>
      <c r="J25" s="13" t="s">
        <v>39</v>
      </c>
      <c r="K25" s="13">
        <v>99</v>
      </c>
      <c r="L25" s="13" t="s">
        <v>15</v>
      </c>
      <c r="M25" s="15">
        <v>1667</v>
      </c>
      <c r="N25" s="13" t="s">
        <v>1</v>
      </c>
      <c r="O25" s="16">
        <f t="shared" si="4"/>
        <v>0.16669999999999999</v>
      </c>
      <c r="P25" s="22">
        <f t="shared" si="5"/>
        <v>0</v>
      </c>
    </row>
    <row r="26" spans="1:16" ht="15.75" thickBot="1" x14ac:dyDescent="0.3">
      <c r="A26" s="90"/>
      <c r="B26" s="23">
        <v>9014</v>
      </c>
      <c r="C26" s="23" t="s">
        <v>34</v>
      </c>
      <c r="D26" s="23">
        <v>99</v>
      </c>
      <c r="E26" s="23" t="s">
        <v>15</v>
      </c>
      <c r="F26" s="23">
        <v>1</v>
      </c>
      <c r="G26" s="23" t="s">
        <v>16</v>
      </c>
      <c r="H26" s="23" t="s">
        <v>17</v>
      </c>
      <c r="I26" s="24">
        <v>4003593</v>
      </c>
      <c r="J26" s="23" t="s">
        <v>40</v>
      </c>
      <c r="K26" s="23">
        <v>99</v>
      </c>
      <c r="L26" s="23" t="s">
        <v>15</v>
      </c>
      <c r="M26" s="25">
        <v>1667</v>
      </c>
      <c r="N26" s="23" t="s">
        <v>1</v>
      </c>
      <c r="O26" s="26">
        <f t="shared" si="4"/>
        <v>0.16669999999999999</v>
      </c>
      <c r="P26" s="27">
        <f t="shared" si="5"/>
        <v>0</v>
      </c>
    </row>
    <row r="27" spans="1:16" x14ac:dyDescent="0.25">
      <c r="B27" s="1"/>
      <c r="C27" s="1"/>
      <c r="D27" s="1"/>
      <c r="E27" s="1"/>
      <c r="F27" s="1"/>
      <c r="G27" s="1"/>
      <c r="H27" s="1"/>
      <c r="I27" s="2"/>
      <c r="J27" s="1"/>
      <c r="K27" s="1"/>
      <c r="L27" s="1"/>
      <c r="M27" s="3"/>
      <c r="N27" s="1"/>
      <c r="P27" s="28"/>
    </row>
    <row r="28" spans="1:16" ht="15.75" thickBot="1" x14ac:dyDescent="0.3"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3"/>
      <c r="N28" s="1"/>
      <c r="P28" s="11">
        <f>IFERROR(VLOOKUP($A29,'PROGRAMA MES '!$A:$B,2,0),0)</f>
        <v>3600</v>
      </c>
    </row>
    <row r="29" spans="1:16" x14ac:dyDescent="0.25">
      <c r="A29" s="89">
        <f>B29</f>
        <v>9015</v>
      </c>
      <c r="B29" s="17">
        <v>9015</v>
      </c>
      <c r="C29" s="17" t="s">
        <v>41</v>
      </c>
      <c r="D29" s="17">
        <v>99</v>
      </c>
      <c r="E29" s="17" t="s">
        <v>15</v>
      </c>
      <c r="F29" s="17">
        <v>1</v>
      </c>
      <c r="G29" s="17" t="s">
        <v>16</v>
      </c>
      <c r="H29" s="17" t="s">
        <v>17</v>
      </c>
      <c r="I29" s="18">
        <v>4002371</v>
      </c>
      <c r="J29" s="17" t="s">
        <v>42</v>
      </c>
      <c r="K29" s="17">
        <v>99</v>
      </c>
      <c r="L29" s="17" t="s">
        <v>15</v>
      </c>
      <c r="M29" s="19">
        <v>10000</v>
      </c>
      <c r="N29" s="17" t="s">
        <v>1</v>
      </c>
      <c r="O29" s="20">
        <f t="shared" ref="O29:O30" si="6">M29/10000</f>
        <v>1</v>
      </c>
      <c r="P29" s="21">
        <f>O29*$P$28</f>
        <v>3600</v>
      </c>
    </row>
    <row r="30" spans="1:16" ht="15.75" thickBot="1" x14ac:dyDescent="0.3">
      <c r="A30" s="90"/>
      <c r="B30" s="23">
        <v>9015</v>
      </c>
      <c r="C30" s="23" t="s">
        <v>41</v>
      </c>
      <c r="D30" s="23">
        <v>99</v>
      </c>
      <c r="E30" s="23" t="s">
        <v>15</v>
      </c>
      <c r="F30" s="23">
        <v>1</v>
      </c>
      <c r="G30" s="23" t="s">
        <v>21</v>
      </c>
      <c r="H30" s="23" t="s">
        <v>17</v>
      </c>
      <c r="I30" s="24" t="s">
        <v>43</v>
      </c>
      <c r="J30" s="23" t="s">
        <v>44</v>
      </c>
      <c r="K30" s="23">
        <v>3</v>
      </c>
      <c r="L30" s="23" t="s">
        <v>24</v>
      </c>
      <c r="M30" s="25">
        <v>10000</v>
      </c>
      <c r="N30" s="23" t="s">
        <v>1</v>
      </c>
      <c r="O30" s="26">
        <f t="shared" si="6"/>
        <v>1</v>
      </c>
      <c r="P30" s="27">
        <f>O30*$P$28</f>
        <v>3600</v>
      </c>
    </row>
    <row r="31" spans="1:16" x14ac:dyDescent="0.25"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3"/>
      <c r="N31" s="1"/>
    </row>
    <row r="32" spans="1:16" ht="15.75" thickBot="1" x14ac:dyDescent="0.3"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3"/>
      <c r="N32" s="1"/>
      <c r="P32" s="11">
        <f>IFERROR(VLOOKUP($A33,'PROGRAMA MES '!$A:$B,2,0),0)</f>
        <v>0</v>
      </c>
    </row>
    <row r="33" spans="1:16" x14ac:dyDescent="0.25">
      <c r="A33" s="89">
        <f>B33</f>
        <v>9019</v>
      </c>
      <c r="B33" s="17">
        <v>9019</v>
      </c>
      <c r="C33" s="17" t="s">
        <v>45</v>
      </c>
      <c r="D33" s="17">
        <v>99</v>
      </c>
      <c r="E33" s="17" t="s">
        <v>15</v>
      </c>
      <c r="F33" s="17">
        <v>1</v>
      </c>
      <c r="G33" s="17" t="s">
        <v>35</v>
      </c>
      <c r="H33" s="17" t="s">
        <v>17</v>
      </c>
      <c r="I33" s="18">
        <v>3005651</v>
      </c>
      <c r="J33" s="17" t="s">
        <v>46</v>
      </c>
      <c r="K33" s="17">
        <v>99</v>
      </c>
      <c r="L33" s="17" t="s">
        <v>15</v>
      </c>
      <c r="M33" s="19">
        <v>10000</v>
      </c>
      <c r="N33" s="17" t="s">
        <v>1</v>
      </c>
      <c r="O33" s="20">
        <f t="shared" ref="O33:O38" si="7">M33/10000</f>
        <v>1</v>
      </c>
      <c r="P33" s="21">
        <f>O33*$P$32</f>
        <v>0</v>
      </c>
    </row>
    <row r="34" spans="1:16" x14ac:dyDescent="0.25">
      <c r="A34" s="91"/>
      <c r="B34" s="13">
        <v>9019</v>
      </c>
      <c r="C34" s="13" t="s">
        <v>45</v>
      </c>
      <c r="D34" s="13">
        <v>99</v>
      </c>
      <c r="E34" s="13" t="s">
        <v>15</v>
      </c>
      <c r="F34" s="13">
        <v>1</v>
      </c>
      <c r="G34" s="13" t="s">
        <v>35</v>
      </c>
      <c r="H34" s="13" t="s">
        <v>17</v>
      </c>
      <c r="I34" s="14">
        <v>3005680</v>
      </c>
      <c r="J34" s="13" t="s">
        <v>47</v>
      </c>
      <c r="K34" s="13">
        <v>99</v>
      </c>
      <c r="L34" s="13" t="s">
        <v>15</v>
      </c>
      <c r="M34" s="15">
        <v>10000</v>
      </c>
      <c r="N34" s="13" t="s">
        <v>1</v>
      </c>
      <c r="O34" s="16">
        <f t="shared" si="7"/>
        <v>1</v>
      </c>
      <c r="P34" s="22">
        <f t="shared" ref="P34:P38" si="8">O34*$P$32</f>
        <v>0</v>
      </c>
    </row>
    <row r="35" spans="1:16" x14ac:dyDescent="0.25">
      <c r="A35" s="91"/>
      <c r="B35" s="13">
        <v>9019</v>
      </c>
      <c r="C35" s="13" t="s">
        <v>45</v>
      </c>
      <c r="D35" s="13">
        <v>99</v>
      </c>
      <c r="E35" s="13" t="s">
        <v>15</v>
      </c>
      <c r="F35" s="13">
        <v>1</v>
      </c>
      <c r="G35" s="13" t="s">
        <v>35</v>
      </c>
      <c r="H35" s="13" t="s">
        <v>17</v>
      </c>
      <c r="I35" s="14">
        <v>3005681</v>
      </c>
      <c r="J35" s="13" t="s">
        <v>48</v>
      </c>
      <c r="K35" s="13">
        <v>99</v>
      </c>
      <c r="L35" s="13" t="s">
        <v>15</v>
      </c>
      <c r="M35" s="15">
        <v>10000</v>
      </c>
      <c r="N35" s="13" t="s">
        <v>1</v>
      </c>
      <c r="O35" s="16">
        <f t="shared" si="7"/>
        <v>1</v>
      </c>
      <c r="P35" s="22">
        <f t="shared" si="8"/>
        <v>0</v>
      </c>
    </row>
    <row r="36" spans="1:16" x14ac:dyDescent="0.25">
      <c r="A36" s="91"/>
      <c r="B36" s="13">
        <v>9019</v>
      </c>
      <c r="C36" s="13" t="s">
        <v>45</v>
      </c>
      <c r="D36" s="13">
        <v>99</v>
      </c>
      <c r="E36" s="13" t="s">
        <v>15</v>
      </c>
      <c r="F36" s="13">
        <v>1</v>
      </c>
      <c r="G36" s="13" t="s">
        <v>16</v>
      </c>
      <c r="H36" s="13" t="s">
        <v>17</v>
      </c>
      <c r="I36" s="14">
        <v>4002373</v>
      </c>
      <c r="J36" s="13" t="s">
        <v>49</v>
      </c>
      <c r="K36" s="13">
        <v>99</v>
      </c>
      <c r="L36" s="13" t="s">
        <v>15</v>
      </c>
      <c r="M36" s="15">
        <v>10000</v>
      </c>
      <c r="N36" s="13" t="s">
        <v>1</v>
      </c>
      <c r="O36" s="16">
        <f t="shared" si="7"/>
        <v>1</v>
      </c>
      <c r="P36" s="22">
        <f t="shared" si="8"/>
        <v>0</v>
      </c>
    </row>
    <row r="37" spans="1:16" x14ac:dyDescent="0.25">
      <c r="A37" s="91"/>
      <c r="B37" s="13">
        <v>9019</v>
      </c>
      <c r="C37" s="13" t="s">
        <v>45</v>
      </c>
      <c r="D37" s="13">
        <v>99</v>
      </c>
      <c r="E37" s="13" t="s">
        <v>15</v>
      </c>
      <c r="F37" s="13">
        <v>1</v>
      </c>
      <c r="G37" s="13" t="s">
        <v>16</v>
      </c>
      <c r="H37" s="13" t="s">
        <v>17</v>
      </c>
      <c r="I37" s="14">
        <v>4003583</v>
      </c>
      <c r="J37" s="13" t="s">
        <v>39</v>
      </c>
      <c r="K37" s="13">
        <v>99</v>
      </c>
      <c r="L37" s="13" t="s">
        <v>15</v>
      </c>
      <c r="M37" s="15">
        <v>1667</v>
      </c>
      <c r="N37" s="13" t="s">
        <v>1</v>
      </c>
      <c r="O37" s="16">
        <f t="shared" si="7"/>
        <v>0.16669999999999999</v>
      </c>
      <c r="P37" s="22">
        <f t="shared" si="8"/>
        <v>0</v>
      </c>
    </row>
    <row r="38" spans="1:16" ht="15.75" thickBot="1" x14ac:dyDescent="0.3">
      <c r="A38" s="90"/>
      <c r="B38" s="23">
        <v>9019</v>
      </c>
      <c r="C38" s="23" t="s">
        <v>45</v>
      </c>
      <c r="D38" s="23">
        <v>99</v>
      </c>
      <c r="E38" s="23" t="s">
        <v>15</v>
      </c>
      <c r="F38" s="23">
        <v>1</v>
      </c>
      <c r="G38" s="23" t="s">
        <v>16</v>
      </c>
      <c r="H38" s="23" t="s">
        <v>17</v>
      </c>
      <c r="I38" s="24">
        <v>4003593</v>
      </c>
      <c r="J38" s="23" t="s">
        <v>40</v>
      </c>
      <c r="K38" s="23">
        <v>99</v>
      </c>
      <c r="L38" s="23" t="s">
        <v>15</v>
      </c>
      <c r="M38" s="25">
        <v>1667</v>
      </c>
      <c r="N38" s="23" t="s">
        <v>1</v>
      </c>
      <c r="O38" s="26">
        <f t="shared" si="7"/>
        <v>0.16669999999999999</v>
      </c>
      <c r="P38" s="27">
        <f t="shared" si="8"/>
        <v>0</v>
      </c>
    </row>
    <row r="39" spans="1:16" x14ac:dyDescent="0.25"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3"/>
      <c r="N39" s="1"/>
      <c r="P39" s="28"/>
    </row>
    <row r="40" spans="1:16" ht="15.75" thickBot="1" x14ac:dyDescent="0.3"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3"/>
      <c r="N40" s="1"/>
      <c r="P40" s="11">
        <f>IFERROR(VLOOKUP($A41,'PROGRAMA MES '!$A:$B,2,0),0)</f>
        <v>2400</v>
      </c>
    </row>
    <row r="41" spans="1:16" x14ac:dyDescent="0.25">
      <c r="A41" s="89">
        <f>B41</f>
        <v>9032</v>
      </c>
      <c r="B41" s="17">
        <v>9032</v>
      </c>
      <c r="C41" s="17" t="s">
        <v>50</v>
      </c>
      <c r="D41" s="17">
        <v>99</v>
      </c>
      <c r="E41" s="17" t="s">
        <v>15</v>
      </c>
      <c r="F41" s="17">
        <v>1</v>
      </c>
      <c r="G41" s="17" t="s">
        <v>16</v>
      </c>
      <c r="H41" s="17" t="s">
        <v>17</v>
      </c>
      <c r="I41" s="18">
        <v>4002378</v>
      </c>
      <c r="J41" s="17" t="s">
        <v>51</v>
      </c>
      <c r="K41" s="17">
        <v>99</v>
      </c>
      <c r="L41" s="17" t="s">
        <v>15</v>
      </c>
      <c r="M41" s="19">
        <v>10000</v>
      </c>
      <c r="N41" s="17" t="s">
        <v>1</v>
      </c>
      <c r="O41" s="20">
        <f t="shared" ref="O41:O44" si="9">M41/10000</f>
        <v>1</v>
      </c>
      <c r="P41" s="21">
        <f>O41*$P$40</f>
        <v>2400</v>
      </c>
    </row>
    <row r="42" spans="1:16" x14ac:dyDescent="0.25">
      <c r="A42" s="91"/>
      <c r="B42" s="13">
        <v>9032</v>
      </c>
      <c r="C42" s="13" t="s">
        <v>50</v>
      </c>
      <c r="D42" s="13">
        <v>99</v>
      </c>
      <c r="E42" s="13" t="s">
        <v>15</v>
      </c>
      <c r="F42" s="13">
        <v>1</v>
      </c>
      <c r="G42" s="13" t="s">
        <v>16</v>
      </c>
      <c r="H42" s="13" t="s">
        <v>17</v>
      </c>
      <c r="I42" s="14">
        <v>4002826</v>
      </c>
      <c r="J42" s="13" t="s">
        <v>4</v>
      </c>
      <c r="K42" s="13">
        <v>99</v>
      </c>
      <c r="L42" s="13" t="s">
        <v>15</v>
      </c>
      <c r="M42" s="13">
        <v>20</v>
      </c>
      <c r="N42" s="13" t="s">
        <v>1</v>
      </c>
      <c r="O42" s="16">
        <f t="shared" si="9"/>
        <v>2E-3</v>
      </c>
      <c r="P42" s="22">
        <f t="shared" ref="P42:P44" si="10">O42*$P$40</f>
        <v>4.8</v>
      </c>
    </row>
    <row r="43" spans="1:16" x14ac:dyDescent="0.25">
      <c r="A43" s="91"/>
      <c r="B43" s="13">
        <v>9032</v>
      </c>
      <c r="C43" s="13" t="s">
        <v>50</v>
      </c>
      <c r="D43" s="13">
        <v>99</v>
      </c>
      <c r="E43" s="13" t="s">
        <v>15</v>
      </c>
      <c r="F43" s="13">
        <v>1</v>
      </c>
      <c r="G43" s="13" t="s">
        <v>16</v>
      </c>
      <c r="H43" s="13" t="s">
        <v>17</v>
      </c>
      <c r="I43" s="14">
        <v>4007196</v>
      </c>
      <c r="J43" s="13" t="s">
        <v>52</v>
      </c>
      <c r="K43" s="13">
        <v>99</v>
      </c>
      <c r="L43" s="13" t="s">
        <v>15</v>
      </c>
      <c r="M43" s="15">
        <v>1667</v>
      </c>
      <c r="N43" s="13" t="s">
        <v>1</v>
      </c>
      <c r="O43" s="16">
        <f t="shared" si="9"/>
        <v>0.16669999999999999</v>
      </c>
      <c r="P43" s="22">
        <f t="shared" si="10"/>
        <v>400.08</v>
      </c>
    </row>
    <row r="44" spans="1:16" ht="15.75" thickBot="1" x14ac:dyDescent="0.3">
      <c r="A44" s="90"/>
      <c r="B44" s="23">
        <v>9032</v>
      </c>
      <c r="C44" s="23" t="s">
        <v>50</v>
      </c>
      <c r="D44" s="23">
        <v>99</v>
      </c>
      <c r="E44" s="23" t="s">
        <v>15</v>
      </c>
      <c r="F44" s="23">
        <v>1</v>
      </c>
      <c r="G44" s="23" t="s">
        <v>21</v>
      </c>
      <c r="H44" s="23" t="s">
        <v>17</v>
      </c>
      <c r="I44" s="24" t="s">
        <v>53</v>
      </c>
      <c r="J44" s="23" t="s">
        <v>54</v>
      </c>
      <c r="K44" s="23">
        <v>3</v>
      </c>
      <c r="L44" s="23" t="s">
        <v>24</v>
      </c>
      <c r="M44" s="25">
        <v>10000</v>
      </c>
      <c r="N44" s="23" t="s">
        <v>1</v>
      </c>
      <c r="O44" s="26">
        <f t="shared" si="9"/>
        <v>1</v>
      </c>
      <c r="P44" s="27">
        <f t="shared" si="10"/>
        <v>2400</v>
      </c>
    </row>
    <row r="45" spans="1:16" x14ac:dyDescent="0.25"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3"/>
      <c r="N45" s="1"/>
      <c r="P45" s="28"/>
    </row>
    <row r="46" spans="1:16" ht="15.75" thickBot="1" x14ac:dyDescent="0.3"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3"/>
      <c r="N46" s="1"/>
      <c r="P46" s="11">
        <f>IFERROR(VLOOKUP($A47,'PROGRAMA MES '!$A:$B,2,0),0)</f>
        <v>3600</v>
      </c>
    </row>
    <row r="47" spans="1:16" x14ac:dyDescent="0.25">
      <c r="A47" s="89">
        <f>B47</f>
        <v>9033</v>
      </c>
      <c r="B47" s="17">
        <v>9033</v>
      </c>
      <c r="C47" s="17" t="s">
        <v>55</v>
      </c>
      <c r="D47" s="17">
        <v>99</v>
      </c>
      <c r="E47" s="17" t="s">
        <v>15</v>
      </c>
      <c r="F47" s="17">
        <v>1</v>
      </c>
      <c r="G47" s="17" t="s">
        <v>16</v>
      </c>
      <c r="H47" s="17" t="s">
        <v>17</v>
      </c>
      <c r="I47" s="18">
        <v>4002379</v>
      </c>
      <c r="J47" s="17" t="s">
        <v>56</v>
      </c>
      <c r="K47" s="17">
        <v>99</v>
      </c>
      <c r="L47" s="17" t="s">
        <v>15</v>
      </c>
      <c r="M47" s="19">
        <v>10000</v>
      </c>
      <c r="N47" s="17" t="s">
        <v>1</v>
      </c>
      <c r="O47" s="20">
        <f t="shared" ref="O47:O51" si="11">M47/10000</f>
        <v>1</v>
      </c>
      <c r="P47" s="21">
        <f>O47*$P$46</f>
        <v>3600</v>
      </c>
    </row>
    <row r="48" spans="1:16" x14ac:dyDescent="0.25">
      <c r="A48" s="91"/>
      <c r="B48" s="13">
        <v>9033</v>
      </c>
      <c r="C48" s="13" t="s">
        <v>55</v>
      </c>
      <c r="D48" s="13">
        <v>99</v>
      </c>
      <c r="E48" s="13" t="s">
        <v>15</v>
      </c>
      <c r="F48" s="13">
        <v>1</v>
      </c>
      <c r="G48" s="13" t="s">
        <v>16</v>
      </c>
      <c r="H48" s="13" t="s">
        <v>17</v>
      </c>
      <c r="I48" s="14">
        <v>4002826</v>
      </c>
      <c r="J48" s="13" t="s">
        <v>4</v>
      </c>
      <c r="K48" s="13">
        <v>99</v>
      </c>
      <c r="L48" s="13" t="s">
        <v>15</v>
      </c>
      <c r="M48" s="13">
        <v>20</v>
      </c>
      <c r="N48" s="13" t="s">
        <v>1</v>
      </c>
      <c r="O48" s="16">
        <f t="shared" si="11"/>
        <v>2E-3</v>
      </c>
      <c r="P48" s="22">
        <f t="shared" ref="P48:P51" si="12">O48*$P$46</f>
        <v>7.2</v>
      </c>
    </row>
    <row r="49" spans="1:16" x14ac:dyDescent="0.25">
      <c r="A49" s="91"/>
      <c r="B49" s="13">
        <v>9033</v>
      </c>
      <c r="C49" s="13" t="s">
        <v>55</v>
      </c>
      <c r="D49" s="13">
        <v>99</v>
      </c>
      <c r="E49" s="13" t="s">
        <v>15</v>
      </c>
      <c r="F49" s="13">
        <v>1</v>
      </c>
      <c r="G49" s="13" t="s">
        <v>16</v>
      </c>
      <c r="H49" s="13" t="s">
        <v>17</v>
      </c>
      <c r="I49" s="14">
        <v>4003593</v>
      </c>
      <c r="J49" s="13" t="s">
        <v>40</v>
      </c>
      <c r="K49" s="13">
        <v>99</v>
      </c>
      <c r="L49" s="13" t="s">
        <v>15</v>
      </c>
      <c r="M49" s="15">
        <v>1667</v>
      </c>
      <c r="N49" s="13" t="s">
        <v>1</v>
      </c>
      <c r="O49" s="16">
        <f t="shared" si="11"/>
        <v>0.16669999999999999</v>
      </c>
      <c r="P49" s="22">
        <f t="shared" si="12"/>
        <v>600.12</v>
      </c>
    </row>
    <row r="50" spans="1:16" x14ac:dyDescent="0.25">
      <c r="A50" s="91"/>
      <c r="B50" s="13">
        <v>9033</v>
      </c>
      <c r="C50" s="13" t="s">
        <v>55</v>
      </c>
      <c r="D50" s="13">
        <v>99</v>
      </c>
      <c r="E50" s="13" t="s">
        <v>15</v>
      </c>
      <c r="F50" s="13">
        <v>1</v>
      </c>
      <c r="G50" s="13" t="s">
        <v>16</v>
      </c>
      <c r="H50" s="13" t="s">
        <v>17</v>
      </c>
      <c r="I50" s="14">
        <v>4012138</v>
      </c>
      <c r="J50" s="13" t="s">
        <v>27</v>
      </c>
      <c r="K50" s="13">
        <v>99</v>
      </c>
      <c r="L50" s="13" t="s">
        <v>15</v>
      </c>
      <c r="M50" s="13">
        <v>70</v>
      </c>
      <c r="N50" s="13" t="s">
        <v>3</v>
      </c>
      <c r="O50" s="16">
        <f t="shared" si="11"/>
        <v>7.0000000000000001E-3</v>
      </c>
      <c r="P50" s="22">
        <f t="shared" si="12"/>
        <v>25.2</v>
      </c>
    </row>
    <row r="51" spans="1:16" ht="15.75" thickBot="1" x14ac:dyDescent="0.3">
      <c r="A51" s="90"/>
      <c r="B51" s="23">
        <v>9033</v>
      </c>
      <c r="C51" s="23" t="s">
        <v>55</v>
      </c>
      <c r="D51" s="23">
        <v>99</v>
      </c>
      <c r="E51" s="23" t="s">
        <v>15</v>
      </c>
      <c r="F51" s="23">
        <v>1</v>
      </c>
      <c r="G51" s="23" t="s">
        <v>21</v>
      </c>
      <c r="H51" s="23" t="s">
        <v>17</v>
      </c>
      <c r="I51" s="24" t="s">
        <v>57</v>
      </c>
      <c r="J51" s="23" t="s">
        <v>58</v>
      </c>
      <c r="K51" s="23">
        <v>3</v>
      </c>
      <c r="L51" s="23" t="s">
        <v>24</v>
      </c>
      <c r="M51" s="25">
        <v>10000</v>
      </c>
      <c r="N51" s="23" t="s">
        <v>1</v>
      </c>
      <c r="O51" s="26">
        <f t="shared" si="11"/>
        <v>1</v>
      </c>
      <c r="P51" s="27">
        <f t="shared" si="12"/>
        <v>3600</v>
      </c>
    </row>
    <row r="52" spans="1:16" x14ac:dyDescent="0.25"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3"/>
      <c r="N52" s="1"/>
    </row>
    <row r="53" spans="1:16" ht="15.75" thickBot="1" x14ac:dyDescent="0.3"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3"/>
      <c r="N53" s="1"/>
      <c r="P53" s="11">
        <f>IFERROR(VLOOKUP($A54,'PROGRAMA MES '!$A:$B,2,0),0)</f>
        <v>3000</v>
      </c>
    </row>
    <row r="54" spans="1:16" x14ac:dyDescent="0.25">
      <c r="A54" s="89">
        <f>B54</f>
        <v>9044</v>
      </c>
      <c r="B54" s="17">
        <v>9044</v>
      </c>
      <c r="C54" s="17" t="s">
        <v>59</v>
      </c>
      <c r="D54" s="17">
        <v>99</v>
      </c>
      <c r="E54" s="17" t="s">
        <v>15</v>
      </c>
      <c r="F54" s="17">
        <v>1</v>
      </c>
      <c r="G54" s="17" t="s">
        <v>16</v>
      </c>
      <c r="H54" s="17" t="s">
        <v>17</v>
      </c>
      <c r="I54" s="18">
        <v>4012138</v>
      </c>
      <c r="J54" s="17" t="s">
        <v>27</v>
      </c>
      <c r="K54" s="17">
        <v>99</v>
      </c>
      <c r="L54" s="17" t="s">
        <v>15</v>
      </c>
      <c r="M54" s="17">
        <v>22.1</v>
      </c>
      <c r="N54" s="17" t="s">
        <v>3</v>
      </c>
      <c r="O54" s="20">
        <f t="shared" ref="O54:O55" si="13">M54/10000</f>
        <v>2.2100000000000002E-3</v>
      </c>
      <c r="P54" s="21">
        <f>O54*$P$53</f>
        <v>6.6300000000000008</v>
      </c>
    </row>
    <row r="55" spans="1:16" ht="15.75" thickBot="1" x14ac:dyDescent="0.3">
      <c r="A55" s="90"/>
      <c r="B55" s="23">
        <v>9044</v>
      </c>
      <c r="C55" s="23" t="s">
        <v>59</v>
      </c>
      <c r="D55" s="23">
        <v>99</v>
      </c>
      <c r="E55" s="23" t="s">
        <v>15</v>
      </c>
      <c r="F55" s="23">
        <v>1</v>
      </c>
      <c r="G55" s="23" t="s">
        <v>21</v>
      </c>
      <c r="H55" s="23" t="s">
        <v>17</v>
      </c>
      <c r="I55" s="24" t="s">
        <v>60</v>
      </c>
      <c r="J55" s="23" t="s">
        <v>61</v>
      </c>
      <c r="K55" s="23">
        <v>3</v>
      </c>
      <c r="L55" s="23" t="s">
        <v>24</v>
      </c>
      <c r="M55" s="25">
        <v>10000</v>
      </c>
      <c r="N55" s="23" t="s">
        <v>1</v>
      </c>
      <c r="O55" s="26">
        <f t="shared" si="13"/>
        <v>1</v>
      </c>
      <c r="P55" s="27">
        <f>O55*$P$53</f>
        <v>3000</v>
      </c>
    </row>
    <row r="56" spans="1:16" x14ac:dyDescent="0.25"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3"/>
      <c r="N56" s="1"/>
    </row>
    <row r="57" spans="1:16" ht="15.75" thickBot="1" x14ac:dyDescent="0.3"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3"/>
      <c r="N57" s="1"/>
      <c r="P57" s="11">
        <f>IFERROR(VLOOKUP($A58,'PROGRAMA MES '!$A:$B,2,0),0)</f>
        <v>3600</v>
      </c>
    </row>
    <row r="58" spans="1:16" x14ac:dyDescent="0.25">
      <c r="A58" s="89">
        <f>B58</f>
        <v>9050</v>
      </c>
      <c r="B58" s="17">
        <v>9050</v>
      </c>
      <c r="C58" s="17" t="s">
        <v>62</v>
      </c>
      <c r="D58" s="17">
        <v>99</v>
      </c>
      <c r="E58" s="17" t="s">
        <v>15</v>
      </c>
      <c r="F58" s="17">
        <v>1</v>
      </c>
      <c r="G58" s="17" t="s">
        <v>35</v>
      </c>
      <c r="H58" s="17" t="s">
        <v>17</v>
      </c>
      <c r="I58" s="18">
        <v>3000618</v>
      </c>
      <c r="J58" s="17" t="s">
        <v>63</v>
      </c>
      <c r="K58" s="17">
        <v>99</v>
      </c>
      <c r="L58" s="17" t="s">
        <v>15</v>
      </c>
      <c r="M58" s="19">
        <v>1429</v>
      </c>
      <c r="N58" s="17" t="s">
        <v>1</v>
      </c>
      <c r="O58" s="20">
        <f t="shared" ref="O58:O65" si="14">M58/10000</f>
        <v>0.1429</v>
      </c>
      <c r="P58" s="21">
        <f>O58*$P$57</f>
        <v>514.43999999999994</v>
      </c>
    </row>
    <row r="59" spans="1:16" x14ac:dyDescent="0.25">
      <c r="A59" s="91"/>
      <c r="B59" s="13">
        <v>9050</v>
      </c>
      <c r="C59" s="13" t="s">
        <v>62</v>
      </c>
      <c r="D59" s="13">
        <v>99</v>
      </c>
      <c r="E59" s="13" t="s">
        <v>15</v>
      </c>
      <c r="F59" s="13">
        <v>1</v>
      </c>
      <c r="G59" s="13" t="s">
        <v>35</v>
      </c>
      <c r="H59" s="13" t="s">
        <v>17</v>
      </c>
      <c r="I59" s="14">
        <v>3000992</v>
      </c>
      <c r="J59" s="13" t="s">
        <v>64</v>
      </c>
      <c r="K59" s="13">
        <v>99</v>
      </c>
      <c r="L59" s="13" t="s">
        <v>15</v>
      </c>
      <c r="M59" s="15">
        <v>20000</v>
      </c>
      <c r="N59" s="13" t="s">
        <v>1</v>
      </c>
      <c r="O59" s="16">
        <f t="shared" si="14"/>
        <v>2</v>
      </c>
      <c r="P59" s="22">
        <f t="shared" ref="P59:P65" si="15">O59*$P$57</f>
        <v>7200</v>
      </c>
    </row>
    <row r="60" spans="1:16" x14ac:dyDescent="0.25">
      <c r="A60" s="91"/>
      <c r="B60" s="13">
        <v>9050</v>
      </c>
      <c r="C60" s="13" t="s">
        <v>62</v>
      </c>
      <c r="D60" s="13">
        <v>99</v>
      </c>
      <c r="E60" s="13" t="s">
        <v>15</v>
      </c>
      <c r="F60" s="13">
        <v>1</v>
      </c>
      <c r="G60" s="13" t="s">
        <v>35</v>
      </c>
      <c r="H60" s="13" t="s">
        <v>17</v>
      </c>
      <c r="I60" s="14">
        <v>3001609</v>
      </c>
      <c r="J60" s="13" t="s">
        <v>65</v>
      </c>
      <c r="K60" s="13">
        <v>99</v>
      </c>
      <c r="L60" s="13" t="s">
        <v>15</v>
      </c>
      <c r="M60" s="15">
        <v>10000</v>
      </c>
      <c r="N60" s="13" t="s">
        <v>1</v>
      </c>
      <c r="O60" s="16">
        <f t="shared" si="14"/>
        <v>1</v>
      </c>
      <c r="P60" s="22">
        <f t="shared" si="15"/>
        <v>3600</v>
      </c>
    </row>
    <row r="61" spans="1:16" x14ac:dyDescent="0.25">
      <c r="A61" s="91"/>
      <c r="B61" s="13">
        <v>9050</v>
      </c>
      <c r="C61" s="13" t="s">
        <v>62</v>
      </c>
      <c r="D61" s="13">
        <v>99</v>
      </c>
      <c r="E61" s="13" t="s">
        <v>15</v>
      </c>
      <c r="F61" s="13">
        <v>1</v>
      </c>
      <c r="G61" s="13" t="s">
        <v>35</v>
      </c>
      <c r="H61" s="13" t="s">
        <v>17</v>
      </c>
      <c r="I61" s="14">
        <v>3005702</v>
      </c>
      <c r="J61" s="13" t="s">
        <v>66</v>
      </c>
      <c r="K61" s="13">
        <v>99</v>
      </c>
      <c r="L61" s="13" t="s">
        <v>15</v>
      </c>
      <c r="M61" s="15">
        <v>10000</v>
      </c>
      <c r="N61" s="13" t="s">
        <v>1</v>
      </c>
      <c r="O61" s="16">
        <f t="shared" si="14"/>
        <v>1</v>
      </c>
      <c r="P61" s="22">
        <f t="shared" si="15"/>
        <v>3600</v>
      </c>
    </row>
    <row r="62" spans="1:16" x14ac:dyDescent="0.25">
      <c r="A62" s="91"/>
      <c r="B62" s="13">
        <v>9050</v>
      </c>
      <c r="C62" s="13" t="s">
        <v>62</v>
      </c>
      <c r="D62" s="13">
        <v>99</v>
      </c>
      <c r="E62" s="13" t="s">
        <v>15</v>
      </c>
      <c r="F62" s="13">
        <v>1</v>
      </c>
      <c r="G62" s="13" t="s">
        <v>16</v>
      </c>
      <c r="H62" s="13" t="s">
        <v>17</v>
      </c>
      <c r="I62" s="14">
        <v>4001403</v>
      </c>
      <c r="J62" s="13" t="s">
        <v>67</v>
      </c>
      <c r="K62" s="13">
        <v>99</v>
      </c>
      <c r="L62" s="13" t="s">
        <v>15</v>
      </c>
      <c r="M62" s="15">
        <v>1667</v>
      </c>
      <c r="N62" s="13" t="s">
        <v>1</v>
      </c>
      <c r="O62" s="16">
        <f t="shared" si="14"/>
        <v>0.16669999999999999</v>
      </c>
      <c r="P62" s="22">
        <f t="shared" si="15"/>
        <v>600.12</v>
      </c>
    </row>
    <row r="63" spans="1:16" x14ac:dyDescent="0.25">
      <c r="A63" s="91"/>
      <c r="B63" s="13">
        <v>9050</v>
      </c>
      <c r="C63" s="13" t="s">
        <v>62</v>
      </c>
      <c r="D63" s="13">
        <v>99</v>
      </c>
      <c r="E63" s="13" t="s">
        <v>15</v>
      </c>
      <c r="F63" s="13">
        <v>1</v>
      </c>
      <c r="G63" s="13" t="s">
        <v>16</v>
      </c>
      <c r="H63" s="13" t="s">
        <v>17</v>
      </c>
      <c r="I63" s="14">
        <v>4002380</v>
      </c>
      <c r="J63" s="13" t="s">
        <v>68</v>
      </c>
      <c r="K63" s="13">
        <v>99</v>
      </c>
      <c r="L63" s="13" t="s">
        <v>15</v>
      </c>
      <c r="M63" s="15">
        <v>10000</v>
      </c>
      <c r="N63" s="13" t="s">
        <v>1</v>
      </c>
      <c r="O63" s="16">
        <f t="shared" si="14"/>
        <v>1</v>
      </c>
      <c r="P63" s="22">
        <f t="shared" si="15"/>
        <v>3600</v>
      </c>
    </row>
    <row r="64" spans="1:16" x14ac:dyDescent="0.25">
      <c r="A64" s="91"/>
      <c r="B64" s="13">
        <v>9050</v>
      </c>
      <c r="C64" s="13" t="s">
        <v>62</v>
      </c>
      <c r="D64" s="13">
        <v>99</v>
      </c>
      <c r="E64" s="13" t="s">
        <v>15</v>
      </c>
      <c r="F64" s="13">
        <v>1</v>
      </c>
      <c r="G64" s="13" t="s">
        <v>16</v>
      </c>
      <c r="H64" s="13" t="s">
        <v>17</v>
      </c>
      <c r="I64" s="14">
        <v>4002826</v>
      </c>
      <c r="J64" s="13" t="s">
        <v>4</v>
      </c>
      <c r="K64" s="13">
        <v>99</v>
      </c>
      <c r="L64" s="13" t="s">
        <v>15</v>
      </c>
      <c r="M64" s="13">
        <v>22</v>
      </c>
      <c r="N64" s="13" t="s">
        <v>1</v>
      </c>
      <c r="O64" s="16">
        <f t="shared" si="14"/>
        <v>2.2000000000000001E-3</v>
      </c>
      <c r="P64" s="22">
        <f t="shared" si="15"/>
        <v>7.9200000000000008</v>
      </c>
    </row>
    <row r="65" spans="1:16" ht="15.75" thickBot="1" x14ac:dyDescent="0.3">
      <c r="A65" s="90"/>
      <c r="B65" s="23">
        <v>9050</v>
      </c>
      <c r="C65" s="23" t="s">
        <v>62</v>
      </c>
      <c r="D65" s="23">
        <v>99</v>
      </c>
      <c r="E65" s="23" t="s">
        <v>15</v>
      </c>
      <c r="F65" s="23">
        <v>1</v>
      </c>
      <c r="G65" s="23" t="s">
        <v>16</v>
      </c>
      <c r="H65" s="23" t="s">
        <v>17</v>
      </c>
      <c r="I65" s="24">
        <v>4016160</v>
      </c>
      <c r="J65" s="23" t="s">
        <v>69</v>
      </c>
      <c r="K65" s="23">
        <v>99</v>
      </c>
      <c r="L65" s="23" t="s">
        <v>15</v>
      </c>
      <c r="M65" s="23">
        <v>10</v>
      </c>
      <c r="N65" s="23" t="s">
        <v>3</v>
      </c>
      <c r="O65" s="26">
        <f t="shared" si="14"/>
        <v>1E-3</v>
      </c>
      <c r="P65" s="27">
        <f t="shared" si="15"/>
        <v>3.6</v>
      </c>
    </row>
    <row r="66" spans="1:16" x14ac:dyDescent="0.25"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</row>
    <row r="67" spans="1:16" ht="15.75" thickBot="1" x14ac:dyDescent="0.3"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P67" s="11">
        <f>IFERROR(VLOOKUP($A68,'PROGRAMA MES '!$A:$B,2,0),0)</f>
        <v>0</v>
      </c>
    </row>
    <row r="68" spans="1:16" x14ac:dyDescent="0.25">
      <c r="A68" s="89">
        <f>B68</f>
        <v>9056</v>
      </c>
      <c r="B68" s="17">
        <v>9056</v>
      </c>
      <c r="C68" s="17" t="s">
        <v>70</v>
      </c>
      <c r="D68" s="17">
        <v>99</v>
      </c>
      <c r="E68" s="17" t="s">
        <v>15</v>
      </c>
      <c r="F68" s="17">
        <v>1</v>
      </c>
      <c r="G68" s="17" t="s">
        <v>35</v>
      </c>
      <c r="H68" s="17" t="s">
        <v>17</v>
      </c>
      <c r="I68" s="18">
        <v>3000617</v>
      </c>
      <c r="J68" s="17" t="s">
        <v>71</v>
      </c>
      <c r="K68" s="17">
        <v>99</v>
      </c>
      <c r="L68" s="17" t="s">
        <v>15</v>
      </c>
      <c r="M68" s="19">
        <v>1429</v>
      </c>
      <c r="N68" s="17" t="s">
        <v>1</v>
      </c>
      <c r="O68" s="20">
        <f t="shared" ref="O68:O75" si="16">M68/10000</f>
        <v>0.1429</v>
      </c>
      <c r="P68" s="21">
        <f>O68*$P$67</f>
        <v>0</v>
      </c>
    </row>
    <row r="69" spans="1:16" x14ac:dyDescent="0.25">
      <c r="A69" s="91"/>
      <c r="B69" s="13">
        <v>9056</v>
      </c>
      <c r="C69" s="13" t="s">
        <v>70</v>
      </c>
      <c r="D69" s="13">
        <v>99</v>
      </c>
      <c r="E69" s="13" t="s">
        <v>15</v>
      </c>
      <c r="F69" s="13">
        <v>1</v>
      </c>
      <c r="G69" s="13" t="s">
        <v>35</v>
      </c>
      <c r="H69" s="13" t="s">
        <v>17</v>
      </c>
      <c r="I69" s="14">
        <v>3000992</v>
      </c>
      <c r="J69" s="13" t="s">
        <v>64</v>
      </c>
      <c r="K69" s="13">
        <v>99</v>
      </c>
      <c r="L69" s="13" t="s">
        <v>15</v>
      </c>
      <c r="M69" s="15">
        <v>20000</v>
      </c>
      <c r="N69" s="13" t="s">
        <v>1</v>
      </c>
      <c r="O69" s="16">
        <f t="shared" si="16"/>
        <v>2</v>
      </c>
      <c r="P69" s="22">
        <f t="shared" ref="P69:P75" si="17">O69*$P$67</f>
        <v>0</v>
      </c>
    </row>
    <row r="70" spans="1:16" x14ac:dyDescent="0.25">
      <c r="A70" s="91"/>
      <c r="B70" s="13">
        <v>9056</v>
      </c>
      <c r="C70" s="13" t="s">
        <v>70</v>
      </c>
      <c r="D70" s="13">
        <v>99</v>
      </c>
      <c r="E70" s="13" t="s">
        <v>15</v>
      </c>
      <c r="F70" s="13">
        <v>1</v>
      </c>
      <c r="G70" s="13" t="s">
        <v>35</v>
      </c>
      <c r="H70" s="13" t="s">
        <v>17</v>
      </c>
      <c r="I70" s="14">
        <v>3001609</v>
      </c>
      <c r="J70" s="13" t="s">
        <v>65</v>
      </c>
      <c r="K70" s="13">
        <v>99</v>
      </c>
      <c r="L70" s="13" t="s">
        <v>15</v>
      </c>
      <c r="M70" s="15">
        <v>20000</v>
      </c>
      <c r="N70" s="13" t="s">
        <v>1</v>
      </c>
      <c r="O70" s="16">
        <f t="shared" si="16"/>
        <v>2</v>
      </c>
      <c r="P70" s="22">
        <f t="shared" si="17"/>
        <v>0</v>
      </c>
    </row>
    <row r="71" spans="1:16" x14ac:dyDescent="0.25">
      <c r="A71" s="91"/>
      <c r="B71" s="13">
        <v>9056</v>
      </c>
      <c r="C71" s="13" t="s">
        <v>70</v>
      </c>
      <c r="D71" s="13">
        <v>99</v>
      </c>
      <c r="E71" s="13" t="s">
        <v>15</v>
      </c>
      <c r="F71" s="13">
        <v>1</v>
      </c>
      <c r="G71" s="13" t="s">
        <v>35</v>
      </c>
      <c r="H71" s="13" t="s">
        <v>17</v>
      </c>
      <c r="I71" s="14">
        <v>3005702</v>
      </c>
      <c r="J71" s="13" t="s">
        <v>66</v>
      </c>
      <c r="K71" s="13">
        <v>99</v>
      </c>
      <c r="L71" s="13" t="s">
        <v>15</v>
      </c>
      <c r="M71" s="15">
        <v>10000</v>
      </c>
      <c r="N71" s="13" t="s">
        <v>1</v>
      </c>
      <c r="O71" s="16">
        <f t="shared" si="16"/>
        <v>1</v>
      </c>
      <c r="P71" s="22">
        <f t="shared" si="17"/>
        <v>0</v>
      </c>
    </row>
    <row r="72" spans="1:16" x14ac:dyDescent="0.25">
      <c r="A72" s="91"/>
      <c r="B72" s="13">
        <v>9056</v>
      </c>
      <c r="C72" s="13" t="s">
        <v>70</v>
      </c>
      <c r="D72" s="13">
        <v>99</v>
      </c>
      <c r="E72" s="13" t="s">
        <v>15</v>
      </c>
      <c r="F72" s="13">
        <v>1</v>
      </c>
      <c r="G72" s="13" t="s">
        <v>16</v>
      </c>
      <c r="H72" s="13" t="s">
        <v>17</v>
      </c>
      <c r="I72" s="14">
        <v>4001404</v>
      </c>
      <c r="J72" s="13" t="s">
        <v>72</v>
      </c>
      <c r="K72" s="13">
        <v>99</v>
      </c>
      <c r="L72" s="13" t="s">
        <v>15</v>
      </c>
      <c r="M72" s="15">
        <v>1667</v>
      </c>
      <c r="N72" s="13" t="s">
        <v>1</v>
      </c>
      <c r="O72" s="16">
        <f t="shared" si="16"/>
        <v>0.16669999999999999</v>
      </c>
      <c r="P72" s="22">
        <f t="shared" si="17"/>
        <v>0</v>
      </c>
    </row>
    <row r="73" spans="1:16" x14ac:dyDescent="0.25">
      <c r="A73" s="91"/>
      <c r="B73" s="13">
        <v>9056</v>
      </c>
      <c r="C73" s="13" t="s">
        <v>70</v>
      </c>
      <c r="D73" s="13">
        <v>99</v>
      </c>
      <c r="E73" s="13" t="s">
        <v>15</v>
      </c>
      <c r="F73" s="13">
        <v>1</v>
      </c>
      <c r="G73" s="13" t="s">
        <v>16</v>
      </c>
      <c r="H73" s="13" t="s">
        <v>17</v>
      </c>
      <c r="I73" s="14">
        <v>4002385</v>
      </c>
      <c r="J73" s="13" t="s">
        <v>73</v>
      </c>
      <c r="K73" s="13">
        <v>99</v>
      </c>
      <c r="L73" s="13" t="s">
        <v>15</v>
      </c>
      <c r="M73" s="15">
        <v>10000</v>
      </c>
      <c r="N73" s="13" t="s">
        <v>1</v>
      </c>
      <c r="O73" s="16">
        <f t="shared" si="16"/>
        <v>1</v>
      </c>
      <c r="P73" s="22">
        <f t="shared" si="17"/>
        <v>0</v>
      </c>
    </row>
    <row r="74" spans="1:16" x14ac:dyDescent="0.25">
      <c r="A74" s="91"/>
      <c r="B74" s="13">
        <v>9056</v>
      </c>
      <c r="C74" s="13" t="s">
        <v>70</v>
      </c>
      <c r="D74" s="13">
        <v>99</v>
      </c>
      <c r="E74" s="13" t="s">
        <v>15</v>
      </c>
      <c r="F74" s="13">
        <v>1</v>
      </c>
      <c r="G74" s="13" t="s">
        <v>16</v>
      </c>
      <c r="H74" s="13" t="s">
        <v>17</v>
      </c>
      <c r="I74" s="14">
        <v>4002826</v>
      </c>
      <c r="J74" s="13" t="s">
        <v>4</v>
      </c>
      <c r="K74" s="13">
        <v>99</v>
      </c>
      <c r="L74" s="13" t="s">
        <v>15</v>
      </c>
      <c r="M74" s="13">
        <v>22</v>
      </c>
      <c r="N74" s="13" t="s">
        <v>1</v>
      </c>
      <c r="O74" s="16">
        <f t="shared" si="16"/>
        <v>2.2000000000000001E-3</v>
      </c>
      <c r="P74" s="22">
        <f t="shared" si="17"/>
        <v>0</v>
      </c>
    </row>
    <row r="75" spans="1:16" ht="15.75" thickBot="1" x14ac:dyDescent="0.3">
      <c r="A75" s="90"/>
      <c r="B75" s="23">
        <v>9056</v>
      </c>
      <c r="C75" s="23" t="s">
        <v>70</v>
      </c>
      <c r="D75" s="23">
        <v>99</v>
      </c>
      <c r="E75" s="23" t="s">
        <v>15</v>
      </c>
      <c r="F75" s="23">
        <v>1</v>
      </c>
      <c r="G75" s="23" t="s">
        <v>16</v>
      </c>
      <c r="H75" s="23" t="s">
        <v>17</v>
      </c>
      <c r="I75" s="24">
        <v>4016160</v>
      </c>
      <c r="J75" s="23" t="s">
        <v>69</v>
      </c>
      <c r="K75" s="23">
        <v>99</v>
      </c>
      <c r="L75" s="23" t="s">
        <v>15</v>
      </c>
      <c r="M75" s="23">
        <v>10</v>
      </c>
      <c r="N75" s="23" t="s">
        <v>3</v>
      </c>
      <c r="O75" s="26">
        <f t="shared" si="16"/>
        <v>1E-3</v>
      </c>
      <c r="P75" s="27">
        <f t="shared" si="17"/>
        <v>0</v>
      </c>
    </row>
    <row r="76" spans="1:16" x14ac:dyDescent="0.25"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</row>
    <row r="77" spans="1:16" ht="15.75" thickBot="1" x14ac:dyDescent="0.3"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P77" s="11">
        <f>IFERROR(VLOOKUP($A78,'PROGRAMA MES '!$A:$B,2,0),0)</f>
        <v>4200</v>
      </c>
    </row>
    <row r="78" spans="1:16" x14ac:dyDescent="0.25">
      <c r="A78" s="89">
        <f>B78</f>
        <v>9057</v>
      </c>
      <c r="B78" s="17">
        <v>9057</v>
      </c>
      <c r="C78" s="17" t="s">
        <v>74</v>
      </c>
      <c r="D78" s="17">
        <v>99</v>
      </c>
      <c r="E78" s="17" t="s">
        <v>15</v>
      </c>
      <c r="F78" s="17">
        <v>1</v>
      </c>
      <c r="G78" s="17" t="s">
        <v>35</v>
      </c>
      <c r="H78" s="17" t="s">
        <v>17</v>
      </c>
      <c r="I78" s="18">
        <v>3000618</v>
      </c>
      <c r="J78" s="17" t="s">
        <v>63</v>
      </c>
      <c r="K78" s="17">
        <v>99</v>
      </c>
      <c r="L78" s="17" t="s">
        <v>15</v>
      </c>
      <c r="M78" s="19">
        <v>2000</v>
      </c>
      <c r="N78" s="17" t="s">
        <v>1</v>
      </c>
      <c r="O78" s="20">
        <f t="shared" ref="O78:O85" si="18">M78/10000</f>
        <v>0.2</v>
      </c>
      <c r="P78" s="21">
        <f>O78*$P$77</f>
        <v>840</v>
      </c>
    </row>
    <row r="79" spans="1:16" x14ac:dyDescent="0.25">
      <c r="A79" s="91"/>
      <c r="B79" s="13">
        <v>9057</v>
      </c>
      <c r="C79" s="13" t="s">
        <v>74</v>
      </c>
      <c r="D79" s="13">
        <v>99</v>
      </c>
      <c r="E79" s="13" t="s">
        <v>15</v>
      </c>
      <c r="F79" s="13">
        <v>1</v>
      </c>
      <c r="G79" s="13" t="s">
        <v>35</v>
      </c>
      <c r="H79" s="13" t="s">
        <v>17</v>
      </c>
      <c r="I79" s="14">
        <v>3000992</v>
      </c>
      <c r="J79" s="13" t="s">
        <v>64</v>
      </c>
      <c r="K79" s="13">
        <v>99</v>
      </c>
      <c r="L79" s="13" t="s">
        <v>15</v>
      </c>
      <c r="M79" s="15">
        <v>20000</v>
      </c>
      <c r="N79" s="13" t="s">
        <v>1</v>
      </c>
      <c r="O79" s="16">
        <f t="shared" si="18"/>
        <v>2</v>
      </c>
      <c r="P79" s="22">
        <f t="shared" ref="P79:P85" si="19">O79*$P$77</f>
        <v>8400</v>
      </c>
    </row>
    <row r="80" spans="1:16" x14ac:dyDescent="0.25">
      <c r="A80" s="91"/>
      <c r="B80" s="13">
        <v>9057</v>
      </c>
      <c r="C80" s="13" t="s">
        <v>74</v>
      </c>
      <c r="D80" s="13">
        <v>99</v>
      </c>
      <c r="E80" s="13" t="s">
        <v>15</v>
      </c>
      <c r="F80" s="13">
        <v>1</v>
      </c>
      <c r="G80" s="13" t="s">
        <v>35</v>
      </c>
      <c r="H80" s="13" t="s">
        <v>17</v>
      </c>
      <c r="I80" s="14">
        <v>3001610</v>
      </c>
      <c r="J80" s="13" t="s">
        <v>75</v>
      </c>
      <c r="K80" s="13">
        <v>99</v>
      </c>
      <c r="L80" s="13" t="s">
        <v>15</v>
      </c>
      <c r="M80" s="15">
        <v>10000</v>
      </c>
      <c r="N80" s="13" t="s">
        <v>1</v>
      </c>
      <c r="O80" s="16">
        <f t="shared" si="18"/>
        <v>1</v>
      </c>
      <c r="P80" s="22">
        <f t="shared" si="19"/>
        <v>4200</v>
      </c>
    </row>
    <row r="81" spans="1:16" x14ac:dyDescent="0.25">
      <c r="A81" s="91"/>
      <c r="B81" s="13">
        <v>9057</v>
      </c>
      <c r="C81" s="13" t="s">
        <v>74</v>
      </c>
      <c r="D81" s="13">
        <v>99</v>
      </c>
      <c r="E81" s="13" t="s">
        <v>15</v>
      </c>
      <c r="F81" s="13">
        <v>1</v>
      </c>
      <c r="G81" s="13" t="s">
        <v>35</v>
      </c>
      <c r="H81" s="13" t="s">
        <v>17</v>
      </c>
      <c r="I81" s="14">
        <v>3005702</v>
      </c>
      <c r="J81" s="13" t="s">
        <v>66</v>
      </c>
      <c r="K81" s="13">
        <v>99</v>
      </c>
      <c r="L81" s="13" t="s">
        <v>15</v>
      </c>
      <c r="M81" s="15">
        <v>10000</v>
      </c>
      <c r="N81" s="13" t="s">
        <v>1</v>
      </c>
      <c r="O81" s="16">
        <f t="shared" si="18"/>
        <v>1</v>
      </c>
      <c r="P81" s="22">
        <f t="shared" si="19"/>
        <v>4200</v>
      </c>
    </row>
    <row r="82" spans="1:16" x14ac:dyDescent="0.25">
      <c r="A82" s="91"/>
      <c r="B82" s="13">
        <v>9057</v>
      </c>
      <c r="C82" s="13" t="s">
        <v>74</v>
      </c>
      <c r="D82" s="13">
        <v>99</v>
      </c>
      <c r="E82" s="13" t="s">
        <v>15</v>
      </c>
      <c r="F82" s="13">
        <v>1</v>
      </c>
      <c r="G82" s="13" t="s">
        <v>16</v>
      </c>
      <c r="H82" s="13" t="s">
        <v>17</v>
      </c>
      <c r="I82" s="14">
        <v>4001356</v>
      </c>
      <c r="J82" s="13" t="s">
        <v>76</v>
      </c>
      <c r="K82" s="13">
        <v>99</v>
      </c>
      <c r="L82" s="13" t="s">
        <v>15</v>
      </c>
      <c r="M82" s="15">
        <v>1667</v>
      </c>
      <c r="N82" s="13" t="s">
        <v>1</v>
      </c>
      <c r="O82" s="16">
        <f t="shared" si="18"/>
        <v>0.16669999999999999</v>
      </c>
      <c r="P82" s="22">
        <f t="shared" si="19"/>
        <v>700.14</v>
      </c>
    </row>
    <row r="83" spans="1:16" x14ac:dyDescent="0.25">
      <c r="A83" s="91"/>
      <c r="B83" s="13">
        <v>9057</v>
      </c>
      <c r="C83" s="13" t="s">
        <v>74</v>
      </c>
      <c r="D83" s="13">
        <v>99</v>
      </c>
      <c r="E83" s="13" t="s">
        <v>15</v>
      </c>
      <c r="F83" s="13">
        <v>1</v>
      </c>
      <c r="G83" s="13" t="s">
        <v>16</v>
      </c>
      <c r="H83" s="13" t="s">
        <v>17</v>
      </c>
      <c r="I83" s="14">
        <v>4002386</v>
      </c>
      <c r="J83" s="13" t="s">
        <v>77</v>
      </c>
      <c r="K83" s="13">
        <v>99</v>
      </c>
      <c r="L83" s="13" t="s">
        <v>15</v>
      </c>
      <c r="M83" s="15">
        <v>10000</v>
      </c>
      <c r="N83" s="13" t="s">
        <v>1</v>
      </c>
      <c r="O83" s="16">
        <f t="shared" si="18"/>
        <v>1</v>
      </c>
      <c r="P83" s="22">
        <f t="shared" si="19"/>
        <v>4200</v>
      </c>
    </row>
    <row r="84" spans="1:16" x14ac:dyDescent="0.25">
      <c r="A84" s="91"/>
      <c r="B84" s="13">
        <v>9057</v>
      </c>
      <c r="C84" s="13" t="s">
        <v>74</v>
      </c>
      <c r="D84" s="13">
        <v>99</v>
      </c>
      <c r="E84" s="13" t="s">
        <v>15</v>
      </c>
      <c r="F84" s="13">
        <v>1</v>
      </c>
      <c r="G84" s="13" t="s">
        <v>16</v>
      </c>
      <c r="H84" s="13" t="s">
        <v>17</v>
      </c>
      <c r="I84" s="14">
        <v>4002826</v>
      </c>
      <c r="J84" s="13" t="s">
        <v>4</v>
      </c>
      <c r="K84" s="13">
        <v>99</v>
      </c>
      <c r="L84" s="13" t="s">
        <v>15</v>
      </c>
      <c r="M84" s="13">
        <v>28</v>
      </c>
      <c r="N84" s="13" t="s">
        <v>1</v>
      </c>
      <c r="O84" s="16">
        <f t="shared" si="18"/>
        <v>2.8E-3</v>
      </c>
      <c r="P84" s="22">
        <f t="shared" si="19"/>
        <v>11.76</v>
      </c>
    </row>
    <row r="85" spans="1:16" ht="15.75" thickBot="1" x14ac:dyDescent="0.3">
      <c r="A85" s="90"/>
      <c r="B85" s="23">
        <v>9057</v>
      </c>
      <c r="C85" s="23" t="s">
        <v>74</v>
      </c>
      <c r="D85" s="23">
        <v>99</v>
      </c>
      <c r="E85" s="23" t="s">
        <v>15</v>
      </c>
      <c r="F85" s="23">
        <v>1</v>
      </c>
      <c r="G85" s="23" t="s">
        <v>16</v>
      </c>
      <c r="H85" s="23" t="s">
        <v>17</v>
      </c>
      <c r="I85" s="24">
        <v>4016160</v>
      </c>
      <c r="J85" s="23" t="s">
        <v>69</v>
      </c>
      <c r="K85" s="23">
        <v>99</v>
      </c>
      <c r="L85" s="23" t="s">
        <v>15</v>
      </c>
      <c r="M85" s="23">
        <v>10</v>
      </c>
      <c r="N85" s="23" t="s">
        <v>3</v>
      </c>
      <c r="O85" s="26">
        <f t="shared" si="18"/>
        <v>1E-3</v>
      </c>
      <c r="P85" s="27">
        <f t="shared" si="19"/>
        <v>4.2</v>
      </c>
    </row>
    <row r="86" spans="1:16" x14ac:dyDescent="0.25"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</row>
    <row r="87" spans="1:16" ht="15.75" thickBot="1" x14ac:dyDescent="0.3"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P87" s="11">
        <f>IFERROR(VLOOKUP($A88,'PROGRAMA MES '!$A:$B,2,0),0)</f>
        <v>0</v>
      </c>
    </row>
    <row r="88" spans="1:16" x14ac:dyDescent="0.25">
      <c r="A88" s="89">
        <f>B88</f>
        <v>9058</v>
      </c>
      <c r="B88" s="17">
        <v>9058</v>
      </c>
      <c r="C88" s="17" t="s">
        <v>78</v>
      </c>
      <c r="D88" s="17">
        <v>99</v>
      </c>
      <c r="E88" s="17" t="s">
        <v>15</v>
      </c>
      <c r="F88" s="17">
        <v>1</v>
      </c>
      <c r="G88" s="17" t="s">
        <v>35</v>
      </c>
      <c r="H88" s="17" t="s">
        <v>17</v>
      </c>
      <c r="I88" s="18">
        <v>3000617</v>
      </c>
      <c r="J88" s="17" t="s">
        <v>71</v>
      </c>
      <c r="K88" s="17">
        <v>99</v>
      </c>
      <c r="L88" s="17" t="s">
        <v>15</v>
      </c>
      <c r="M88" s="19">
        <v>2000</v>
      </c>
      <c r="N88" s="17" t="s">
        <v>1</v>
      </c>
      <c r="O88" s="20">
        <f t="shared" ref="O88:O95" si="20">M88/10000</f>
        <v>0.2</v>
      </c>
      <c r="P88" s="21">
        <f>O88*$P$87</f>
        <v>0</v>
      </c>
    </row>
    <row r="89" spans="1:16" x14ac:dyDescent="0.25">
      <c r="A89" s="91"/>
      <c r="B89" s="13">
        <v>9058</v>
      </c>
      <c r="C89" s="13" t="s">
        <v>78</v>
      </c>
      <c r="D89" s="13">
        <v>99</v>
      </c>
      <c r="E89" s="13" t="s">
        <v>15</v>
      </c>
      <c r="F89" s="13">
        <v>1</v>
      </c>
      <c r="G89" s="13" t="s">
        <v>35</v>
      </c>
      <c r="H89" s="13" t="s">
        <v>17</v>
      </c>
      <c r="I89" s="14">
        <v>3000992</v>
      </c>
      <c r="J89" s="13" t="s">
        <v>64</v>
      </c>
      <c r="K89" s="13">
        <v>99</v>
      </c>
      <c r="L89" s="13" t="s">
        <v>15</v>
      </c>
      <c r="M89" s="15">
        <v>20000</v>
      </c>
      <c r="N89" s="13" t="s">
        <v>1</v>
      </c>
      <c r="O89" s="16">
        <f t="shared" si="20"/>
        <v>2</v>
      </c>
      <c r="P89" s="22">
        <f t="shared" ref="P89:P95" si="21">O89*$P$87</f>
        <v>0</v>
      </c>
    </row>
    <row r="90" spans="1:16" x14ac:dyDescent="0.25">
      <c r="A90" s="91"/>
      <c r="B90" s="13">
        <v>9058</v>
      </c>
      <c r="C90" s="13" t="s">
        <v>78</v>
      </c>
      <c r="D90" s="13">
        <v>99</v>
      </c>
      <c r="E90" s="13" t="s">
        <v>15</v>
      </c>
      <c r="F90" s="13">
        <v>1</v>
      </c>
      <c r="G90" s="13" t="s">
        <v>35</v>
      </c>
      <c r="H90" s="13" t="s">
        <v>17</v>
      </c>
      <c r="I90" s="14">
        <v>3001610</v>
      </c>
      <c r="J90" s="13" t="s">
        <v>75</v>
      </c>
      <c r="K90" s="13">
        <v>99</v>
      </c>
      <c r="L90" s="13" t="s">
        <v>15</v>
      </c>
      <c r="M90" s="15">
        <v>20000</v>
      </c>
      <c r="N90" s="13" t="s">
        <v>1</v>
      </c>
      <c r="O90" s="16">
        <f t="shared" si="20"/>
        <v>2</v>
      </c>
      <c r="P90" s="22">
        <f t="shared" si="21"/>
        <v>0</v>
      </c>
    </row>
    <row r="91" spans="1:16" x14ac:dyDescent="0.25">
      <c r="A91" s="91"/>
      <c r="B91" s="13">
        <v>9058</v>
      </c>
      <c r="C91" s="13" t="s">
        <v>78</v>
      </c>
      <c r="D91" s="13">
        <v>99</v>
      </c>
      <c r="E91" s="13" t="s">
        <v>15</v>
      </c>
      <c r="F91" s="13">
        <v>1</v>
      </c>
      <c r="G91" s="13" t="s">
        <v>35</v>
      </c>
      <c r="H91" s="13" t="s">
        <v>17</v>
      </c>
      <c r="I91" s="14">
        <v>3005702</v>
      </c>
      <c r="J91" s="13" t="s">
        <v>66</v>
      </c>
      <c r="K91" s="13">
        <v>99</v>
      </c>
      <c r="L91" s="13" t="s">
        <v>15</v>
      </c>
      <c r="M91" s="15">
        <v>10000</v>
      </c>
      <c r="N91" s="13" t="s">
        <v>1</v>
      </c>
      <c r="O91" s="16">
        <f t="shared" si="20"/>
        <v>1</v>
      </c>
      <c r="P91" s="22">
        <f t="shared" si="21"/>
        <v>0</v>
      </c>
    </row>
    <row r="92" spans="1:16" x14ac:dyDescent="0.25">
      <c r="A92" s="91"/>
      <c r="B92" s="13">
        <v>9058</v>
      </c>
      <c r="C92" s="13" t="s">
        <v>78</v>
      </c>
      <c r="D92" s="13">
        <v>99</v>
      </c>
      <c r="E92" s="13" t="s">
        <v>15</v>
      </c>
      <c r="F92" s="13">
        <v>1</v>
      </c>
      <c r="G92" s="13" t="s">
        <v>16</v>
      </c>
      <c r="H92" s="13" t="s">
        <v>17</v>
      </c>
      <c r="I92" s="14">
        <v>4001360</v>
      </c>
      <c r="J92" s="13" t="s">
        <v>79</v>
      </c>
      <c r="K92" s="13">
        <v>99</v>
      </c>
      <c r="L92" s="13" t="s">
        <v>15</v>
      </c>
      <c r="M92" s="15">
        <v>1667</v>
      </c>
      <c r="N92" s="13" t="s">
        <v>1</v>
      </c>
      <c r="O92" s="16">
        <f t="shared" si="20"/>
        <v>0.16669999999999999</v>
      </c>
      <c r="P92" s="22">
        <f t="shared" si="21"/>
        <v>0</v>
      </c>
    </row>
    <row r="93" spans="1:16" x14ac:dyDescent="0.25">
      <c r="A93" s="91"/>
      <c r="B93" s="13">
        <v>9058</v>
      </c>
      <c r="C93" s="13" t="s">
        <v>78</v>
      </c>
      <c r="D93" s="13">
        <v>99</v>
      </c>
      <c r="E93" s="13" t="s">
        <v>15</v>
      </c>
      <c r="F93" s="13">
        <v>1</v>
      </c>
      <c r="G93" s="13" t="s">
        <v>16</v>
      </c>
      <c r="H93" s="13" t="s">
        <v>17</v>
      </c>
      <c r="I93" s="14">
        <v>4002387</v>
      </c>
      <c r="J93" s="13" t="s">
        <v>80</v>
      </c>
      <c r="K93" s="13">
        <v>99</v>
      </c>
      <c r="L93" s="13" t="s">
        <v>15</v>
      </c>
      <c r="M93" s="15">
        <v>10000</v>
      </c>
      <c r="N93" s="13" t="s">
        <v>1</v>
      </c>
      <c r="O93" s="16">
        <f t="shared" si="20"/>
        <v>1</v>
      </c>
      <c r="P93" s="22">
        <f t="shared" si="21"/>
        <v>0</v>
      </c>
    </row>
    <row r="94" spans="1:16" x14ac:dyDescent="0.25">
      <c r="A94" s="91"/>
      <c r="B94" s="13">
        <v>9058</v>
      </c>
      <c r="C94" s="13" t="s">
        <v>78</v>
      </c>
      <c r="D94" s="13">
        <v>99</v>
      </c>
      <c r="E94" s="13" t="s">
        <v>15</v>
      </c>
      <c r="F94" s="13">
        <v>1</v>
      </c>
      <c r="G94" s="13" t="s">
        <v>16</v>
      </c>
      <c r="H94" s="13" t="s">
        <v>17</v>
      </c>
      <c r="I94" s="14">
        <v>4002826</v>
      </c>
      <c r="J94" s="13" t="s">
        <v>4</v>
      </c>
      <c r="K94" s="13">
        <v>99</v>
      </c>
      <c r="L94" s="13" t="s">
        <v>15</v>
      </c>
      <c r="M94" s="13">
        <v>28</v>
      </c>
      <c r="N94" s="13" t="s">
        <v>1</v>
      </c>
      <c r="O94" s="16">
        <f t="shared" si="20"/>
        <v>2.8E-3</v>
      </c>
      <c r="P94" s="22">
        <f t="shared" si="21"/>
        <v>0</v>
      </c>
    </row>
    <row r="95" spans="1:16" ht="15.75" thickBot="1" x14ac:dyDescent="0.3">
      <c r="A95" s="90"/>
      <c r="B95" s="23">
        <v>9058</v>
      </c>
      <c r="C95" s="23" t="s">
        <v>78</v>
      </c>
      <c r="D95" s="23">
        <v>99</v>
      </c>
      <c r="E95" s="23" t="s">
        <v>15</v>
      </c>
      <c r="F95" s="23">
        <v>1</v>
      </c>
      <c r="G95" s="23" t="s">
        <v>16</v>
      </c>
      <c r="H95" s="23" t="s">
        <v>17</v>
      </c>
      <c r="I95" s="24">
        <v>4016160</v>
      </c>
      <c r="J95" s="23" t="s">
        <v>69</v>
      </c>
      <c r="K95" s="23">
        <v>99</v>
      </c>
      <c r="L95" s="23" t="s">
        <v>15</v>
      </c>
      <c r="M95" s="23">
        <v>10</v>
      </c>
      <c r="N95" s="23" t="s">
        <v>3</v>
      </c>
      <c r="O95" s="26">
        <f t="shared" si="20"/>
        <v>1E-3</v>
      </c>
      <c r="P95" s="27">
        <f t="shared" si="21"/>
        <v>0</v>
      </c>
    </row>
    <row r="96" spans="1:16" x14ac:dyDescent="0.25"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</row>
    <row r="97" spans="1:16" ht="15.75" thickBot="1" x14ac:dyDescent="0.3"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P97" s="11">
        <f>IFERROR(VLOOKUP($A98,'PROGRAMA MES '!$A:$B,2,0),0)</f>
        <v>326</v>
      </c>
    </row>
    <row r="98" spans="1:16" x14ac:dyDescent="0.25">
      <c r="A98" s="89">
        <f>B98</f>
        <v>9068</v>
      </c>
      <c r="B98" s="17">
        <v>9068</v>
      </c>
      <c r="C98" s="17" t="s">
        <v>81</v>
      </c>
      <c r="D98" s="17">
        <v>99</v>
      </c>
      <c r="E98" s="17" t="s">
        <v>15</v>
      </c>
      <c r="F98" s="17">
        <v>1</v>
      </c>
      <c r="G98" s="17" t="s">
        <v>35</v>
      </c>
      <c r="H98" s="17" t="s">
        <v>17</v>
      </c>
      <c r="I98" s="18">
        <v>3001360</v>
      </c>
      <c r="J98" s="17" t="s">
        <v>82</v>
      </c>
      <c r="K98" s="17">
        <v>99</v>
      </c>
      <c r="L98" s="17" t="s">
        <v>15</v>
      </c>
      <c r="M98" s="19">
        <v>10000</v>
      </c>
      <c r="N98" s="17" t="s">
        <v>1</v>
      </c>
      <c r="O98" s="20">
        <f t="shared" ref="O98:O99" si="22">M98/10000</f>
        <v>1</v>
      </c>
      <c r="P98" s="21">
        <f>O98*$P$97</f>
        <v>326</v>
      </c>
    </row>
    <row r="99" spans="1:16" ht="15.75" thickBot="1" x14ac:dyDescent="0.3">
      <c r="A99" s="90"/>
      <c r="B99" s="23">
        <v>9068</v>
      </c>
      <c r="C99" s="23" t="s">
        <v>81</v>
      </c>
      <c r="D99" s="23">
        <v>99</v>
      </c>
      <c r="E99" s="23" t="s">
        <v>15</v>
      </c>
      <c r="F99" s="23">
        <v>1</v>
      </c>
      <c r="G99" s="23" t="s">
        <v>16</v>
      </c>
      <c r="H99" s="23" t="s">
        <v>17</v>
      </c>
      <c r="I99" s="24">
        <v>4002826</v>
      </c>
      <c r="J99" s="23" t="s">
        <v>4</v>
      </c>
      <c r="K99" s="23">
        <v>99</v>
      </c>
      <c r="L99" s="23" t="s">
        <v>15</v>
      </c>
      <c r="M99" s="23">
        <v>1</v>
      </c>
      <c r="N99" s="23" t="s">
        <v>1</v>
      </c>
      <c r="O99" s="26">
        <f t="shared" si="22"/>
        <v>1E-4</v>
      </c>
      <c r="P99" s="27">
        <f>O99*$P$97</f>
        <v>3.2600000000000004E-2</v>
      </c>
    </row>
    <row r="100" spans="1:16" x14ac:dyDescent="0.25"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</row>
    <row r="101" spans="1:16" ht="15.75" thickBot="1" x14ac:dyDescent="0.3"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P101" s="11">
        <f>IFERROR(VLOOKUP($A102,'PROGRAMA MES '!$A:$B,2,0),0)</f>
        <v>3000</v>
      </c>
    </row>
    <row r="102" spans="1:16" x14ac:dyDescent="0.25">
      <c r="A102" s="89">
        <f>B102</f>
        <v>9118</v>
      </c>
      <c r="B102" s="17">
        <v>9118</v>
      </c>
      <c r="C102" s="17" t="s">
        <v>83</v>
      </c>
      <c r="D102" s="17">
        <v>99</v>
      </c>
      <c r="E102" s="17" t="s">
        <v>15</v>
      </c>
      <c r="F102" s="17">
        <v>1</v>
      </c>
      <c r="G102" s="17" t="s">
        <v>16</v>
      </c>
      <c r="H102" s="17" t="s">
        <v>17</v>
      </c>
      <c r="I102" s="18">
        <v>4001285</v>
      </c>
      <c r="J102" s="17" t="s">
        <v>84</v>
      </c>
      <c r="K102" s="17">
        <v>99</v>
      </c>
      <c r="L102" s="17" t="s">
        <v>15</v>
      </c>
      <c r="M102" s="17">
        <v>834</v>
      </c>
      <c r="N102" s="17" t="s">
        <v>1</v>
      </c>
      <c r="O102" s="20">
        <f t="shared" ref="O102:O105" si="23">M102/10000</f>
        <v>8.3400000000000002E-2</v>
      </c>
      <c r="P102" s="21">
        <f>O102*$P$101</f>
        <v>250.20000000000002</v>
      </c>
    </row>
    <row r="103" spans="1:16" x14ac:dyDescent="0.25">
      <c r="A103" s="91"/>
      <c r="B103" s="13">
        <v>9118</v>
      </c>
      <c r="C103" s="13" t="s">
        <v>83</v>
      </c>
      <c r="D103" s="13">
        <v>99</v>
      </c>
      <c r="E103" s="13" t="s">
        <v>15</v>
      </c>
      <c r="F103" s="13">
        <v>1</v>
      </c>
      <c r="G103" s="13" t="s">
        <v>16</v>
      </c>
      <c r="H103" s="13" t="s">
        <v>17</v>
      </c>
      <c r="I103" s="14">
        <v>4002827</v>
      </c>
      <c r="J103" s="13" t="s">
        <v>0</v>
      </c>
      <c r="K103" s="13">
        <v>99</v>
      </c>
      <c r="L103" s="13" t="s">
        <v>15</v>
      </c>
      <c r="M103" s="15">
        <v>1026.67</v>
      </c>
      <c r="N103" s="13" t="s">
        <v>2</v>
      </c>
      <c r="O103" s="16">
        <f t="shared" si="23"/>
        <v>0.10266700000000001</v>
      </c>
      <c r="P103" s="22">
        <f t="shared" ref="P103:P105" si="24">O103*$P$101</f>
        <v>308.00100000000003</v>
      </c>
    </row>
    <row r="104" spans="1:16" x14ac:dyDescent="0.25">
      <c r="A104" s="91"/>
      <c r="B104" s="13">
        <v>9118</v>
      </c>
      <c r="C104" s="13" t="s">
        <v>83</v>
      </c>
      <c r="D104" s="13">
        <v>99</v>
      </c>
      <c r="E104" s="13" t="s">
        <v>15</v>
      </c>
      <c r="F104" s="13">
        <v>1</v>
      </c>
      <c r="G104" s="13" t="s">
        <v>16</v>
      </c>
      <c r="H104" s="13" t="s">
        <v>17</v>
      </c>
      <c r="I104" s="14">
        <v>4003644</v>
      </c>
      <c r="J104" s="13" t="s">
        <v>85</v>
      </c>
      <c r="K104" s="13">
        <v>99</v>
      </c>
      <c r="L104" s="13" t="s">
        <v>15</v>
      </c>
      <c r="M104" s="15">
        <v>10000</v>
      </c>
      <c r="N104" s="13" t="s">
        <v>1</v>
      </c>
      <c r="O104" s="16">
        <f t="shared" si="23"/>
        <v>1</v>
      </c>
      <c r="P104" s="22">
        <f t="shared" si="24"/>
        <v>3000</v>
      </c>
    </row>
    <row r="105" spans="1:16" ht="15.75" thickBot="1" x14ac:dyDescent="0.3">
      <c r="A105" s="90"/>
      <c r="B105" s="23">
        <v>9118</v>
      </c>
      <c r="C105" s="23" t="s">
        <v>83</v>
      </c>
      <c r="D105" s="23">
        <v>99</v>
      </c>
      <c r="E105" s="23" t="s">
        <v>15</v>
      </c>
      <c r="F105" s="23">
        <v>1</v>
      </c>
      <c r="G105" s="23" t="s">
        <v>21</v>
      </c>
      <c r="H105" s="23" t="s">
        <v>17</v>
      </c>
      <c r="I105" s="24" t="s">
        <v>86</v>
      </c>
      <c r="J105" s="23" t="s">
        <v>87</v>
      </c>
      <c r="K105" s="23">
        <v>3</v>
      </c>
      <c r="L105" s="23" t="s">
        <v>24</v>
      </c>
      <c r="M105" s="25">
        <v>10000</v>
      </c>
      <c r="N105" s="23" t="s">
        <v>1</v>
      </c>
      <c r="O105" s="26">
        <f t="shared" si="23"/>
        <v>1</v>
      </c>
      <c r="P105" s="27">
        <f t="shared" si="24"/>
        <v>3000</v>
      </c>
    </row>
    <row r="106" spans="1:16" x14ac:dyDescent="0.25"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3"/>
      <c r="N106" s="1"/>
    </row>
    <row r="107" spans="1:16" ht="15.75" thickBot="1" x14ac:dyDescent="0.3"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3"/>
      <c r="N107" s="1"/>
      <c r="P107" s="11">
        <f>IFERROR(VLOOKUP($A108,'PROGRAMA MES '!$A:$B,2,0),0)</f>
        <v>9600</v>
      </c>
    </row>
    <row r="108" spans="1:16" x14ac:dyDescent="0.25">
      <c r="A108" s="89">
        <f>B108</f>
        <v>9139</v>
      </c>
      <c r="B108" s="17">
        <v>9139</v>
      </c>
      <c r="C108" s="17" t="s">
        <v>88</v>
      </c>
      <c r="D108" s="17">
        <v>99</v>
      </c>
      <c r="E108" s="17" t="s">
        <v>15</v>
      </c>
      <c r="F108" s="17">
        <v>1</v>
      </c>
      <c r="G108" s="17" t="s">
        <v>16</v>
      </c>
      <c r="H108" s="17" t="s">
        <v>17</v>
      </c>
      <c r="I108" s="18">
        <v>4000141</v>
      </c>
      <c r="J108" s="17" t="s">
        <v>89</v>
      </c>
      <c r="K108" s="17">
        <v>99</v>
      </c>
      <c r="L108" s="17" t="s">
        <v>15</v>
      </c>
      <c r="M108" s="17">
        <v>834</v>
      </c>
      <c r="N108" s="17" t="s">
        <v>1</v>
      </c>
      <c r="O108" s="20">
        <f t="shared" ref="O108:O112" si="25">M108/10000</f>
        <v>8.3400000000000002E-2</v>
      </c>
      <c r="P108" s="21">
        <f>O108*$P$107</f>
        <v>800.64</v>
      </c>
    </row>
    <row r="109" spans="1:16" x14ac:dyDescent="0.25">
      <c r="A109" s="91"/>
      <c r="B109" s="13">
        <v>9139</v>
      </c>
      <c r="C109" s="13" t="s">
        <v>88</v>
      </c>
      <c r="D109" s="13">
        <v>99</v>
      </c>
      <c r="E109" s="13" t="s">
        <v>15</v>
      </c>
      <c r="F109" s="13">
        <v>1</v>
      </c>
      <c r="G109" s="13" t="s">
        <v>16</v>
      </c>
      <c r="H109" s="13" t="s">
        <v>17</v>
      </c>
      <c r="I109" s="14">
        <v>4001362</v>
      </c>
      <c r="J109" s="13" t="s">
        <v>90</v>
      </c>
      <c r="K109" s="13">
        <v>99</v>
      </c>
      <c r="L109" s="13" t="s">
        <v>15</v>
      </c>
      <c r="M109" s="13">
        <v>834</v>
      </c>
      <c r="N109" s="13" t="s">
        <v>1</v>
      </c>
      <c r="O109" s="16">
        <f t="shared" si="25"/>
        <v>8.3400000000000002E-2</v>
      </c>
      <c r="P109" s="22">
        <f t="shared" ref="P109:P112" si="26">O109*$P$107</f>
        <v>800.64</v>
      </c>
    </row>
    <row r="110" spans="1:16" x14ac:dyDescent="0.25">
      <c r="A110" s="91"/>
      <c r="B110" s="13">
        <v>9139</v>
      </c>
      <c r="C110" s="13" t="s">
        <v>88</v>
      </c>
      <c r="D110" s="13">
        <v>99</v>
      </c>
      <c r="E110" s="13" t="s">
        <v>15</v>
      </c>
      <c r="F110" s="13">
        <v>1</v>
      </c>
      <c r="G110" s="13" t="s">
        <v>16</v>
      </c>
      <c r="H110" s="13" t="s">
        <v>17</v>
      </c>
      <c r="I110" s="14">
        <v>4002407</v>
      </c>
      <c r="J110" s="13" t="s">
        <v>91</v>
      </c>
      <c r="K110" s="13">
        <v>99</v>
      </c>
      <c r="L110" s="13" t="s">
        <v>15</v>
      </c>
      <c r="M110" s="15">
        <v>10000</v>
      </c>
      <c r="N110" s="13" t="s">
        <v>1</v>
      </c>
      <c r="O110" s="16">
        <f t="shared" si="25"/>
        <v>1</v>
      </c>
      <c r="P110" s="22">
        <f t="shared" si="26"/>
        <v>9600</v>
      </c>
    </row>
    <row r="111" spans="1:16" x14ac:dyDescent="0.25">
      <c r="A111" s="91"/>
      <c r="B111" s="13">
        <v>9139</v>
      </c>
      <c r="C111" s="13" t="s">
        <v>88</v>
      </c>
      <c r="D111" s="13">
        <v>99</v>
      </c>
      <c r="E111" s="13" t="s">
        <v>15</v>
      </c>
      <c r="F111" s="13">
        <v>1</v>
      </c>
      <c r="G111" s="13" t="s">
        <v>16</v>
      </c>
      <c r="H111" s="13" t="s">
        <v>17</v>
      </c>
      <c r="I111" s="14">
        <v>4002826</v>
      </c>
      <c r="J111" s="13" t="s">
        <v>4</v>
      </c>
      <c r="K111" s="13">
        <v>99</v>
      </c>
      <c r="L111" s="13" t="s">
        <v>15</v>
      </c>
      <c r="M111" s="13">
        <v>10</v>
      </c>
      <c r="N111" s="13" t="s">
        <v>1</v>
      </c>
      <c r="O111" s="16">
        <f t="shared" si="25"/>
        <v>1E-3</v>
      </c>
      <c r="P111" s="22">
        <f t="shared" si="26"/>
        <v>9.6</v>
      </c>
    </row>
    <row r="112" spans="1:16" ht="15.75" thickBot="1" x14ac:dyDescent="0.3">
      <c r="A112" s="90"/>
      <c r="B112" s="23">
        <v>9139</v>
      </c>
      <c r="C112" s="23" t="s">
        <v>88</v>
      </c>
      <c r="D112" s="23">
        <v>99</v>
      </c>
      <c r="E112" s="23" t="s">
        <v>15</v>
      </c>
      <c r="F112" s="23">
        <v>1</v>
      </c>
      <c r="G112" s="23" t="s">
        <v>21</v>
      </c>
      <c r="H112" s="23" t="s">
        <v>17</v>
      </c>
      <c r="I112" s="24" t="s">
        <v>92</v>
      </c>
      <c r="J112" s="23" t="s">
        <v>93</v>
      </c>
      <c r="K112" s="23">
        <v>3</v>
      </c>
      <c r="L112" s="23" t="s">
        <v>24</v>
      </c>
      <c r="M112" s="25">
        <v>10000</v>
      </c>
      <c r="N112" s="23" t="s">
        <v>1</v>
      </c>
      <c r="O112" s="26">
        <f t="shared" si="25"/>
        <v>1</v>
      </c>
      <c r="P112" s="27">
        <f t="shared" si="26"/>
        <v>9600</v>
      </c>
    </row>
    <row r="113" spans="1:16" x14ac:dyDescent="0.25"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3"/>
      <c r="N113" s="1"/>
    </row>
    <row r="114" spans="1:16" ht="15.75" thickBot="1" x14ac:dyDescent="0.3"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3"/>
      <c r="N114" s="1"/>
      <c r="P114" s="11">
        <f>IFERROR(VLOOKUP($A115,'PROGRAMA MES '!$A:$B,2,0),0)</f>
        <v>3600</v>
      </c>
    </row>
    <row r="115" spans="1:16" x14ac:dyDescent="0.25">
      <c r="A115" s="89">
        <f>B115</f>
        <v>9140</v>
      </c>
      <c r="B115" s="17">
        <v>9140</v>
      </c>
      <c r="C115" s="17" t="s">
        <v>94</v>
      </c>
      <c r="D115" s="17">
        <v>99</v>
      </c>
      <c r="E115" s="17" t="s">
        <v>15</v>
      </c>
      <c r="F115" s="17">
        <v>1</v>
      </c>
      <c r="G115" s="17" t="s">
        <v>16</v>
      </c>
      <c r="H115" s="17" t="s">
        <v>17</v>
      </c>
      <c r="I115" s="18">
        <v>4001183</v>
      </c>
      <c r="J115" s="17" t="s">
        <v>95</v>
      </c>
      <c r="K115" s="17">
        <v>99</v>
      </c>
      <c r="L115" s="17" t="s">
        <v>15</v>
      </c>
      <c r="M115" s="17">
        <v>278</v>
      </c>
      <c r="N115" s="17" t="s">
        <v>1</v>
      </c>
      <c r="O115" s="20">
        <f t="shared" ref="O115:O119" si="27">M115/10000</f>
        <v>2.7799999999999998E-2</v>
      </c>
      <c r="P115" s="21">
        <f>O115*$P$114</f>
        <v>100.08</v>
      </c>
    </row>
    <row r="116" spans="1:16" x14ac:dyDescent="0.25">
      <c r="A116" s="91"/>
      <c r="B116" s="13">
        <v>9140</v>
      </c>
      <c r="C116" s="13" t="s">
        <v>94</v>
      </c>
      <c r="D116" s="13">
        <v>99</v>
      </c>
      <c r="E116" s="13" t="s">
        <v>15</v>
      </c>
      <c r="F116" s="13">
        <v>1</v>
      </c>
      <c r="G116" s="13" t="s">
        <v>16</v>
      </c>
      <c r="H116" s="13" t="s">
        <v>17</v>
      </c>
      <c r="I116" s="14">
        <v>4002408</v>
      </c>
      <c r="J116" s="13" t="s">
        <v>96</v>
      </c>
      <c r="K116" s="13">
        <v>99</v>
      </c>
      <c r="L116" s="13" t="s">
        <v>15</v>
      </c>
      <c r="M116" s="15">
        <v>10000</v>
      </c>
      <c r="N116" s="13" t="s">
        <v>1</v>
      </c>
      <c r="O116" s="16">
        <f t="shared" si="27"/>
        <v>1</v>
      </c>
      <c r="P116" s="22">
        <f t="shared" ref="P116:P119" si="28">O116*$P$114</f>
        <v>3600</v>
      </c>
    </row>
    <row r="117" spans="1:16" x14ac:dyDescent="0.25">
      <c r="A117" s="91"/>
      <c r="B117" s="13">
        <v>9140</v>
      </c>
      <c r="C117" s="13" t="s">
        <v>94</v>
      </c>
      <c r="D117" s="13">
        <v>99</v>
      </c>
      <c r="E117" s="13" t="s">
        <v>15</v>
      </c>
      <c r="F117" s="13">
        <v>1</v>
      </c>
      <c r="G117" s="13" t="s">
        <v>16</v>
      </c>
      <c r="H117" s="13" t="s">
        <v>17</v>
      </c>
      <c r="I117" s="14">
        <v>4002826</v>
      </c>
      <c r="J117" s="13" t="s">
        <v>4</v>
      </c>
      <c r="K117" s="13">
        <v>99</v>
      </c>
      <c r="L117" s="13" t="s">
        <v>15</v>
      </c>
      <c r="M117" s="13">
        <v>5</v>
      </c>
      <c r="N117" s="13" t="s">
        <v>1</v>
      </c>
      <c r="O117" s="16">
        <f t="shared" si="27"/>
        <v>5.0000000000000001E-4</v>
      </c>
      <c r="P117" s="22">
        <f t="shared" si="28"/>
        <v>1.8</v>
      </c>
    </row>
    <row r="118" spans="1:16" x14ac:dyDescent="0.25">
      <c r="A118" s="91"/>
      <c r="B118" s="13">
        <v>9140</v>
      </c>
      <c r="C118" s="13" t="s">
        <v>94</v>
      </c>
      <c r="D118" s="13">
        <v>99</v>
      </c>
      <c r="E118" s="13" t="s">
        <v>15</v>
      </c>
      <c r="F118" s="13">
        <v>1</v>
      </c>
      <c r="G118" s="13" t="s">
        <v>16</v>
      </c>
      <c r="H118" s="13" t="s">
        <v>17</v>
      </c>
      <c r="I118" s="14">
        <v>4008312</v>
      </c>
      <c r="J118" s="13" t="s">
        <v>97</v>
      </c>
      <c r="K118" s="13">
        <v>99</v>
      </c>
      <c r="L118" s="13" t="s">
        <v>15</v>
      </c>
      <c r="M118" s="13">
        <v>556</v>
      </c>
      <c r="N118" s="13" t="s">
        <v>1</v>
      </c>
      <c r="O118" s="16">
        <f t="shared" si="27"/>
        <v>5.5599999999999997E-2</v>
      </c>
      <c r="P118" s="22">
        <f t="shared" si="28"/>
        <v>200.16</v>
      </c>
    </row>
    <row r="119" spans="1:16" ht="15.75" thickBot="1" x14ac:dyDescent="0.3">
      <c r="A119" s="90"/>
      <c r="B119" s="23">
        <v>9140</v>
      </c>
      <c r="C119" s="23" t="s">
        <v>94</v>
      </c>
      <c r="D119" s="23">
        <v>99</v>
      </c>
      <c r="E119" s="23" t="s">
        <v>15</v>
      </c>
      <c r="F119" s="23">
        <v>1</v>
      </c>
      <c r="G119" s="23" t="s">
        <v>21</v>
      </c>
      <c r="H119" s="23" t="s">
        <v>17</v>
      </c>
      <c r="I119" s="24" t="s">
        <v>98</v>
      </c>
      <c r="J119" s="23" t="s">
        <v>99</v>
      </c>
      <c r="K119" s="23">
        <v>3</v>
      </c>
      <c r="L119" s="23" t="s">
        <v>24</v>
      </c>
      <c r="M119" s="25">
        <v>10000</v>
      </c>
      <c r="N119" s="23" t="s">
        <v>1</v>
      </c>
      <c r="O119" s="26">
        <f t="shared" si="27"/>
        <v>1</v>
      </c>
      <c r="P119" s="27">
        <f t="shared" si="28"/>
        <v>3600</v>
      </c>
    </row>
    <row r="120" spans="1:16" x14ac:dyDescent="0.25"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3"/>
      <c r="N120" s="1"/>
    </row>
    <row r="121" spans="1:16" ht="15.75" thickBot="1" x14ac:dyDescent="0.3"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3"/>
      <c r="N121" s="1"/>
      <c r="P121" s="11">
        <f>IFERROR(VLOOKUP($A122,'PROGRAMA MES '!$A:$B,2,0),0)</f>
        <v>0</v>
      </c>
    </row>
    <row r="122" spans="1:16" x14ac:dyDescent="0.25">
      <c r="A122" s="89">
        <f>B122</f>
        <v>9141</v>
      </c>
      <c r="B122" s="17">
        <v>9141</v>
      </c>
      <c r="C122" s="17" t="s">
        <v>100</v>
      </c>
      <c r="D122" s="17">
        <v>51</v>
      </c>
      <c r="E122" s="17" t="s">
        <v>101</v>
      </c>
      <c r="F122" s="17">
        <v>1</v>
      </c>
      <c r="G122" s="17" t="s">
        <v>16</v>
      </c>
      <c r="H122" s="17" t="s">
        <v>17</v>
      </c>
      <c r="I122" s="18">
        <v>4001304</v>
      </c>
      <c r="J122" s="17" t="s">
        <v>102</v>
      </c>
      <c r="K122" s="17">
        <v>99</v>
      </c>
      <c r="L122" s="17" t="s">
        <v>15</v>
      </c>
      <c r="M122" s="17">
        <v>278</v>
      </c>
      <c r="N122" s="17" t="s">
        <v>1</v>
      </c>
      <c r="O122" s="20">
        <f t="shared" ref="O122:O198" si="29">M122/10000</f>
        <v>2.7799999999999998E-2</v>
      </c>
      <c r="P122" s="21">
        <f>O122*$P$121</f>
        <v>0</v>
      </c>
    </row>
    <row r="123" spans="1:16" x14ac:dyDescent="0.25">
      <c r="A123" s="91"/>
      <c r="B123" s="13">
        <v>9141</v>
      </c>
      <c r="C123" s="13" t="s">
        <v>100</v>
      </c>
      <c r="D123" s="13">
        <v>51</v>
      </c>
      <c r="E123" s="13" t="s">
        <v>101</v>
      </c>
      <c r="F123" s="13">
        <v>1</v>
      </c>
      <c r="G123" s="13" t="s">
        <v>16</v>
      </c>
      <c r="H123" s="13" t="s">
        <v>17</v>
      </c>
      <c r="I123" s="14">
        <v>4002409</v>
      </c>
      <c r="J123" s="13" t="s">
        <v>103</v>
      </c>
      <c r="K123" s="13">
        <v>99</v>
      </c>
      <c r="L123" s="13" t="s">
        <v>15</v>
      </c>
      <c r="M123" s="15">
        <v>10000</v>
      </c>
      <c r="N123" s="13" t="s">
        <v>1</v>
      </c>
      <c r="O123" s="16">
        <f t="shared" si="29"/>
        <v>1</v>
      </c>
      <c r="P123" s="22">
        <f t="shared" ref="P123:P125" si="30">O123*$P$121</f>
        <v>0</v>
      </c>
    </row>
    <row r="124" spans="1:16" x14ac:dyDescent="0.25">
      <c r="A124" s="91"/>
      <c r="B124" s="13">
        <v>9141</v>
      </c>
      <c r="C124" s="13" t="s">
        <v>100</v>
      </c>
      <c r="D124" s="13">
        <v>51</v>
      </c>
      <c r="E124" s="13" t="s">
        <v>101</v>
      </c>
      <c r="F124" s="13">
        <v>1</v>
      </c>
      <c r="G124" s="13" t="s">
        <v>16</v>
      </c>
      <c r="H124" s="13" t="s">
        <v>17</v>
      </c>
      <c r="I124" s="14">
        <v>4002826</v>
      </c>
      <c r="J124" s="13" t="s">
        <v>4</v>
      </c>
      <c r="K124" s="13">
        <v>99</v>
      </c>
      <c r="L124" s="13" t="s">
        <v>15</v>
      </c>
      <c r="M124" s="13">
        <v>10</v>
      </c>
      <c r="N124" s="13" t="s">
        <v>1</v>
      </c>
      <c r="O124" s="16">
        <f t="shared" si="29"/>
        <v>1E-3</v>
      </c>
      <c r="P124" s="22">
        <f t="shared" si="30"/>
        <v>0</v>
      </c>
    </row>
    <row r="125" spans="1:16" ht="15.75" thickBot="1" x14ac:dyDescent="0.3">
      <c r="A125" s="90"/>
      <c r="B125" s="23">
        <v>9141</v>
      </c>
      <c r="C125" s="23" t="s">
        <v>100</v>
      </c>
      <c r="D125" s="23">
        <v>51</v>
      </c>
      <c r="E125" s="23" t="s">
        <v>101</v>
      </c>
      <c r="F125" s="23">
        <v>1</v>
      </c>
      <c r="G125" s="23" t="s">
        <v>21</v>
      </c>
      <c r="H125" s="23" t="s">
        <v>17</v>
      </c>
      <c r="I125" s="24" t="s">
        <v>104</v>
      </c>
      <c r="J125" s="23" t="s">
        <v>105</v>
      </c>
      <c r="K125" s="23">
        <v>3</v>
      </c>
      <c r="L125" s="23" t="s">
        <v>24</v>
      </c>
      <c r="M125" s="25">
        <v>10000</v>
      </c>
      <c r="N125" s="23" t="s">
        <v>1</v>
      </c>
      <c r="O125" s="26">
        <f t="shared" si="29"/>
        <v>1</v>
      </c>
      <c r="P125" s="27">
        <f t="shared" si="30"/>
        <v>0</v>
      </c>
    </row>
    <row r="126" spans="1:16" x14ac:dyDescent="0.25"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3"/>
      <c r="N126" s="1"/>
    </row>
    <row r="127" spans="1:16" ht="15.75" thickBot="1" x14ac:dyDescent="0.3"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3"/>
      <c r="N127" s="1"/>
      <c r="P127" s="11">
        <f>IFERROR(VLOOKUP($A128,'PROGRAMA MES '!$A:$B,2,0),0)</f>
        <v>4560</v>
      </c>
    </row>
    <row r="128" spans="1:16" x14ac:dyDescent="0.25">
      <c r="A128" s="89">
        <f>B128</f>
        <v>9142</v>
      </c>
      <c r="B128" s="17">
        <v>9142</v>
      </c>
      <c r="C128" s="17" t="s">
        <v>106</v>
      </c>
      <c r="D128" s="17">
        <v>99</v>
      </c>
      <c r="E128" s="17" t="s">
        <v>15</v>
      </c>
      <c r="F128" s="17">
        <v>1</v>
      </c>
      <c r="G128" s="17" t="s">
        <v>16</v>
      </c>
      <c r="H128" s="17" t="s">
        <v>17</v>
      </c>
      <c r="I128" s="18">
        <v>4001306</v>
      </c>
      <c r="J128" s="17" t="s">
        <v>107</v>
      </c>
      <c r="K128" s="17">
        <v>99</v>
      </c>
      <c r="L128" s="17" t="s">
        <v>15</v>
      </c>
      <c r="M128" s="17">
        <v>834</v>
      </c>
      <c r="N128" s="17" t="s">
        <v>1</v>
      </c>
      <c r="O128" s="20">
        <f t="shared" si="29"/>
        <v>8.3400000000000002E-2</v>
      </c>
      <c r="P128" s="21">
        <f>O128*$P$127</f>
        <v>380.30400000000003</v>
      </c>
    </row>
    <row r="129" spans="1:16" x14ac:dyDescent="0.25">
      <c r="A129" s="91"/>
      <c r="B129" s="13">
        <v>9142</v>
      </c>
      <c r="C129" s="13" t="s">
        <v>106</v>
      </c>
      <c r="D129" s="13">
        <v>99</v>
      </c>
      <c r="E129" s="13" t="s">
        <v>15</v>
      </c>
      <c r="F129" s="13">
        <v>1</v>
      </c>
      <c r="G129" s="13" t="s">
        <v>16</v>
      </c>
      <c r="H129" s="13" t="s">
        <v>17</v>
      </c>
      <c r="I129" s="14">
        <v>4002410</v>
      </c>
      <c r="J129" s="13" t="s">
        <v>108</v>
      </c>
      <c r="K129" s="13">
        <v>99</v>
      </c>
      <c r="L129" s="13" t="s">
        <v>15</v>
      </c>
      <c r="M129" s="15">
        <v>10000</v>
      </c>
      <c r="N129" s="13" t="s">
        <v>1</v>
      </c>
      <c r="O129" s="16">
        <f t="shared" si="29"/>
        <v>1</v>
      </c>
      <c r="P129" s="22">
        <f t="shared" ref="P129:P132" si="31">O129*$P$127</f>
        <v>4560</v>
      </c>
    </row>
    <row r="130" spans="1:16" x14ac:dyDescent="0.25">
      <c r="A130" s="91"/>
      <c r="B130" s="13">
        <v>9142</v>
      </c>
      <c r="C130" s="13" t="s">
        <v>106</v>
      </c>
      <c r="D130" s="13">
        <v>99</v>
      </c>
      <c r="E130" s="13" t="s">
        <v>15</v>
      </c>
      <c r="F130" s="13">
        <v>1</v>
      </c>
      <c r="G130" s="13" t="s">
        <v>16</v>
      </c>
      <c r="H130" s="13" t="s">
        <v>17</v>
      </c>
      <c r="I130" s="14">
        <v>4002826</v>
      </c>
      <c r="J130" s="13" t="s">
        <v>4</v>
      </c>
      <c r="K130" s="13">
        <v>99</v>
      </c>
      <c r="L130" s="13" t="s">
        <v>15</v>
      </c>
      <c r="M130" s="13">
        <v>15</v>
      </c>
      <c r="N130" s="13" t="s">
        <v>1</v>
      </c>
      <c r="O130" s="16">
        <f t="shared" si="29"/>
        <v>1.5E-3</v>
      </c>
      <c r="P130" s="22">
        <f t="shared" si="31"/>
        <v>6.84</v>
      </c>
    </row>
    <row r="131" spans="1:16" x14ac:dyDescent="0.25">
      <c r="A131" s="91"/>
      <c r="B131" s="13">
        <v>9142</v>
      </c>
      <c r="C131" s="13" t="s">
        <v>106</v>
      </c>
      <c r="D131" s="13">
        <v>99</v>
      </c>
      <c r="E131" s="13" t="s">
        <v>15</v>
      </c>
      <c r="F131" s="13">
        <v>1</v>
      </c>
      <c r="G131" s="13" t="s">
        <v>16</v>
      </c>
      <c r="H131" s="13" t="s">
        <v>17</v>
      </c>
      <c r="I131" s="14">
        <v>4014845</v>
      </c>
      <c r="J131" s="13" t="s">
        <v>109</v>
      </c>
      <c r="K131" s="13">
        <v>99</v>
      </c>
      <c r="L131" s="13" t="s">
        <v>15</v>
      </c>
      <c r="M131" s="13">
        <v>834</v>
      </c>
      <c r="N131" s="13" t="s">
        <v>1</v>
      </c>
      <c r="O131" s="16">
        <f t="shared" si="29"/>
        <v>8.3400000000000002E-2</v>
      </c>
      <c r="P131" s="22">
        <f t="shared" si="31"/>
        <v>380.30400000000003</v>
      </c>
    </row>
    <row r="132" spans="1:16" ht="15.75" thickBot="1" x14ac:dyDescent="0.3">
      <c r="A132" s="90"/>
      <c r="B132" s="23">
        <v>9142</v>
      </c>
      <c r="C132" s="23" t="s">
        <v>106</v>
      </c>
      <c r="D132" s="23">
        <v>99</v>
      </c>
      <c r="E132" s="23" t="s">
        <v>15</v>
      </c>
      <c r="F132" s="23">
        <v>1</v>
      </c>
      <c r="G132" s="23" t="s">
        <v>21</v>
      </c>
      <c r="H132" s="23" t="s">
        <v>17</v>
      </c>
      <c r="I132" s="24" t="s">
        <v>110</v>
      </c>
      <c r="J132" s="23" t="s">
        <v>111</v>
      </c>
      <c r="K132" s="23">
        <v>3</v>
      </c>
      <c r="L132" s="23" t="s">
        <v>24</v>
      </c>
      <c r="M132" s="25">
        <v>10000</v>
      </c>
      <c r="N132" s="23" t="s">
        <v>1</v>
      </c>
      <c r="O132" s="26">
        <f t="shared" si="29"/>
        <v>1</v>
      </c>
      <c r="P132" s="27">
        <f t="shared" si="31"/>
        <v>4560</v>
      </c>
    </row>
    <row r="133" spans="1:16" x14ac:dyDescent="0.25"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3"/>
      <c r="N133" s="1"/>
    </row>
    <row r="134" spans="1:16" ht="15.75" thickBot="1" x14ac:dyDescent="0.3"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3"/>
      <c r="N134" s="1"/>
      <c r="P134" s="11">
        <f>IFERROR(VLOOKUP($A135,'PROGRAMA MES '!$A:$B,2,0),0)</f>
        <v>14400</v>
      </c>
    </row>
    <row r="135" spans="1:16" x14ac:dyDescent="0.25">
      <c r="A135" s="89">
        <f>B135</f>
        <v>9143</v>
      </c>
      <c r="B135" s="17">
        <v>9143</v>
      </c>
      <c r="C135" s="17" t="s">
        <v>112</v>
      </c>
      <c r="D135" s="17">
        <v>99</v>
      </c>
      <c r="E135" s="17" t="s">
        <v>15</v>
      </c>
      <c r="F135" s="17">
        <v>1</v>
      </c>
      <c r="G135" s="17" t="s">
        <v>16</v>
      </c>
      <c r="H135" s="17" t="s">
        <v>17</v>
      </c>
      <c r="I135" s="18">
        <v>4001369</v>
      </c>
      <c r="J135" s="17" t="s">
        <v>113</v>
      </c>
      <c r="K135" s="17">
        <v>99</v>
      </c>
      <c r="L135" s="17" t="s">
        <v>15</v>
      </c>
      <c r="M135" s="17">
        <v>834</v>
      </c>
      <c r="N135" s="17" t="s">
        <v>1</v>
      </c>
      <c r="O135" s="20">
        <f t="shared" si="29"/>
        <v>8.3400000000000002E-2</v>
      </c>
      <c r="P135" s="21">
        <f>O135*$P$134</f>
        <v>1200.96</v>
      </c>
    </row>
    <row r="136" spans="1:16" x14ac:dyDescent="0.25">
      <c r="A136" s="91"/>
      <c r="B136" s="13">
        <v>9143</v>
      </c>
      <c r="C136" s="13" t="s">
        <v>112</v>
      </c>
      <c r="D136" s="13">
        <v>99</v>
      </c>
      <c r="E136" s="13" t="s">
        <v>15</v>
      </c>
      <c r="F136" s="13">
        <v>1</v>
      </c>
      <c r="G136" s="13" t="s">
        <v>16</v>
      </c>
      <c r="H136" s="13" t="s">
        <v>17</v>
      </c>
      <c r="I136" s="14">
        <v>4002411</v>
      </c>
      <c r="J136" s="13" t="s">
        <v>114</v>
      </c>
      <c r="K136" s="13">
        <v>99</v>
      </c>
      <c r="L136" s="13" t="s">
        <v>15</v>
      </c>
      <c r="M136" s="15">
        <v>10000</v>
      </c>
      <c r="N136" s="13" t="s">
        <v>1</v>
      </c>
      <c r="O136" s="16">
        <f t="shared" si="29"/>
        <v>1</v>
      </c>
      <c r="P136" s="22">
        <f t="shared" ref="P136:P138" si="32">O136*$P$134</f>
        <v>14400</v>
      </c>
    </row>
    <row r="137" spans="1:16" x14ac:dyDescent="0.25">
      <c r="A137" s="91"/>
      <c r="B137" s="13">
        <v>9143</v>
      </c>
      <c r="C137" s="13" t="s">
        <v>112</v>
      </c>
      <c r="D137" s="13">
        <v>99</v>
      </c>
      <c r="E137" s="13" t="s">
        <v>15</v>
      </c>
      <c r="F137" s="13">
        <v>1</v>
      </c>
      <c r="G137" s="13" t="s">
        <v>16</v>
      </c>
      <c r="H137" s="13" t="s">
        <v>17</v>
      </c>
      <c r="I137" s="14">
        <v>4002826</v>
      </c>
      <c r="J137" s="13" t="s">
        <v>4</v>
      </c>
      <c r="K137" s="13">
        <v>99</v>
      </c>
      <c r="L137" s="13" t="s">
        <v>15</v>
      </c>
      <c r="M137" s="13">
        <v>15</v>
      </c>
      <c r="N137" s="13" t="s">
        <v>1</v>
      </c>
      <c r="O137" s="16">
        <f t="shared" si="29"/>
        <v>1.5E-3</v>
      </c>
      <c r="P137" s="22">
        <f t="shared" si="32"/>
        <v>21.6</v>
      </c>
    </row>
    <row r="138" spans="1:16" ht="15.75" thickBot="1" x14ac:dyDescent="0.3">
      <c r="A138" s="90"/>
      <c r="B138" s="23">
        <v>9143</v>
      </c>
      <c r="C138" s="23" t="s">
        <v>112</v>
      </c>
      <c r="D138" s="23">
        <v>99</v>
      </c>
      <c r="E138" s="23" t="s">
        <v>15</v>
      </c>
      <c r="F138" s="23">
        <v>1</v>
      </c>
      <c r="G138" s="23" t="s">
        <v>21</v>
      </c>
      <c r="H138" s="23" t="s">
        <v>17</v>
      </c>
      <c r="I138" s="24" t="s">
        <v>115</v>
      </c>
      <c r="J138" s="23" t="s">
        <v>116</v>
      </c>
      <c r="K138" s="23">
        <v>3</v>
      </c>
      <c r="L138" s="23" t="s">
        <v>24</v>
      </c>
      <c r="M138" s="25">
        <v>10000</v>
      </c>
      <c r="N138" s="23" t="s">
        <v>1</v>
      </c>
      <c r="O138" s="26">
        <f t="shared" si="29"/>
        <v>1</v>
      </c>
      <c r="P138" s="27">
        <f t="shared" si="32"/>
        <v>14400</v>
      </c>
    </row>
    <row r="139" spans="1:16" x14ac:dyDescent="0.25"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3"/>
      <c r="N139" s="1"/>
    </row>
    <row r="140" spans="1:16" ht="15.75" thickBot="1" x14ac:dyDescent="0.3"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3"/>
      <c r="N140" s="1"/>
      <c r="P140" s="11">
        <f>IFERROR(VLOOKUP($A141,'PROGRAMA MES '!$A:$B,2,0),0)</f>
        <v>7200</v>
      </c>
    </row>
    <row r="141" spans="1:16" x14ac:dyDescent="0.25">
      <c r="A141" s="89">
        <f>B141</f>
        <v>9144</v>
      </c>
      <c r="B141" s="17">
        <v>9144</v>
      </c>
      <c r="C141" s="17" t="s">
        <v>117</v>
      </c>
      <c r="D141" s="17">
        <v>99</v>
      </c>
      <c r="E141" s="17" t="s">
        <v>15</v>
      </c>
      <c r="F141" s="17">
        <v>1</v>
      </c>
      <c r="G141" s="17" t="s">
        <v>16</v>
      </c>
      <c r="H141" s="17" t="s">
        <v>17</v>
      </c>
      <c r="I141" s="18">
        <v>4001271</v>
      </c>
      <c r="J141" s="17" t="s">
        <v>118</v>
      </c>
      <c r="K141" s="17">
        <v>99</v>
      </c>
      <c r="L141" s="17" t="s">
        <v>15</v>
      </c>
      <c r="M141" s="17">
        <v>834</v>
      </c>
      <c r="N141" s="17" t="s">
        <v>1</v>
      </c>
      <c r="O141" s="20">
        <f t="shared" si="29"/>
        <v>8.3400000000000002E-2</v>
      </c>
      <c r="P141" s="21">
        <f>O141*$P$140</f>
        <v>600.48</v>
      </c>
    </row>
    <row r="142" spans="1:16" x14ac:dyDescent="0.25">
      <c r="A142" s="91"/>
      <c r="B142" s="13">
        <v>9144</v>
      </c>
      <c r="C142" s="13" t="s">
        <v>117</v>
      </c>
      <c r="D142" s="13">
        <v>99</v>
      </c>
      <c r="E142" s="13" t="s">
        <v>15</v>
      </c>
      <c r="F142" s="13">
        <v>1</v>
      </c>
      <c r="G142" s="13" t="s">
        <v>16</v>
      </c>
      <c r="H142" s="13" t="s">
        <v>17</v>
      </c>
      <c r="I142" s="14">
        <v>4002412</v>
      </c>
      <c r="J142" s="13" t="s">
        <v>119</v>
      </c>
      <c r="K142" s="13">
        <v>99</v>
      </c>
      <c r="L142" s="13" t="s">
        <v>15</v>
      </c>
      <c r="M142" s="15">
        <v>10000</v>
      </c>
      <c r="N142" s="13" t="s">
        <v>1</v>
      </c>
      <c r="O142" s="16">
        <f t="shared" si="29"/>
        <v>1</v>
      </c>
      <c r="P142" s="22">
        <f t="shared" ref="P142:P144" si="33">O142*$P$140</f>
        <v>7200</v>
      </c>
    </row>
    <row r="143" spans="1:16" x14ac:dyDescent="0.25">
      <c r="A143" s="91"/>
      <c r="B143" s="13">
        <v>9144</v>
      </c>
      <c r="C143" s="13" t="s">
        <v>117</v>
      </c>
      <c r="D143" s="13">
        <v>99</v>
      </c>
      <c r="E143" s="13" t="s">
        <v>15</v>
      </c>
      <c r="F143" s="13">
        <v>1</v>
      </c>
      <c r="G143" s="13" t="s">
        <v>16</v>
      </c>
      <c r="H143" s="13" t="s">
        <v>17</v>
      </c>
      <c r="I143" s="14">
        <v>4002826</v>
      </c>
      <c r="J143" s="13" t="s">
        <v>4</v>
      </c>
      <c r="K143" s="13">
        <v>99</v>
      </c>
      <c r="L143" s="13" t="s">
        <v>15</v>
      </c>
      <c r="M143" s="13">
        <v>10</v>
      </c>
      <c r="N143" s="13" t="s">
        <v>1</v>
      </c>
      <c r="O143" s="16">
        <f t="shared" si="29"/>
        <v>1E-3</v>
      </c>
      <c r="P143" s="22">
        <f t="shared" si="33"/>
        <v>7.2</v>
      </c>
    </row>
    <row r="144" spans="1:16" ht="15.75" thickBot="1" x14ac:dyDescent="0.3">
      <c r="A144" s="90"/>
      <c r="B144" s="23">
        <v>9144</v>
      </c>
      <c r="C144" s="23" t="s">
        <v>117</v>
      </c>
      <c r="D144" s="23">
        <v>99</v>
      </c>
      <c r="E144" s="23" t="s">
        <v>15</v>
      </c>
      <c r="F144" s="23">
        <v>1</v>
      </c>
      <c r="G144" s="23" t="s">
        <v>21</v>
      </c>
      <c r="H144" s="23" t="s">
        <v>17</v>
      </c>
      <c r="I144" s="24" t="s">
        <v>120</v>
      </c>
      <c r="J144" s="23" t="s">
        <v>121</v>
      </c>
      <c r="K144" s="23">
        <v>3</v>
      </c>
      <c r="L144" s="23" t="s">
        <v>24</v>
      </c>
      <c r="M144" s="25">
        <v>10000</v>
      </c>
      <c r="N144" s="23" t="s">
        <v>1</v>
      </c>
      <c r="O144" s="26">
        <f t="shared" si="29"/>
        <v>1</v>
      </c>
      <c r="P144" s="27">
        <f t="shared" si="33"/>
        <v>7200</v>
      </c>
    </row>
    <row r="145" spans="1:16" x14ac:dyDescent="0.25"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3"/>
      <c r="N145" s="1"/>
    </row>
    <row r="146" spans="1:16" ht="15.75" thickBot="1" x14ac:dyDescent="0.3"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3"/>
      <c r="N146" s="1"/>
      <c r="P146" s="11">
        <f>IFERROR(VLOOKUP($A147,'PROGRAMA MES '!$A:$B,2,0),0)</f>
        <v>0</v>
      </c>
    </row>
    <row r="147" spans="1:16" x14ac:dyDescent="0.25">
      <c r="A147" s="89">
        <f>B147</f>
        <v>9146</v>
      </c>
      <c r="B147" s="17">
        <v>9146</v>
      </c>
      <c r="C147" s="17" t="s">
        <v>122</v>
      </c>
      <c r="D147" s="17">
        <v>99</v>
      </c>
      <c r="E147" s="17" t="s">
        <v>15</v>
      </c>
      <c r="F147" s="17">
        <v>1</v>
      </c>
      <c r="G147" s="17" t="s">
        <v>16</v>
      </c>
      <c r="H147" s="17" t="s">
        <v>17</v>
      </c>
      <c r="I147" s="18">
        <v>4000117</v>
      </c>
      <c r="J147" s="17" t="s">
        <v>123</v>
      </c>
      <c r="K147" s="17">
        <v>99</v>
      </c>
      <c r="L147" s="17" t="s">
        <v>15</v>
      </c>
      <c r="M147" s="17">
        <v>834</v>
      </c>
      <c r="N147" s="17" t="s">
        <v>1</v>
      </c>
      <c r="O147" s="20">
        <f t="shared" si="29"/>
        <v>8.3400000000000002E-2</v>
      </c>
      <c r="P147" s="21">
        <f>O147*$P$146</f>
        <v>0</v>
      </c>
    </row>
    <row r="148" spans="1:16" x14ac:dyDescent="0.25">
      <c r="A148" s="91"/>
      <c r="B148" s="13">
        <v>9146</v>
      </c>
      <c r="C148" s="13" t="s">
        <v>122</v>
      </c>
      <c r="D148" s="13">
        <v>99</v>
      </c>
      <c r="E148" s="13" t="s">
        <v>15</v>
      </c>
      <c r="F148" s="13">
        <v>1</v>
      </c>
      <c r="G148" s="13" t="s">
        <v>16</v>
      </c>
      <c r="H148" s="13" t="s">
        <v>17</v>
      </c>
      <c r="I148" s="14">
        <v>4001153</v>
      </c>
      <c r="J148" s="13" t="s">
        <v>124</v>
      </c>
      <c r="K148" s="13">
        <v>99</v>
      </c>
      <c r="L148" s="13" t="s">
        <v>15</v>
      </c>
      <c r="M148" s="13">
        <v>834</v>
      </c>
      <c r="N148" s="13" t="s">
        <v>1</v>
      </c>
      <c r="O148" s="16">
        <f t="shared" si="29"/>
        <v>8.3400000000000002E-2</v>
      </c>
      <c r="P148" s="22">
        <f t="shared" ref="P148:P151" si="34">O148*$P$146</f>
        <v>0</v>
      </c>
    </row>
    <row r="149" spans="1:16" x14ac:dyDescent="0.25">
      <c r="A149" s="91"/>
      <c r="B149" s="13">
        <v>9146</v>
      </c>
      <c r="C149" s="13" t="s">
        <v>122</v>
      </c>
      <c r="D149" s="13">
        <v>99</v>
      </c>
      <c r="E149" s="13" t="s">
        <v>15</v>
      </c>
      <c r="F149" s="13">
        <v>1</v>
      </c>
      <c r="G149" s="13" t="s">
        <v>16</v>
      </c>
      <c r="H149" s="13" t="s">
        <v>17</v>
      </c>
      <c r="I149" s="14">
        <v>4002414</v>
      </c>
      <c r="J149" s="13" t="s">
        <v>125</v>
      </c>
      <c r="K149" s="13">
        <v>99</v>
      </c>
      <c r="L149" s="13" t="s">
        <v>15</v>
      </c>
      <c r="M149" s="15">
        <v>10000</v>
      </c>
      <c r="N149" s="13" t="s">
        <v>1</v>
      </c>
      <c r="O149" s="16">
        <f t="shared" si="29"/>
        <v>1</v>
      </c>
      <c r="P149" s="22">
        <f t="shared" si="34"/>
        <v>0</v>
      </c>
    </row>
    <row r="150" spans="1:16" x14ac:dyDescent="0.25">
      <c r="A150" s="91"/>
      <c r="B150" s="13">
        <v>9146</v>
      </c>
      <c r="C150" s="13" t="s">
        <v>122</v>
      </c>
      <c r="D150" s="13">
        <v>99</v>
      </c>
      <c r="E150" s="13" t="s">
        <v>15</v>
      </c>
      <c r="F150" s="13">
        <v>1</v>
      </c>
      <c r="G150" s="13" t="s">
        <v>16</v>
      </c>
      <c r="H150" s="13" t="s">
        <v>17</v>
      </c>
      <c r="I150" s="14">
        <v>4002826</v>
      </c>
      <c r="J150" s="13" t="s">
        <v>4</v>
      </c>
      <c r="K150" s="13">
        <v>99</v>
      </c>
      <c r="L150" s="13" t="s">
        <v>15</v>
      </c>
      <c r="M150" s="13">
        <v>15</v>
      </c>
      <c r="N150" s="13" t="s">
        <v>1</v>
      </c>
      <c r="O150" s="16">
        <f t="shared" si="29"/>
        <v>1.5E-3</v>
      </c>
      <c r="P150" s="22">
        <f t="shared" si="34"/>
        <v>0</v>
      </c>
    </row>
    <row r="151" spans="1:16" ht="15.75" thickBot="1" x14ac:dyDescent="0.3">
      <c r="A151" s="90"/>
      <c r="B151" s="23">
        <v>9146</v>
      </c>
      <c r="C151" s="23" t="s">
        <v>122</v>
      </c>
      <c r="D151" s="23">
        <v>99</v>
      </c>
      <c r="E151" s="23" t="s">
        <v>15</v>
      </c>
      <c r="F151" s="23">
        <v>1</v>
      </c>
      <c r="G151" s="23" t="s">
        <v>21</v>
      </c>
      <c r="H151" s="23" t="s">
        <v>17</v>
      </c>
      <c r="I151" s="24" t="s">
        <v>126</v>
      </c>
      <c r="J151" s="23" t="s">
        <v>127</v>
      </c>
      <c r="K151" s="23">
        <v>3</v>
      </c>
      <c r="L151" s="23" t="s">
        <v>24</v>
      </c>
      <c r="M151" s="25">
        <v>10000</v>
      </c>
      <c r="N151" s="23" t="s">
        <v>1</v>
      </c>
      <c r="O151" s="26">
        <f t="shared" si="29"/>
        <v>1</v>
      </c>
      <c r="P151" s="27">
        <f t="shared" si="34"/>
        <v>0</v>
      </c>
    </row>
    <row r="152" spans="1:16" x14ac:dyDescent="0.25"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3"/>
      <c r="N152" s="1"/>
    </row>
    <row r="153" spans="1:16" ht="15.75" thickBot="1" x14ac:dyDescent="0.3"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3"/>
      <c r="N153" s="1"/>
      <c r="P153" s="11">
        <f>IFERROR(VLOOKUP($A154,'PROGRAMA MES '!$A:$B,2,0),0)</f>
        <v>1200</v>
      </c>
    </row>
    <row r="154" spans="1:16" x14ac:dyDescent="0.25">
      <c r="A154" s="89">
        <f>B154</f>
        <v>9152</v>
      </c>
      <c r="B154" s="17">
        <v>9152</v>
      </c>
      <c r="C154" s="17" t="s">
        <v>128</v>
      </c>
      <c r="D154" s="17">
        <v>99</v>
      </c>
      <c r="E154" s="17" t="s">
        <v>15</v>
      </c>
      <c r="F154" s="17">
        <v>1</v>
      </c>
      <c r="G154" s="17" t="s">
        <v>16</v>
      </c>
      <c r="H154" s="17" t="s">
        <v>17</v>
      </c>
      <c r="I154" s="18">
        <v>4000120</v>
      </c>
      <c r="J154" s="17" t="s">
        <v>129</v>
      </c>
      <c r="K154" s="17">
        <v>53</v>
      </c>
      <c r="L154" s="17" t="s">
        <v>130</v>
      </c>
      <c r="M154" s="19">
        <v>1667</v>
      </c>
      <c r="N154" s="17" t="s">
        <v>1</v>
      </c>
      <c r="O154" s="20">
        <f t="shared" si="29"/>
        <v>0.16669999999999999</v>
      </c>
      <c r="P154" s="21">
        <f>O154*$P$153</f>
        <v>200.04</v>
      </c>
    </row>
    <row r="155" spans="1:16" x14ac:dyDescent="0.25">
      <c r="A155" s="91"/>
      <c r="B155" s="13">
        <v>9152</v>
      </c>
      <c r="C155" s="13" t="s">
        <v>128</v>
      </c>
      <c r="D155" s="13">
        <v>99</v>
      </c>
      <c r="E155" s="13" t="s">
        <v>15</v>
      </c>
      <c r="F155" s="13">
        <v>1</v>
      </c>
      <c r="G155" s="13" t="s">
        <v>16</v>
      </c>
      <c r="H155" s="13" t="s">
        <v>17</v>
      </c>
      <c r="I155" s="14">
        <v>4001169</v>
      </c>
      <c r="J155" s="13" t="s">
        <v>131</v>
      </c>
      <c r="K155" s="13">
        <v>99</v>
      </c>
      <c r="L155" s="13" t="s">
        <v>15</v>
      </c>
      <c r="M155" s="13">
        <v>834</v>
      </c>
      <c r="N155" s="13" t="s">
        <v>1</v>
      </c>
      <c r="O155" s="16">
        <f t="shared" si="29"/>
        <v>8.3400000000000002E-2</v>
      </c>
      <c r="P155" s="22">
        <f t="shared" ref="P155:P158" si="35">O155*$P$153</f>
        <v>100.08</v>
      </c>
    </row>
    <row r="156" spans="1:16" x14ac:dyDescent="0.25">
      <c r="A156" s="91"/>
      <c r="B156" s="13">
        <v>9152</v>
      </c>
      <c r="C156" s="13" t="s">
        <v>128</v>
      </c>
      <c r="D156" s="13">
        <v>99</v>
      </c>
      <c r="E156" s="13" t="s">
        <v>15</v>
      </c>
      <c r="F156" s="13">
        <v>1</v>
      </c>
      <c r="G156" s="13" t="s">
        <v>16</v>
      </c>
      <c r="H156" s="13" t="s">
        <v>17</v>
      </c>
      <c r="I156" s="14">
        <v>4002417</v>
      </c>
      <c r="J156" s="13" t="s">
        <v>132</v>
      </c>
      <c r="K156" s="13">
        <v>99</v>
      </c>
      <c r="L156" s="13" t="s">
        <v>15</v>
      </c>
      <c r="M156" s="15">
        <v>10000</v>
      </c>
      <c r="N156" s="13" t="s">
        <v>1</v>
      </c>
      <c r="O156" s="16">
        <f t="shared" si="29"/>
        <v>1</v>
      </c>
      <c r="P156" s="22">
        <f t="shared" si="35"/>
        <v>1200</v>
      </c>
    </row>
    <row r="157" spans="1:16" x14ac:dyDescent="0.25">
      <c r="A157" s="91"/>
      <c r="B157" s="13">
        <v>9152</v>
      </c>
      <c r="C157" s="13" t="s">
        <v>128</v>
      </c>
      <c r="D157" s="13">
        <v>99</v>
      </c>
      <c r="E157" s="13" t="s">
        <v>15</v>
      </c>
      <c r="F157" s="13">
        <v>1</v>
      </c>
      <c r="G157" s="13" t="s">
        <v>16</v>
      </c>
      <c r="H157" s="13" t="s">
        <v>17</v>
      </c>
      <c r="I157" s="14">
        <v>4002826</v>
      </c>
      <c r="J157" s="13" t="s">
        <v>4</v>
      </c>
      <c r="K157" s="13">
        <v>99</v>
      </c>
      <c r="L157" s="13" t="s">
        <v>15</v>
      </c>
      <c r="M157" s="13">
        <v>12</v>
      </c>
      <c r="N157" s="13" t="s">
        <v>1</v>
      </c>
      <c r="O157" s="16">
        <f t="shared" si="29"/>
        <v>1.1999999999999999E-3</v>
      </c>
      <c r="P157" s="22">
        <f t="shared" si="35"/>
        <v>1.44</v>
      </c>
    </row>
    <row r="158" spans="1:16" ht="15.75" thickBot="1" x14ac:dyDescent="0.3">
      <c r="A158" s="90"/>
      <c r="B158" s="23">
        <v>9152</v>
      </c>
      <c r="C158" s="23" t="s">
        <v>128</v>
      </c>
      <c r="D158" s="23">
        <v>99</v>
      </c>
      <c r="E158" s="23" t="s">
        <v>15</v>
      </c>
      <c r="F158" s="23">
        <v>1</v>
      </c>
      <c r="G158" s="23" t="s">
        <v>21</v>
      </c>
      <c r="H158" s="23" t="s">
        <v>17</v>
      </c>
      <c r="I158" s="24" t="s">
        <v>133</v>
      </c>
      <c r="J158" s="23" t="s">
        <v>134</v>
      </c>
      <c r="K158" s="23">
        <v>3</v>
      </c>
      <c r="L158" s="23" t="s">
        <v>24</v>
      </c>
      <c r="M158" s="25">
        <v>10000</v>
      </c>
      <c r="N158" s="23" t="s">
        <v>1</v>
      </c>
      <c r="O158" s="26">
        <f t="shared" si="29"/>
        <v>1</v>
      </c>
      <c r="P158" s="27">
        <f t="shared" si="35"/>
        <v>1200</v>
      </c>
    </row>
    <row r="159" spans="1:16" x14ac:dyDescent="0.25"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3"/>
      <c r="N159" s="1"/>
    </row>
    <row r="160" spans="1:16" ht="15.75" thickBot="1" x14ac:dyDescent="0.3"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3"/>
      <c r="N160" s="1"/>
      <c r="P160" s="11">
        <f>IFERROR(VLOOKUP($A161,'PROGRAMA MES '!$A:$B,2,0),0)</f>
        <v>0</v>
      </c>
    </row>
    <row r="161" spans="1:16" x14ac:dyDescent="0.25">
      <c r="A161" s="89">
        <f>B161</f>
        <v>9154</v>
      </c>
      <c r="B161" s="17">
        <v>9154</v>
      </c>
      <c r="C161" s="17" t="s">
        <v>135</v>
      </c>
      <c r="D161" s="17">
        <v>99</v>
      </c>
      <c r="E161" s="17" t="s">
        <v>15</v>
      </c>
      <c r="F161" s="17">
        <v>1</v>
      </c>
      <c r="G161" s="17" t="s">
        <v>16</v>
      </c>
      <c r="H161" s="17" t="s">
        <v>17</v>
      </c>
      <c r="I161" s="18">
        <v>4002418</v>
      </c>
      <c r="J161" s="17" t="s">
        <v>136</v>
      </c>
      <c r="K161" s="17">
        <v>99</v>
      </c>
      <c r="L161" s="17" t="s">
        <v>15</v>
      </c>
      <c r="M161" s="19">
        <v>10000</v>
      </c>
      <c r="N161" s="17" t="s">
        <v>1</v>
      </c>
      <c r="O161" s="20">
        <f t="shared" si="29"/>
        <v>1</v>
      </c>
      <c r="P161" s="21">
        <f>O161*$P$160</f>
        <v>0</v>
      </c>
    </row>
    <row r="162" spans="1:16" x14ac:dyDescent="0.25">
      <c r="A162" s="91"/>
      <c r="B162" s="13">
        <v>9154</v>
      </c>
      <c r="C162" s="13" t="s">
        <v>135</v>
      </c>
      <c r="D162" s="13">
        <v>99</v>
      </c>
      <c r="E162" s="13" t="s">
        <v>15</v>
      </c>
      <c r="F162" s="13">
        <v>1</v>
      </c>
      <c r="G162" s="13" t="s">
        <v>16</v>
      </c>
      <c r="H162" s="13" t="s">
        <v>17</v>
      </c>
      <c r="I162" s="14">
        <v>4002826</v>
      </c>
      <c r="J162" s="13" t="s">
        <v>4</v>
      </c>
      <c r="K162" s="13">
        <v>99</v>
      </c>
      <c r="L162" s="13" t="s">
        <v>15</v>
      </c>
      <c r="M162" s="13">
        <v>12</v>
      </c>
      <c r="N162" s="13" t="s">
        <v>1</v>
      </c>
      <c r="O162" s="16">
        <f t="shared" si="29"/>
        <v>1.1999999999999999E-3</v>
      </c>
      <c r="P162" s="22">
        <f t="shared" ref="P162:P166" si="36">O162*$P$160</f>
        <v>0</v>
      </c>
    </row>
    <row r="163" spans="1:16" x14ac:dyDescent="0.25">
      <c r="A163" s="91"/>
      <c r="B163" s="13">
        <v>9154</v>
      </c>
      <c r="C163" s="13" t="s">
        <v>135</v>
      </c>
      <c r="D163" s="13">
        <v>99</v>
      </c>
      <c r="E163" s="13" t="s">
        <v>15</v>
      </c>
      <c r="F163" s="13">
        <v>1</v>
      </c>
      <c r="G163" s="13" t="s">
        <v>16</v>
      </c>
      <c r="H163" s="13" t="s">
        <v>17</v>
      </c>
      <c r="I163" s="14">
        <v>4008709</v>
      </c>
      <c r="J163" s="13" t="s">
        <v>137</v>
      </c>
      <c r="K163" s="13">
        <v>99</v>
      </c>
      <c r="L163" s="13" t="s">
        <v>15</v>
      </c>
      <c r="M163" s="13">
        <v>667</v>
      </c>
      <c r="N163" s="13" t="s">
        <v>1</v>
      </c>
      <c r="O163" s="16">
        <f t="shared" si="29"/>
        <v>6.6699999999999995E-2</v>
      </c>
      <c r="P163" s="22">
        <f t="shared" si="36"/>
        <v>0</v>
      </c>
    </row>
    <row r="164" spans="1:16" x14ac:dyDescent="0.25">
      <c r="A164" s="91"/>
      <c r="B164" s="13">
        <v>9154</v>
      </c>
      <c r="C164" s="13" t="s">
        <v>135</v>
      </c>
      <c r="D164" s="13">
        <v>99</v>
      </c>
      <c r="E164" s="13" t="s">
        <v>15</v>
      </c>
      <c r="F164" s="13">
        <v>1</v>
      </c>
      <c r="G164" s="13" t="s">
        <v>16</v>
      </c>
      <c r="H164" s="13" t="s">
        <v>17</v>
      </c>
      <c r="I164" s="14">
        <v>4008730</v>
      </c>
      <c r="J164" s="13" t="s">
        <v>138</v>
      </c>
      <c r="K164" s="13">
        <v>99</v>
      </c>
      <c r="L164" s="13" t="s">
        <v>15</v>
      </c>
      <c r="M164" s="13">
        <v>667</v>
      </c>
      <c r="N164" s="13" t="s">
        <v>1</v>
      </c>
      <c r="O164" s="16">
        <f t="shared" si="29"/>
        <v>6.6699999999999995E-2</v>
      </c>
      <c r="P164" s="22">
        <f t="shared" si="36"/>
        <v>0</v>
      </c>
    </row>
    <row r="165" spans="1:16" x14ac:dyDescent="0.25">
      <c r="A165" s="91"/>
      <c r="B165" s="13">
        <v>9154</v>
      </c>
      <c r="C165" s="13" t="s">
        <v>135</v>
      </c>
      <c r="D165" s="13">
        <v>99</v>
      </c>
      <c r="E165" s="13" t="s">
        <v>15</v>
      </c>
      <c r="F165" s="13">
        <v>1</v>
      </c>
      <c r="G165" s="13" t="s">
        <v>16</v>
      </c>
      <c r="H165" s="13" t="s">
        <v>17</v>
      </c>
      <c r="I165" s="14">
        <v>4008731</v>
      </c>
      <c r="J165" s="13" t="s">
        <v>139</v>
      </c>
      <c r="K165" s="13">
        <v>99</v>
      </c>
      <c r="L165" s="13" t="s">
        <v>15</v>
      </c>
      <c r="M165" s="15">
        <v>1334</v>
      </c>
      <c r="N165" s="13" t="s">
        <v>1</v>
      </c>
      <c r="O165" s="16">
        <f t="shared" si="29"/>
        <v>0.13339999999999999</v>
      </c>
      <c r="P165" s="22">
        <f t="shared" si="36"/>
        <v>0</v>
      </c>
    </row>
    <row r="166" spans="1:16" ht="15.75" thickBot="1" x14ac:dyDescent="0.3">
      <c r="A166" s="90"/>
      <c r="B166" s="23">
        <v>9154</v>
      </c>
      <c r="C166" s="23" t="s">
        <v>135</v>
      </c>
      <c r="D166" s="23">
        <v>99</v>
      </c>
      <c r="E166" s="23" t="s">
        <v>15</v>
      </c>
      <c r="F166" s="23">
        <v>1</v>
      </c>
      <c r="G166" s="23" t="s">
        <v>21</v>
      </c>
      <c r="H166" s="23" t="s">
        <v>17</v>
      </c>
      <c r="I166" s="24" t="s">
        <v>140</v>
      </c>
      <c r="J166" s="23" t="s">
        <v>141</v>
      </c>
      <c r="K166" s="23">
        <v>3</v>
      </c>
      <c r="L166" s="23" t="s">
        <v>24</v>
      </c>
      <c r="M166" s="25">
        <v>10000</v>
      </c>
      <c r="N166" s="23" t="s">
        <v>1</v>
      </c>
      <c r="O166" s="26">
        <f t="shared" si="29"/>
        <v>1</v>
      </c>
      <c r="P166" s="27">
        <f t="shared" si="36"/>
        <v>0</v>
      </c>
    </row>
    <row r="167" spans="1:16" x14ac:dyDescent="0.25"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3"/>
      <c r="N167" s="1"/>
    </row>
    <row r="168" spans="1:16" ht="15.75" thickBot="1" x14ac:dyDescent="0.3"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3"/>
      <c r="N168" s="1"/>
      <c r="P168" s="11">
        <f>IFERROR(VLOOKUP($A169,'PROGRAMA MES '!$A:$B,2,0),0)</f>
        <v>0</v>
      </c>
    </row>
    <row r="169" spans="1:16" ht="15.75" thickBot="1" x14ac:dyDescent="0.3">
      <c r="A169" s="30">
        <f>B169</f>
        <v>9203</v>
      </c>
      <c r="B169" s="31">
        <v>9203</v>
      </c>
      <c r="C169" s="31" t="s">
        <v>142</v>
      </c>
      <c r="D169" s="31">
        <v>99</v>
      </c>
      <c r="E169" s="31" t="s">
        <v>15</v>
      </c>
      <c r="F169" s="31">
        <v>1</v>
      </c>
      <c r="G169" s="31" t="s">
        <v>21</v>
      </c>
      <c r="H169" s="31" t="s">
        <v>17</v>
      </c>
      <c r="I169" s="32" t="s">
        <v>143</v>
      </c>
      <c r="J169" s="31" t="s">
        <v>144</v>
      </c>
      <c r="K169" s="31">
        <v>3</v>
      </c>
      <c r="L169" s="31" t="s">
        <v>24</v>
      </c>
      <c r="M169" s="33">
        <v>10000</v>
      </c>
      <c r="N169" s="31" t="s">
        <v>1</v>
      </c>
      <c r="O169" s="34">
        <f t="shared" si="29"/>
        <v>1</v>
      </c>
      <c r="P169" s="35">
        <f>O169*$P$168</f>
        <v>0</v>
      </c>
    </row>
    <row r="170" spans="1:16" x14ac:dyDescent="0.25"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3"/>
      <c r="N170" s="1"/>
    </row>
    <row r="171" spans="1:16" ht="15.75" thickBot="1" x14ac:dyDescent="0.3"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3"/>
      <c r="N171" s="1"/>
      <c r="P171" s="11">
        <f>IFERROR(VLOOKUP($A172,'PROGRAMA MES '!$A:$B,2,0),0)</f>
        <v>0</v>
      </c>
    </row>
    <row r="172" spans="1:16" ht="15.75" thickBot="1" x14ac:dyDescent="0.3">
      <c r="A172" s="30">
        <f>B172</f>
        <v>9205</v>
      </c>
      <c r="B172" s="31">
        <v>9205</v>
      </c>
      <c r="C172" s="31" t="s">
        <v>145</v>
      </c>
      <c r="D172" s="31">
        <v>99</v>
      </c>
      <c r="E172" s="31" t="s">
        <v>15</v>
      </c>
      <c r="F172" s="31">
        <v>1</v>
      </c>
      <c r="G172" s="31" t="s">
        <v>21</v>
      </c>
      <c r="H172" s="31" t="s">
        <v>17</v>
      </c>
      <c r="I172" s="32" t="s">
        <v>146</v>
      </c>
      <c r="J172" s="31" t="s">
        <v>147</v>
      </c>
      <c r="K172" s="31">
        <v>3</v>
      </c>
      <c r="L172" s="31" t="s">
        <v>24</v>
      </c>
      <c r="M172" s="33">
        <v>10000</v>
      </c>
      <c r="N172" s="31" t="s">
        <v>1</v>
      </c>
      <c r="O172" s="34">
        <f t="shared" si="29"/>
        <v>1</v>
      </c>
      <c r="P172" s="35">
        <f>O172*$P$171</f>
        <v>0</v>
      </c>
    </row>
    <row r="173" spans="1:16" x14ac:dyDescent="0.25"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3"/>
      <c r="N173" s="1"/>
    </row>
    <row r="174" spans="1:16" ht="15.75" thickBot="1" x14ac:dyDescent="0.3"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3"/>
      <c r="N174" s="1"/>
      <c r="P174" s="11">
        <f>IFERROR(VLOOKUP($A175,'PROGRAMA MES '!$A:$B,2,0),0)</f>
        <v>1200</v>
      </c>
    </row>
    <row r="175" spans="1:16" ht="15.75" thickBot="1" x14ac:dyDescent="0.3">
      <c r="A175" s="30">
        <f>B175</f>
        <v>9207</v>
      </c>
      <c r="B175" s="31">
        <v>9207</v>
      </c>
      <c r="C175" s="31" t="s">
        <v>148</v>
      </c>
      <c r="D175" s="31">
        <v>99</v>
      </c>
      <c r="E175" s="31" t="s">
        <v>15</v>
      </c>
      <c r="F175" s="31">
        <v>1</v>
      </c>
      <c r="G175" s="31" t="s">
        <v>21</v>
      </c>
      <c r="H175" s="31" t="s">
        <v>17</v>
      </c>
      <c r="I175" s="32" t="s">
        <v>149</v>
      </c>
      <c r="J175" s="31" t="s">
        <v>150</v>
      </c>
      <c r="K175" s="31">
        <v>3</v>
      </c>
      <c r="L175" s="31" t="s">
        <v>24</v>
      </c>
      <c r="M175" s="33">
        <v>10000</v>
      </c>
      <c r="N175" s="31" t="s">
        <v>1</v>
      </c>
      <c r="O175" s="34">
        <f t="shared" si="29"/>
        <v>1</v>
      </c>
      <c r="P175" s="35">
        <f>O175*$P$174</f>
        <v>1200</v>
      </c>
    </row>
    <row r="176" spans="1:16" x14ac:dyDescent="0.25"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3"/>
      <c r="N176" s="1"/>
    </row>
    <row r="177" spans="1:16" ht="15.75" thickBot="1" x14ac:dyDescent="0.3"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3"/>
      <c r="N177" s="1"/>
      <c r="P177" s="11">
        <f>IFERROR(VLOOKUP($A178,'PROGRAMA MES '!$A:$B,2,0),0)</f>
        <v>420</v>
      </c>
    </row>
    <row r="178" spans="1:16" ht="15.75" thickBot="1" x14ac:dyDescent="0.3">
      <c r="A178" s="30">
        <f>B178</f>
        <v>9209</v>
      </c>
      <c r="B178" s="31">
        <v>9209</v>
      </c>
      <c r="C178" s="31" t="s">
        <v>151</v>
      </c>
      <c r="D178" s="31">
        <v>99</v>
      </c>
      <c r="E178" s="31" t="s">
        <v>15</v>
      </c>
      <c r="F178" s="31">
        <v>1</v>
      </c>
      <c r="G178" s="31" t="s">
        <v>21</v>
      </c>
      <c r="H178" s="31" t="s">
        <v>17</v>
      </c>
      <c r="I178" s="32" t="s">
        <v>152</v>
      </c>
      <c r="J178" s="31" t="s">
        <v>153</v>
      </c>
      <c r="K178" s="31">
        <v>3</v>
      </c>
      <c r="L178" s="31" t="s">
        <v>24</v>
      </c>
      <c r="M178" s="33">
        <v>10000</v>
      </c>
      <c r="N178" s="31" t="s">
        <v>1</v>
      </c>
      <c r="O178" s="34">
        <f t="shared" si="29"/>
        <v>1</v>
      </c>
      <c r="P178" s="35">
        <f>O178*$P$177</f>
        <v>420</v>
      </c>
    </row>
    <row r="179" spans="1:16" x14ac:dyDescent="0.25"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3"/>
      <c r="N179" s="1"/>
    </row>
    <row r="180" spans="1:16" ht="15.75" thickBot="1" x14ac:dyDescent="0.3"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3"/>
      <c r="N180" s="1"/>
      <c r="P180" s="11">
        <f>IFERROR(VLOOKUP($A181,'PROGRAMA MES '!$A:$B,2,0),0)</f>
        <v>2400</v>
      </c>
    </row>
    <row r="181" spans="1:16" x14ac:dyDescent="0.25">
      <c r="A181" s="89">
        <f>B181</f>
        <v>9211</v>
      </c>
      <c r="B181" s="17">
        <v>9211</v>
      </c>
      <c r="C181" s="17" t="s">
        <v>154</v>
      </c>
      <c r="D181" s="17">
        <v>99</v>
      </c>
      <c r="E181" s="17" t="s">
        <v>15</v>
      </c>
      <c r="F181" s="17">
        <v>1</v>
      </c>
      <c r="G181" s="17" t="s">
        <v>16</v>
      </c>
      <c r="H181" s="17" t="s">
        <v>17</v>
      </c>
      <c r="I181" s="18">
        <v>4001249</v>
      </c>
      <c r="J181" s="17" t="s">
        <v>155</v>
      </c>
      <c r="K181" s="17">
        <v>99</v>
      </c>
      <c r="L181" s="17" t="s">
        <v>15</v>
      </c>
      <c r="M181" s="17">
        <v>834</v>
      </c>
      <c r="N181" s="17" t="s">
        <v>1</v>
      </c>
      <c r="O181" s="20">
        <f t="shared" si="29"/>
        <v>8.3400000000000002E-2</v>
      </c>
      <c r="P181" s="21">
        <f>O181*$P$180</f>
        <v>200.16</v>
      </c>
    </row>
    <row r="182" spans="1:16" x14ac:dyDescent="0.25">
      <c r="A182" s="91"/>
      <c r="B182" s="13">
        <v>9211</v>
      </c>
      <c r="C182" s="13" t="s">
        <v>154</v>
      </c>
      <c r="D182" s="13">
        <v>99</v>
      </c>
      <c r="E182" s="13" t="s">
        <v>15</v>
      </c>
      <c r="F182" s="13">
        <v>1</v>
      </c>
      <c r="G182" s="13" t="s">
        <v>16</v>
      </c>
      <c r="H182" s="13" t="s">
        <v>17</v>
      </c>
      <c r="I182" s="14">
        <v>4002826</v>
      </c>
      <c r="J182" s="13" t="s">
        <v>4</v>
      </c>
      <c r="K182" s="13">
        <v>99</v>
      </c>
      <c r="L182" s="13" t="s">
        <v>15</v>
      </c>
      <c r="M182" s="13">
        <v>10</v>
      </c>
      <c r="N182" s="13" t="s">
        <v>1</v>
      </c>
      <c r="O182" s="16">
        <f t="shared" si="29"/>
        <v>1E-3</v>
      </c>
      <c r="P182" s="22">
        <f t="shared" ref="P182:P183" si="37">O182*$P$180</f>
        <v>2.4</v>
      </c>
    </row>
    <row r="183" spans="1:16" ht="15.75" thickBot="1" x14ac:dyDescent="0.3">
      <c r="A183" s="90"/>
      <c r="B183" s="23">
        <v>9211</v>
      </c>
      <c r="C183" s="23" t="s">
        <v>154</v>
      </c>
      <c r="D183" s="23">
        <v>99</v>
      </c>
      <c r="E183" s="23" t="s">
        <v>15</v>
      </c>
      <c r="F183" s="23">
        <v>1</v>
      </c>
      <c r="G183" s="23" t="s">
        <v>21</v>
      </c>
      <c r="H183" s="23" t="s">
        <v>17</v>
      </c>
      <c r="I183" s="24" t="s">
        <v>156</v>
      </c>
      <c r="J183" s="23" t="s">
        <v>157</v>
      </c>
      <c r="K183" s="23">
        <v>3</v>
      </c>
      <c r="L183" s="23" t="s">
        <v>24</v>
      </c>
      <c r="M183" s="25">
        <v>10000</v>
      </c>
      <c r="N183" s="23" t="s">
        <v>1</v>
      </c>
      <c r="O183" s="26">
        <f t="shared" si="29"/>
        <v>1</v>
      </c>
      <c r="P183" s="27">
        <f t="shared" si="37"/>
        <v>2400</v>
      </c>
    </row>
    <row r="184" spans="1:16" x14ac:dyDescent="0.25"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3"/>
      <c r="N184" s="1"/>
    </row>
    <row r="185" spans="1:16" ht="15.75" thickBot="1" x14ac:dyDescent="0.3"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3"/>
      <c r="N185" s="1"/>
      <c r="P185" s="11">
        <f>IFERROR(VLOOKUP($A186,'PROGRAMA MES '!$A:$B,2,0),0)</f>
        <v>1200</v>
      </c>
    </row>
    <row r="186" spans="1:16" x14ac:dyDescent="0.25">
      <c r="A186" s="89">
        <f>B186</f>
        <v>9220</v>
      </c>
      <c r="B186" s="17">
        <v>9220</v>
      </c>
      <c r="C186" s="17" t="s">
        <v>158</v>
      </c>
      <c r="D186" s="17">
        <v>99</v>
      </c>
      <c r="E186" s="17" t="s">
        <v>15</v>
      </c>
      <c r="F186" s="17">
        <v>1</v>
      </c>
      <c r="G186" s="17" t="s">
        <v>16</v>
      </c>
      <c r="H186" s="17" t="s">
        <v>17</v>
      </c>
      <c r="I186" s="18">
        <v>4001281</v>
      </c>
      <c r="J186" s="17" t="s">
        <v>159</v>
      </c>
      <c r="K186" s="17">
        <v>99</v>
      </c>
      <c r="L186" s="17" t="s">
        <v>15</v>
      </c>
      <c r="M186" s="19">
        <v>1667</v>
      </c>
      <c r="N186" s="17" t="s">
        <v>1</v>
      </c>
      <c r="O186" s="20">
        <f t="shared" si="29"/>
        <v>0.16669999999999999</v>
      </c>
      <c r="P186" s="21">
        <f>O186*$P$185</f>
        <v>200.04</v>
      </c>
    </row>
    <row r="187" spans="1:16" x14ac:dyDescent="0.25">
      <c r="A187" s="91"/>
      <c r="B187" s="13">
        <v>9220</v>
      </c>
      <c r="C187" s="13" t="s">
        <v>158</v>
      </c>
      <c r="D187" s="13">
        <v>99</v>
      </c>
      <c r="E187" s="13" t="s">
        <v>15</v>
      </c>
      <c r="F187" s="13">
        <v>1</v>
      </c>
      <c r="G187" s="13" t="s">
        <v>16</v>
      </c>
      <c r="H187" s="13" t="s">
        <v>17</v>
      </c>
      <c r="I187" s="14">
        <v>4002433</v>
      </c>
      <c r="J187" s="13" t="s">
        <v>160</v>
      </c>
      <c r="K187" s="13">
        <v>99</v>
      </c>
      <c r="L187" s="13" t="s">
        <v>15</v>
      </c>
      <c r="M187" s="15">
        <v>10000</v>
      </c>
      <c r="N187" s="13" t="s">
        <v>1</v>
      </c>
      <c r="O187" s="16">
        <f t="shared" si="29"/>
        <v>1</v>
      </c>
      <c r="P187" s="22">
        <f t="shared" ref="P187:P189" si="38">O187*$P$185</f>
        <v>1200</v>
      </c>
    </row>
    <row r="188" spans="1:16" x14ac:dyDescent="0.25">
      <c r="A188" s="91"/>
      <c r="B188" s="13">
        <v>9220</v>
      </c>
      <c r="C188" s="13" t="s">
        <v>158</v>
      </c>
      <c r="D188" s="13">
        <v>99</v>
      </c>
      <c r="E188" s="13" t="s">
        <v>15</v>
      </c>
      <c r="F188" s="13">
        <v>1</v>
      </c>
      <c r="G188" s="13" t="s">
        <v>16</v>
      </c>
      <c r="H188" s="13" t="s">
        <v>17</v>
      </c>
      <c r="I188" s="14">
        <v>4002826</v>
      </c>
      <c r="J188" s="13" t="s">
        <v>4</v>
      </c>
      <c r="K188" s="13">
        <v>99</v>
      </c>
      <c r="L188" s="13" t="s">
        <v>15</v>
      </c>
      <c r="M188" s="13">
        <v>17</v>
      </c>
      <c r="N188" s="13" t="s">
        <v>1</v>
      </c>
      <c r="O188" s="16">
        <f t="shared" si="29"/>
        <v>1.6999999999999999E-3</v>
      </c>
      <c r="P188" s="22">
        <f t="shared" si="38"/>
        <v>2.04</v>
      </c>
    </row>
    <row r="189" spans="1:16" ht="15.75" thickBot="1" x14ac:dyDescent="0.3">
      <c r="A189" s="90"/>
      <c r="B189" s="23">
        <v>9220</v>
      </c>
      <c r="C189" s="23" t="s">
        <v>158</v>
      </c>
      <c r="D189" s="23">
        <v>99</v>
      </c>
      <c r="E189" s="23" t="s">
        <v>15</v>
      </c>
      <c r="F189" s="23">
        <v>1</v>
      </c>
      <c r="G189" s="23" t="s">
        <v>21</v>
      </c>
      <c r="H189" s="23" t="s">
        <v>17</v>
      </c>
      <c r="I189" s="24" t="s">
        <v>161</v>
      </c>
      <c r="J189" s="23" t="s">
        <v>162</v>
      </c>
      <c r="K189" s="23">
        <v>3</v>
      </c>
      <c r="L189" s="23" t="s">
        <v>24</v>
      </c>
      <c r="M189" s="25">
        <v>10000</v>
      </c>
      <c r="N189" s="23" t="s">
        <v>1</v>
      </c>
      <c r="O189" s="26">
        <f t="shared" si="29"/>
        <v>1</v>
      </c>
      <c r="P189" s="27">
        <f t="shared" si="38"/>
        <v>1200</v>
      </c>
    </row>
    <row r="190" spans="1:16" x14ac:dyDescent="0.25"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3"/>
      <c r="N190" s="1"/>
    </row>
    <row r="191" spans="1:16" ht="15.75" thickBot="1" x14ac:dyDescent="0.3"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3"/>
      <c r="N191" s="1"/>
      <c r="P191" s="11">
        <f>IFERROR(VLOOKUP($A192,'PROGRAMA MES '!$A:$B,2,0),0)</f>
        <v>0</v>
      </c>
    </row>
    <row r="192" spans="1:16" x14ac:dyDescent="0.25">
      <c r="A192" s="89">
        <f>B192</f>
        <v>9224</v>
      </c>
      <c r="B192" s="17">
        <v>9224</v>
      </c>
      <c r="C192" s="17" t="s">
        <v>163</v>
      </c>
      <c r="D192" s="17">
        <v>99</v>
      </c>
      <c r="E192" s="17" t="s">
        <v>15</v>
      </c>
      <c r="F192" s="17">
        <v>1</v>
      </c>
      <c r="G192" s="17" t="s">
        <v>35</v>
      </c>
      <c r="H192" s="17" t="s">
        <v>17</v>
      </c>
      <c r="I192" s="18">
        <v>3003893</v>
      </c>
      <c r="J192" s="17" t="s">
        <v>164</v>
      </c>
      <c r="K192" s="17">
        <v>99</v>
      </c>
      <c r="L192" s="17" t="s">
        <v>15</v>
      </c>
      <c r="M192" s="19">
        <v>10000</v>
      </c>
      <c r="N192" s="17" t="s">
        <v>1</v>
      </c>
      <c r="O192" s="20">
        <f t="shared" si="29"/>
        <v>1</v>
      </c>
      <c r="P192" s="21">
        <f>O192*$P$191</f>
        <v>0</v>
      </c>
    </row>
    <row r="193" spans="1:16" x14ac:dyDescent="0.25">
      <c r="A193" s="91"/>
      <c r="B193" s="13">
        <v>9224</v>
      </c>
      <c r="C193" s="13" t="s">
        <v>163</v>
      </c>
      <c r="D193" s="13">
        <v>99</v>
      </c>
      <c r="E193" s="13" t="s">
        <v>15</v>
      </c>
      <c r="F193" s="13">
        <v>1</v>
      </c>
      <c r="G193" s="13" t="s">
        <v>35</v>
      </c>
      <c r="H193" s="13" t="s">
        <v>17</v>
      </c>
      <c r="I193" s="14">
        <v>3005671</v>
      </c>
      <c r="J193" s="13" t="s">
        <v>165</v>
      </c>
      <c r="K193" s="13">
        <v>99</v>
      </c>
      <c r="L193" s="13" t="s">
        <v>15</v>
      </c>
      <c r="M193" s="15">
        <v>10000</v>
      </c>
      <c r="N193" s="13" t="s">
        <v>1</v>
      </c>
      <c r="O193" s="16">
        <f t="shared" si="29"/>
        <v>1</v>
      </c>
      <c r="P193" s="22">
        <f t="shared" ref="P193:P200" si="39">O193*$P$191</f>
        <v>0</v>
      </c>
    </row>
    <row r="194" spans="1:16" x14ac:dyDescent="0.25">
      <c r="A194" s="91"/>
      <c r="B194" s="13">
        <v>9224</v>
      </c>
      <c r="C194" s="13" t="s">
        <v>163</v>
      </c>
      <c r="D194" s="13">
        <v>99</v>
      </c>
      <c r="E194" s="13" t="s">
        <v>15</v>
      </c>
      <c r="F194" s="13">
        <v>1</v>
      </c>
      <c r="G194" s="13" t="s">
        <v>35</v>
      </c>
      <c r="H194" s="13" t="s">
        <v>17</v>
      </c>
      <c r="I194" s="14">
        <v>3005676</v>
      </c>
      <c r="J194" s="13" t="s">
        <v>166</v>
      </c>
      <c r="K194" s="13">
        <v>99</v>
      </c>
      <c r="L194" s="13" t="s">
        <v>15</v>
      </c>
      <c r="M194" s="15">
        <v>10000</v>
      </c>
      <c r="N194" s="13" t="s">
        <v>1</v>
      </c>
      <c r="O194" s="16">
        <f t="shared" si="29"/>
        <v>1</v>
      </c>
      <c r="P194" s="22">
        <f t="shared" si="39"/>
        <v>0</v>
      </c>
    </row>
    <row r="195" spans="1:16" x14ac:dyDescent="0.25">
      <c r="A195" s="91"/>
      <c r="B195" s="13">
        <v>9224</v>
      </c>
      <c r="C195" s="13" t="s">
        <v>163</v>
      </c>
      <c r="D195" s="13">
        <v>99</v>
      </c>
      <c r="E195" s="13" t="s">
        <v>15</v>
      </c>
      <c r="F195" s="13">
        <v>1</v>
      </c>
      <c r="G195" s="13" t="s">
        <v>35</v>
      </c>
      <c r="H195" s="13" t="s">
        <v>17</v>
      </c>
      <c r="I195" s="14">
        <v>3005677</v>
      </c>
      <c r="J195" s="13" t="s">
        <v>167</v>
      </c>
      <c r="K195" s="13">
        <v>99</v>
      </c>
      <c r="L195" s="13" t="s">
        <v>15</v>
      </c>
      <c r="M195" s="15">
        <v>10000</v>
      </c>
      <c r="N195" s="13" t="s">
        <v>1</v>
      </c>
      <c r="O195" s="16">
        <f t="shared" si="29"/>
        <v>1</v>
      </c>
      <c r="P195" s="22">
        <f t="shared" si="39"/>
        <v>0</v>
      </c>
    </row>
    <row r="196" spans="1:16" x14ac:dyDescent="0.25">
      <c r="A196" s="91"/>
      <c r="B196" s="13">
        <v>9224</v>
      </c>
      <c r="C196" s="13" t="s">
        <v>163</v>
      </c>
      <c r="D196" s="13">
        <v>99</v>
      </c>
      <c r="E196" s="13" t="s">
        <v>15</v>
      </c>
      <c r="F196" s="13">
        <v>1</v>
      </c>
      <c r="G196" s="13" t="s">
        <v>35</v>
      </c>
      <c r="H196" s="13" t="s">
        <v>17</v>
      </c>
      <c r="I196" s="14">
        <v>3005678</v>
      </c>
      <c r="J196" s="13" t="s">
        <v>168</v>
      </c>
      <c r="K196" s="13">
        <v>99</v>
      </c>
      <c r="L196" s="13" t="s">
        <v>15</v>
      </c>
      <c r="M196" s="15">
        <v>10000</v>
      </c>
      <c r="N196" s="13" t="s">
        <v>1</v>
      </c>
      <c r="O196" s="16">
        <f t="shared" si="29"/>
        <v>1</v>
      </c>
      <c r="P196" s="22">
        <f t="shared" si="39"/>
        <v>0</v>
      </c>
    </row>
    <row r="197" spans="1:16" x14ac:dyDescent="0.25">
      <c r="A197" s="91"/>
      <c r="B197" s="13">
        <v>9224</v>
      </c>
      <c r="C197" s="13" t="s">
        <v>163</v>
      </c>
      <c r="D197" s="13">
        <v>99</v>
      </c>
      <c r="E197" s="13" t="s">
        <v>15</v>
      </c>
      <c r="F197" s="13">
        <v>1</v>
      </c>
      <c r="G197" s="13" t="s">
        <v>16</v>
      </c>
      <c r="H197" s="13" t="s">
        <v>17</v>
      </c>
      <c r="I197" s="14">
        <v>4001165</v>
      </c>
      <c r="J197" s="13" t="s">
        <v>169</v>
      </c>
      <c r="K197" s="13">
        <v>99</v>
      </c>
      <c r="L197" s="13" t="s">
        <v>15</v>
      </c>
      <c r="M197" s="15">
        <v>1667</v>
      </c>
      <c r="N197" s="13" t="s">
        <v>1</v>
      </c>
      <c r="O197" s="16">
        <f t="shared" si="29"/>
        <v>0.16669999999999999</v>
      </c>
      <c r="P197" s="22">
        <f t="shared" si="39"/>
        <v>0</v>
      </c>
    </row>
    <row r="198" spans="1:16" x14ac:dyDescent="0.25">
      <c r="A198" s="91"/>
      <c r="B198" s="13">
        <v>9224</v>
      </c>
      <c r="C198" s="13" t="s">
        <v>163</v>
      </c>
      <c r="D198" s="13">
        <v>99</v>
      </c>
      <c r="E198" s="13" t="s">
        <v>15</v>
      </c>
      <c r="F198" s="13">
        <v>1</v>
      </c>
      <c r="G198" s="13" t="s">
        <v>16</v>
      </c>
      <c r="H198" s="13" t="s">
        <v>17</v>
      </c>
      <c r="I198" s="14">
        <v>4002435</v>
      </c>
      <c r="J198" s="13" t="s">
        <v>170</v>
      </c>
      <c r="K198" s="13">
        <v>99</v>
      </c>
      <c r="L198" s="13" t="s">
        <v>15</v>
      </c>
      <c r="M198" s="15">
        <v>10000</v>
      </c>
      <c r="N198" s="13" t="s">
        <v>1</v>
      </c>
      <c r="O198" s="16">
        <f t="shared" si="29"/>
        <v>1</v>
      </c>
      <c r="P198" s="22">
        <f t="shared" si="39"/>
        <v>0</v>
      </c>
    </row>
    <row r="199" spans="1:16" x14ac:dyDescent="0.25">
      <c r="A199" s="91"/>
      <c r="B199" s="13">
        <v>9224</v>
      </c>
      <c r="C199" s="13" t="s">
        <v>163</v>
      </c>
      <c r="D199" s="13">
        <v>99</v>
      </c>
      <c r="E199" s="13" t="s">
        <v>15</v>
      </c>
      <c r="F199" s="13">
        <v>1</v>
      </c>
      <c r="G199" s="13" t="s">
        <v>16</v>
      </c>
      <c r="H199" s="13" t="s">
        <v>17</v>
      </c>
      <c r="I199" s="14">
        <v>4002826</v>
      </c>
      <c r="J199" s="13" t="s">
        <v>4</v>
      </c>
      <c r="K199" s="13">
        <v>99</v>
      </c>
      <c r="L199" s="13" t="s">
        <v>15</v>
      </c>
      <c r="M199" s="13">
        <v>13</v>
      </c>
      <c r="N199" s="13" t="s">
        <v>1</v>
      </c>
      <c r="O199" s="16">
        <f t="shared" ref="O199:O200" si="40">M199/10000</f>
        <v>1.2999999999999999E-3</v>
      </c>
      <c r="P199" s="22">
        <f t="shared" si="39"/>
        <v>0</v>
      </c>
    </row>
    <row r="200" spans="1:16" ht="15.75" thickBot="1" x14ac:dyDescent="0.3">
      <c r="A200" s="90"/>
      <c r="B200" s="23">
        <v>9224</v>
      </c>
      <c r="C200" s="23" t="s">
        <v>163</v>
      </c>
      <c r="D200" s="23">
        <v>99</v>
      </c>
      <c r="E200" s="23" t="s">
        <v>15</v>
      </c>
      <c r="F200" s="23">
        <v>1</v>
      </c>
      <c r="G200" s="23" t="s">
        <v>16</v>
      </c>
      <c r="H200" s="23" t="s">
        <v>17</v>
      </c>
      <c r="I200" s="24">
        <v>4016160</v>
      </c>
      <c r="J200" s="23" t="s">
        <v>69</v>
      </c>
      <c r="K200" s="23">
        <v>99</v>
      </c>
      <c r="L200" s="23" t="s">
        <v>15</v>
      </c>
      <c r="M200" s="23">
        <v>10</v>
      </c>
      <c r="N200" s="23" t="s">
        <v>3</v>
      </c>
      <c r="O200" s="26">
        <f t="shared" si="40"/>
        <v>1E-3</v>
      </c>
      <c r="P200" s="27">
        <f t="shared" si="39"/>
        <v>0</v>
      </c>
    </row>
    <row r="201" spans="1:16" x14ac:dyDescent="0.25"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</row>
    <row r="202" spans="1:16" ht="15.75" thickBot="1" x14ac:dyDescent="0.3"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P202" s="11">
        <f>IFERROR(VLOOKUP($A203,'PROGRAMA MES '!$A:$B,2,0),0)</f>
        <v>3000</v>
      </c>
    </row>
    <row r="203" spans="1:16" x14ac:dyDescent="0.25">
      <c r="A203" s="89">
        <f>B203</f>
        <v>9230</v>
      </c>
      <c r="B203" s="17">
        <v>9230</v>
      </c>
      <c r="C203" s="17" t="s">
        <v>171</v>
      </c>
      <c r="D203" s="17">
        <v>99</v>
      </c>
      <c r="E203" s="17" t="s">
        <v>15</v>
      </c>
      <c r="F203" s="17">
        <v>1</v>
      </c>
      <c r="G203" s="17" t="s">
        <v>35</v>
      </c>
      <c r="H203" s="17" t="s">
        <v>17</v>
      </c>
      <c r="I203" s="18">
        <v>3004362</v>
      </c>
      <c r="J203" s="17" t="s">
        <v>172</v>
      </c>
      <c r="K203" s="17">
        <v>99</v>
      </c>
      <c r="L203" s="17" t="s">
        <v>15</v>
      </c>
      <c r="M203" s="19">
        <v>10000</v>
      </c>
      <c r="N203" s="17" t="s">
        <v>1</v>
      </c>
      <c r="O203" s="20">
        <f t="shared" ref="O203:O207" si="41">M203/10000</f>
        <v>1</v>
      </c>
      <c r="P203" s="21">
        <f>O203*$P$202</f>
        <v>3000</v>
      </c>
    </row>
    <row r="204" spans="1:16" x14ac:dyDescent="0.25">
      <c r="A204" s="91"/>
      <c r="B204" s="13">
        <v>9230</v>
      </c>
      <c r="C204" s="13" t="s">
        <v>171</v>
      </c>
      <c r="D204" s="13">
        <v>99</v>
      </c>
      <c r="E204" s="13" t="s">
        <v>15</v>
      </c>
      <c r="F204" s="13">
        <v>1</v>
      </c>
      <c r="G204" s="13" t="s">
        <v>16</v>
      </c>
      <c r="H204" s="13" t="s">
        <v>17</v>
      </c>
      <c r="I204" s="14">
        <v>4001291</v>
      </c>
      <c r="J204" s="13" t="s">
        <v>173</v>
      </c>
      <c r="K204" s="13">
        <v>99</v>
      </c>
      <c r="L204" s="13" t="s">
        <v>15</v>
      </c>
      <c r="M204" s="15">
        <v>1667</v>
      </c>
      <c r="N204" s="13" t="s">
        <v>1</v>
      </c>
      <c r="O204" s="16">
        <f t="shared" si="41"/>
        <v>0.16669999999999999</v>
      </c>
      <c r="P204" s="22">
        <f t="shared" ref="P204:P207" si="42">O204*$P$202</f>
        <v>500.09999999999997</v>
      </c>
    </row>
    <row r="205" spans="1:16" x14ac:dyDescent="0.25">
      <c r="A205" s="91"/>
      <c r="B205" s="13">
        <v>9230</v>
      </c>
      <c r="C205" s="13" t="s">
        <v>171</v>
      </c>
      <c r="D205" s="13">
        <v>99</v>
      </c>
      <c r="E205" s="13" t="s">
        <v>15</v>
      </c>
      <c r="F205" s="13">
        <v>1</v>
      </c>
      <c r="G205" s="13" t="s">
        <v>16</v>
      </c>
      <c r="H205" s="13" t="s">
        <v>17</v>
      </c>
      <c r="I205" s="14">
        <v>4002436</v>
      </c>
      <c r="J205" s="13" t="s">
        <v>174</v>
      </c>
      <c r="K205" s="13">
        <v>99</v>
      </c>
      <c r="L205" s="13" t="s">
        <v>15</v>
      </c>
      <c r="M205" s="15">
        <v>10000</v>
      </c>
      <c r="N205" s="13" t="s">
        <v>1</v>
      </c>
      <c r="O205" s="16">
        <f t="shared" si="41"/>
        <v>1</v>
      </c>
      <c r="P205" s="22">
        <f t="shared" si="42"/>
        <v>3000</v>
      </c>
    </row>
    <row r="206" spans="1:16" x14ac:dyDescent="0.25">
      <c r="A206" s="91"/>
      <c r="B206" s="13">
        <v>9230</v>
      </c>
      <c r="C206" s="13" t="s">
        <v>171</v>
      </c>
      <c r="D206" s="13">
        <v>99</v>
      </c>
      <c r="E206" s="13" t="s">
        <v>15</v>
      </c>
      <c r="F206" s="13">
        <v>1</v>
      </c>
      <c r="G206" s="13" t="s">
        <v>16</v>
      </c>
      <c r="H206" s="13" t="s">
        <v>17</v>
      </c>
      <c r="I206" s="14">
        <v>4002826</v>
      </c>
      <c r="J206" s="13" t="s">
        <v>4</v>
      </c>
      <c r="K206" s="13">
        <v>99</v>
      </c>
      <c r="L206" s="13" t="s">
        <v>15</v>
      </c>
      <c r="M206" s="13">
        <v>26</v>
      </c>
      <c r="N206" s="13" t="s">
        <v>1</v>
      </c>
      <c r="O206" s="16">
        <f t="shared" si="41"/>
        <v>2.5999999999999999E-3</v>
      </c>
      <c r="P206" s="22">
        <f t="shared" si="42"/>
        <v>7.8</v>
      </c>
    </row>
    <row r="207" spans="1:16" ht="15.75" thickBot="1" x14ac:dyDescent="0.3">
      <c r="A207" s="90"/>
      <c r="B207" s="23">
        <v>9230</v>
      </c>
      <c r="C207" s="23" t="s">
        <v>171</v>
      </c>
      <c r="D207" s="23">
        <v>99</v>
      </c>
      <c r="E207" s="23" t="s">
        <v>15</v>
      </c>
      <c r="F207" s="23">
        <v>1</v>
      </c>
      <c r="G207" s="23" t="s">
        <v>21</v>
      </c>
      <c r="H207" s="23" t="s">
        <v>17</v>
      </c>
      <c r="I207" s="24" t="s">
        <v>175</v>
      </c>
      <c r="J207" s="23" t="s">
        <v>176</v>
      </c>
      <c r="K207" s="23">
        <v>3</v>
      </c>
      <c r="L207" s="23" t="s">
        <v>24</v>
      </c>
      <c r="M207" s="25">
        <v>10000</v>
      </c>
      <c r="N207" s="23" t="s">
        <v>1</v>
      </c>
      <c r="O207" s="26">
        <f t="shared" si="41"/>
        <v>1</v>
      </c>
      <c r="P207" s="27">
        <f t="shared" si="42"/>
        <v>3000</v>
      </c>
    </row>
    <row r="208" spans="1:16" x14ac:dyDescent="0.25"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3"/>
      <c r="N208" s="1"/>
    </row>
    <row r="209" spans="1:16" ht="15.75" thickBot="1" x14ac:dyDescent="0.3"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3"/>
      <c r="N209" s="1"/>
      <c r="P209" s="11">
        <f>IFERROR(VLOOKUP($A210,'PROGRAMA MES '!$A:$B,2,0),0)</f>
        <v>600</v>
      </c>
    </row>
    <row r="210" spans="1:16" x14ac:dyDescent="0.25">
      <c r="A210" s="89">
        <f>B210</f>
        <v>9237</v>
      </c>
      <c r="B210" s="17">
        <v>9237</v>
      </c>
      <c r="C210" s="17" t="s">
        <v>177</v>
      </c>
      <c r="D210" s="17">
        <v>99</v>
      </c>
      <c r="E210" s="17" t="s">
        <v>15</v>
      </c>
      <c r="F210" s="17">
        <v>1</v>
      </c>
      <c r="G210" s="17" t="s">
        <v>35</v>
      </c>
      <c r="H210" s="17" t="s">
        <v>17</v>
      </c>
      <c r="I210" s="18">
        <v>3004362</v>
      </c>
      <c r="J210" s="17" t="s">
        <v>172</v>
      </c>
      <c r="K210" s="17">
        <v>99</v>
      </c>
      <c r="L210" s="17" t="s">
        <v>15</v>
      </c>
      <c r="M210" s="19">
        <v>10000</v>
      </c>
      <c r="N210" s="17" t="s">
        <v>1</v>
      </c>
      <c r="O210" s="20">
        <f t="shared" ref="O210:O213" si="43">M210/10000</f>
        <v>1</v>
      </c>
      <c r="P210" s="21">
        <f>O210*$P$209</f>
        <v>600</v>
      </c>
    </row>
    <row r="211" spans="1:16" x14ac:dyDescent="0.25">
      <c r="A211" s="91"/>
      <c r="B211" s="13">
        <v>9237</v>
      </c>
      <c r="C211" s="13" t="s">
        <v>177</v>
      </c>
      <c r="D211" s="13">
        <v>99</v>
      </c>
      <c r="E211" s="13" t="s">
        <v>15</v>
      </c>
      <c r="F211" s="13">
        <v>1</v>
      </c>
      <c r="G211" s="13" t="s">
        <v>16</v>
      </c>
      <c r="H211" s="13" t="s">
        <v>17</v>
      </c>
      <c r="I211" s="14">
        <v>4002439</v>
      </c>
      <c r="J211" s="13" t="s">
        <v>178</v>
      </c>
      <c r="K211" s="13">
        <v>99</v>
      </c>
      <c r="L211" s="13" t="s">
        <v>15</v>
      </c>
      <c r="M211" s="15">
        <v>10000</v>
      </c>
      <c r="N211" s="13" t="s">
        <v>1</v>
      </c>
      <c r="O211" s="16">
        <f t="shared" si="43"/>
        <v>1</v>
      </c>
      <c r="P211" s="22">
        <f t="shared" ref="P211:P213" si="44">O211*$P$209</f>
        <v>600</v>
      </c>
    </row>
    <row r="212" spans="1:16" x14ac:dyDescent="0.25">
      <c r="A212" s="91"/>
      <c r="B212" s="13">
        <v>9237</v>
      </c>
      <c r="C212" s="13" t="s">
        <v>177</v>
      </c>
      <c r="D212" s="13">
        <v>99</v>
      </c>
      <c r="E212" s="13" t="s">
        <v>15</v>
      </c>
      <c r="F212" s="13">
        <v>1</v>
      </c>
      <c r="G212" s="13" t="s">
        <v>16</v>
      </c>
      <c r="H212" s="13" t="s">
        <v>17</v>
      </c>
      <c r="I212" s="14">
        <v>4002546</v>
      </c>
      <c r="J212" s="13" t="s">
        <v>179</v>
      </c>
      <c r="K212" s="13">
        <v>99</v>
      </c>
      <c r="L212" s="13" t="s">
        <v>15</v>
      </c>
      <c r="M212" s="13">
        <v>840</v>
      </c>
      <c r="N212" s="13" t="s">
        <v>1</v>
      </c>
      <c r="O212" s="16">
        <f t="shared" si="43"/>
        <v>8.4000000000000005E-2</v>
      </c>
      <c r="P212" s="22">
        <f t="shared" si="44"/>
        <v>50.400000000000006</v>
      </c>
    </row>
    <row r="213" spans="1:16" ht="15.75" thickBot="1" x14ac:dyDescent="0.3">
      <c r="A213" s="90"/>
      <c r="B213" s="23">
        <v>9237</v>
      </c>
      <c r="C213" s="23" t="s">
        <v>177</v>
      </c>
      <c r="D213" s="23">
        <v>99</v>
      </c>
      <c r="E213" s="23" t="s">
        <v>15</v>
      </c>
      <c r="F213" s="23">
        <v>1</v>
      </c>
      <c r="G213" s="23" t="s">
        <v>16</v>
      </c>
      <c r="H213" s="23" t="s">
        <v>17</v>
      </c>
      <c r="I213" s="24">
        <v>4004710</v>
      </c>
      <c r="J213" s="23" t="s">
        <v>180</v>
      </c>
      <c r="K213" s="23">
        <v>99</v>
      </c>
      <c r="L213" s="23" t="s">
        <v>15</v>
      </c>
      <c r="M213" s="23">
        <v>840</v>
      </c>
      <c r="N213" s="23" t="s">
        <v>1</v>
      </c>
      <c r="O213" s="26">
        <f t="shared" si="43"/>
        <v>8.4000000000000005E-2</v>
      </c>
      <c r="P213" s="27">
        <f t="shared" si="44"/>
        <v>50.400000000000006</v>
      </c>
    </row>
    <row r="214" spans="1:16" x14ac:dyDescent="0.25"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</row>
    <row r="215" spans="1:16" ht="15.75" thickBot="1" x14ac:dyDescent="0.3"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P215" s="11">
        <f>IFERROR(VLOOKUP($A216,'PROGRAMA MES '!$A:$B,2,0),0)</f>
        <v>0</v>
      </c>
    </row>
    <row r="216" spans="1:16" x14ac:dyDescent="0.25">
      <c r="A216" s="89">
        <f>B216</f>
        <v>9256</v>
      </c>
      <c r="B216" s="17">
        <v>9256</v>
      </c>
      <c r="C216" s="17" t="s">
        <v>181</v>
      </c>
      <c r="D216" s="17">
        <v>99</v>
      </c>
      <c r="E216" s="17" t="s">
        <v>15</v>
      </c>
      <c r="F216" s="17">
        <v>1</v>
      </c>
      <c r="G216" s="17" t="s">
        <v>35</v>
      </c>
      <c r="H216" s="17" t="s">
        <v>17</v>
      </c>
      <c r="I216" s="18">
        <v>3002120</v>
      </c>
      <c r="J216" s="17" t="s">
        <v>182</v>
      </c>
      <c r="K216" s="17">
        <v>99</v>
      </c>
      <c r="L216" s="17" t="s">
        <v>15</v>
      </c>
      <c r="M216" s="19">
        <v>10000</v>
      </c>
      <c r="N216" s="17" t="s">
        <v>1</v>
      </c>
      <c r="O216" s="20">
        <f t="shared" ref="O216:O218" si="45">M216/10000</f>
        <v>1</v>
      </c>
      <c r="P216" s="21">
        <f>O216*$P$215</f>
        <v>0</v>
      </c>
    </row>
    <row r="217" spans="1:16" x14ac:dyDescent="0.25">
      <c r="A217" s="91"/>
      <c r="B217" s="13">
        <v>9256</v>
      </c>
      <c r="C217" s="13" t="s">
        <v>181</v>
      </c>
      <c r="D217" s="13">
        <v>99</v>
      </c>
      <c r="E217" s="13" t="s">
        <v>15</v>
      </c>
      <c r="F217" s="13">
        <v>1</v>
      </c>
      <c r="G217" s="13" t="s">
        <v>16</v>
      </c>
      <c r="H217" s="13" t="s">
        <v>17</v>
      </c>
      <c r="I217" s="14">
        <v>4002826</v>
      </c>
      <c r="J217" s="13" t="s">
        <v>4</v>
      </c>
      <c r="K217" s="13">
        <v>99</v>
      </c>
      <c r="L217" s="13" t="s">
        <v>15</v>
      </c>
      <c r="M217" s="13">
        <v>200</v>
      </c>
      <c r="N217" s="13" t="s">
        <v>1</v>
      </c>
      <c r="O217" s="16">
        <f t="shared" si="45"/>
        <v>0.02</v>
      </c>
      <c r="P217" s="22">
        <f t="shared" ref="P217:P218" si="46">O217*$P$215</f>
        <v>0</v>
      </c>
    </row>
    <row r="218" spans="1:16" ht="15.75" thickBot="1" x14ac:dyDescent="0.3">
      <c r="A218" s="90"/>
      <c r="B218" s="23">
        <v>9256</v>
      </c>
      <c r="C218" s="23" t="s">
        <v>181</v>
      </c>
      <c r="D218" s="23">
        <v>99</v>
      </c>
      <c r="E218" s="23" t="s">
        <v>15</v>
      </c>
      <c r="F218" s="23">
        <v>1</v>
      </c>
      <c r="G218" s="23" t="s">
        <v>16</v>
      </c>
      <c r="H218" s="23" t="s">
        <v>17</v>
      </c>
      <c r="I218" s="24">
        <v>4016160</v>
      </c>
      <c r="J218" s="23" t="s">
        <v>69</v>
      </c>
      <c r="K218" s="23">
        <v>99</v>
      </c>
      <c r="L218" s="23" t="s">
        <v>15</v>
      </c>
      <c r="M218" s="23">
        <v>20</v>
      </c>
      <c r="N218" s="23" t="s">
        <v>3</v>
      </c>
      <c r="O218" s="26">
        <f t="shared" si="45"/>
        <v>2E-3</v>
      </c>
      <c r="P218" s="27">
        <f t="shared" si="46"/>
        <v>0</v>
      </c>
    </row>
    <row r="219" spans="1:16" x14ac:dyDescent="0.25"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</row>
    <row r="220" spans="1:16" ht="15.75" thickBot="1" x14ac:dyDescent="0.3"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P220" s="11">
        <f>IFERROR(VLOOKUP($A221,'PROGRAMA MES '!$A:$B,2,0),0)</f>
        <v>0</v>
      </c>
    </row>
    <row r="221" spans="1:16" x14ac:dyDescent="0.25">
      <c r="A221" s="89">
        <f>B221</f>
        <v>9257</v>
      </c>
      <c r="B221" s="17">
        <v>9257</v>
      </c>
      <c r="C221" s="17" t="s">
        <v>183</v>
      </c>
      <c r="D221" s="17">
        <v>99</v>
      </c>
      <c r="E221" s="17" t="s">
        <v>15</v>
      </c>
      <c r="F221" s="17">
        <v>1</v>
      </c>
      <c r="G221" s="17" t="s">
        <v>35</v>
      </c>
      <c r="H221" s="17" t="s">
        <v>17</v>
      </c>
      <c r="I221" s="18">
        <v>3002110</v>
      </c>
      <c r="J221" s="17" t="s">
        <v>184</v>
      </c>
      <c r="K221" s="17">
        <v>99</v>
      </c>
      <c r="L221" s="17" t="s">
        <v>15</v>
      </c>
      <c r="M221" s="19">
        <v>10000</v>
      </c>
      <c r="N221" s="17" t="s">
        <v>1</v>
      </c>
      <c r="O221" s="20">
        <f t="shared" ref="O221:O223" si="47">M221/10000</f>
        <v>1</v>
      </c>
      <c r="P221" s="21">
        <f>O221*$P$220</f>
        <v>0</v>
      </c>
    </row>
    <row r="222" spans="1:16" x14ac:dyDescent="0.25">
      <c r="A222" s="91"/>
      <c r="B222" s="13">
        <v>9257</v>
      </c>
      <c r="C222" s="13" t="s">
        <v>183</v>
      </c>
      <c r="D222" s="13">
        <v>99</v>
      </c>
      <c r="E222" s="13" t="s">
        <v>15</v>
      </c>
      <c r="F222" s="13">
        <v>1</v>
      </c>
      <c r="G222" s="13" t="s">
        <v>16</v>
      </c>
      <c r="H222" s="13" t="s">
        <v>17</v>
      </c>
      <c r="I222" s="14">
        <v>4002826</v>
      </c>
      <c r="J222" s="13" t="s">
        <v>4</v>
      </c>
      <c r="K222" s="13">
        <v>99</v>
      </c>
      <c r="L222" s="13" t="s">
        <v>15</v>
      </c>
      <c r="M222" s="13">
        <v>200</v>
      </c>
      <c r="N222" s="13" t="s">
        <v>1</v>
      </c>
      <c r="O222" s="16">
        <f t="shared" si="47"/>
        <v>0.02</v>
      </c>
      <c r="P222" s="22">
        <f t="shared" ref="P222:P223" si="48">O222*$P$220</f>
        <v>0</v>
      </c>
    </row>
    <row r="223" spans="1:16" ht="15.75" thickBot="1" x14ac:dyDescent="0.3">
      <c r="A223" s="90"/>
      <c r="B223" s="23">
        <v>9257</v>
      </c>
      <c r="C223" s="23" t="s">
        <v>183</v>
      </c>
      <c r="D223" s="23">
        <v>99</v>
      </c>
      <c r="E223" s="23" t="s">
        <v>15</v>
      </c>
      <c r="F223" s="23">
        <v>1</v>
      </c>
      <c r="G223" s="23" t="s">
        <v>16</v>
      </c>
      <c r="H223" s="23" t="s">
        <v>17</v>
      </c>
      <c r="I223" s="24">
        <v>4016160</v>
      </c>
      <c r="J223" s="23" t="s">
        <v>69</v>
      </c>
      <c r="K223" s="23">
        <v>99</v>
      </c>
      <c r="L223" s="23" t="s">
        <v>15</v>
      </c>
      <c r="M223" s="23">
        <v>20</v>
      </c>
      <c r="N223" s="23" t="s">
        <v>3</v>
      </c>
      <c r="O223" s="26">
        <f t="shared" si="47"/>
        <v>2E-3</v>
      </c>
      <c r="P223" s="27">
        <f t="shared" si="48"/>
        <v>0</v>
      </c>
    </row>
    <row r="224" spans="1:16" x14ac:dyDescent="0.25"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</row>
    <row r="225" spans="1:16" ht="15.75" thickBot="1" x14ac:dyDescent="0.3"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P225" s="11">
        <f>IFERROR(VLOOKUP($A226,'PROGRAMA MES '!$A:$B,2,0),0)</f>
        <v>60</v>
      </c>
    </row>
    <row r="226" spans="1:16" x14ac:dyDescent="0.25">
      <c r="A226" s="89">
        <f>B226</f>
        <v>9259</v>
      </c>
      <c r="B226" s="17">
        <v>9259</v>
      </c>
      <c r="C226" s="17" t="s">
        <v>186</v>
      </c>
      <c r="D226" s="17">
        <v>99</v>
      </c>
      <c r="E226" s="17" t="s">
        <v>15</v>
      </c>
      <c r="F226" s="17">
        <v>1</v>
      </c>
      <c r="G226" s="17" t="s">
        <v>35</v>
      </c>
      <c r="H226" s="17" t="s">
        <v>17</v>
      </c>
      <c r="I226" s="18">
        <v>3002387</v>
      </c>
      <c r="J226" s="17" t="s">
        <v>187</v>
      </c>
      <c r="K226" s="17">
        <v>99</v>
      </c>
      <c r="L226" s="17" t="s">
        <v>15</v>
      </c>
      <c r="M226" s="19">
        <v>10000</v>
      </c>
      <c r="N226" s="17" t="s">
        <v>1</v>
      </c>
      <c r="O226" s="20">
        <f t="shared" ref="O226:O228" si="49">M226/10000</f>
        <v>1</v>
      </c>
      <c r="P226" s="21">
        <f>O226*$P$225</f>
        <v>60</v>
      </c>
    </row>
    <row r="227" spans="1:16" x14ac:dyDescent="0.25">
      <c r="A227" s="91"/>
      <c r="B227" s="13">
        <v>9259</v>
      </c>
      <c r="C227" s="13" t="s">
        <v>186</v>
      </c>
      <c r="D227" s="13">
        <v>99</v>
      </c>
      <c r="E227" s="13" t="s">
        <v>15</v>
      </c>
      <c r="F227" s="13">
        <v>1</v>
      </c>
      <c r="G227" s="13" t="s">
        <v>16</v>
      </c>
      <c r="H227" s="13" t="s">
        <v>17</v>
      </c>
      <c r="I227" s="14">
        <v>4002826</v>
      </c>
      <c r="J227" s="13" t="s">
        <v>4</v>
      </c>
      <c r="K227" s="13">
        <v>99</v>
      </c>
      <c r="L227" s="13" t="s">
        <v>15</v>
      </c>
      <c r="M227" s="13">
        <v>200</v>
      </c>
      <c r="N227" s="13" t="s">
        <v>1</v>
      </c>
      <c r="O227" s="16">
        <f t="shared" si="49"/>
        <v>0.02</v>
      </c>
      <c r="P227" s="22">
        <f t="shared" ref="P227:P228" si="50">O227*$P$225</f>
        <v>1.2</v>
      </c>
    </row>
    <row r="228" spans="1:16" ht="15.75" thickBot="1" x14ac:dyDescent="0.3">
      <c r="A228" s="90"/>
      <c r="B228" s="23">
        <v>9259</v>
      </c>
      <c r="C228" s="23" t="s">
        <v>186</v>
      </c>
      <c r="D228" s="23">
        <v>99</v>
      </c>
      <c r="E228" s="23" t="s">
        <v>15</v>
      </c>
      <c r="F228" s="23">
        <v>1</v>
      </c>
      <c r="G228" s="23" t="s">
        <v>16</v>
      </c>
      <c r="H228" s="23" t="s">
        <v>17</v>
      </c>
      <c r="I228" s="24">
        <v>4016160</v>
      </c>
      <c r="J228" s="23" t="s">
        <v>69</v>
      </c>
      <c r="K228" s="23">
        <v>99</v>
      </c>
      <c r="L228" s="23" t="s">
        <v>15</v>
      </c>
      <c r="M228" s="23">
        <v>20</v>
      </c>
      <c r="N228" s="23" t="s">
        <v>3</v>
      </c>
      <c r="O228" s="26">
        <f t="shared" si="49"/>
        <v>2E-3</v>
      </c>
      <c r="P228" s="27">
        <f t="shared" si="50"/>
        <v>0.12</v>
      </c>
    </row>
    <row r="229" spans="1:16" x14ac:dyDescent="0.25"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</row>
    <row r="230" spans="1:16" ht="15.75" thickBot="1" x14ac:dyDescent="0.3"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P230" s="11">
        <f>IFERROR(VLOOKUP($A231,'PROGRAMA MES '!$A:$B,2,0),0)</f>
        <v>14400</v>
      </c>
    </row>
    <row r="231" spans="1:16" x14ac:dyDescent="0.25">
      <c r="A231" s="89">
        <f>B231</f>
        <v>9260</v>
      </c>
      <c r="B231" s="17">
        <v>9260</v>
      </c>
      <c r="C231" s="17" t="s">
        <v>188</v>
      </c>
      <c r="D231" s="17">
        <v>99</v>
      </c>
      <c r="E231" s="17" t="s">
        <v>15</v>
      </c>
      <c r="F231" s="17">
        <v>1</v>
      </c>
      <c r="G231" s="17" t="s">
        <v>16</v>
      </c>
      <c r="H231" s="17" t="s">
        <v>17</v>
      </c>
      <c r="I231" s="18">
        <v>4001206</v>
      </c>
      <c r="J231" s="17" t="s">
        <v>189</v>
      </c>
      <c r="K231" s="17">
        <v>99</v>
      </c>
      <c r="L231" s="17" t="s">
        <v>15</v>
      </c>
      <c r="M231" s="17">
        <v>834</v>
      </c>
      <c r="N231" s="17" t="s">
        <v>1</v>
      </c>
      <c r="O231" s="20">
        <f t="shared" ref="O231:O237" si="51">M231/10000</f>
        <v>8.3400000000000002E-2</v>
      </c>
      <c r="P231" s="21">
        <f>O231*$P$230</f>
        <v>1200.96</v>
      </c>
    </row>
    <row r="232" spans="1:16" x14ac:dyDescent="0.25">
      <c r="A232" s="91"/>
      <c r="B232" s="13">
        <v>9260</v>
      </c>
      <c r="C232" s="13" t="s">
        <v>188</v>
      </c>
      <c r="D232" s="13">
        <v>99</v>
      </c>
      <c r="E232" s="13" t="s">
        <v>15</v>
      </c>
      <c r="F232" s="13">
        <v>1</v>
      </c>
      <c r="G232" s="13" t="s">
        <v>16</v>
      </c>
      <c r="H232" s="13" t="s">
        <v>17</v>
      </c>
      <c r="I232" s="14">
        <v>4002449</v>
      </c>
      <c r="J232" s="13" t="s">
        <v>190</v>
      </c>
      <c r="K232" s="13">
        <v>99</v>
      </c>
      <c r="L232" s="13" t="s">
        <v>15</v>
      </c>
      <c r="M232" s="15">
        <v>10000</v>
      </c>
      <c r="N232" s="13" t="s">
        <v>1</v>
      </c>
      <c r="O232" s="16">
        <f t="shared" si="51"/>
        <v>1</v>
      </c>
      <c r="P232" s="22">
        <f t="shared" ref="P232:P237" si="52">O232*$P$230</f>
        <v>14400</v>
      </c>
    </row>
    <row r="233" spans="1:16" x14ac:dyDescent="0.25">
      <c r="A233" s="91"/>
      <c r="B233" s="13">
        <v>9260</v>
      </c>
      <c r="C233" s="13" t="s">
        <v>188</v>
      </c>
      <c r="D233" s="13">
        <v>99</v>
      </c>
      <c r="E233" s="13" t="s">
        <v>15</v>
      </c>
      <c r="F233" s="13">
        <v>1</v>
      </c>
      <c r="G233" s="13" t="s">
        <v>16</v>
      </c>
      <c r="H233" s="13" t="s">
        <v>17</v>
      </c>
      <c r="I233" s="14">
        <v>4002826</v>
      </c>
      <c r="J233" s="13" t="s">
        <v>4</v>
      </c>
      <c r="K233" s="13">
        <v>99</v>
      </c>
      <c r="L233" s="13" t="s">
        <v>15</v>
      </c>
      <c r="M233" s="13">
        <v>20</v>
      </c>
      <c r="N233" s="13" t="s">
        <v>1</v>
      </c>
      <c r="O233" s="16">
        <f t="shared" si="51"/>
        <v>2E-3</v>
      </c>
      <c r="P233" s="22">
        <f t="shared" si="52"/>
        <v>28.8</v>
      </c>
    </row>
    <row r="234" spans="1:16" x14ac:dyDescent="0.25">
      <c r="A234" s="91"/>
      <c r="B234" s="13">
        <v>9260</v>
      </c>
      <c r="C234" s="13" t="s">
        <v>188</v>
      </c>
      <c r="D234" s="13">
        <v>99</v>
      </c>
      <c r="E234" s="13" t="s">
        <v>15</v>
      </c>
      <c r="F234" s="13">
        <v>1</v>
      </c>
      <c r="G234" s="13" t="s">
        <v>16</v>
      </c>
      <c r="H234" s="13" t="s">
        <v>17</v>
      </c>
      <c r="I234" s="14">
        <v>4006456</v>
      </c>
      <c r="J234" s="13" t="s">
        <v>191</v>
      </c>
      <c r="K234" s="13">
        <v>99</v>
      </c>
      <c r="L234" s="13" t="s">
        <v>15</v>
      </c>
      <c r="M234" s="13">
        <v>834</v>
      </c>
      <c r="N234" s="13" t="s">
        <v>1</v>
      </c>
      <c r="O234" s="16">
        <f t="shared" si="51"/>
        <v>8.3400000000000002E-2</v>
      </c>
      <c r="P234" s="22">
        <f t="shared" si="52"/>
        <v>1200.96</v>
      </c>
    </row>
    <row r="235" spans="1:16" x14ac:dyDescent="0.25">
      <c r="A235" s="91"/>
      <c r="B235" s="13">
        <v>9260</v>
      </c>
      <c r="C235" s="13" t="s">
        <v>188</v>
      </c>
      <c r="D235" s="13">
        <v>99</v>
      </c>
      <c r="E235" s="13" t="s">
        <v>15</v>
      </c>
      <c r="F235" s="13">
        <v>1</v>
      </c>
      <c r="G235" s="13" t="s">
        <v>16</v>
      </c>
      <c r="H235" s="13" t="s">
        <v>17</v>
      </c>
      <c r="I235" s="14">
        <v>4007347</v>
      </c>
      <c r="J235" s="13" t="s">
        <v>192</v>
      </c>
      <c r="K235" s="13">
        <v>99</v>
      </c>
      <c r="L235" s="13" t="s">
        <v>15</v>
      </c>
      <c r="M235" s="15">
        <v>1667</v>
      </c>
      <c r="N235" s="13" t="s">
        <v>1</v>
      </c>
      <c r="O235" s="16">
        <f t="shared" si="51"/>
        <v>0.16669999999999999</v>
      </c>
      <c r="P235" s="22">
        <f t="shared" si="52"/>
        <v>2400.48</v>
      </c>
    </row>
    <row r="236" spans="1:16" x14ac:dyDescent="0.25">
      <c r="A236" s="91"/>
      <c r="B236" s="13">
        <v>9260</v>
      </c>
      <c r="C236" s="13" t="s">
        <v>188</v>
      </c>
      <c r="D236" s="13">
        <v>99</v>
      </c>
      <c r="E236" s="13" t="s">
        <v>15</v>
      </c>
      <c r="F236" s="13">
        <v>1</v>
      </c>
      <c r="G236" s="13" t="s">
        <v>16</v>
      </c>
      <c r="H236" s="13" t="s">
        <v>17</v>
      </c>
      <c r="I236" s="14">
        <v>4007348</v>
      </c>
      <c r="J236" s="13" t="s">
        <v>193</v>
      </c>
      <c r="K236" s="13">
        <v>99</v>
      </c>
      <c r="L236" s="13" t="s">
        <v>15</v>
      </c>
      <c r="M236" s="15">
        <v>3334</v>
      </c>
      <c r="N236" s="13" t="s">
        <v>1</v>
      </c>
      <c r="O236" s="16">
        <f t="shared" si="51"/>
        <v>0.33339999999999997</v>
      </c>
      <c r="P236" s="22">
        <f t="shared" si="52"/>
        <v>4800.96</v>
      </c>
    </row>
    <row r="237" spans="1:16" ht="15.75" thickBot="1" x14ac:dyDescent="0.3">
      <c r="A237" s="90"/>
      <c r="B237" s="23">
        <v>9260</v>
      </c>
      <c r="C237" s="23" t="s">
        <v>188</v>
      </c>
      <c r="D237" s="23">
        <v>99</v>
      </c>
      <c r="E237" s="23" t="s">
        <v>15</v>
      </c>
      <c r="F237" s="23">
        <v>1</v>
      </c>
      <c r="G237" s="23" t="s">
        <v>21</v>
      </c>
      <c r="H237" s="23" t="s">
        <v>17</v>
      </c>
      <c r="I237" s="24" t="s">
        <v>194</v>
      </c>
      <c r="J237" s="23" t="s">
        <v>195</v>
      </c>
      <c r="K237" s="23">
        <v>3</v>
      </c>
      <c r="L237" s="23" t="s">
        <v>24</v>
      </c>
      <c r="M237" s="25">
        <v>10000</v>
      </c>
      <c r="N237" s="23" t="s">
        <v>1</v>
      </c>
      <c r="O237" s="26">
        <f t="shared" si="51"/>
        <v>1</v>
      </c>
      <c r="P237" s="27">
        <f t="shared" si="52"/>
        <v>14400</v>
      </c>
    </row>
    <row r="238" spans="1:16" x14ac:dyDescent="0.25"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3"/>
      <c r="N238" s="1"/>
    </row>
    <row r="239" spans="1:16" ht="15.75" thickBot="1" x14ac:dyDescent="0.3"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3"/>
      <c r="N239" s="1"/>
      <c r="P239" s="11">
        <f>IFERROR(VLOOKUP($A240,'PROGRAMA MES '!$A:$B,2,0),0)</f>
        <v>0</v>
      </c>
    </row>
    <row r="240" spans="1:16" x14ac:dyDescent="0.25">
      <c r="A240" s="89">
        <f>B240</f>
        <v>9278</v>
      </c>
      <c r="B240" s="17">
        <v>9278</v>
      </c>
      <c r="C240" s="17" t="s">
        <v>196</v>
      </c>
      <c r="D240" s="17">
        <v>99</v>
      </c>
      <c r="E240" s="17" t="s">
        <v>15</v>
      </c>
      <c r="F240" s="17">
        <v>1</v>
      </c>
      <c r="G240" s="17" t="s">
        <v>16</v>
      </c>
      <c r="H240" s="17" t="s">
        <v>17</v>
      </c>
      <c r="I240" s="18">
        <v>4001196</v>
      </c>
      <c r="J240" s="17" t="s">
        <v>197</v>
      </c>
      <c r="K240" s="17">
        <v>99</v>
      </c>
      <c r="L240" s="17" t="s">
        <v>15</v>
      </c>
      <c r="M240" s="19">
        <v>1667</v>
      </c>
      <c r="N240" s="17" t="s">
        <v>1</v>
      </c>
      <c r="O240" s="20">
        <f t="shared" ref="O240:O316" si="53">M240/10000</f>
        <v>0.16669999999999999</v>
      </c>
      <c r="P240" s="21">
        <f>O240*$P$239</f>
        <v>0</v>
      </c>
    </row>
    <row r="241" spans="1:16" x14ac:dyDescent="0.25">
      <c r="A241" s="91"/>
      <c r="B241" s="13">
        <v>9278</v>
      </c>
      <c r="C241" s="13" t="s">
        <v>196</v>
      </c>
      <c r="D241" s="13">
        <v>99</v>
      </c>
      <c r="E241" s="13" t="s">
        <v>15</v>
      </c>
      <c r="F241" s="13">
        <v>1</v>
      </c>
      <c r="G241" s="13" t="s">
        <v>16</v>
      </c>
      <c r="H241" s="13" t="s">
        <v>17</v>
      </c>
      <c r="I241" s="14">
        <v>4002450</v>
      </c>
      <c r="J241" s="13" t="s">
        <v>198</v>
      </c>
      <c r="K241" s="13">
        <v>99</v>
      </c>
      <c r="L241" s="13" t="s">
        <v>15</v>
      </c>
      <c r="M241" s="15">
        <v>10000</v>
      </c>
      <c r="N241" s="13" t="s">
        <v>1</v>
      </c>
      <c r="O241" s="16">
        <f t="shared" si="53"/>
        <v>1</v>
      </c>
      <c r="P241" s="22">
        <f t="shared" ref="P241:P243" si="54">O241*$P$239</f>
        <v>0</v>
      </c>
    </row>
    <row r="242" spans="1:16" x14ac:dyDescent="0.25">
      <c r="A242" s="91"/>
      <c r="B242" s="13">
        <v>9278</v>
      </c>
      <c r="C242" s="13" t="s">
        <v>196</v>
      </c>
      <c r="D242" s="13">
        <v>99</v>
      </c>
      <c r="E242" s="13" t="s">
        <v>15</v>
      </c>
      <c r="F242" s="13">
        <v>1</v>
      </c>
      <c r="G242" s="13" t="s">
        <v>16</v>
      </c>
      <c r="H242" s="13" t="s">
        <v>17</v>
      </c>
      <c r="I242" s="14">
        <v>4002826</v>
      </c>
      <c r="J242" s="13" t="s">
        <v>4</v>
      </c>
      <c r="K242" s="13">
        <v>99</v>
      </c>
      <c r="L242" s="13" t="s">
        <v>15</v>
      </c>
      <c r="M242" s="13">
        <v>26</v>
      </c>
      <c r="N242" s="13" t="s">
        <v>1</v>
      </c>
      <c r="O242" s="16">
        <f t="shared" si="53"/>
        <v>2.5999999999999999E-3</v>
      </c>
      <c r="P242" s="22">
        <f t="shared" si="54"/>
        <v>0</v>
      </c>
    </row>
    <row r="243" spans="1:16" ht="15.75" thickBot="1" x14ac:dyDescent="0.3">
      <c r="A243" s="90"/>
      <c r="B243" s="23">
        <v>9278</v>
      </c>
      <c r="C243" s="23" t="s">
        <v>196</v>
      </c>
      <c r="D243" s="23">
        <v>99</v>
      </c>
      <c r="E243" s="23" t="s">
        <v>15</v>
      </c>
      <c r="F243" s="23">
        <v>1</v>
      </c>
      <c r="G243" s="23" t="s">
        <v>21</v>
      </c>
      <c r="H243" s="23" t="s">
        <v>17</v>
      </c>
      <c r="I243" s="24" t="s">
        <v>199</v>
      </c>
      <c r="J243" s="23" t="s">
        <v>200</v>
      </c>
      <c r="K243" s="23">
        <v>3</v>
      </c>
      <c r="L243" s="23" t="s">
        <v>24</v>
      </c>
      <c r="M243" s="25">
        <v>10000</v>
      </c>
      <c r="N243" s="23" t="s">
        <v>1</v>
      </c>
      <c r="O243" s="26">
        <f t="shared" si="53"/>
        <v>1</v>
      </c>
      <c r="P243" s="27">
        <f t="shared" si="54"/>
        <v>0</v>
      </c>
    </row>
    <row r="244" spans="1:16" x14ac:dyDescent="0.25"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3"/>
      <c r="N244" s="1"/>
    </row>
    <row r="245" spans="1:16" ht="15.75" thickBot="1" x14ac:dyDescent="0.3"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3"/>
      <c r="N245" s="1"/>
      <c r="P245" s="11">
        <f>IFERROR(VLOOKUP($A246,'PROGRAMA MES '!$A:$B,2,0),0)</f>
        <v>0</v>
      </c>
    </row>
    <row r="246" spans="1:16" x14ac:dyDescent="0.25">
      <c r="A246" s="89">
        <f>B246</f>
        <v>9351</v>
      </c>
      <c r="B246" s="17">
        <v>9351</v>
      </c>
      <c r="C246" s="17" t="s">
        <v>201</v>
      </c>
      <c r="D246" s="17">
        <v>99</v>
      </c>
      <c r="E246" s="17" t="s">
        <v>15</v>
      </c>
      <c r="F246" s="17">
        <v>1</v>
      </c>
      <c r="G246" s="17" t="s">
        <v>35</v>
      </c>
      <c r="H246" s="17" t="s">
        <v>17</v>
      </c>
      <c r="I246" s="18">
        <v>3002111</v>
      </c>
      <c r="J246" s="17" t="s">
        <v>202</v>
      </c>
      <c r="K246" s="17">
        <v>99</v>
      </c>
      <c r="L246" s="17" t="s">
        <v>15</v>
      </c>
      <c r="M246" s="19">
        <v>10000</v>
      </c>
      <c r="N246" s="17" t="s">
        <v>1</v>
      </c>
      <c r="O246" s="20">
        <f t="shared" si="53"/>
        <v>1</v>
      </c>
      <c r="P246" s="21">
        <f>O246*$P$245</f>
        <v>0</v>
      </c>
    </row>
    <row r="247" spans="1:16" x14ac:dyDescent="0.25">
      <c r="A247" s="91"/>
      <c r="B247" s="13">
        <v>9351</v>
      </c>
      <c r="C247" s="13" t="s">
        <v>201</v>
      </c>
      <c r="D247" s="13">
        <v>99</v>
      </c>
      <c r="E247" s="13" t="s">
        <v>15</v>
      </c>
      <c r="F247" s="13">
        <v>1</v>
      </c>
      <c r="G247" s="13" t="s">
        <v>16</v>
      </c>
      <c r="H247" s="13" t="s">
        <v>17</v>
      </c>
      <c r="I247" s="14">
        <v>4002826</v>
      </c>
      <c r="J247" s="13" t="s">
        <v>4</v>
      </c>
      <c r="K247" s="13">
        <v>99</v>
      </c>
      <c r="L247" s="13" t="s">
        <v>15</v>
      </c>
      <c r="M247" s="13">
        <v>200</v>
      </c>
      <c r="N247" s="13" t="s">
        <v>1</v>
      </c>
      <c r="O247" s="16">
        <f t="shared" si="53"/>
        <v>0.02</v>
      </c>
      <c r="P247" s="22">
        <f t="shared" ref="P247:P248" si="55">O247*$P$245</f>
        <v>0</v>
      </c>
    </row>
    <row r="248" spans="1:16" ht="15.75" thickBot="1" x14ac:dyDescent="0.3">
      <c r="A248" s="90"/>
      <c r="B248" s="23">
        <v>9351</v>
      </c>
      <c r="C248" s="23" t="s">
        <v>201</v>
      </c>
      <c r="D248" s="23">
        <v>99</v>
      </c>
      <c r="E248" s="23" t="s">
        <v>15</v>
      </c>
      <c r="F248" s="23">
        <v>1</v>
      </c>
      <c r="G248" s="23" t="s">
        <v>16</v>
      </c>
      <c r="H248" s="23" t="s">
        <v>17</v>
      </c>
      <c r="I248" s="24">
        <v>4016160</v>
      </c>
      <c r="J248" s="23" t="s">
        <v>69</v>
      </c>
      <c r="K248" s="23">
        <v>99</v>
      </c>
      <c r="L248" s="23" t="s">
        <v>15</v>
      </c>
      <c r="M248" s="23">
        <v>20</v>
      </c>
      <c r="N248" s="23" t="s">
        <v>3</v>
      </c>
      <c r="O248" s="26">
        <f t="shared" si="53"/>
        <v>2E-3</v>
      </c>
      <c r="P248" s="27">
        <f t="shared" si="55"/>
        <v>0</v>
      </c>
    </row>
    <row r="249" spans="1:16" x14ac:dyDescent="0.25"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</row>
    <row r="250" spans="1:16" ht="15.75" thickBot="1" x14ac:dyDescent="0.3"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P250" s="11">
        <f>IFERROR(VLOOKUP($A251,'PROGRAMA MES '!$A:$B,2,0),0)</f>
        <v>180</v>
      </c>
    </row>
    <row r="251" spans="1:16" x14ac:dyDescent="0.25">
      <c r="A251" s="89">
        <f>B251</f>
        <v>9356</v>
      </c>
      <c r="B251" s="17">
        <v>9356</v>
      </c>
      <c r="C251" s="17" t="s">
        <v>203</v>
      </c>
      <c r="D251" s="17">
        <v>99</v>
      </c>
      <c r="E251" s="17" t="s">
        <v>15</v>
      </c>
      <c r="F251" s="17">
        <v>1</v>
      </c>
      <c r="G251" s="17" t="s">
        <v>35</v>
      </c>
      <c r="H251" s="17" t="s">
        <v>17</v>
      </c>
      <c r="I251" s="18">
        <v>3002117</v>
      </c>
      <c r="J251" s="17" t="s">
        <v>204</v>
      </c>
      <c r="K251" s="17">
        <v>99</v>
      </c>
      <c r="L251" s="17" t="s">
        <v>15</v>
      </c>
      <c r="M251" s="19">
        <v>10000</v>
      </c>
      <c r="N251" s="17" t="s">
        <v>1</v>
      </c>
      <c r="O251" s="20">
        <f t="shared" si="53"/>
        <v>1</v>
      </c>
      <c r="P251" s="21">
        <f>O251*$P$250</f>
        <v>180</v>
      </c>
    </row>
    <row r="252" spans="1:16" x14ac:dyDescent="0.25">
      <c r="A252" s="91"/>
      <c r="B252" s="13">
        <v>9356</v>
      </c>
      <c r="C252" s="13" t="s">
        <v>203</v>
      </c>
      <c r="D252" s="13">
        <v>99</v>
      </c>
      <c r="E252" s="13" t="s">
        <v>15</v>
      </c>
      <c r="F252" s="13">
        <v>1</v>
      </c>
      <c r="G252" s="13" t="s">
        <v>16</v>
      </c>
      <c r="H252" s="13" t="s">
        <v>17</v>
      </c>
      <c r="I252" s="14">
        <v>4002546</v>
      </c>
      <c r="J252" s="13" t="s">
        <v>179</v>
      </c>
      <c r="K252" s="13">
        <v>99</v>
      </c>
      <c r="L252" s="13" t="s">
        <v>15</v>
      </c>
      <c r="M252" s="15">
        <v>10000</v>
      </c>
      <c r="N252" s="13" t="s">
        <v>1</v>
      </c>
      <c r="O252" s="16">
        <f t="shared" si="53"/>
        <v>1</v>
      </c>
      <c r="P252" s="22">
        <f t="shared" ref="P252:P254" si="56">O252*$P$250</f>
        <v>180</v>
      </c>
    </row>
    <row r="253" spans="1:16" x14ac:dyDescent="0.25">
      <c r="A253" s="91"/>
      <c r="B253" s="13">
        <v>9356</v>
      </c>
      <c r="C253" s="13" t="s">
        <v>203</v>
      </c>
      <c r="D253" s="13">
        <v>99</v>
      </c>
      <c r="E253" s="13" t="s">
        <v>15</v>
      </c>
      <c r="F253" s="13">
        <v>1</v>
      </c>
      <c r="G253" s="13" t="s">
        <v>16</v>
      </c>
      <c r="H253" s="13" t="s">
        <v>17</v>
      </c>
      <c r="I253" s="14">
        <v>4002826</v>
      </c>
      <c r="J253" s="13" t="s">
        <v>4</v>
      </c>
      <c r="K253" s="13">
        <v>99</v>
      </c>
      <c r="L253" s="13" t="s">
        <v>15</v>
      </c>
      <c r="M253" s="13">
        <v>200</v>
      </c>
      <c r="N253" s="13" t="s">
        <v>1</v>
      </c>
      <c r="O253" s="16">
        <f t="shared" si="53"/>
        <v>0.02</v>
      </c>
      <c r="P253" s="22">
        <f t="shared" si="56"/>
        <v>3.6</v>
      </c>
    </row>
    <row r="254" spans="1:16" ht="15.75" thickBot="1" x14ac:dyDescent="0.3">
      <c r="A254" s="90"/>
      <c r="B254" s="23">
        <v>9356</v>
      </c>
      <c r="C254" s="23" t="s">
        <v>203</v>
      </c>
      <c r="D254" s="23">
        <v>99</v>
      </c>
      <c r="E254" s="23" t="s">
        <v>15</v>
      </c>
      <c r="F254" s="23">
        <v>1</v>
      </c>
      <c r="G254" s="23" t="s">
        <v>16</v>
      </c>
      <c r="H254" s="23" t="s">
        <v>17</v>
      </c>
      <c r="I254" s="24">
        <v>4016160</v>
      </c>
      <c r="J254" s="23" t="s">
        <v>69</v>
      </c>
      <c r="K254" s="23">
        <v>99</v>
      </c>
      <c r="L254" s="23" t="s">
        <v>15</v>
      </c>
      <c r="M254" s="23">
        <v>20</v>
      </c>
      <c r="N254" s="23" t="s">
        <v>3</v>
      </c>
      <c r="O254" s="26">
        <f t="shared" si="53"/>
        <v>2E-3</v>
      </c>
      <c r="P254" s="27">
        <f t="shared" si="56"/>
        <v>0.36</v>
      </c>
    </row>
    <row r="255" spans="1:16" x14ac:dyDescent="0.25"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</row>
    <row r="256" spans="1:16" ht="15.75" thickBot="1" x14ac:dyDescent="0.3"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P256" s="11">
        <f>IFERROR(VLOOKUP($A257,'PROGRAMA MES '!$A:$B,2,0),0)</f>
        <v>60</v>
      </c>
    </row>
    <row r="257" spans="1:16" x14ac:dyDescent="0.25">
      <c r="A257" s="89">
        <f>B257</f>
        <v>9357</v>
      </c>
      <c r="B257" s="17">
        <v>9357</v>
      </c>
      <c r="C257" s="17" t="s">
        <v>205</v>
      </c>
      <c r="D257" s="17">
        <v>99</v>
      </c>
      <c r="E257" s="17" t="s">
        <v>15</v>
      </c>
      <c r="F257" s="17">
        <v>1</v>
      </c>
      <c r="G257" s="17" t="s">
        <v>35</v>
      </c>
      <c r="H257" s="17" t="s">
        <v>17</v>
      </c>
      <c r="I257" s="18">
        <v>3002112</v>
      </c>
      <c r="J257" s="17" t="s">
        <v>206</v>
      </c>
      <c r="K257" s="17">
        <v>99</v>
      </c>
      <c r="L257" s="17" t="s">
        <v>15</v>
      </c>
      <c r="M257" s="19">
        <v>10000</v>
      </c>
      <c r="N257" s="17" t="s">
        <v>1</v>
      </c>
      <c r="O257" s="20">
        <f t="shared" si="53"/>
        <v>1</v>
      </c>
      <c r="P257" s="21">
        <f>O257*$P$256</f>
        <v>60</v>
      </c>
    </row>
    <row r="258" spans="1:16" x14ac:dyDescent="0.25">
      <c r="A258" s="91"/>
      <c r="B258" s="13">
        <v>9357</v>
      </c>
      <c r="C258" s="13" t="s">
        <v>205</v>
      </c>
      <c r="D258" s="13">
        <v>99</v>
      </c>
      <c r="E258" s="13" t="s">
        <v>15</v>
      </c>
      <c r="F258" s="13">
        <v>1</v>
      </c>
      <c r="G258" s="13" t="s">
        <v>16</v>
      </c>
      <c r="H258" s="13" t="s">
        <v>17</v>
      </c>
      <c r="I258" s="14">
        <v>4002546</v>
      </c>
      <c r="J258" s="13" t="s">
        <v>179</v>
      </c>
      <c r="K258" s="13">
        <v>99</v>
      </c>
      <c r="L258" s="13" t="s">
        <v>15</v>
      </c>
      <c r="M258" s="15">
        <v>10000</v>
      </c>
      <c r="N258" s="13" t="s">
        <v>1</v>
      </c>
      <c r="O258" s="16">
        <f t="shared" si="53"/>
        <v>1</v>
      </c>
      <c r="P258" s="22">
        <f t="shared" ref="P258:P260" si="57">O258*$P$256</f>
        <v>60</v>
      </c>
    </row>
    <row r="259" spans="1:16" x14ac:dyDescent="0.25">
      <c r="A259" s="91"/>
      <c r="B259" s="13">
        <v>9357</v>
      </c>
      <c r="C259" s="13" t="s">
        <v>205</v>
      </c>
      <c r="D259" s="13">
        <v>99</v>
      </c>
      <c r="E259" s="13" t="s">
        <v>15</v>
      </c>
      <c r="F259" s="13">
        <v>1</v>
      </c>
      <c r="G259" s="13" t="s">
        <v>16</v>
      </c>
      <c r="H259" s="13" t="s">
        <v>17</v>
      </c>
      <c r="I259" s="14">
        <v>4002826</v>
      </c>
      <c r="J259" s="13" t="s">
        <v>4</v>
      </c>
      <c r="K259" s="13">
        <v>99</v>
      </c>
      <c r="L259" s="13" t="s">
        <v>15</v>
      </c>
      <c r="M259" s="13">
        <v>200</v>
      </c>
      <c r="N259" s="13" t="s">
        <v>1</v>
      </c>
      <c r="O259" s="16">
        <f t="shared" si="53"/>
        <v>0.02</v>
      </c>
      <c r="P259" s="22">
        <f t="shared" si="57"/>
        <v>1.2</v>
      </c>
    </row>
    <row r="260" spans="1:16" ht="15.75" thickBot="1" x14ac:dyDescent="0.3">
      <c r="A260" s="90"/>
      <c r="B260" s="23">
        <v>9357</v>
      </c>
      <c r="C260" s="23" t="s">
        <v>205</v>
      </c>
      <c r="D260" s="23">
        <v>99</v>
      </c>
      <c r="E260" s="23" t="s">
        <v>15</v>
      </c>
      <c r="F260" s="23">
        <v>1</v>
      </c>
      <c r="G260" s="23" t="s">
        <v>16</v>
      </c>
      <c r="H260" s="23" t="s">
        <v>17</v>
      </c>
      <c r="I260" s="24">
        <v>4016160</v>
      </c>
      <c r="J260" s="23" t="s">
        <v>69</v>
      </c>
      <c r="K260" s="23">
        <v>99</v>
      </c>
      <c r="L260" s="23" t="s">
        <v>15</v>
      </c>
      <c r="M260" s="23">
        <v>20</v>
      </c>
      <c r="N260" s="23" t="s">
        <v>3</v>
      </c>
      <c r="O260" s="26">
        <f t="shared" si="53"/>
        <v>2E-3</v>
      </c>
      <c r="P260" s="27">
        <f t="shared" si="57"/>
        <v>0.12</v>
      </c>
    </row>
    <row r="261" spans="1:16" x14ac:dyDescent="0.25"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</row>
    <row r="262" spans="1:16" ht="15.75" thickBot="1" x14ac:dyDescent="0.3"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P262" s="11">
        <f>IFERROR(VLOOKUP($A263,'PROGRAMA MES '!$A:$B,2,0),0)</f>
        <v>144000</v>
      </c>
    </row>
    <row r="263" spans="1:16" x14ac:dyDescent="0.25">
      <c r="A263" s="89">
        <f>B263</f>
        <v>9399</v>
      </c>
      <c r="B263" s="17">
        <v>9399</v>
      </c>
      <c r="C263" s="17" t="s">
        <v>207</v>
      </c>
      <c r="D263" s="17">
        <v>99</v>
      </c>
      <c r="E263" s="17" t="s">
        <v>15</v>
      </c>
      <c r="F263" s="17">
        <v>1</v>
      </c>
      <c r="G263" s="17" t="s">
        <v>16</v>
      </c>
      <c r="H263" s="17" t="s">
        <v>17</v>
      </c>
      <c r="I263" s="18">
        <v>4001203</v>
      </c>
      <c r="J263" s="17" t="s">
        <v>208</v>
      </c>
      <c r="K263" s="17">
        <v>99</v>
      </c>
      <c r="L263" s="17" t="s">
        <v>15</v>
      </c>
      <c r="M263" s="17">
        <v>42</v>
      </c>
      <c r="N263" s="17" t="s">
        <v>1</v>
      </c>
      <c r="O263" s="20">
        <f t="shared" si="53"/>
        <v>4.1999999999999997E-3</v>
      </c>
      <c r="P263" s="21">
        <f>O263*$P$262</f>
        <v>604.79999999999995</v>
      </c>
    </row>
    <row r="264" spans="1:16" x14ac:dyDescent="0.25">
      <c r="A264" s="91"/>
      <c r="B264" s="13">
        <v>9399</v>
      </c>
      <c r="C264" s="13" t="s">
        <v>207</v>
      </c>
      <c r="D264" s="13">
        <v>99</v>
      </c>
      <c r="E264" s="13" t="s">
        <v>15</v>
      </c>
      <c r="F264" s="13">
        <v>1</v>
      </c>
      <c r="G264" s="13" t="s">
        <v>16</v>
      </c>
      <c r="H264" s="13" t="s">
        <v>17</v>
      </c>
      <c r="I264" s="14">
        <v>4002827</v>
      </c>
      <c r="J264" s="13" t="s">
        <v>0</v>
      </c>
      <c r="K264" s="13">
        <v>99</v>
      </c>
      <c r="L264" s="13" t="s">
        <v>15</v>
      </c>
      <c r="M264" s="15">
        <v>1100</v>
      </c>
      <c r="N264" s="13" t="s">
        <v>2</v>
      </c>
      <c r="O264" s="16">
        <f t="shared" si="53"/>
        <v>0.11</v>
      </c>
      <c r="P264" s="22">
        <f t="shared" ref="P264:P266" si="58">O264*$P$262</f>
        <v>15840</v>
      </c>
    </row>
    <row r="265" spans="1:16" x14ac:dyDescent="0.25">
      <c r="A265" s="91"/>
      <c r="B265" s="13">
        <v>9399</v>
      </c>
      <c r="C265" s="13" t="s">
        <v>207</v>
      </c>
      <c r="D265" s="13">
        <v>99</v>
      </c>
      <c r="E265" s="13" t="s">
        <v>15</v>
      </c>
      <c r="F265" s="13">
        <v>1</v>
      </c>
      <c r="G265" s="13" t="s">
        <v>16</v>
      </c>
      <c r="H265" s="13" t="s">
        <v>17</v>
      </c>
      <c r="I265" s="14">
        <v>4012151</v>
      </c>
      <c r="J265" s="13" t="s">
        <v>209</v>
      </c>
      <c r="K265" s="13">
        <v>99</v>
      </c>
      <c r="L265" s="13" t="s">
        <v>15</v>
      </c>
      <c r="M265" s="13">
        <v>9</v>
      </c>
      <c r="N265" s="13" t="s">
        <v>3</v>
      </c>
      <c r="O265" s="16">
        <f t="shared" si="53"/>
        <v>8.9999999999999998E-4</v>
      </c>
      <c r="P265" s="22">
        <f t="shared" si="58"/>
        <v>129.6</v>
      </c>
    </row>
    <row r="266" spans="1:16" ht="15.75" thickBot="1" x14ac:dyDescent="0.3">
      <c r="A266" s="90"/>
      <c r="B266" s="23">
        <v>9399</v>
      </c>
      <c r="C266" s="23" t="s">
        <v>207</v>
      </c>
      <c r="D266" s="23">
        <v>99</v>
      </c>
      <c r="E266" s="23" t="s">
        <v>15</v>
      </c>
      <c r="F266" s="23">
        <v>1</v>
      </c>
      <c r="G266" s="23" t="s">
        <v>21</v>
      </c>
      <c r="H266" s="23" t="s">
        <v>17</v>
      </c>
      <c r="I266" s="24" t="s">
        <v>210</v>
      </c>
      <c r="J266" s="23" t="s">
        <v>211</v>
      </c>
      <c r="K266" s="23">
        <v>3</v>
      </c>
      <c r="L266" s="23" t="s">
        <v>24</v>
      </c>
      <c r="M266" s="25">
        <v>10000</v>
      </c>
      <c r="N266" s="23" t="s">
        <v>1</v>
      </c>
      <c r="O266" s="26">
        <f t="shared" si="53"/>
        <v>1</v>
      </c>
      <c r="P266" s="27">
        <f t="shared" si="58"/>
        <v>144000</v>
      </c>
    </row>
    <row r="267" spans="1:16" x14ac:dyDescent="0.25"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3"/>
      <c r="N267" s="1"/>
    </row>
    <row r="268" spans="1:16" ht="15.75" thickBot="1" x14ac:dyDescent="0.3"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3"/>
      <c r="N268" s="1"/>
      <c r="P268" s="11">
        <f>IFERROR(VLOOKUP($A269,'PROGRAMA MES '!$A:$B,2,0),0)</f>
        <v>30000</v>
      </c>
    </row>
    <row r="269" spans="1:16" x14ac:dyDescent="0.25">
      <c r="A269" s="89">
        <f>B269</f>
        <v>9401</v>
      </c>
      <c r="B269" s="17">
        <v>9401</v>
      </c>
      <c r="C269" s="17" t="s">
        <v>212</v>
      </c>
      <c r="D269" s="17">
        <v>99</v>
      </c>
      <c r="E269" s="17" t="s">
        <v>15</v>
      </c>
      <c r="F269" s="17">
        <v>1</v>
      </c>
      <c r="G269" s="17" t="s">
        <v>16</v>
      </c>
      <c r="H269" s="17" t="s">
        <v>17</v>
      </c>
      <c r="I269" s="18">
        <v>4001313</v>
      </c>
      <c r="J269" s="17" t="s">
        <v>213</v>
      </c>
      <c r="K269" s="17">
        <v>99</v>
      </c>
      <c r="L269" s="17" t="s">
        <v>15</v>
      </c>
      <c r="M269" s="17">
        <v>100</v>
      </c>
      <c r="N269" s="17" t="s">
        <v>1</v>
      </c>
      <c r="O269" s="20">
        <f t="shared" si="53"/>
        <v>0.01</v>
      </c>
      <c r="P269" s="21">
        <f>O269*$P$268</f>
        <v>300</v>
      </c>
    </row>
    <row r="270" spans="1:16" x14ac:dyDescent="0.25">
      <c r="A270" s="91"/>
      <c r="B270" s="13">
        <v>9401</v>
      </c>
      <c r="C270" s="13" t="s">
        <v>212</v>
      </c>
      <c r="D270" s="13">
        <v>99</v>
      </c>
      <c r="E270" s="13" t="s">
        <v>15</v>
      </c>
      <c r="F270" s="13">
        <v>1</v>
      </c>
      <c r="G270" s="13" t="s">
        <v>16</v>
      </c>
      <c r="H270" s="13" t="s">
        <v>17</v>
      </c>
      <c r="I270" s="14">
        <v>4002827</v>
      </c>
      <c r="J270" s="13" t="s">
        <v>0</v>
      </c>
      <c r="K270" s="13">
        <v>99</v>
      </c>
      <c r="L270" s="13" t="s">
        <v>15</v>
      </c>
      <c r="M270" s="13">
        <v>130</v>
      </c>
      <c r="N270" s="13" t="s">
        <v>2</v>
      </c>
      <c r="O270" s="16">
        <f t="shared" si="53"/>
        <v>1.2999999999999999E-2</v>
      </c>
      <c r="P270" s="22">
        <f t="shared" ref="P270:P273" si="59">O270*$P$268</f>
        <v>390</v>
      </c>
    </row>
    <row r="271" spans="1:16" x14ac:dyDescent="0.25">
      <c r="A271" s="91"/>
      <c r="B271" s="13">
        <v>9401</v>
      </c>
      <c r="C271" s="13" t="s">
        <v>212</v>
      </c>
      <c r="D271" s="13">
        <v>99</v>
      </c>
      <c r="E271" s="13" t="s">
        <v>15</v>
      </c>
      <c r="F271" s="13">
        <v>1</v>
      </c>
      <c r="G271" s="13" t="s">
        <v>16</v>
      </c>
      <c r="H271" s="13" t="s">
        <v>17</v>
      </c>
      <c r="I271" s="14">
        <v>4005404</v>
      </c>
      <c r="J271" s="13" t="s">
        <v>214</v>
      </c>
      <c r="K271" s="13">
        <v>99</v>
      </c>
      <c r="L271" s="13" t="s">
        <v>15</v>
      </c>
      <c r="M271" s="13">
        <v>4</v>
      </c>
      <c r="N271" s="13" t="s">
        <v>3</v>
      </c>
      <c r="O271" s="16">
        <f t="shared" si="53"/>
        <v>4.0000000000000002E-4</v>
      </c>
      <c r="P271" s="22">
        <f t="shared" si="59"/>
        <v>12</v>
      </c>
    </row>
    <row r="272" spans="1:16" x14ac:dyDescent="0.25">
      <c r="A272" s="91"/>
      <c r="B272" s="13">
        <v>9401</v>
      </c>
      <c r="C272" s="13" t="s">
        <v>212</v>
      </c>
      <c r="D272" s="13">
        <v>99</v>
      </c>
      <c r="E272" s="13" t="s">
        <v>15</v>
      </c>
      <c r="F272" s="13">
        <v>1</v>
      </c>
      <c r="G272" s="13" t="s">
        <v>16</v>
      </c>
      <c r="H272" s="13" t="s">
        <v>17</v>
      </c>
      <c r="I272" s="14">
        <v>4005405</v>
      </c>
      <c r="J272" s="13" t="s">
        <v>215</v>
      </c>
      <c r="K272" s="13">
        <v>99</v>
      </c>
      <c r="L272" s="13" t="s">
        <v>15</v>
      </c>
      <c r="M272" s="13">
        <v>7.5</v>
      </c>
      <c r="N272" s="13" t="s">
        <v>3</v>
      </c>
      <c r="O272" s="16">
        <f t="shared" si="53"/>
        <v>7.5000000000000002E-4</v>
      </c>
      <c r="P272" s="22">
        <f t="shared" si="59"/>
        <v>22.5</v>
      </c>
    </row>
    <row r="273" spans="1:16" ht="15.75" thickBot="1" x14ac:dyDescent="0.3">
      <c r="A273" s="90"/>
      <c r="B273" s="23">
        <v>9401</v>
      </c>
      <c r="C273" s="23" t="s">
        <v>212</v>
      </c>
      <c r="D273" s="23">
        <v>99</v>
      </c>
      <c r="E273" s="23" t="s">
        <v>15</v>
      </c>
      <c r="F273" s="23">
        <v>1</v>
      </c>
      <c r="G273" s="23" t="s">
        <v>21</v>
      </c>
      <c r="H273" s="23" t="s">
        <v>17</v>
      </c>
      <c r="I273" s="24" t="s">
        <v>216</v>
      </c>
      <c r="J273" s="23" t="s">
        <v>217</v>
      </c>
      <c r="K273" s="23">
        <v>3</v>
      </c>
      <c r="L273" s="23" t="s">
        <v>24</v>
      </c>
      <c r="M273" s="25">
        <v>10000</v>
      </c>
      <c r="N273" s="23" t="s">
        <v>1</v>
      </c>
      <c r="O273" s="26">
        <f t="shared" si="53"/>
        <v>1</v>
      </c>
      <c r="P273" s="27">
        <f t="shared" si="59"/>
        <v>30000</v>
      </c>
    </row>
    <row r="274" spans="1:16" x14ac:dyDescent="0.25"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3"/>
      <c r="N274" s="1"/>
    </row>
    <row r="275" spans="1:16" ht="15.75" thickBot="1" x14ac:dyDescent="0.3"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3"/>
      <c r="N275" s="1"/>
      <c r="P275" s="11">
        <f>IFERROR(VLOOKUP($A276,'PROGRAMA MES '!$A:$B,2,0),0)</f>
        <v>60000</v>
      </c>
    </row>
    <row r="276" spans="1:16" x14ac:dyDescent="0.25">
      <c r="A276" s="89">
        <f>B276</f>
        <v>9403</v>
      </c>
      <c r="B276" s="17">
        <v>9403</v>
      </c>
      <c r="C276" s="17" t="s">
        <v>218</v>
      </c>
      <c r="D276" s="17">
        <v>99</v>
      </c>
      <c r="E276" s="17" t="s">
        <v>15</v>
      </c>
      <c r="F276" s="17">
        <v>1</v>
      </c>
      <c r="G276" s="17" t="s">
        <v>16</v>
      </c>
      <c r="H276" s="17" t="s">
        <v>17</v>
      </c>
      <c r="I276" s="18">
        <v>4001315</v>
      </c>
      <c r="J276" s="17" t="s">
        <v>219</v>
      </c>
      <c r="K276" s="17">
        <v>99</v>
      </c>
      <c r="L276" s="17" t="s">
        <v>15</v>
      </c>
      <c r="M276" s="17">
        <v>100</v>
      </c>
      <c r="N276" s="17" t="s">
        <v>1</v>
      </c>
      <c r="O276" s="20">
        <f t="shared" si="53"/>
        <v>0.01</v>
      </c>
      <c r="P276" s="21">
        <f>O276*$P$275</f>
        <v>600</v>
      </c>
    </row>
    <row r="277" spans="1:16" x14ac:dyDescent="0.25">
      <c r="A277" s="91"/>
      <c r="B277" s="13">
        <v>9403</v>
      </c>
      <c r="C277" s="13" t="s">
        <v>218</v>
      </c>
      <c r="D277" s="13">
        <v>99</v>
      </c>
      <c r="E277" s="13" t="s">
        <v>15</v>
      </c>
      <c r="F277" s="13">
        <v>1</v>
      </c>
      <c r="G277" s="13" t="s">
        <v>16</v>
      </c>
      <c r="H277" s="13" t="s">
        <v>17</v>
      </c>
      <c r="I277" s="14">
        <v>4002827</v>
      </c>
      <c r="J277" s="13" t="s">
        <v>0</v>
      </c>
      <c r="K277" s="13">
        <v>99</v>
      </c>
      <c r="L277" s="13" t="s">
        <v>15</v>
      </c>
      <c r="M277" s="13">
        <v>127.6</v>
      </c>
      <c r="N277" s="13" t="s">
        <v>2</v>
      </c>
      <c r="O277" s="16">
        <f t="shared" si="53"/>
        <v>1.2759999999999999E-2</v>
      </c>
      <c r="P277" s="22">
        <f t="shared" ref="P277:P279" si="60">O277*$P$275</f>
        <v>765.59999999999991</v>
      </c>
    </row>
    <row r="278" spans="1:16" x14ac:dyDescent="0.25">
      <c r="A278" s="91"/>
      <c r="B278" s="13">
        <v>9403</v>
      </c>
      <c r="C278" s="13" t="s">
        <v>218</v>
      </c>
      <c r="D278" s="13">
        <v>99</v>
      </c>
      <c r="E278" s="13" t="s">
        <v>15</v>
      </c>
      <c r="F278" s="13">
        <v>1</v>
      </c>
      <c r="G278" s="13" t="s">
        <v>16</v>
      </c>
      <c r="H278" s="13" t="s">
        <v>17</v>
      </c>
      <c r="I278" s="14">
        <v>4012150</v>
      </c>
      <c r="J278" s="13" t="s">
        <v>220</v>
      </c>
      <c r="K278" s="13">
        <v>99</v>
      </c>
      <c r="L278" s="13" t="s">
        <v>15</v>
      </c>
      <c r="M278" s="13">
        <v>7.8</v>
      </c>
      <c r="N278" s="13" t="s">
        <v>3</v>
      </c>
      <c r="O278" s="16">
        <f t="shared" si="53"/>
        <v>7.7999999999999999E-4</v>
      </c>
      <c r="P278" s="22">
        <f t="shared" si="60"/>
        <v>46.8</v>
      </c>
    </row>
    <row r="279" spans="1:16" ht="15.75" thickBot="1" x14ac:dyDescent="0.3">
      <c r="A279" s="90"/>
      <c r="B279" s="23">
        <v>9403</v>
      </c>
      <c r="C279" s="23" t="s">
        <v>218</v>
      </c>
      <c r="D279" s="23">
        <v>99</v>
      </c>
      <c r="E279" s="23" t="s">
        <v>15</v>
      </c>
      <c r="F279" s="23">
        <v>1</v>
      </c>
      <c r="G279" s="23" t="s">
        <v>21</v>
      </c>
      <c r="H279" s="23" t="s">
        <v>17</v>
      </c>
      <c r="I279" s="24" t="s">
        <v>221</v>
      </c>
      <c r="J279" s="23" t="s">
        <v>222</v>
      </c>
      <c r="K279" s="23">
        <v>3</v>
      </c>
      <c r="L279" s="23" t="s">
        <v>24</v>
      </c>
      <c r="M279" s="25">
        <v>10000</v>
      </c>
      <c r="N279" s="23" t="s">
        <v>1</v>
      </c>
      <c r="O279" s="26">
        <f t="shared" si="53"/>
        <v>1</v>
      </c>
      <c r="P279" s="27">
        <f t="shared" si="60"/>
        <v>60000</v>
      </c>
    </row>
    <row r="280" spans="1:16" x14ac:dyDescent="0.25"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3"/>
      <c r="N280" s="1"/>
    </row>
    <row r="281" spans="1:16" ht="15.75" thickBot="1" x14ac:dyDescent="0.3"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3"/>
      <c r="N281" s="1"/>
      <c r="P281" s="11">
        <f>IFERROR(VLOOKUP($A282,'PROGRAMA MES '!$A:$B,2,0),0)</f>
        <v>25000</v>
      </c>
    </row>
    <row r="282" spans="1:16" x14ac:dyDescent="0.25">
      <c r="A282" s="89">
        <f>B282</f>
        <v>9404</v>
      </c>
      <c r="B282" s="17">
        <v>9404</v>
      </c>
      <c r="C282" s="17" t="s">
        <v>223</v>
      </c>
      <c r="D282" s="17">
        <v>99</v>
      </c>
      <c r="E282" s="17" t="s">
        <v>15</v>
      </c>
      <c r="F282" s="17">
        <v>1</v>
      </c>
      <c r="G282" s="17" t="s">
        <v>16</v>
      </c>
      <c r="H282" s="17" t="s">
        <v>17</v>
      </c>
      <c r="I282" s="18">
        <v>4001317</v>
      </c>
      <c r="J282" s="17" t="s">
        <v>224</v>
      </c>
      <c r="K282" s="17">
        <v>99</v>
      </c>
      <c r="L282" s="17" t="s">
        <v>15</v>
      </c>
      <c r="M282" s="17">
        <v>100</v>
      </c>
      <c r="N282" s="17" t="s">
        <v>1</v>
      </c>
      <c r="O282" s="20">
        <f t="shared" si="53"/>
        <v>0.01</v>
      </c>
      <c r="P282" s="21">
        <f>O282*$P$281</f>
        <v>250</v>
      </c>
    </row>
    <row r="283" spans="1:16" x14ac:dyDescent="0.25">
      <c r="A283" s="91"/>
      <c r="B283" s="13">
        <v>9404</v>
      </c>
      <c r="C283" s="13" t="s">
        <v>223</v>
      </c>
      <c r="D283" s="13">
        <v>99</v>
      </c>
      <c r="E283" s="13" t="s">
        <v>15</v>
      </c>
      <c r="F283" s="13">
        <v>1</v>
      </c>
      <c r="G283" s="13" t="s">
        <v>16</v>
      </c>
      <c r="H283" s="13" t="s">
        <v>17</v>
      </c>
      <c r="I283" s="14">
        <v>4002827</v>
      </c>
      <c r="J283" s="13" t="s">
        <v>0</v>
      </c>
      <c r="K283" s="13">
        <v>99</v>
      </c>
      <c r="L283" s="13" t="s">
        <v>15</v>
      </c>
      <c r="M283" s="13">
        <v>149.6</v>
      </c>
      <c r="N283" s="13" t="s">
        <v>2</v>
      </c>
      <c r="O283" s="16">
        <f t="shared" si="53"/>
        <v>1.4959999999999999E-2</v>
      </c>
      <c r="P283" s="22">
        <f t="shared" ref="P283:P285" si="61">O283*$P$281</f>
        <v>374</v>
      </c>
    </row>
    <row r="284" spans="1:16" x14ac:dyDescent="0.25">
      <c r="A284" s="91"/>
      <c r="B284" s="13">
        <v>9404</v>
      </c>
      <c r="C284" s="13" t="s">
        <v>223</v>
      </c>
      <c r="D284" s="13">
        <v>99</v>
      </c>
      <c r="E284" s="13" t="s">
        <v>15</v>
      </c>
      <c r="F284" s="13">
        <v>1</v>
      </c>
      <c r="G284" s="13" t="s">
        <v>16</v>
      </c>
      <c r="H284" s="13" t="s">
        <v>17</v>
      </c>
      <c r="I284" s="14">
        <v>4003059</v>
      </c>
      <c r="J284" s="13" t="s">
        <v>225</v>
      </c>
      <c r="K284" s="13">
        <v>99</v>
      </c>
      <c r="L284" s="13" t="s">
        <v>15</v>
      </c>
      <c r="M284" s="15">
        <v>1000</v>
      </c>
      <c r="N284" s="13" t="s">
        <v>1</v>
      </c>
      <c r="O284" s="16">
        <f t="shared" si="53"/>
        <v>0.1</v>
      </c>
      <c r="P284" s="22">
        <f t="shared" si="61"/>
        <v>2500</v>
      </c>
    </row>
    <row r="285" spans="1:16" ht="15.75" thickBot="1" x14ac:dyDescent="0.3">
      <c r="A285" s="90"/>
      <c r="B285" s="23">
        <v>9404</v>
      </c>
      <c r="C285" s="23" t="s">
        <v>223</v>
      </c>
      <c r="D285" s="23">
        <v>99</v>
      </c>
      <c r="E285" s="23" t="s">
        <v>15</v>
      </c>
      <c r="F285" s="23">
        <v>1</v>
      </c>
      <c r="G285" s="23" t="s">
        <v>21</v>
      </c>
      <c r="H285" s="23" t="s">
        <v>17</v>
      </c>
      <c r="I285" s="24" t="s">
        <v>226</v>
      </c>
      <c r="J285" s="23" t="s">
        <v>227</v>
      </c>
      <c r="K285" s="23">
        <v>3</v>
      </c>
      <c r="L285" s="23" t="s">
        <v>24</v>
      </c>
      <c r="M285" s="25">
        <v>10000</v>
      </c>
      <c r="N285" s="23" t="s">
        <v>1</v>
      </c>
      <c r="O285" s="26">
        <f t="shared" si="53"/>
        <v>1</v>
      </c>
      <c r="P285" s="27">
        <f t="shared" si="61"/>
        <v>25000</v>
      </c>
    </row>
    <row r="286" spans="1:16" x14ac:dyDescent="0.25"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3"/>
      <c r="N286" s="1"/>
    </row>
    <row r="287" spans="1:16" ht="15.75" thickBot="1" x14ac:dyDescent="0.3"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3"/>
      <c r="N287" s="1"/>
      <c r="P287" s="11">
        <f>IFERROR(VLOOKUP($A288,'PROGRAMA MES '!$A:$B,2,0),0)</f>
        <v>30000</v>
      </c>
    </row>
    <row r="288" spans="1:16" x14ac:dyDescent="0.25">
      <c r="A288" s="89">
        <f>B288</f>
        <v>9405</v>
      </c>
      <c r="B288" s="17">
        <v>9405</v>
      </c>
      <c r="C288" s="17" t="s">
        <v>228</v>
      </c>
      <c r="D288" s="17">
        <v>99</v>
      </c>
      <c r="E288" s="17" t="s">
        <v>15</v>
      </c>
      <c r="F288" s="17">
        <v>1</v>
      </c>
      <c r="G288" s="17" t="s">
        <v>16</v>
      </c>
      <c r="H288" s="17" t="s">
        <v>17</v>
      </c>
      <c r="I288" s="18">
        <v>4001320</v>
      </c>
      <c r="J288" s="17" t="s">
        <v>229</v>
      </c>
      <c r="K288" s="17">
        <v>99</v>
      </c>
      <c r="L288" s="17" t="s">
        <v>15</v>
      </c>
      <c r="M288" s="17">
        <v>100</v>
      </c>
      <c r="N288" s="17" t="s">
        <v>1</v>
      </c>
      <c r="O288" s="20">
        <f t="shared" si="53"/>
        <v>0.01</v>
      </c>
      <c r="P288" s="21">
        <f>O288*$P$287</f>
        <v>300</v>
      </c>
    </row>
    <row r="289" spans="1:16" x14ac:dyDescent="0.25">
      <c r="A289" s="91"/>
      <c r="B289" s="13">
        <v>9405</v>
      </c>
      <c r="C289" s="13" t="s">
        <v>228</v>
      </c>
      <c r="D289" s="13">
        <v>99</v>
      </c>
      <c r="E289" s="13" t="s">
        <v>15</v>
      </c>
      <c r="F289" s="13">
        <v>1</v>
      </c>
      <c r="G289" s="13" t="s">
        <v>16</v>
      </c>
      <c r="H289" s="13" t="s">
        <v>17</v>
      </c>
      <c r="I289" s="14">
        <v>4002827</v>
      </c>
      <c r="J289" s="13" t="s">
        <v>0</v>
      </c>
      <c r="K289" s="13">
        <v>99</v>
      </c>
      <c r="L289" s="13" t="s">
        <v>15</v>
      </c>
      <c r="M289" s="13">
        <v>155.1</v>
      </c>
      <c r="N289" s="13" t="s">
        <v>2</v>
      </c>
      <c r="O289" s="16">
        <f t="shared" si="53"/>
        <v>1.5509999999999999E-2</v>
      </c>
      <c r="P289" s="22">
        <f t="shared" ref="P289:P291" si="62">O289*$P$287</f>
        <v>465.3</v>
      </c>
    </row>
    <row r="290" spans="1:16" x14ac:dyDescent="0.25">
      <c r="A290" s="91"/>
      <c r="B290" s="13">
        <v>9405</v>
      </c>
      <c r="C290" s="13" t="s">
        <v>228</v>
      </c>
      <c r="D290" s="13">
        <v>99</v>
      </c>
      <c r="E290" s="13" t="s">
        <v>15</v>
      </c>
      <c r="F290" s="13">
        <v>1</v>
      </c>
      <c r="G290" s="13" t="s">
        <v>16</v>
      </c>
      <c r="H290" s="13" t="s">
        <v>17</v>
      </c>
      <c r="I290" s="14">
        <v>4003060</v>
      </c>
      <c r="J290" s="13" t="s">
        <v>230</v>
      </c>
      <c r="K290" s="13">
        <v>99</v>
      </c>
      <c r="L290" s="13" t="s">
        <v>15</v>
      </c>
      <c r="M290" s="15">
        <v>1000</v>
      </c>
      <c r="N290" s="13" t="s">
        <v>1</v>
      </c>
      <c r="O290" s="16">
        <f t="shared" si="53"/>
        <v>0.1</v>
      </c>
      <c r="P290" s="22">
        <f t="shared" si="62"/>
        <v>3000</v>
      </c>
    </row>
    <row r="291" spans="1:16" ht="15.75" thickBot="1" x14ac:dyDescent="0.3">
      <c r="A291" s="90"/>
      <c r="B291" s="23">
        <v>9405</v>
      </c>
      <c r="C291" s="23" t="s">
        <v>228</v>
      </c>
      <c r="D291" s="23">
        <v>99</v>
      </c>
      <c r="E291" s="23" t="s">
        <v>15</v>
      </c>
      <c r="F291" s="23">
        <v>1</v>
      </c>
      <c r="G291" s="23" t="s">
        <v>21</v>
      </c>
      <c r="H291" s="23" t="s">
        <v>17</v>
      </c>
      <c r="I291" s="24" t="s">
        <v>231</v>
      </c>
      <c r="J291" s="23" t="s">
        <v>232</v>
      </c>
      <c r="K291" s="23">
        <v>3</v>
      </c>
      <c r="L291" s="23" t="s">
        <v>24</v>
      </c>
      <c r="M291" s="25">
        <v>10000</v>
      </c>
      <c r="N291" s="23" t="s">
        <v>1</v>
      </c>
      <c r="O291" s="26">
        <f t="shared" si="53"/>
        <v>1</v>
      </c>
      <c r="P291" s="27">
        <f t="shared" si="62"/>
        <v>30000</v>
      </c>
    </row>
    <row r="292" spans="1:16" x14ac:dyDescent="0.25"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3"/>
      <c r="N292" s="1"/>
    </row>
    <row r="293" spans="1:16" ht="15.75" thickBot="1" x14ac:dyDescent="0.3"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3"/>
      <c r="N293" s="1"/>
      <c r="P293" s="11">
        <f>IFERROR(VLOOKUP($A294,'PROGRAMA MES '!$A:$B,2,0),0)</f>
        <v>10000</v>
      </c>
    </row>
    <row r="294" spans="1:16" x14ac:dyDescent="0.25">
      <c r="A294" s="89">
        <f>B294</f>
        <v>9407</v>
      </c>
      <c r="B294" s="17">
        <v>9407</v>
      </c>
      <c r="C294" s="17" t="s">
        <v>233</v>
      </c>
      <c r="D294" s="17">
        <v>99</v>
      </c>
      <c r="E294" s="17" t="s">
        <v>15</v>
      </c>
      <c r="F294" s="17">
        <v>1</v>
      </c>
      <c r="G294" s="17" t="s">
        <v>16</v>
      </c>
      <c r="H294" s="17" t="s">
        <v>17</v>
      </c>
      <c r="I294" s="18">
        <v>4001400</v>
      </c>
      <c r="J294" s="17" t="s">
        <v>234</v>
      </c>
      <c r="K294" s="17">
        <v>99</v>
      </c>
      <c r="L294" s="17" t="s">
        <v>15</v>
      </c>
      <c r="M294" s="17">
        <v>100</v>
      </c>
      <c r="N294" s="17" t="s">
        <v>1</v>
      </c>
      <c r="O294" s="20">
        <f t="shared" si="53"/>
        <v>0.01</v>
      </c>
      <c r="P294" s="21">
        <f>O294*$P$293</f>
        <v>100</v>
      </c>
    </row>
    <row r="295" spans="1:16" x14ac:dyDescent="0.25">
      <c r="A295" s="91"/>
      <c r="B295" s="13">
        <v>9407</v>
      </c>
      <c r="C295" s="13" t="s">
        <v>233</v>
      </c>
      <c r="D295" s="13">
        <v>99</v>
      </c>
      <c r="E295" s="13" t="s">
        <v>15</v>
      </c>
      <c r="F295" s="13">
        <v>1</v>
      </c>
      <c r="G295" s="13" t="s">
        <v>16</v>
      </c>
      <c r="H295" s="13" t="s">
        <v>17</v>
      </c>
      <c r="I295" s="14">
        <v>4002827</v>
      </c>
      <c r="J295" s="13" t="s">
        <v>0</v>
      </c>
      <c r="K295" s="13">
        <v>99</v>
      </c>
      <c r="L295" s="13" t="s">
        <v>15</v>
      </c>
      <c r="M295" s="13">
        <v>1</v>
      </c>
      <c r="N295" s="13" t="s">
        <v>2</v>
      </c>
      <c r="O295" s="16">
        <f t="shared" si="53"/>
        <v>1E-4</v>
      </c>
      <c r="P295" s="22">
        <f t="shared" ref="P295:P296" si="63">O295*$P$293</f>
        <v>1</v>
      </c>
    </row>
    <row r="296" spans="1:16" ht="15.75" thickBot="1" x14ac:dyDescent="0.3">
      <c r="A296" s="90"/>
      <c r="B296" s="23">
        <v>9407</v>
      </c>
      <c r="C296" s="23" t="s">
        <v>233</v>
      </c>
      <c r="D296" s="23">
        <v>99</v>
      </c>
      <c r="E296" s="23" t="s">
        <v>15</v>
      </c>
      <c r="F296" s="23">
        <v>1</v>
      </c>
      <c r="G296" s="23" t="s">
        <v>21</v>
      </c>
      <c r="H296" s="23" t="s">
        <v>17</v>
      </c>
      <c r="I296" s="24" t="s">
        <v>235</v>
      </c>
      <c r="J296" s="23" t="s">
        <v>236</v>
      </c>
      <c r="K296" s="23">
        <v>3</v>
      </c>
      <c r="L296" s="23" t="s">
        <v>24</v>
      </c>
      <c r="M296" s="25">
        <v>10000</v>
      </c>
      <c r="N296" s="23" t="s">
        <v>1</v>
      </c>
      <c r="O296" s="26">
        <f t="shared" si="53"/>
        <v>1</v>
      </c>
      <c r="P296" s="27">
        <f t="shared" si="63"/>
        <v>10000</v>
      </c>
    </row>
    <row r="297" spans="1:16" x14ac:dyDescent="0.25"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3"/>
      <c r="N297" s="1"/>
    </row>
    <row r="298" spans="1:16" ht="15.75" thickBot="1" x14ac:dyDescent="0.3"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3"/>
      <c r="N298" s="1"/>
      <c r="P298" s="11">
        <f>IFERROR(VLOOKUP($A299,'PROGRAMA MES '!$A:$B,2,0),0)</f>
        <v>15000</v>
      </c>
    </row>
    <row r="299" spans="1:16" x14ac:dyDescent="0.25">
      <c r="A299" s="89">
        <f>B299</f>
        <v>9409</v>
      </c>
      <c r="B299" s="17">
        <v>9409</v>
      </c>
      <c r="C299" s="17" t="s">
        <v>237</v>
      </c>
      <c r="D299" s="17">
        <v>99</v>
      </c>
      <c r="E299" s="17" t="s">
        <v>15</v>
      </c>
      <c r="F299" s="17">
        <v>1</v>
      </c>
      <c r="G299" s="17" t="s">
        <v>16</v>
      </c>
      <c r="H299" s="17" t="s">
        <v>17</v>
      </c>
      <c r="I299" s="18">
        <v>4001212</v>
      </c>
      <c r="J299" s="17" t="s">
        <v>238</v>
      </c>
      <c r="K299" s="17">
        <v>99</v>
      </c>
      <c r="L299" s="17" t="s">
        <v>15</v>
      </c>
      <c r="M299" s="17">
        <v>100</v>
      </c>
      <c r="N299" s="17" t="s">
        <v>1</v>
      </c>
      <c r="O299" s="20">
        <f t="shared" si="53"/>
        <v>0.01</v>
      </c>
      <c r="P299" s="21">
        <f>O299*$P$298</f>
        <v>150</v>
      </c>
    </row>
    <row r="300" spans="1:16" x14ac:dyDescent="0.25">
      <c r="A300" s="91"/>
      <c r="B300" s="13">
        <v>9409</v>
      </c>
      <c r="C300" s="13" t="s">
        <v>237</v>
      </c>
      <c r="D300" s="13">
        <v>99</v>
      </c>
      <c r="E300" s="13" t="s">
        <v>15</v>
      </c>
      <c r="F300" s="13">
        <v>1</v>
      </c>
      <c r="G300" s="13" t="s">
        <v>16</v>
      </c>
      <c r="H300" s="13" t="s">
        <v>17</v>
      </c>
      <c r="I300" s="14">
        <v>4002827</v>
      </c>
      <c r="J300" s="13" t="s">
        <v>0</v>
      </c>
      <c r="K300" s="13">
        <v>99</v>
      </c>
      <c r="L300" s="13" t="s">
        <v>15</v>
      </c>
      <c r="M300" s="13">
        <v>1</v>
      </c>
      <c r="N300" s="13" t="s">
        <v>2</v>
      </c>
      <c r="O300" s="16">
        <f t="shared" si="53"/>
        <v>1E-4</v>
      </c>
      <c r="P300" s="22">
        <f t="shared" ref="P300:P301" si="64">O300*$P$298</f>
        <v>1.5</v>
      </c>
    </row>
    <row r="301" spans="1:16" ht="15.75" thickBot="1" x14ac:dyDescent="0.3">
      <c r="A301" s="90"/>
      <c r="B301" s="23">
        <v>9409</v>
      </c>
      <c r="C301" s="23" t="s">
        <v>237</v>
      </c>
      <c r="D301" s="23">
        <v>99</v>
      </c>
      <c r="E301" s="23" t="s">
        <v>15</v>
      </c>
      <c r="F301" s="23">
        <v>1</v>
      </c>
      <c r="G301" s="23" t="s">
        <v>21</v>
      </c>
      <c r="H301" s="23" t="s">
        <v>17</v>
      </c>
      <c r="I301" s="24" t="s">
        <v>239</v>
      </c>
      <c r="J301" s="23" t="s">
        <v>240</v>
      </c>
      <c r="K301" s="23">
        <v>3</v>
      </c>
      <c r="L301" s="23" t="s">
        <v>24</v>
      </c>
      <c r="M301" s="25">
        <v>10000</v>
      </c>
      <c r="N301" s="23" t="s">
        <v>1</v>
      </c>
      <c r="O301" s="26">
        <f t="shared" si="53"/>
        <v>1</v>
      </c>
      <c r="P301" s="27">
        <f t="shared" si="64"/>
        <v>15000</v>
      </c>
    </row>
    <row r="302" spans="1:16" x14ac:dyDescent="0.25"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3"/>
      <c r="N302" s="1"/>
    </row>
    <row r="303" spans="1:16" ht="15.75" thickBot="1" x14ac:dyDescent="0.3"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3"/>
      <c r="N303" s="1"/>
      <c r="P303" s="11">
        <f>IFERROR(VLOOKUP($A304,'PROGRAMA MES '!$A:$B,2,0),0)</f>
        <v>288000</v>
      </c>
    </row>
    <row r="304" spans="1:16" x14ac:dyDescent="0.25">
      <c r="A304" s="89">
        <f>B304</f>
        <v>9410</v>
      </c>
      <c r="B304" s="17">
        <v>9410</v>
      </c>
      <c r="C304" s="17" t="s">
        <v>241</v>
      </c>
      <c r="D304" s="17">
        <v>99</v>
      </c>
      <c r="E304" s="17" t="s">
        <v>15</v>
      </c>
      <c r="F304" s="17">
        <v>1</v>
      </c>
      <c r="G304" s="17" t="s">
        <v>16</v>
      </c>
      <c r="H304" s="17" t="s">
        <v>17</v>
      </c>
      <c r="I304" s="18">
        <v>4001325</v>
      </c>
      <c r="J304" s="17" t="s">
        <v>242</v>
      </c>
      <c r="K304" s="17">
        <v>99</v>
      </c>
      <c r="L304" s="17" t="s">
        <v>15</v>
      </c>
      <c r="M304" s="17">
        <v>42</v>
      </c>
      <c r="N304" s="17" t="s">
        <v>1</v>
      </c>
      <c r="O304" s="20">
        <f t="shared" si="53"/>
        <v>4.1999999999999997E-3</v>
      </c>
      <c r="P304" s="21">
        <f>O304*$P$303</f>
        <v>1209.5999999999999</v>
      </c>
    </row>
    <row r="305" spans="1:16" x14ac:dyDescent="0.25">
      <c r="A305" s="91"/>
      <c r="B305" s="13">
        <v>9410</v>
      </c>
      <c r="C305" s="13" t="s">
        <v>241</v>
      </c>
      <c r="D305" s="13">
        <v>99</v>
      </c>
      <c r="E305" s="13" t="s">
        <v>15</v>
      </c>
      <c r="F305" s="13">
        <v>1</v>
      </c>
      <c r="G305" s="13" t="s">
        <v>16</v>
      </c>
      <c r="H305" s="13" t="s">
        <v>17</v>
      </c>
      <c r="I305" s="14">
        <v>4002733</v>
      </c>
      <c r="J305" s="13" t="s">
        <v>243</v>
      </c>
      <c r="K305" s="13">
        <v>99</v>
      </c>
      <c r="L305" s="13" t="s">
        <v>15</v>
      </c>
      <c r="M305" s="13">
        <v>7.4</v>
      </c>
      <c r="N305" s="13" t="s">
        <v>3</v>
      </c>
      <c r="O305" s="16">
        <f t="shared" si="53"/>
        <v>7.3999999999999999E-4</v>
      </c>
      <c r="P305" s="22">
        <f t="shared" ref="P305:P307" si="65">O305*$P$303</f>
        <v>213.12</v>
      </c>
    </row>
    <row r="306" spans="1:16" x14ac:dyDescent="0.25">
      <c r="A306" s="91"/>
      <c r="B306" s="13">
        <v>9410</v>
      </c>
      <c r="C306" s="13" t="s">
        <v>241</v>
      </c>
      <c r="D306" s="13">
        <v>99</v>
      </c>
      <c r="E306" s="13" t="s">
        <v>15</v>
      </c>
      <c r="F306" s="13">
        <v>1</v>
      </c>
      <c r="G306" s="13" t="s">
        <v>16</v>
      </c>
      <c r="H306" s="13" t="s">
        <v>17</v>
      </c>
      <c r="I306" s="14">
        <v>4002827</v>
      </c>
      <c r="J306" s="13" t="s">
        <v>0</v>
      </c>
      <c r="K306" s="13">
        <v>99</v>
      </c>
      <c r="L306" s="13" t="s">
        <v>15</v>
      </c>
      <c r="M306" s="13">
        <v>1</v>
      </c>
      <c r="N306" s="13" t="s">
        <v>2</v>
      </c>
      <c r="O306" s="16">
        <f t="shared" si="53"/>
        <v>1E-4</v>
      </c>
      <c r="P306" s="22">
        <f t="shared" si="65"/>
        <v>28.8</v>
      </c>
    </row>
    <row r="307" spans="1:16" ht="15.75" thickBot="1" x14ac:dyDescent="0.3">
      <c r="A307" s="90"/>
      <c r="B307" s="23">
        <v>9410</v>
      </c>
      <c r="C307" s="23" t="s">
        <v>241</v>
      </c>
      <c r="D307" s="23">
        <v>99</v>
      </c>
      <c r="E307" s="23" t="s">
        <v>15</v>
      </c>
      <c r="F307" s="23">
        <v>1</v>
      </c>
      <c r="G307" s="23" t="s">
        <v>21</v>
      </c>
      <c r="H307" s="23" t="s">
        <v>17</v>
      </c>
      <c r="I307" s="24" t="s">
        <v>244</v>
      </c>
      <c r="J307" s="23" t="s">
        <v>245</v>
      </c>
      <c r="K307" s="23">
        <v>3</v>
      </c>
      <c r="L307" s="23" t="s">
        <v>24</v>
      </c>
      <c r="M307" s="25">
        <v>10000</v>
      </c>
      <c r="N307" s="23" t="s">
        <v>1</v>
      </c>
      <c r="O307" s="26">
        <f t="shared" si="53"/>
        <v>1</v>
      </c>
      <c r="P307" s="27">
        <f t="shared" si="65"/>
        <v>288000</v>
      </c>
    </row>
    <row r="308" spans="1:16" x14ac:dyDescent="0.25"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3"/>
      <c r="N308" s="1"/>
    </row>
    <row r="309" spans="1:16" ht="15.75" thickBot="1" x14ac:dyDescent="0.3"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3"/>
      <c r="N309" s="1"/>
      <c r="P309" s="11">
        <f>IFERROR(VLOOKUP($A310,'PROGRAMA MES '!$A:$B,2,0),0)</f>
        <v>0</v>
      </c>
    </row>
    <row r="310" spans="1:16" x14ac:dyDescent="0.25">
      <c r="A310" s="89">
        <f>B310</f>
        <v>9417</v>
      </c>
      <c r="B310" s="17">
        <v>9417</v>
      </c>
      <c r="C310" s="17" t="s">
        <v>246</v>
      </c>
      <c r="D310" s="17">
        <v>99</v>
      </c>
      <c r="E310" s="17" t="s">
        <v>15</v>
      </c>
      <c r="F310" s="17">
        <v>1</v>
      </c>
      <c r="G310" s="17" t="s">
        <v>16</v>
      </c>
      <c r="H310" s="17" t="s">
        <v>17</v>
      </c>
      <c r="I310" s="18">
        <v>4001175</v>
      </c>
      <c r="J310" s="17" t="s">
        <v>247</v>
      </c>
      <c r="K310" s="17">
        <v>99</v>
      </c>
      <c r="L310" s="17" t="s">
        <v>15</v>
      </c>
      <c r="M310" s="17">
        <v>100</v>
      </c>
      <c r="N310" s="17" t="s">
        <v>1</v>
      </c>
      <c r="O310" s="20">
        <f t="shared" si="53"/>
        <v>0.01</v>
      </c>
      <c r="P310" s="21">
        <f>O310*$P$309</f>
        <v>0</v>
      </c>
    </row>
    <row r="311" spans="1:16" x14ac:dyDescent="0.25">
      <c r="A311" s="91"/>
      <c r="B311" s="13">
        <v>9417</v>
      </c>
      <c r="C311" s="13" t="s">
        <v>246</v>
      </c>
      <c r="D311" s="13">
        <v>99</v>
      </c>
      <c r="E311" s="13" t="s">
        <v>15</v>
      </c>
      <c r="F311" s="13">
        <v>1</v>
      </c>
      <c r="G311" s="13" t="s">
        <v>16</v>
      </c>
      <c r="H311" s="13" t="s">
        <v>17</v>
      </c>
      <c r="I311" s="14">
        <v>4002826</v>
      </c>
      <c r="J311" s="13" t="s">
        <v>4</v>
      </c>
      <c r="K311" s="13">
        <v>99</v>
      </c>
      <c r="L311" s="13" t="s">
        <v>15</v>
      </c>
      <c r="M311" s="13">
        <v>1</v>
      </c>
      <c r="N311" s="13" t="s">
        <v>1</v>
      </c>
      <c r="O311" s="16">
        <f t="shared" si="53"/>
        <v>1E-4</v>
      </c>
      <c r="P311" s="22">
        <f t="shared" ref="P311:P312" si="66">O311*$P$309</f>
        <v>0</v>
      </c>
    </row>
    <row r="312" spans="1:16" ht="15.75" thickBot="1" x14ac:dyDescent="0.3">
      <c r="A312" s="90"/>
      <c r="B312" s="23">
        <v>9417</v>
      </c>
      <c r="C312" s="23" t="s">
        <v>246</v>
      </c>
      <c r="D312" s="23">
        <v>99</v>
      </c>
      <c r="E312" s="23" t="s">
        <v>15</v>
      </c>
      <c r="F312" s="23">
        <v>1</v>
      </c>
      <c r="G312" s="23" t="s">
        <v>21</v>
      </c>
      <c r="H312" s="23" t="s">
        <v>17</v>
      </c>
      <c r="I312" s="24" t="s">
        <v>248</v>
      </c>
      <c r="J312" s="23" t="s">
        <v>249</v>
      </c>
      <c r="K312" s="23">
        <v>3</v>
      </c>
      <c r="L312" s="23" t="s">
        <v>24</v>
      </c>
      <c r="M312" s="25">
        <v>10000</v>
      </c>
      <c r="N312" s="23" t="s">
        <v>1</v>
      </c>
      <c r="O312" s="26">
        <f t="shared" si="53"/>
        <v>1</v>
      </c>
      <c r="P312" s="27">
        <f t="shared" si="66"/>
        <v>0</v>
      </c>
    </row>
    <row r="313" spans="1:16" x14ac:dyDescent="0.25"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3"/>
      <c r="N313" s="1"/>
    </row>
    <row r="314" spans="1:16" ht="15.75" thickBot="1" x14ac:dyDescent="0.3"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3"/>
      <c r="N314" s="1"/>
      <c r="P314" s="11">
        <f>IFERROR(VLOOKUP($A315,'PROGRAMA MES '!$A:$B,2,0),0)</f>
        <v>95000</v>
      </c>
    </row>
    <row r="315" spans="1:16" x14ac:dyDescent="0.25">
      <c r="A315" s="89">
        <f>B315</f>
        <v>9418</v>
      </c>
      <c r="B315" s="17">
        <v>9418</v>
      </c>
      <c r="C315" s="17" t="s">
        <v>250</v>
      </c>
      <c r="D315" s="17">
        <v>99</v>
      </c>
      <c r="E315" s="17" t="s">
        <v>15</v>
      </c>
      <c r="F315" s="17">
        <v>1</v>
      </c>
      <c r="G315" s="17" t="s">
        <v>16</v>
      </c>
      <c r="H315" s="17" t="s">
        <v>17</v>
      </c>
      <c r="I315" s="18">
        <v>4001159</v>
      </c>
      <c r="J315" s="17" t="s">
        <v>251</v>
      </c>
      <c r="K315" s="17">
        <v>99</v>
      </c>
      <c r="L315" s="17" t="s">
        <v>15</v>
      </c>
      <c r="M315" s="17">
        <v>100</v>
      </c>
      <c r="N315" s="17" t="s">
        <v>1</v>
      </c>
      <c r="O315" s="20">
        <f t="shared" si="53"/>
        <v>0.01</v>
      </c>
      <c r="P315" s="21">
        <f>O315*$P$314</f>
        <v>950</v>
      </c>
    </row>
    <row r="316" spans="1:16" x14ac:dyDescent="0.25">
      <c r="A316" s="91"/>
      <c r="B316" s="13">
        <v>9418</v>
      </c>
      <c r="C316" s="13" t="s">
        <v>250</v>
      </c>
      <c r="D316" s="13">
        <v>99</v>
      </c>
      <c r="E316" s="13" t="s">
        <v>15</v>
      </c>
      <c r="F316" s="13">
        <v>1</v>
      </c>
      <c r="G316" s="13" t="s">
        <v>16</v>
      </c>
      <c r="H316" s="13" t="s">
        <v>17</v>
      </c>
      <c r="I316" s="14">
        <v>4002827</v>
      </c>
      <c r="J316" s="13" t="s">
        <v>0</v>
      </c>
      <c r="K316" s="13">
        <v>99</v>
      </c>
      <c r="L316" s="13" t="s">
        <v>15</v>
      </c>
      <c r="M316" s="13">
        <v>127.6</v>
      </c>
      <c r="N316" s="13" t="s">
        <v>2</v>
      </c>
      <c r="O316" s="16">
        <f t="shared" si="53"/>
        <v>1.2759999999999999E-2</v>
      </c>
      <c r="P316" s="22">
        <f t="shared" ref="P316:P318" si="67">O316*$P$314</f>
        <v>1212.1999999999998</v>
      </c>
    </row>
    <row r="317" spans="1:16" x14ac:dyDescent="0.25">
      <c r="A317" s="91"/>
      <c r="B317" s="13">
        <v>9418</v>
      </c>
      <c r="C317" s="13" t="s">
        <v>250</v>
      </c>
      <c r="D317" s="13">
        <v>99</v>
      </c>
      <c r="E317" s="13" t="s">
        <v>15</v>
      </c>
      <c r="F317" s="13">
        <v>1</v>
      </c>
      <c r="G317" s="13" t="s">
        <v>16</v>
      </c>
      <c r="H317" s="13" t="s">
        <v>17</v>
      </c>
      <c r="I317" s="14">
        <v>4012152</v>
      </c>
      <c r="J317" s="13" t="s">
        <v>252</v>
      </c>
      <c r="K317" s="13">
        <v>99</v>
      </c>
      <c r="L317" s="13" t="s">
        <v>15</v>
      </c>
      <c r="M317" s="13">
        <v>7.8</v>
      </c>
      <c r="N317" s="13" t="s">
        <v>3</v>
      </c>
      <c r="O317" s="16">
        <f t="shared" ref="O317:O318" si="68">M317/10000</f>
        <v>7.7999999999999999E-4</v>
      </c>
      <c r="P317" s="22">
        <f t="shared" si="67"/>
        <v>74.099999999999994</v>
      </c>
    </row>
    <row r="318" spans="1:16" ht="15.75" thickBot="1" x14ac:dyDescent="0.3">
      <c r="A318" s="90"/>
      <c r="B318" s="23">
        <v>9418</v>
      </c>
      <c r="C318" s="23" t="s">
        <v>250</v>
      </c>
      <c r="D318" s="23">
        <v>99</v>
      </c>
      <c r="E318" s="23" t="s">
        <v>15</v>
      </c>
      <c r="F318" s="23">
        <v>1</v>
      </c>
      <c r="G318" s="23" t="s">
        <v>21</v>
      </c>
      <c r="H318" s="23" t="s">
        <v>17</v>
      </c>
      <c r="I318" s="24" t="s">
        <v>253</v>
      </c>
      <c r="J318" s="23" t="s">
        <v>254</v>
      </c>
      <c r="K318" s="23">
        <v>3</v>
      </c>
      <c r="L318" s="23" t="s">
        <v>24</v>
      </c>
      <c r="M318" s="25">
        <v>10000</v>
      </c>
      <c r="N318" s="23" t="s">
        <v>1</v>
      </c>
      <c r="O318" s="26">
        <f t="shared" si="68"/>
        <v>1</v>
      </c>
      <c r="P318" s="27">
        <f t="shared" si="67"/>
        <v>95000</v>
      </c>
    </row>
    <row r="319" spans="1:16" x14ac:dyDescent="0.25"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3"/>
      <c r="N319" s="1"/>
    </row>
    <row r="320" spans="1:16" ht="15.75" thickBot="1" x14ac:dyDescent="0.3"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3"/>
      <c r="N320" s="1"/>
      <c r="P320" s="11">
        <f>IFERROR(VLOOKUP($A321,'PROGRAMA MES '!$A:$B,2,0),0)</f>
        <v>4800</v>
      </c>
    </row>
    <row r="321" spans="1:16" x14ac:dyDescent="0.25">
      <c r="A321" s="89">
        <f>B321</f>
        <v>9422</v>
      </c>
      <c r="B321" s="17">
        <v>9422</v>
      </c>
      <c r="C321" s="17" t="s">
        <v>255</v>
      </c>
      <c r="D321" s="17">
        <v>99</v>
      </c>
      <c r="E321" s="17" t="s">
        <v>15</v>
      </c>
      <c r="F321" s="17">
        <v>1</v>
      </c>
      <c r="G321" s="17" t="s">
        <v>16</v>
      </c>
      <c r="H321" s="17" t="s">
        <v>17</v>
      </c>
      <c r="I321" s="18">
        <v>4001140</v>
      </c>
      <c r="J321" s="17" t="s">
        <v>256</v>
      </c>
      <c r="K321" s="17">
        <v>99</v>
      </c>
      <c r="L321" s="17" t="s">
        <v>15</v>
      </c>
      <c r="M321" s="17">
        <v>417</v>
      </c>
      <c r="N321" s="17" t="s">
        <v>1</v>
      </c>
      <c r="O321" s="20">
        <f t="shared" ref="O321:O324" si="69">M321/10000</f>
        <v>4.1700000000000001E-2</v>
      </c>
      <c r="P321" s="21">
        <f>O321*$P$320</f>
        <v>200.16</v>
      </c>
    </row>
    <row r="322" spans="1:16" x14ac:dyDescent="0.25">
      <c r="A322" s="91"/>
      <c r="B322" s="13">
        <v>9422</v>
      </c>
      <c r="C322" s="13" t="s">
        <v>255</v>
      </c>
      <c r="D322" s="13">
        <v>99</v>
      </c>
      <c r="E322" s="13" t="s">
        <v>15</v>
      </c>
      <c r="F322" s="13">
        <v>1</v>
      </c>
      <c r="G322" s="13" t="s">
        <v>16</v>
      </c>
      <c r="H322" s="13" t="s">
        <v>17</v>
      </c>
      <c r="I322" s="14">
        <v>4002734</v>
      </c>
      <c r="J322" s="13" t="s">
        <v>257</v>
      </c>
      <c r="K322" s="13">
        <v>99</v>
      </c>
      <c r="L322" s="13" t="s">
        <v>15</v>
      </c>
      <c r="M322" s="13">
        <v>52</v>
      </c>
      <c r="N322" s="13" t="s">
        <v>3</v>
      </c>
      <c r="O322" s="16">
        <f t="shared" si="69"/>
        <v>5.1999999999999998E-3</v>
      </c>
      <c r="P322" s="22">
        <f t="shared" ref="P322:P324" si="70">O322*$P$320</f>
        <v>24.959999999999997</v>
      </c>
    </row>
    <row r="323" spans="1:16" x14ac:dyDescent="0.25">
      <c r="A323" s="91"/>
      <c r="B323" s="13">
        <v>9422</v>
      </c>
      <c r="C323" s="13" t="s">
        <v>255</v>
      </c>
      <c r="D323" s="13">
        <v>99</v>
      </c>
      <c r="E323" s="13" t="s">
        <v>15</v>
      </c>
      <c r="F323" s="13">
        <v>1</v>
      </c>
      <c r="G323" s="13" t="s">
        <v>16</v>
      </c>
      <c r="H323" s="13" t="s">
        <v>17</v>
      </c>
      <c r="I323" s="14">
        <v>4002827</v>
      </c>
      <c r="J323" s="13" t="s">
        <v>0</v>
      </c>
      <c r="K323" s="13">
        <v>99</v>
      </c>
      <c r="L323" s="13" t="s">
        <v>15</v>
      </c>
      <c r="M323" s="13">
        <v>660</v>
      </c>
      <c r="N323" s="13" t="s">
        <v>2</v>
      </c>
      <c r="O323" s="16">
        <f t="shared" si="69"/>
        <v>6.6000000000000003E-2</v>
      </c>
      <c r="P323" s="22">
        <f t="shared" si="70"/>
        <v>316.8</v>
      </c>
    </row>
    <row r="324" spans="1:16" ht="15.75" thickBot="1" x14ac:dyDescent="0.3">
      <c r="A324" s="90"/>
      <c r="B324" s="23">
        <v>9422</v>
      </c>
      <c r="C324" s="23" t="s">
        <v>255</v>
      </c>
      <c r="D324" s="23">
        <v>99</v>
      </c>
      <c r="E324" s="23" t="s">
        <v>15</v>
      </c>
      <c r="F324" s="23">
        <v>1</v>
      </c>
      <c r="G324" s="23" t="s">
        <v>21</v>
      </c>
      <c r="H324" s="23" t="s">
        <v>17</v>
      </c>
      <c r="I324" s="24" t="s">
        <v>258</v>
      </c>
      <c r="J324" s="23" t="s">
        <v>259</v>
      </c>
      <c r="K324" s="23">
        <v>3</v>
      </c>
      <c r="L324" s="23" t="s">
        <v>24</v>
      </c>
      <c r="M324" s="25">
        <v>10000</v>
      </c>
      <c r="N324" s="23" t="s">
        <v>1</v>
      </c>
      <c r="O324" s="26">
        <f t="shared" si="69"/>
        <v>1</v>
      </c>
      <c r="P324" s="27">
        <f t="shared" si="70"/>
        <v>4800</v>
      </c>
    </row>
    <row r="325" spans="1:16" x14ac:dyDescent="0.25"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3"/>
      <c r="N325" s="1"/>
    </row>
    <row r="326" spans="1:16" ht="15.75" thickBot="1" x14ac:dyDescent="0.3"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3"/>
      <c r="N326" s="1"/>
      <c r="P326" s="11">
        <f>IFERROR(VLOOKUP($A327,'PROGRAMA MES '!$A:$B,2,0),0)</f>
        <v>4000</v>
      </c>
    </row>
    <row r="327" spans="1:16" x14ac:dyDescent="0.25">
      <c r="A327" s="89">
        <f>B327</f>
        <v>9423</v>
      </c>
      <c r="B327" s="17">
        <v>9423</v>
      </c>
      <c r="C327" s="17" t="s">
        <v>260</v>
      </c>
      <c r="D327" s="17">
        <v>99</v>
      </c>
      <c r="E327" s="17" t="s">
        <v>15</v>
      </c>
      <c r="F327" s="17">
        <v>1</v>
      </c>
      <c r="G327" s="17" t="s">
        <v>16</v>
      </c>
      <c r="H327" s="17" t="s">
        <v>17</v>
      </c>
      <c r="I327" s="18">
        <v>4001142</v>
      </c>
      <c r="J327" s="17" t="s">
        <v>261</v>
      </c>
      <c r="K327" s="17">
        <v>99</v>
      </c>
      <c r="L327" s="17" t="s">
        <v>15</v>
      </c>
      <c r="M327" s="17">
        <v>125</v>
      </c>
      <c r="N327" s="17" t="s">
        <v>1</v>
      </c>
      <c r="O327" s="20">
        <f t="shared" ref="O327:O330" si="71">M327/10000</f>
        <v>1.2500000000000001E-2</v>
      </c>
      <c r="P327" s="21">
        <f>O327*$P$326</f>
        <v>50</v>
      </c>
    </row>
    <row r="328" spans="1:16" x14ac:dyDescent="0.25">
      <c r="A328" s="91"/>
      <c r="B328" s="13">
        <v>9423</v>
      </c>
      <c r="C328" s="13" t="s">
        <v>260</v>
      </c>
      <c r="D328" s="13">
        <v>99</v>
      </c>
      <c r="E328" s="13" t="s">
        <v>15</v>
      </c>
      <c r="F328" s="13">
        <v>1</v>
      </c>
      <c r="G328" s="13" t="s">
        <v>16</v>
      </c>
      <c r="H328" s="13" t="s">
        <v>17</v>
      </c>
      <c r="I328" s="14">
        <v>4002735</v>
      </c>
      <c r="J328" s="13" t="s">
        <v>262</v>
      </c>
      <c r="K328" s="13">
        <v>99</v>
      </c>
      <c r="L328" s="13" t="s">
        <v>15</v>
      </c>
      <c r="M328" s="13">
        <v>22.75</v>
      </c>
      <c r="N328" s="13" t="s">
        <v>3</v>
      </c>
      <c r="O328" s="16">
        <f t="shared" si="71"/>
        <v>2.2750000000000001E-3</v>
      </c>
      <c r="P328" s="22">
        <f t="shared" ref="P328:P330" si="72">O328*$P$326</f>
        <v>9.1</v>
      </c>
    </row>
    <row r="329" spans="1:16" x14ac:dyDescent="0.25">
      <c r="A329" s="91"/>
      <c r="B329" s="13">
        <v>9423</v>
      </c>
      <c r="C329" s="13" t="s">
        <v>260</v>
      </c>
      <c r="D329" s="13">
        <v>99</v>
      </c>
      <c r="E329" s="13" t="s">
        <v>15</v>
      </c>
      <c r="F329" s="13">
        <v>1</v>
      </c>
      <c r="G329" s="13" t="s">
        <v>16</v>
      </c>
      <c r="H329" s="13" t="s">
        <v>17</v>
      </c>
      <c r="I329" s="14">
        <v>4002827</v>
      </c>
      <c r="J329" s="13" t="s">
        <v>0</v>
      </c>
      <c r="K329" s="13">
        <v>99</v>
      </c>
      <c r="L329" s="13" t="s">
        <v>15</v>
      </c>
      <c r="M329" s="13">
        <v>199.38</v>
      </c>
      <c r="N329" s="13" t="s">
        <v>2</v>
      </c>
      <c r="O329" s="16">
        <f t="shared" si="71"/>
        <v>1.9938000000000001E-2</v>
      </c>
      <c r="P329" s="22">
        <f t="shared" si="72"/>
        <v>79.75200000000001</v>
      </c>
    </row>
    <row r="330" spans="1:16" ht="15.75" thickBot="1" x14ac:dyDescent="0.3">
      <c r="A330" s="90"/>
      <c r="B330" s="23">
        <v>9423</v>
      </c>
      <c r="C330" s="23" t="s">
        <v>260</v>
      </c>
      <c r="D330" s="23">
        <v>99</v>
      </c>
      <c r="E330" s="23" t="s">
        <v>15</v>
      </c>
      <c r="F330" s="23">
        <v>1</v>
      </c>
      <c r="G330" s="23" t="s">
        <v>21</v>
      </c>
      <c r="H330" s="23" t="s">
        <v>17</v>
      </c>
      <c r="I330" s="24" t="s">
        <v>263</v>
      </c>
      <c r="J330" s="23" t="s">
        <v>264</v>
      </c>
      <c r="K330" s="23">
        <v>3</v>
      </c>
      <c r="L330" s="23" t="s">
        <v>24</v>
      </c>
      <c r="M330" s="25">
        <v>10000</v>
      </c>
      <c r="N330" s="23" t="s">
        <v>1</v>
      </c>
      <c r="O330" s="26">
        <f t="shared" si="71"/>
        <v>1</v>
      </c>
      <c r="P330" s="27">
        <f t="shared" si="72"/>
        <v>4000</v>
      </c>
    </row>
    <row r="331" spans="1:16" x14ac:dyDescent="0.25"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3"/>
      <c r="N331" s="1"/>
    </row>
    <row r="332" spans="1:16" ht="15.75" thickBot="1" x14ac:dyDescent="0.3"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3"/>
      <c r="N332" s="1"/>
      <c r="P332" s="11">
        <f>IFERROR(VLOOKUP($A333,'PROGRAMA MES '!$A:$B,2,0),0)</f>
        <v>0</v>
      </c>
    </row>
    <row r="333" spans="1:16" x14ac:dyDescent="0.25">
      <c r="A333" s="89">
        <f>B333</f>
        <v>9468</v>
      </c>
      <c r="B333" s="17">
        <v>9468</v>
      </c>
      <c r="C333" s="17" t="s">
        <v>265</v>
      </c>
      <c r="D333" s="17">
        <v>99</v>
      </c>
      <c r="E333" s="17" t="s">
        <v>15</v>
      </c>
      <c r="F333" s="17">
        <v>1</v>
      </c>
      <c r="G333" s="17" t="s">
        <v>16</v>
      </c>
      <c r="H333" s="17" t="s">
        <v>17</v>
      </c>
      <c r="I333" s="18">
        <v>4001209</v>
      </c>
      <c r="J333" s="17" t="s">
        <v>266</v>
      </c>
      <c r="K333" s="17">
        <v>99</v>
      </c>
      <c r="L333" s="17" t="s">
        <v>15</v>
      </c>
      <c r="M333" s="17">
        <v>100</v>
      </c>
      <c r="N333" s="17" t="s">
        <v>1</v>
      </c>
      <c r="O333" s="20">
        <f t="shared" ref="O333:O335" si="73">M333/10000</f>
        <v>0.01</v>
      </c>
      <c r="P333" s="21">
        <f>O333*$P$332</f>
        <v>0</v>
      </c>
    </row>
    <row r="334" spans="1:16" x14ac:dyDescent="0.25">
      <c r="A334" s="91"/>
      <c r="B334" s="13">
        <v>9468</v>
      </c>
      <c r="C334" s="13" t="s">
        <v>265</v>
      </c>
      <c r="D334" s="13">
        <v>99</v>
      </c>
      <c r="E334" s="13" t="s">
        <v>15</v>
      </c>
      <c r="F334" s="13">
        <v>1</v>
      </c>
      <c r="G334" s="13" t="s">
        <v>16</v>
      </c>
      <c r="H334" s="13" t="s">
        <v>17</v>
      </c>
      <c r="I334" s="14">
        <v>4002826</v>
      </c>
      <c r="J334" s="13" t="s">
        <v>4</v>
      </c>
      <c r="K334" s="13">
        <v>99</v>
      </c>
      <c r="L334" s="13" t="s">
        <v>15</v>
      </c>
      <c r="M334" s="13">
        <v>1</v>
      </c>
      <c r="N334" s="13" t="s">
        <v>1</v>
      </c>
      <c r="O334" s="16">
        <f t="shared" si="73"/>
        <v>1E-4</v>
      </c>
      <c r="P334" s="22">
        <f t="shared" ref="P334:P335" si="74">O334*$P$332</f>
        <v>0</v>
      </c>
    </row>
    <row r="335" spans="1:16" ht="15.75" thickBot="1" x14ac:dyDescent="0.3">
      <c r="A335" s="90"/>
      <c r="B335" s="23">
        <v>9468</v>
      </c>
      <c r="C335" s="23" t="s">
        <v>265</v>
      </c>
      <c r="D335" s="23">
        <v>99</v>
      </c>
      <c r="E335" s="23" t="s">
        <v>15</v>
      </c>
      <c r="F335" s="23">
        <v>1</v>
      </c>
      <c r="G335" s="23" t="s">
        <v>21</v>
      </c>
      <c r="H335" s="23" t="s">
        <v>17</v>
      </c>
      <c r="I335" s="24" t="s">
        <v>267</v>
      </c>
      <c r="J335" s="23" t="s">
        <v>268</v>
      </c>
      <c r="K335" s="23">
        <v>3</v>
      </c>
      <c r="L335" s="23" t="s">
        <v>24</v>
      </c>
      <c r="M335" s="25">
        <v>10000</v>
      </c>
      <c r="N335" s="23" t="s">
        <v>1</v>
      </c>
      <c r="O335" s="26">
        <f t="shared" si="73"/>
        <v>1</v>
      </c>
      <c r="P335" s="27">
        <f t="shared" si="74"/>
        <v>0</v>
      </c>
    </row>
    <row r="336" spans="1:16" x14ac:dyDescent="0.25"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3"/>
      <c r="N336" s="1"/>
    </row>
    <row r="337" spans="1:16" ht="15.75" thickBot="1" x14ac:dyDescent="0.3"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3"/>
      <c r="N337" s="1"/>
      <c r="P337" s="11">
        <f>IFERROR(VLOOKUP($A338,'PROGRAMA MES '!$A:$B,2,0),0)</f>
        <v>0</v>
      </c>
    </row>
    <row r="338" spans="1:16" x14ac:dyDescent="0.25">
      <c r="A338" s="89">
        <f>B338</f>
        <v>9499</v>
      </c>
      <c r="B338" s="17">
        <v>9499</v>
      </c>
      <c r="C338" s="17" t="s">
        <v>269</v>
      </c>
      <c r="D338" s="17">
        <v>99</v>
      </c>
      <c r="E338" s="17" t="s">
        <v>15</v>
      </c>
      <c r="F338" s="17">
        <v>1</v>
      </c>
      <c r="G338" s="17" t="s">
        <v>16</v>
      </c>
      <c r="H338" s="17" t="s">
        <v>17</v>
      </c>
      <c r="I338" s="18">
        <v>4001141</v>
      </c>
      <c r="J338" s="17" t="s">
        <v>270</v>
      </c>
      <c r="K338" s="17">
        <v>99</v>
      </c>
      <c r="L338" s="17" t="s">
        <v>15</v>
      </c>
      <c r="M338" s="17">
        <v>167</v>
      </c>
      <c r="N338" s="17" t="s">
        <v>1</v>
      </c>
      <c r="O338" s="20">
        <f t="shared" ref="O338:O341" si="75">M338/10000</f>
        <v>1.67E-2</v>
      </c>
      <c r="P338" s="21">
        <f>O338*$P$337</f>
        <v>0</v>
      </c>
    </row>
    <row r="339" spans="1:16" x14ac:dyDescent="0.25">
      <c r="A339" s="91"/>
      <c r="B339" s="13">
        <v>9499</v>
      </c>
      <c r="C339" s="13" t="s">
        <v>269</v>
      </c>
      <c r="D339" s="13">
        <v>99</v>
      </c>
      <c r="E339" s="13" t="s">
        <v>15</v>
      </c>
      <c r="F339" s="13">
        <v>1</v>
      </c>
      <c r="G339" s="13" t="s">
        <v>16</v>
      </c>
      <c r="H339" s="13" t="s">
        <v>17</v>
      </c>
      <c r="I339" s="14">
        <v>4002736</v>
      </c>
      <c r="J339" s="13" t="s">
        <v>271</v>
      </c>
      <c r="K339" s="13">
        <v>99</v>
      </c>
      <c r="L339" s="13" t="s">
        <v>15</v>
      </c>
      <c r="M339" s="13">
        <v>13.1</v>
      </c>
      <c r="N339" s="13" t="s">
        <v>3</v>
      </c>
      <c r="O339" s="16">
        <f t="shared" si="75"/>
        <v>1.31E-3</v>
      </c>
      <c r="P339" s="22">
        <f t="shared" ref="P339:P341" si="76">O339*$P$337</f>
        <v>0</v>
      </c>
    </row>
    <row r="340" spans="1:16" x14ac:dyDescent="0.25">
      <c r="A340" s="91"/>
      <c r="B340" s="13">
        <v>9499</v>
      </c>
      <c r="C340" s="13" t="s">
        <v>269</v>
      </c>
      <c r="D340" s="13">
        <v>99</v>
      </c>
      <c r="E340" s="13" t="s">
        <v>15</v>
      </c>
      <c r="F340" s="13">
        <v>1</v>
      </c>
      <c r="G340" s="13" t="s">
        <v>16</v>
      </c>
      <c r="H340" s="13" t="s">
        <v>17</v>
      </c>
      <c r="I340" s="14">
        <v>4002827</v>
      </c>
      <c r="J340" s="13" t="s">
        <v>0</v>
      </c>
      <c r="K340" s="13">
        <v>99</v>
      </c>
      <c r="L340" s="13" t="s">
        <v>15</v>
      </c>
      <c r="M340" s="13">
        <v>234.67</v>
      </c>
      <c r="N340" s="13" t="s">
        <v>2</v>
      </c>
      <c r="O340" s="16">
        <f t="shared" si="75"/>
        <v>2.3466999999999998E-2</v>
      </c>
      <c r="P340" s="22">
        <f t="shared" si="76"/>
        <v>0</v>
      </c>
    </row>
    <row r="341" spans="1:16" ht="15.75" thickBot="1" x14ac:dyDescent="0.3">
      <c r="A341" s="90"/>
      <c r="B341" s="23">
        <v>9499</v>
      </c>
      <c r="C341" s="23" t="s">
        <v>269</v>
      </c>
      <c r="D341" s="23">
        <v>99</v>
      </c>
      <c r="E341" s="23" t="s">
        <v>15</v>
      </c>
      <c r="F341" s="23">
        <v>1</v>
      </c>
      <c r="G341" s="23" t="s">
        <v>21</v>
      </c>
      <c r="H341" s="23" t="s">
        <v>17</v>
      </c>
      <c r="I341" s="24" t="s">
        <v>272</v>
      </c>
      <c r="J341" s="23" t="s">
        <v>273</v>
      </c>
      <c r="K341" s="23">
        <v>3</v>
      </c>
      <c r="L341" s="23" t="s">
        <v>24</v>
      </c>
      <c r="M341" s="25">
        <v>10000</v>
      </c>
      <c r="N341" s="23" t="s">
        <v>1</v>
      </c>
      <c r="O341" s="26">
        <f t="shared" si="75"/>
        <v>1</v>
      </c>
      <c r="P341" s="27">
        <f t="shared" si="76"/>
        <v>0</v>
      </c>
    </row>
    <row r="342" spans="1:16" x14ac:dyDescent="0.25"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3"/>
      <c r="N342" s="1"/>
    </row>
    <row r="343" spans="1:16" ht="15.75" thickBot="1" x14ac:dyDescent="0.3"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3"/>
      <c r="N343" s="1"/>
      <c r="P343" s="11">
        <f>IFERROR(VLOOKUP($A344,'PROGRAMA MES '!$A:$B,2,0),0)</f>
        <v>200000</v>
      </c>
    </row>
    <row r="344" spans="1:16" x14ac:dyDescent="0.25">
      <c r="A344" s="89">
        <f>B344</f>
        <v>9500</v>
      </c>
      <c r="B344" s="17">
        <v>9500</v>
      </c>
      <c r="C344" s="17" t="s">
        <v>274</v>
      </c>
      <c r="D344" s="17">
        <v>99</v>
      </c>
      <c r="E344" s="17" t="s">
        <v>15</v>
      </c>
      <c r="F344" s="17">
        <v>1</v>
      </c>
      <c r="G344" s="17" t="s">
        <v>16</v>
      </c>
      <c r="H344" s="17" t="s">
        <v>17</v>
      </c>
      <c r="I344" s="18">
        <v>4001389</v>
      </c>
      <c r="J344" s="17" t="s">
        <v>275</v>
      </c>
      <c r="K344" s="17">
        <v>53</v>
      </c>
      <c r="L344" s="17" t="s">
        <v>130</v>
      </c>
      <c r="M344" s="17">
        <v>50</v>
      </c>
      <c r="N344" s="17" t="s">
        <v>1</v>
      </c>
      <c r="O344" s="20">
        <f t="shared" ref="O344:O347" si="77">M344/10000</f>
        <v>5.0000000000000001E-3</v>
      </c>
      <c r="P344" s="21">
        <f>O344*$P$343</f>
        <v>1000</v>
      </c>
    </row>
    <row r="345" spans="1:16" x14ac:dyDescent="0.25">
      <c r="A345" s="91"/>
      <c r="B345" s="13">
        <v>9500</v>
      </c>
      <c r="C345" s="13" t="s">
        <v>274</v>
      </c>
      <c r="D345" s="13">
        <v>99</v>
      </c>
      <c r="E345" s="13" t="s">
        <v>15</v>
      </c>
      <c r="F345" s="13">
        <v>1</v>
      </c>
      <c r="G345" s="13" t="s">
        <v>16</v>
      </c>
      <c r="H345" s="13" t="s">
        <v>17</v>
      </c>
      <c r="I345" s="14">
        <v>4002827</v>
      </c>
      <c r="J345" s="13" t="s">
        <v>0</v>
      </c>
      <c r="K345" s="13">
        <v>99</v>
      </c>
      <c r="L345" s="13" t="s">
        <v>15</v>
      </c>
      <c r="M345" s="13">
        <v>83.6</v>
      </c>
      <c r="N345" s="13" t="s">
        <v>2</v>
      </c>
      <c r="O345" s="16">
        <f t="shared" si="77"/>
        <v>8.3599999999999994E-3</v>
      </c>
      <c r="P345" s="22">
        <f t="shared" ref="P345:P347" si="78">O345*$P$343</f>
        <v>1671.9999999999998</v>
      </c>
    </row>
    <row r="346" spans="1:16" x14ac:dyDescent="0.25">
      <c r="A346" s="91"/>
      <c r="B346" s="13">
        <v>9500</v>
      </c>
      <c r="C346" s="13" t="s">
        <v>274</v>
      </c>
      <c r="D346" s="13">
        <v>99</v>
      </c>
      <c r="E346" s="13" t="s">
        <v>15</v>
      </c>
      <c r="F346" s="13">
        <v>1</v>
      </c>
      <c r="G346" s="13" t="s">
        <v>16</v>
      </c>
      <c r="H346" s="13" t="s">
        <v>17</v>
      </c>
      <c r="I346" s="14">
        <v>4003065</v>
      </c>
      <c r="J346" s="13" t="s">
        <v>276</v>
      </c>
      <c r="K346" s="13">
        <v>99</v>
      </c>
      <c r="L346" s="13" t="s">
        <v>15</v>
      </c>
      <c r="M346" s="15">
        <v>1000</v>
      </c>
      <c r="N346" s="13" t="s">
        <v>1</v>
      </c>
      <c r="O346" s="16">
        <f t="shared" si="77"/>
        <v>0.1</v>
      </c>
      <c r="P346" s="22">
        <f t="shared" si="78"/>
        <v>20000</v>
      </c>
    </row>
    <row r="347" spans="1:16" ht="15.75" thickBot="1" x14ac:dyDescent="0.3">
      <c r="A347" s="90"/>
      <c r="B347" s="23">
        <v>9500</v>
      </c>
      <c r="C347" s="23" t="s">
        <v>274</v>
      </c>
      <c r="D347" s="23">
        <v>99</v>
      </c>
      <c r="E347" s="23" t="s">
        <v>15</v>
      </c>
      <c r="F347" s="23">
        <v>1</v>
      </c>
      <c r="G347" s="23" t="s">
        <v>21</v>
      </c>
      <c r="H347" s="23" t="s">
        <v>17</v>
      </c>
      <c r="I347" s="24" t="s">
        <v>277</v>
      </c>
      <c r="J347" s="23" t="s">
        <v>278</v>
      </c>
      <c r="K347" s="23">
        <v>3</v>
      </c>
      <c r="L347" s="23" t="s">
        <v>24</v>
      </c>
      <c r="M347" s="25">
        <v>10000</v>
      </c>
      <c r="N347" s="23" t="s">
        <v>1</v>
      </c>
      <c r="O347" s="26">
        <f t="shared" si="77"/>
        <v>1</v>
      </c>
      <c r="P347" s="27">
        <f t="shared" si="78"/>
        <v>200000</v>
      </c>
    </row>
    <row r="348" spans="1:16" x14ac:dyDescent="0.25"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3"/>
      <c r="N348" s="1"/>
    </row>
    <row r="349" spans="1:16" ht="15.75" thickBot="1" x14ac:dyDescent="0.3"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3"/>
      <c r="N349" s="1"/>
      <c r="P349" s="11">
        <f>IFERROR(VLOOKUP($A350,'PROGRAMA MES '!$A:$B,2,0),0)</f>
        <v>310000</v>
      </c>
    </row>
    <row r="350" spans="1:16" x14ac:dyDescent="0.25">
      <c r="A350" s="89">
        <f>B350</f>
        <v>9502</v>
      </c>
      <c r="B350" s="17">
        <v>9502</v>
      </c>
      <c r="C350" s="17" t="s">
        <v>279</v>
      </c>
      <c r="D350" s="17">
        <v>99</v>
      </c>
      <c r="E350" s="17" t="s">
        <v>15</v>
      </c>
      <c r="F350" s="17">
        <v>1</v>
      </c>
      <c r="G350" s="17" t="s">
        <v>16</v>
      </c>
      <c r="H350" s="17" t="s">
        <v>17</v>
      </c>
      <c r="I350" s="18">
        <v>4001379</v>
      </c>
      <c r="J350" s="17" t="s">
        <v>280</v>
      </c>
      <c r="K350" s="17">
        <v>53</v>
      </c>
      <c r="L350" s="17" t="s">
        <v>130</v>
      </c>
      <c r="M350" s="17">
        <v>100</v>
      </c>
      <c r="N350" s="17" t="s">
        <v>1</v>
      </c>
      <c r="O350" s="20">
        <f t="shared" ref="O350:O353" si="79">M350/10000</f>
        <v>0.01</v>
      </c>
      <c r="P350" s="21">
        <f>O350*$P$349</f>
        <v>3100</v>
      </c>
    </row>
    <row r="351" spans="1:16" x14ac:dyDescent="0.25">
      <c r="A351" s="91"/>
      <c r="B351" s="13">
        <v>9502</v>
      </c>
      <c r="C351" s="13" t="s">
        <v>279</v>
      </c>
      <c r="D351" s="13">
        <v>99</v>
      </c>
      <c r="E351" s="13" t="s">
        <v>15</v>
      </c>
      <c r="F351" s="13">
        <v>1</v>
      </c>
      <c r="G351" s="13" t="s">
        <v>16</v>
      </c>
      <c r="H351" s="13" t="s">
        <v>17</v>
      </c>
      <c r="I351" s="14">
        <v>4002827</v>
      </c>
      <c r="J351" s="13" t="s">
        <v>0</v>
      </c>
      <c r="K351" s="13">
        <v>99</v>
      </c>
      <c r="L351" s="13" t="s">
        <v>15</v>
      </c>
      <c r="M351" s="13">
        <v>150</v>
      </c>
      <c r="N351" s="13" t="s">
        <v>2</v>
      </c>
      <c r="O351" s="16">
        <f t="shared" si="79"/>
        <v>1.4999999999999999E-2</v>
      </c>
      <c r="P351" s="22">
        <f t="shared" ref="P351:P353" si="80">O351*$P$349</f>
        <v>4650</v>
      </c>
    </row>
    <row r="352" spans="1:16" x14ac:dyDescent="0.25">
      <c r="A352" s="91"/>
      <c r="B352" s="13">
        <v>9502</v>
      </c>
      <c r="C352" s="13" t="s">
        <v>279</v>
      </c>
      <c r="D352" s="13">
        <v>99</v>
      </c>
      <c r="E352" s="13" t="s">
        <v>15</v>
      </c>
      <c r="F352" s="13">
        <v>1</v>
      </c>
      <c r="G352" s="13" t="s">
        <v>16</v>
      </c>
      <c r="H352" s="13" t="s">
        <v>17</v>
      </c>
      <c r="I352" s="14">
        <v>4003068</v>
      </c>
      <c r="J352" s="13" t="s">
        <v>281</v>
      </c>
      <c r="K352" s="13">
        <v>99</v>
      </c>
      <c r="L352" s="13" t="s">
        <v>15</v>
      </c>
      <c r="M352" s="15">
        <v>1000</v>
      </c>
      <c r="N352" s="13" t="s">
        <v>1</v>
      </c>
      <c r="O352" s="16">
        <f t="shared" si="79"/>
        <v>0.1</v>
      </c>
      <c r="P352" s="22">
        <f t="shared" si="80"/>
        <v>31000</v>
      </c>
    </row>
    <row r="353" spans="1:16" ht="15.75" thickBot="1" x14ac:dyDescent="0.3">
      <c r="A353" s="90"/>
      <c r="B353" s="23">
        <v>9502</v>
      </c>
      <c r="C353" s="23" t="s">
        <v>279</v>
      </c>
      <c r="D353" s="23">
        <v>99</v>
      </c>
      <c r="E353" s="23" t="s">
        <v>15</v>
      </c>
      <c r="F353" s="23">
        <v>1</v>
      </c>
      <c r="G353" s="23" t="s">
        <v>21</v>
      </c>
      <c r="H353" s="23" t="s">
        <v>17</v>
      </c>
      <c r="I353" s="24" t="s">
        <v>282</v>
      </c>
      <c r="J353" s="23" t="s">
        <v>283</v>
      </c>
      <c r="K353" s="23">
        <v>3</v>
      </c>
      <c r="L353" s="23" t="s">
        <v>24</v>
      </c>
      <c r="M353" s="25">
        <v>10000</v>
      </c>
      <c r="N353" s="23" t="s">
        <v>1</v>
      </c>
      <c r="O353" s="26">
        <f t="shared" si="79"/>
        <v>1</v>
      </c>
      <c r="P353" s="27">
        <f t="shared" si="80"/>
        <v>310000</v>
      </c>
    </row>
    <row r="354" spans="1:16" x14ac:dyDescent="0.25"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3"/>
      <c r="N354" s="1"/>
    </row>
    <row r="355" spans="1:16" ht="15.75" thickBot="1" x14ac:dyDescent="0.3"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3"/>
      <c r="N355" s="1"/>
      <c r="P355" s="11">
        <f>IFERROR(VLOOKUP($A356,'PROGRAMA MES '!$A:$B,2,0),0)</f>
        <v>220000</v>
      </c>
    </row>
    <row r="356" spans="1:16" x14ac:dyDescent="0.25">
      <c r="A356" s="89">
        <f>B356</f>
        <v>9504</v>
      </c>
      <c r="B356" s="17">
        <v>9504</v>
      </c>
      <c r="C356" s="17" t="s">
        <v>284</v>
      </c>
      <c r="D356" s="17">
        <v>99</v>
      </c>
      <c r="E356" s="17" t="s">
        <v>15</v>
      </c>
      <c r="F356" s="17">
        <v>1</v>
      </c>
      <c r="G356" s="17" t="s">
        <v>16</v>
      </c>
      <c r="H356" s="17" t="s">
        <v>17</v>
      </c>
      <c r="I356" s="18">
        <v>4001329</v>
      </c>
      <c r="J356" s="17" t="s">
        <v>285</v>
      </c>
      <c r="K356" s="17">
        <v>99</v>
      </c>
      <c r="L356" s="17" t="s">
        <v>15</v>
      </c>
      <c r="M356" s="17">
        <v>100</v>
      </c>
      <c r="N356" s="17" t="s">
        <v>1</v>
      </c>
      <c r="O356" s="20">
        <f t="shared" ref="O356:O359" si="81">M356/10000</f>
        <v>0.01</v>
      </c>
      <c r="P356" s="21">
        <f>O356*$P$355</f>
        <v>2200</v>
      </c>
    </row>
    <row r="357" spans="1:16" x14ac:dyDescent="0.25">
      <c r="A357" s="91"/>
      <c r="B357" s="13">
        <v>9504</v>
      </c>
      <c r="C357" s="13" t="s">
        <v>284</v>
      </c>
      <c r="D357" s="13">
        <v>99</v>
      </c>
      <c r="E357" s="13" t="s">
        <v>15</v>
      </c>
      <c r="F357" s="13">
        <v>1</v>
      </c>
      <c r="G357" s="13" t="s">
        <v>16</v>
      </c>
      <c r="H357" s="13" t="s">
        <v>17</v>
      </c>
      <c r="I357" s="14">
        <v>4002827</v>
      </c>
      <c r="J357" s="13" t="s">
        <v>0</v>
      </c>
      <c r="K357" s="13">
        <v>99</v>
      </c>
      <c r="L357" s="13" t="s">
        <v>15</v>
      </c>
      <c r="M357" s="13">
        <v>150</v>
      </c>
      <c r="N357" s="13" t="s">
        <v>2</v>
      </c>
      <c r="O357" s="16">
        <f t="shared" si="81"/>
        <v>1.4999999999999999E-2</v>
      </c>
      <c r="P357" s="22">
        <f t="shared" ref="P357:P359" si="82">O357*$P$355</f>
        <v>3300</v>
      </c>
    </row>
    <row r="358" spans="1:16" x14ac:dyDescent="0.25">
      <c r="A358" s="91"/>
      <c r="B358" s="13">
        <v>9504</v>
      </c>
      <c r="C358" s="13" t="s">
        <v>284</v>
      </c>
      <c r="D358" s="13">
        <v>99</v>
      </c>
      <c r="E358" s="13" t="s">
        <v>15</v>
      </c>
      <c r="F358" s="13">
        <v>1</v>
      </c>
      <c r="G358" s="13" t="s">
        <v>16</v>
      </c>
      <c r="H358" s="13" t="s">
        <v>17</v>
      </c>
      <c r="I358" s="14">
        <v>4003070</v>
      </c>
      <c r="J358" s="13" t="s">
        <v>286</v>
      </c>
      <c r="K358" s="13">
        <v>99</v>
      </c>
      <c r="L358" s="13" t="s">
        <v>15</v>
      </c>
      <c r="M358" s="15">
        <v>1000</v>
      </c>
      <c r="N358" s="13" t="s">
        <v>1</v>
      </c>
      <c r="O358" s="16">
        <f t="shared" si="81"/>
        <v>0.1</v>
      </c>
      <c r="P358" s="22">
        <f t="shared" si="82"/>
        <v>22000</v>
      </c>
    </row>
    <row r="359" spans="1:16" ht="15.75" thickBot="1" x14ac:dyDescent="0.3">
      <c r="A359" s="90"/>
      <c r="B359" s="23">
        <v>9504</v>
      </c>
      <c r="C359" s="23" t="s">
        <v>284</v>
      </c>
      <c r="D359" s="23">
        <v>99</v>
      </c>
      <c r="E359" s="23" t="s">
        <v>15</v>
      </c>
      <c r="F359" s="23">
        <v>1</v>
      </c>
      <c r="G359" s="23" t="s">
        <v>21</v>
      </c>
      <c r="H359" s="23" t="s">
        <v>17</v>
      </c>
      <c r="I359" s="24" t="s">
        <v>287</v>
      </c>
      <c r="J359" s="23" t="s">
        <v>288</v>
      </c>
      <c r="K359" s="23">
        <v>3</v>
      </c>
      <c r="L359" s="23" t="s">
        <v>24</v>
      </c>
      <c r="M359" s="25">
        <v>10000</v>
      </c>
      <c r="N359" s="23" t="s">
        <v>1</v>
      </c>
      <c r="O359" s="26">
        <f t="shared" si="81"/>
        <v>1</v>
      </c>
      <c r="P359" s="27">
        <f t="shared" si="82"/>
        <v>220000</v>
      </c>
    </row>
    <row r="360" spans="1:16" x14ac:dyDescent="0.25"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3"/>
      <c r="N360" s="1"/>
    </row>
    <row r="361" spans="1:16" ht="15.75" thickBot="1" x14ac:dyDescent="0.3"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3"/>
      <c r="N361" s="1"/>
      <c r="P361" s="11">
        <f>IFERROR(VLOOKUP($A362,'PROGRAMA MES '!$A:$B,2,0),0)</f>
        <v>0</v>
      </c>
    </row>
    <row r="362" spans="1:16" x14ac:dyDescent="0.25">
      <c r="A362" s="89">
        <f>B362</f>
        <v>9505</v>
      </c>
      <c r="B362" s="17">
        <v>9505</v>
      </c>
      <c r="C362" s="17" t="s">
        <v>289</v>
      </c>
      <c r="D362" s="17">
        <v>99</v>
      </c>
      <c r="E362" s="17" t="s">
        <v>15</v>
      </c>
      <c r="F362" s="17">
        <v>1</v>
      </c>
      <c r="G362" s="17" t="s">
        <v>16</v>
      </c>
      <c r="H362" s="17" t="s">
        <v>17</v>
      </c>
      <c r="I362" s="18">
        <v>4001367</v>
      </c>
      <c r="J362" s="17" t="s">
        <v>290</v>
      </c>
      <c r="K362" s="17">
        <v>99</v>
      </c>
      <c r="L362" s="17" t="s">
        <v>15</v>
      </c>
      <c r="M362" s="17">
        <v>100</v>
      </c>
      <c r="N362" s="17" t="s">
        <v>1</v>
      </c>
      <c r="O362" s="20">
        <f t="shared" ref="O362:O365" si="83">M362/10000</f>
        <v>0.01</v>
      </c>
      <c r="P362" s="21">
        <f>O362*$P$361</f>
        <v>0</v>
      </c>
    </row>
    <row r="363" spans="1:16" x14ac:dyDescent="0.25">
      <c r="A363" s="91"/>
      <c r="B363" s="13">
        <v>9505</v>
      </c>
      <c r="C363" s="13" t="s">
        <v>289</v>
      </c>
      <c r="D363" s="13">
        <v>99</v>
      </c>
      <c r="E363" s="13" t="s">
        <v>15</v>
      </c>
      <c r="F363" s="13">
        <v>1</v>
      </c>
      <c r="G363" s="13" t="s">
        <v>16</v>
      </c>
      <c r="H363" s="13" t="s">
        <v>17</v>
      </c>
      <c r="I363" s="14">
        <v>4002827</v>
      </c>
      <c r="J363" s="13" t="s">
        <v>0</v>
      </c>
      <c r="K363" s="13">
        <v>99</v>
      </c>
      <c r="L363" s="13" t="s">
        <v>15</v>
      </c>
      <c r="M363" s="13">
        <v>150</v>
      </c>
      <c r="N363" s="13" t="s">
        <v>2</v>
      </c>
      <c r="O363" s="16">
        <f t="shared" si="83"/>
        <v>1.4999999999999999E-2</v>
      </c>
      <c r="P363" s="22">
        <f t="shared" ref="P363:P365" si="84">O363*$P$361</f>
        <v>0</v>
      </c>
    </row>
    <row r="364" spans="1:16" x14ac:dyDescent="0.25">
      <c r="A364" s="91"/>
      <c r="B364" s="13">
        <v>9505</v>
      </c>
      <c r="C364" s="13" t="s">
        <v>289</v>
      </c>
      <c r="D364" s="13">
        <v>99</v>
      </c>
      <c r="E364" s="13" t="s">
        <v>15</v>
      </c>
      <c r="F364" s="13">
        <v>1</v>
      </c>
      <c r="G364" s="13" t="s">
        <v>16</v>
      </c>
      <c r="H364" s="13" t="s">
        <v>17</v>
      </c>
      <c r="I364" s="14">
        <v>4003071</v>
      </c>
      <c r="J364" s="13" t="s">
        <v>291</v>
      </c>
      <c r="K364" s="13">
        <v>99</v>
      </c>
      <c r="L364" s="13" t="s">
        <v>15</v>
      </c>
      <c r="M364" s="15">
        <v>1000</v>
      </c>
      <c r="N364" s="13" t="s">
        <v>1</v>
      </c>
      <c r="O364" s="16">
        <f t="shared" si="83"/>
        <v>0.1</v>
      </c>
      <c r="P364" s="22">
        <f t="shared" si="84"/>
        <v>0</v>
      </c>
    </row>
    <row r="365" spans="1:16" ht="15.75" thickBot="1" x14ac:dyDescent="0.3">
      <c r="A365" s="90"/>
      <c r="B365" s="23">
        <v>9505</v>
      </c>
      <c r="C365" s="23" t="s">
        <v>289</v>
      </c>
      <c r="D365" s="23">
        <v>99</v>
      </c>
      <c r="E365" s="23" t="s">
        <v>15</v>
      </c>
      <c r="F365" s="23">
        <v>1</v>
      </c>
      <c r="G365" s="23" t="s">
        <v>21</v>
      </c>
      <c r="H365" s="23" t="s">
        <v>17</v>
      </c>
      <c r="I365" s="24" t="s">
        <v>292</v>
      </c>
      <c r="J365" s="23" t="s">
        <v>293</v>
      </c>
      <c r="K365" s="23">
        <v>3</v>
      </c>
      <c r="L365" s="23" t="s">
        <v>24</v>
      </c>
      <c r="M365" s="25">
        <v>10000</v>
      </c>
      <c r="N365" s="23" t="s">
        <v>1</v>
      </c>
      <c r="O365" s="26">
        <f t="shared" si="83"/>
        <v>1</v>
      </c>
      <c r="P365" s="27">
        <f t="shared" si="84"/>
        <v>0</v>
      </c>
    </row>
    <row r="366" spans="1:16" x14ac:dyDescent="0.25"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3"/>
      <c r="N366" s="1"/>
    </row>
    <row r="367" spans="1:16" ht="15.75" thickBot="1" x14ac:dyDescent="0.3"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3"/>
      <c r="N367" s="1"/>
      <c r="P367" s="11">
        <f>IFERROR(VLOOKUP($A368,'PROGRAMA MES '!$A:$B,2,0),0)</f>
        <v>650000</v>
      </c>
    </row>
    <row r="368" spans="1:16" x14ac:dyDescent="0.25">
      <c r="A368" s="89">
        <f>B368</f>
        <v>9506</v>
      </c>
      <c r="B368" s="17">
        <v>9506</v>
      </c>
      <c r="C368" s="17" t="s">
        <v>294</v>
      </c>
      <c r="D368" s="17">
        <v>99</v>
      </c>
      <c r="E368" s="17" t="s">
        <v>15</v>
      </c>
      <c r="F368" s="17">
        <v>1</v>
      </c>
      <c r="G368" s="17" t="s">
        <v>16</v>
      </c>
      <c r="H368" s="17" t="s">
        <v>17</v>
      </c>
      <c r="I368" s="18">
        <v>4001368</v>
      </c>
      <c r="J368" s="17" t="s">
        <v>295</v>
      </c>
      <c r="K368" s="17">
        <v>53</v>
      </c>
      <c r="L368" s="17" t="s">
        <v>130</v>
      </c>
      <c r="M368" s="17">
        <v>100</v>
      </c>
      <c r="N368" s="17" t="s">
        <v>1</v>
      </c>
      <c r="O368" s="20">
        <f t="shared" ref="O368:O371" si="85">M368/10000</f>
        <v>0.01</v>
      </c>
      <c r="P368" s="21">
        <f>O368*$P$367</f>
        <v>6500</v>
      </c>
    </row>
    <row r="369" spans="1:16" x14ac:dyDescent="0.25">
      <c r="A369" s="91"/>
      <c r="B369" s="13">
        <v>9506</v>
      </c>
      <c r="C369" s="13" t="s">
        <v>294</v>
      </c>
      <c r="D369" s="13">
        <v>99</v>
      </c>
      <c r="E369" s="13" t="s">
        <v>15</v>
      </c>
      <c r="F369" s="13">
        <v>1</v>
      </c>
      <c r="G369" s="13" t="s">
        <v>16</v>
      </c>
      <c r="H369" s="13" t="s">
        <v>17</v>
      </c>
      <c r="I369" s="14">
        <v>4002827</v>
      </c>
      <c r="J369" s="13" t="s">
        <v>0</v>
      </c>
      <c r="K369" s="13">
        <v>99</v>
      </c>
      <c r="L369" s="13" t="s">
        <v>15</v>
      </c>
      <c r="M369" s="13">
        <v>100</v>
      </c>
      <c r="N369" s="13" t="s">
        <v>2</v>
      </c>
      <c r="O369" s="16">
        <f t="shared" si="85"/>
        <v>0.01</v>
      </c>
      <c r="P369" s="22">
        <f t="shared" ref="P369:P371" si="86">O369*$P$367</f>
        <v>6500</v>
      </c>
    </row>
    <row r="370" spans="1:16" x14ac:dyDescent="0.25">
      <c r="A370" s="91"/>
      <c r="B370" s="13">
        <v>9506</v>
      </c>
      <c r="C370" s="13" t="s">
        <v>294</v>
      </c>
      <c r="D370" s="13">
        <v>99</v>
      </c>
      <c r="E370" s="13" t="s">
        <v>15</v>
      </c>
      <c r="F370" s="13">
        <v>1</v>
      </c>
      <c r="G370" s="13" t="s">
        <v>16</v>
      </c>
      <c r="H370" s="13" t="s">
        <v>17</v>
      </c>
      <c r="I370" s="14">
        <v>4003073</v>
      </c>
      <c r="J370" s="13" t="s">
        <v>296</v>
      </c>
      <c r="K370" s="13">
        <v>99</v>
      </c>
      <c r="L370" s="13" t="s">
        <v>15</v>
      </c>
      <c r="M370" s="15">
        <v>1000</v>
      </c>
      <c r="N370" s="13" t="s">
        <v>1</v>
      </c>
      <c r="O370" s="16">
        <f t="shared" si="85"/>
        <v>0.1</v>
      </c>
      <c r="P370" s="22">
        <f t="shared" si="86"/>
        <v>65000</v>
      </c>
    </row>
    <row r="371" spans="1:16" ht="15.75" thickBot="1" x14ac:dyDescent="0.3">
      <c r="A371" s="90"/>
      <c r="B371" s="23">
        <v>9506</v>
      </c>
      <c r="C371" s="23" t="s">
        <v>294</v>
      </c>
      <c r="D371" s="23">
        <v>99</v>
      </c>
      <c r="E371" s="23" t="s">
        <v>15</v>
      </c>
      <c r="F371" s="23">
        <v>1</v>
      </c>
      <c r="G371" s="23" t="s">
        <v>21</v>
      </c>
      <c r="H371" s="23" t="s">
        <v>17</v>
      </c>
      <c r="I371" s="24" t="s">
        <v>297</v>
      </c>
      <c r="J371" s="23" t="s">
        <v>298</v>
      </c>
      <c r="K371" s="23">
        <v>3</v>
      </c>
      <c r="L371" s="23" t="s">
        <v>24</v>
      </c>
      <c r="M371" s="25">
        <v>10000</v>
      </c>
      <c r="N371" s="23" t="s">
        <v>1</v>
      </c>
      <c r="O371" s="26">
        <f t="shared" si="85"/>
        <v>1</v>
      </c>
      <c r="P371" s="27">
        <f t="shared" si="86"/>
        <v>650000</v>
      </c>
    </row>
    <row r="372" spans="1:16" x14ac:dyDescent="0.25"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3"/>
      <c r="N372" s="1"/>
    </row>
    <row r="373" spans="1:16" ht="15.75" thickBot="1" x14ac:dyDescent="0.3"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3"/>
      <c r="N373" s="1"/>
      <c r="P373" s="11">
        <f>IFERROR(VLOOKUP($A374,'PROGRAMA MES '!$A:$B,2,0),0)</f>
        <v>20000</v>
      </c>
    </row>
    <row r="374" spans="1:16" x14ac:dyDescent="0.25">
      <c r="A374" s="89">
        <f>B374</f>
        <v>9508</v>
      </c>
      <c r="B374" s="17">
        <v>9508</v>
      </c>
      <c r="C374" s="17" t="s">
        <v>299</v>
      </c>
      <c r="D374" s="17">
        <v>99</v>
      </c>
      <c r="E374" s="17" t="s">
        <v>15</v>
      </c>
      <c r="F374" s="17">
        <v>1</v>
      </c>
      <c r="G374" s="17" t="s">
        <v>16</v>
      </c>
      <c r="H374" s="17" t="s">
        <v>17</v>
      </c>
      <c r="I374" s="18">
        <v>4001294</v>
      </c>
      <c r="J374" s="17" t="s">
        <v>300</v>
      </c>
      <c r="K374" s="17">
        <v>99</v>
      </c>
      <c r="L374" s="17" t="s">
        <v>15</v>
      </c>
      <c r="M374" s="17">
        <v>100</v>
      </c>
      <c r="N374" s="17" t="s">
        <v>1</v>
      </c>
      <c r="O374" s="20">
        <f t="shared" ref="O374:O377" si="87">M374/10000</f>
        <v>0.01</v>
      </c>
      <c r="P374" s="21">
        <f>O374*$P$373</f>
        <v>200</v>
      </c>
    </row>
    <row r="375" spans="1:16" x14ac:dyDescent="0.25">
      <c r="A375" s="91"/>
      <c r="B375" s="13">
        <v>9508</v>
      </c>
      <c r="C375" s="13" t="s">
        <v>299</v>
      </c>
      <c r="D375" s="13">
        <v>99</v>
      </c>
      <c r="E375" s="13" t="s">
        <v>15</v>
      </c>
      <c r="F375" s="13">
        <v>1</v>
      </c>
      <c r="G375" s="13" t="s">
        <v>16</v>
      </c>
      <c r="H375" s="13" t="s">
        <v>17</v>
      </c>
      <c r="I375" s="14">
        <v>4002827</v>
      </c>
      <c r="J375" s="13" t="s">
        <v>0</v>
      </c>
      <c r="K375" s="13">
        <v>99</v>
      </c>
      <c r="L375" s="13" t="s">
        <v>15</v>
      </c>
      <c r="M375" s="13">
        <v>120</v>
      </c>
      <c r="N375" s="13" t="s">
        <v>2</v>
      </c>
      <c r="O375" s="16">
        <f t="shared" si="87"/>
        <v>1.2E-2</v>
      </c>
      <c r="P375" s="22">
        <f t="shared" ref="P375:P377" si="88">O375*$P$373</f>
        <v>240</v>
      </c>
    </row>
    <row r="376" spans="1:16" x14ac:dyDescent="0.25">
      <c r="A376" s="91"/>
      <c r="B376" s="13">
        <v>9508</v>
      </c>
      <c r="C376" s="13" t="s">
        <v>299</v>
      </c>
      <c r="D376" s="13">
        <v>99</v>
      </c>
      <c r="E376" s="13" t="s">
        <v>15</v>
      </c>
      <c r="F376" s="13">
        <v>1</v>
      </c>
      <c r="G376" s="13" t="s">
        <v>16</v>
      </c>
      <c r="H376" s="13" t="s">
        <v>17</v>
      </c>
      <c r="I376" s="14">
        <v>4003074</v>
      </c>
      <c r="J376" s="13" t="s">
        <v>301</v>
      </c>
      <c r="K376" s="13">
        <v>99</v>
      </c>
      <c r="L376" s="13" t="s">
        <v>15</v>
      </c>
      <c r="M376" s="15">
        <v>1000</v>
      </c>
      <c r="N376" s="13" t="s">
        <v>1</v>
      </c>
      <c r="O376" s="16">
        <f t="shared" si="87"/>
        <v>0.1</v>
      </c>
      <c r="P376" s="22">
        <f t="shared" si="88"/>
        <v>2000</v>
      </c>
    </row>
    <row r="377" spans="1:16" ht="15.75" thickBot="1" x14ac:dyDescent="0.3">
      <c r="A377" s="90"/>
      <c r="B377" s="23">
        <v>9508</v>
      </c>
      <c r="C377" s="23" t="s">
        <v>299</v>
      </c>
      <c r="D377" s="23">
        <v>99</v>
      </c>
      <c r="E377" s="23" t="s">
        <v>15</v>
      </c>
      <c r="F377" s="23">
        <v>1</v>
      </c>
      <c r="G377" s="23" t="s">
        <v>21</v>
      </c>
      <c r="H377" s="23" t="s">
        <v>17</v>
      </c>
      <c r="I377" s="24" t="s">
        <v>302</v>
      </c>
      <c r="J377" s="23" t="s">
        <v>303</v>
      </c>
      <c r="K377" s="23">
        <v>3</v>
      </c>
      <c r="L377" s="23" t="s">
        <v>24</v>
      </c>
      <c r="M377" s="25">
        <v>10000</v>
      </c>
      <c r="N377" s="23" t="s">
        <v>1</v>
      </c>
      <c r="O377" s="26">
        <f t="shared" si="87"/>
        <v>1</v>
      </c>
      <c r="P377" s="27">
        <f t="shared" si="88"/>
        <v>20000</v>
      </c>
    </row>
    <row r="378" spans="1:16" x14ac:dyDescent="0.25"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3"/>
      <c r="N378" s="1"/>
    </row>
    <row r="379" spans="1:16" ht="15.75" thickBot="1" x14ac:dyDescent="0.3"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3"/>
      <c r="N379" s="1"/>
      <c r="P379" s="11">
        <f>IFERROR(VLOOKUP($A380,'PROGRAMA MES '!$A:$B,2,0),0)</f>
        <v>70000</v>
      </c>
    </row>
    <row r="380" spans="1:16" x14ac:dyDescent="0.25">
      <c r="A380" s="89">
        <f>B380</f>
        <v>9509</v>
      </c>
      <c r="B380" s="17">
        <v>9509</v>
      </c>
      <c r="C380" s="17" t="s">
        <v>304</v>
      </c>
      <c r="D380" s="17">
        <v>99</v>
      </c>
      <c r="E380" s="17" t="s">
        <v>15</v>
      </c>
      <c r="F380" s="17">
        <v>1</v>
      </c>
      <c r="G380" s="17" t="s">
        <v>16</v>
      </c>
      <c r="H380" s="17" t="s">
        <v>17</v>
      </c>
      <c r="I380" s="18">
        <v>4001296</v>
      </c>
      <c r="J380" s="17" t="s">
        <v>305</v>
      </c>
      <c r="K380" s="17">
        <v>99</v>
      </c>
      <c r="L380" s="17" t="s">
        <v>15</v>
      </c>
      <c r="M380" s="17">
        <v>100</v>
      </c>
      <c r="N380" s="17" t="s">
        <v>1</v>
      </c>
      <c r="O380" s="20">
        <f t="shared" ref="O380:O383" si="89">M380/10000</f>
        <v>0.01</v>
      </c>
      <c r="P380" s="21">
        <f>O380*$P$379</f>
        <v>700</v>
      </c>
    </row>
    <row r="381" spans="1:16" x14ac:dyDescent="0.25">
      <c r="A381" s="91"/>
      <c r="B381" s="13">
        <v>9509</v>
      </c>
      <c r="C381" s="13" t="s">
        <v>304</v>
      </c>
      <c r="D381" s="13">
        <v>99</v>
      </c>
      <c r="E381" s="13" t="s">
        <v>15</v>
      </c>
      <c r="F381" s="13">
        <v>1</v>
      </c>
      <c r="G381" s="13" t="s">
        <v>16</v>
      </c>
      <c r="H381" s="13" t="s">
        <v>17</v>
      </c>
      <c r="I381" s="14">
        <v>4002827</v>
      </c>
      <c r="J381" s="13" t="s">
        <v>0</v>
      </c>
      <c r="K381" s="13">
        <v>99</v>
      </c>
      <c r="L381" s="13" t="s">
        <v>15</v>
      </c>
      <c r="M381" s="13">
        <v>120</v>
      </c>
      <c r="N381" s="13" t="s">
        <v>2</v>
      </c>
      <c r="O381" s="16">
        <f t="shared" si="89"/>
        <v>1.2E-2</v>
      </c>
      <c r="P381" s="22">
        <f t="shared" ref="P381:P383" si="90">O381*$P$379</f>
        <v>840</v>
      </c>
    </row>
    <row r="382" spans="1:16" x14ac:dyDescent="0.25">
      <c r="A382" s="91"/>
      <c r="B382" s="13">
        <v>9509</v>
      </c>
      <c r="C382" s="13" t="s">
        <v>304</v>
      </c>
      <c r="D382" s="13">
        <v>99</v>
      </c>
      <c r="E382" s="13" t="s">
        <v>15</v>
      </c>
      <c r="F382" s="13">
        <v>1</v>
      </c>
      <c r="G382" s="13" t="s">
        <v>16</v>
      </c>
      <c r="H382" s="13" t="s">
        <v>17</v>
      </c>
      <c r="I382" s="14">
        <v>4003075</v>
      </c>
      <c r="J382" s="13" t="s">
        <v>306</v>
      </c>
      <c r="K382" s="13">
        <v>99</v>
      </c>
      <c r="L382" s="13" t="s">
        <v>15</v>
      </c>
      <c r="M382" s="15">
        <v>1000</v>
      </c>
      <c r="N382" s="13" t="s">
        <v>1</v>
      </c>
      <c r="O382" s="16">
        <f t="shared" si="89"/>
        <v>0.1</v>
      </c>
      <c r="P382" s="22">
        <f t="shared" si="90"/>
        <v>7000</v>
      </c>
    </row>
    <row r="383" spans="1:16" ht="15.75" thickBot="1" x14ac:dyDescent="0.3">
      <c r="A383" s="90"/>
      <c r="B383" s="23">
        <v>9509</v>
      </c>
      <c r="C383" s="23" t="s">
        <v>304</v>
      </c>
      <c r="D383" s="23">
        <v>99</v>
      </c>
      <c r="E383" s="23" t="s">
        <v>15</v>
      </c>
      <c r="F383" s="23">
        <v>1</v>
      </c>
      <c r="G383" s="23" t="s">
        <v>21</v>
      </c>
      <c r="H383" s="23" t="s">
        <v>17</v>
      </c>
      <c r="I383" s="24" t="s">
        <v>307</v>
      </c>
      <c r="J383" s="23" t="s">
        <v>308</v>
      </c>
      <c r="K383" s="23">
        <v>3</v>
      </c>
      <c r="L383" s="23" t="s">
        <v>24</v>
      </c>
      <c r="M383" s="25">
        <v>10000</v>
      </c>
      <c r="N383" s="23" t="s">
        <v>1</v>
      </c>
      <c r="O383" s="26">
        <f t="shared" si="89"/>
        <v>1</v>
      </c>
      <c r="P383" s="27">
        <f t="shared" si="90"/>
        <v>70000</v>
      </c>
    </row>
    <row r="384" spans="1:16" x14ac:dyDescent="0.25"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3"/>
      <c r="N384" s="1"/>
    </row>
    <row r="385" spans="1:16" ht="15.75" thickBot="1" x14ac:dyDescent="0.3"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3"/>
      <c r="N385" s="1"/>
      <c r="P385" s="11">
        <f>IFERROR(VLOOKUP($A386,'PROGRAMA MES '!$A:$B,2,0),0)</f>
        <v>10000</v>
      </c>
    </row>
    <row r="386" spans="1:16" x14ac:dyDescent="0.25">
      <c r="A386" s="89">
        <f>B386</f>
        <v>9513</v>
      </c>
      <c r="B386" s="17">
        <v>9513</v>
      </c>
      <c r="C386" s="17" t="s">
        <v>309</v>
      </c>
      <c r="D386" s="17">
        <v>99</v>
      </c>
      <c r="E386" s="17" t="s">
        <v>15</v>
      </c>
      <c r="F386" s="17">
        <v>1</v>
      </c>
      <c r="G386" s="17" t="s">
        <v>16</v>
      </c>
      <c r="H386" s="17" t="s">
        <v>17</v>
      </c>
      <c r="I386" s="18">
        <v>4001244</v>
      </c>
      <c r="J386" s="17" t="s">
        <v>310</v>
      </c>
      <c r="K386" s="17">
        <v>99</v>
      </c>
      <c r="L386" s="17" t="s">
        <v>15</v>
      </c>
      <c r="M386" s="17">
        <v>100</v>
      </c>
      <c r="N386" s="17" t="s">
        <v>1</v>
      </c>
      <c r="O386" s="20">
        <f t="shared" ref="O386:O389" si="91">M386/10000</f>
        <v>0.01</v>
      </c>
      <c r="P386" s="21">
        <f>O386*$P$385</f>
        <v>100</v>
      </c>
    </row>
    <row r="387" spans="1:16" x14ac:dyDescent="0.25">
      <c r="A387" s="91"/>
      <c r="B387" s="13">
        <v>9513</v>
      </c>
      <c r="C387" s="13" t="s">
        <v>309</v>
      </c>
      <c r="D387" s="13">
        <v>99</v>
      </c>
      <c r="E387" s="13" t="s">
        <v>15</v>
      </c>
      <c r="F387" s="13">
        <v>1</v>
      </c>
      <c r="G387" s="13" t="s">
        <v>16</v>
      </c>
      <c r="H387" s="13" t="s">
        <v>17</v>
      </c>
      <c r="I387" s="14">
        <v>4002827</v>
      </c>
      <c r="J387" s="13" t="s">
        <v>0</v>
      </c>
      <c r="K387" s="13">
        <v>99</v>
      </c>
      <c r="L387" s="13" t="s">
        <v>15</v>
      </c>
      <c r="M387" s="13">
        <v>150</v>
      </c>
      <c r="N387" s="13" t="s">
        <v>2</v>
      </c>
      <c r="O387" s="16">
        <f t="shared" si="91"/>
        <v>1.4999999999999999E-2</v>
      </c>
      <c r="P387" s="22">
        <f t="shared" ref="P387:P389" si="92">O387*$P$385</f>
        <v>150</v>
      </c>
    </row>
    <row r="388" spans="1:16" x14ac:dyDescent="0.25">
      <c r="A388" s="91"/>
      <c r="B388" s="13">
        <v>9513</v>
      </c>
      <c r="C388" s="13" t="s">
        <v>309</v>
      </c>
      <c r="D388" s="13">
        <v>99</v>
      </c>
      <c r="E388" s="13" t="s">
        <v>15</v>
      </c>
      <c r="F388" s="13">
        <v>1</v>
      </c>
      <c r="G388" s="13" t="s">
        <v>16</v>
      </c>
      <c r="H388" s="13" t="s">
        <v>17</v>
      </c>
      <c r="I388" s="14">
        <v>4003076</v>
      </c>
      <c r="J388" s="13" t="s">
        <v>311</v>
      </c>
      <c r="K388" s="13">
        <v>99</v>
      </c>
      <c r="L388" s="13" t="s">
        <v>15</v>
      </c>
      <c r="M388" s="15">
        <v>1000</v>
      </c>
      <c r="N388" s="13" t="s">
        <v>1</v>
      </c>
      <c r="O388" s="16">
        <f t="shared" si="91"/>
        <v>0.1</v>
      </c>
      <c r="P388" s="22">
        <f t="shared" si="92"/>
        <v>1000</v>
      </c>
    </row>
    <row r="389" spans="1:16" ht="15.75" thickBot="1" x14ac:dyDescent="0.3">
      <c r="A389" s="90"/>
      <c r="B389" s="23">
        <v>9513</v>
      </c>
      <c r="C389" s="23" t="s">
        <v>309</v>
      </c>
      <c r="D389" s="23">
        <v>99</v>
      </c>
      <c r="E389" s="23" t="s">
        <v>15</v>
      </c>
      <c r="F389" s="23">
        <v>1</v>
      </c>
      <c r="G389" s="23" t="s">
        <v>21</v>
      </c>
      <c r="H389" s="23" t="s">
        <v>17</v>
      </c>
      <c r="I389" s="24" t="s">
        <v>312</v>
      </c>
      <c r="J389" s="23" t="s">
        <v>313</v>
      </c>
      <c r="K389" s="23">
        <v>3</v>
      </c>
      <c r="L389" s="23" t="s">
        <v>24</v>
      </c>
      <c r="M389" s="25">
        <v>10000</v>
      </c>
      <c r="N389" s="23" t="s">
        <v>1</v>
      </c>
      <c r="O389" s="26">
        <f t="shared" si="91"/>
        <v>1</v>
      </c>
      <c r="P389" s="27">
        <f t="shared" si="92"/>
        <v>10000</v>
      </c>
    </row>
    <row r="390" spans="1:16" x14ac:dyDescent="0.25"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3"/>
      <c r="N390" s="1"/>
    </row>
    <row r="391" spans="1:16" ht="15.75" thickBot="1" x14ac:dyDescent="0.3"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3"/>
      <c r="N391" s="1"/>
      <c r="P391" s="11">
        <f>IFERROR(VLOOKUP($A392,'PROGRAMA MES '!$A:$B,2,0),0)</f>
        <v>0</v>
      </c>
    </row>
    <row r="392" spans="1:16" x14ac:dyDescent="0.25">
      <c r="A392" s="89">
        <f>B392</f>
        <v>9515</v>
      </c>
      <c r="B392" s="17">
        <v>9515</v>
      </c>
      <c r="C392" s="17" t="s">
        <v>314</v>
      </c>
      <c r="D392" s="17">
        <v>99</v>
      </c>
      <c r="E392" s="17" t="s">
        <v>15</v>
      </c>
      <c r="F392" s="17">
        <v>1</v>
      </c>
      <c r="G392" s="17" t="s">
        <v>16</v>
      </c>
      <c r="H392" s="17" t="s">
        <v>17</v>
      </c>
      <c r="I392" s="18">
        <v>4001391</v>
      </c>
      <c r="J392" s="17" t="s">
        <v>315</v>
      </c>
      <c r="K392" s="17">
        <v>99</v>
      </c>
      <c r="L392" s="17" t="s">
        <v>15</v>
      </c>
      <c r="M392" s="19">
        <v>1000</v>
      </c>
      <c r="N392" s="17" t="s">
        <v>1</v>
      </c>
      <c r="O392" s="20">
        <f t="shared" ref="O392:O395" si="93">M392/10000</f>
        <v>0.1</v>
      </c>
      <c r="P392" s="21">
        <f>O392*$P$391</f>
        <v>0</v>
      </c>
    </row>
    <row r="393" spans="1:16" x14ac:dyDescent="0.25">
      <c r="A393" s="91"/>
      <c r="B393" s="13">
        <v>9515</v>
      </c>
      <c r="C393" s="13" t="s">
        <v>314</v>
      </c>
      <c r="D393" s="13">
        <v>99</v>
      </c>
      <c r="E393" s="13" t="s">
        <v>15</v>
      </c>
      <c r="F393" s="13">
        <v>1</v>
      </c>
      <c r="G393" s="13" t="s">
        <v>16</v>
      </c>
      <c r="H393" s="13" t="s">
        <v>17</v>
      </c>
      <c r="I393" s="14">
        <v>4002467</v>
      </c>
      <c r="J393" s="13" t="s">
        <v>316</v>
      </c>
      <c r="K393" s="13">
        <v>99</v>
      </c>
      <c r="L393" s="13" t="s">
        <v>15</v>
      </c>
      <c r="M393" s="15">
        <v>10000</v>
      </c>
      <c r="N393" s="13" t="s">
        <v>1</v>
      </c>
      <c r="O393" s="16">
        <f t="shared" si="93"/>
        <v>1</v>
      </c>
      <c r="P393" s="22">
        <f t="shared" ref="P393:P395" si="94">O393*$P$391</f>
        <v>0</v>
      </c>
    </row>
    <row r="394" spans="1:16" x14ac:dyDescent="0.25">
      <c r="A394" s="91"/>
      <c r="B394" s="13">
        <v>9515</v>
      </c>
      <c r="C394" s="13" t="s">
        <v>314</v>
      </c>
      <c r="D394" s="13">
        <v>99</v>
      </c>
      <c r="E394" s="13" t="s">
        <v>15</v>
      </c>
      <c r="F394" s="13">
        <v>1</v>
      </c>
      <c r="G394" s="13" t="s">
        <v>16</v>
      </c>
      <c r="H394" s="13" t="s">
        <v>17</v>
      </c>
      <c r="I394" s="14">
        <v>4002827</v>
      </c>
      <c r="J394" s="13" t="s">
        <v>0</v>
      </c>
      <c r="K394" s="13">
        <v>99</v>
      </c>
      <c r="L394" s="13" t="s">
        <v>15</v>
      </c>
      <c r="M394" s="13">
        <v>1</v>
      </c>
      <c r="N394" s="13" t="s">
        <v>2</v>
      </c>
      <c r="O394" s="16">
        <f t="shared" si="93"/>
        <v>1E-4</v>
      </c>
      <c r="P394" s="22">
        <f t="shared" si="94"/>
        <v>0</v>
      </c>
    </row>
    <row r="395" spans="1:16" ht="15.75" thickBot="1" x14ac:dyDescent="0.3">
      <c r="A395" s="90"/>
      <c r="B395" s="23">
        <v>9515</v>
      </c>
      <c r="C395" s="23" t="s">
        <v>314</v>
      </c>
      <c r="D395" s="23">
        <v>99</v>
      </c>
      <c r="E395" s="23" t="s">
        <v>15</v>
      </c>
      <c r="F395" s="23">
        <v>1</v>
      </c>
      <c r="G395" s="23" t="s">
        <v>21</v>
      </c>
      <c r="H395" s="23" t="s">
        <v>17</v>
      </c>
      <c r="I395" s="24" t="s">
        <v>317</v>
      </c>
      <c r="J395" s="23" t="s">
        <v>318</v>
      </c>
      <c r="K395" s="23">
        <v>3</v>
      </c>
      <c r="L395" s="23" t="s">
        <v>24</v>
      </c>
      <c r="M395" s="25">
        <v>10000</v>
      </c>
      <c r="N395" s="23" t="s">
        <v>1</v>
      </c>
      <c r="O395" s="26">
        <f t="shared" si="93"/>
        <v>1</v>
      </c>
      <c r="P395" s="27">
        <f t="shared" si="94"/>
        <v>0</v>
      </c>
    </row>
    <row r="396" spans="1:16" x14ac:dyDescent="0.25"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3"/>
      <c r="N396" s="1"/>
    </row>
    <row r="397" spans="1:16" ht="15.75" thickBot="1" x14ac:dyDescent="0.3"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3"/>
      <c r="N397" s="1"/>
      <c r="P397" s="11">
        <f>IFERROR(VLOOKUP($A398,'PROGRAMA MES '!$A:$B,2,0),0)</f>
        <v>30000</v>
      </c>
    </row>
    <row r="398" spans="1:16" x14ac:dyDescent="0.25">
      <c r="A398" s="89">
        <f>B398</f>
        <v>9516</v>
      </c>
      <c r="B398" s="17">
        <v>9516</v>
      </c>
      <c r="C398" s="17" t="s">
        <v>319</v>
      </c>
      <c r="D398" s="17">
        <v>99</v>
      </c>
      <c r="E398" s="17" t="s">
        <v>15</v>
      </c>
      <c r="F398" s="17">
        <v>1</v>
      </c>
      <c r="G398" s="17" t="s">
        <v>16</v>
      </c>
      <c r="H398" s="17" t="s">
        <v>17</v>
      </c>
      <c r="I398" s="18">
        <v>4001358</v>
      </c>
      <c r="J398" s="17" t="s">
        <v>320</v>
      </c>
      <c r="K398" s="17">
        <v>99</v>
      </c>
      <c r="L398" s="17" t="s">
        <v>15</v>
      </c>
      <c r="M398" s="19">
        <v>1000</v>
      </c>
      <c r="N398" s="17" t="s">
        <v>1</v>
      </c>
      <c r="O398" s="20">
        <f t="shared" ref="O398:O401" si="95">M398/10000</f>
        <v>0.1</v>
      </c>
      <c r="P398" s="21">
        <f>O398*$P$397</f>
        <v>3000</v>
      </c>
    </row>
    <row r="399" spans="1:16" x14ac:dyDescent="0.25">
      <c r="A399" s="91"/>
      <c r="B399" s="13">
        <v>9516</v>
      </c>
      <c r="C399" s="13" t="s">
        <v>319</v>
      </c>
      <c r="D399" s="13">
        <v>99</v>
      </c>
      <c r="E399" s="13" t="s">
        <v>15</v>
      </c>
      <c r="F399" s="13">
        <v>1</v>
      </c>
      <c r="G399" s="13" t="s">
        <v>16</v>
      </c>
      <c r="H399" s="13" t="s">
        <v>17</v>
      </c>
      <c r="I399" s="14">
        <v>4002468</v>
      </c>
      <c r="J399" s="13" t="s">
        <v>321</v>
      </c>
      <c r="K399" s="13">
        <v>99</v>
      </c>
      <c r="L399" s="13" t="s">
        <v>15</v>
      </c>
      <c r="M399" s="15">
        <v>10000</v>
      </c>
      <c r="N399" s="13" t="s">
        <v>1</v>
      </c>
      <c r="O399" s="16">
        <f t="shared" si="95"/>
        <v>1</v>
      </c>
      <c r="P399" s="22">
        <f t="shared" ref="P399:P401" si="96">O399*$P$397</f>
        <v>30000</v>
      </c>
    </row>
    <row r="400" spans="1:16" x14ac:dyDescent="0.25">
      <c r="A400" s="91"/>
      <c r="B400" s="13">
        <v>9516</v>
      </c>
      <c r="C400" s="13" t="s">
        <v>319</v>
      </c>
      <c r="D400" s="13">
        <v>99</v>
      </c>
      <c r="E400" s="13" t="s">
        <v>15</v>
      </c>
      <c r="F400" s="13">
        <v>1</v>
      </c>
      <c r="G400" s="13" t="s">
        <v>16</v>
      </c>
      <c r="H400" s="13" t="s">
        <v>17</v>
      </c>
      <c r="I400" s="14">
        <v>4002826</v>
      </c>
      <c r="J400" s="13" t="s">
        <v>4</v>
      </c>
      <c r="K400" s="13">
        <v>99</v>
      </c>
      <c r="L400" s="13" t="s">
        <v>15</v>
      </c>
      <c r="M400" s="13">
        <v>9</v>
      </c>
      <c r="N400" s="13" t="s">
        <v>1</v>
      </c>
      <c r="O400" s="16">
        <f t="shared" si="95"/>
        <v>8.9999999999999998E-4</v>
      </c>
      <c r="P400" s="22">
        <f t="shared" si="96"/>
        <v>27</v>
      </c>
    </row>
    <row r="401" spans="1:16" ht="15.75" thickBot="1" x14ac:dyDescent="0.3">
      <c r="A401" s="90"/>
      <c r="B401" s="23">
        <v>9516</v>
      </c>
      <c r="C401" s="23" t="s">
        <v>319</v>
      </c>
      <c r="D401" s="23">
        <v>99</v>
      </c>
      <c r="E401" s="23" t="s">
        <v>15</v>
      </c>
      <c r="F401" s="23">
        <v>1</v>
      </c>
      <c r="G401" s="23" t="s">
        <v>21</v>
      </c>
      <c r="H401" s="23" t="s">
        <v>17</v>
      </c>
      <c r="I401" s="24" t="s">
        <v>322</v>
      </c>
      <c r="J401" s="23" t="s">
        <v>323</v>
      </c>
      <c r="K401" s="23">
        <v>3</v>
      </c>
      <c r="L401" s="23" t="s">
        <v>24</v>
      </c>
      <c r="M401" s="25">
        <v>10000</v>
      </c>
      <c r="N401" s="23" t="s">
        <v>1</v>
      </c>
      <c r="O401" s="26">
        <f t="shared" si="95"/>
        <v>1</v>
      </c>
      <c r="P401" s="27">
        <f t="shared" si="96"/>
        <v>30000</v>
      </c>
    </row>
    <row r="402" spans="1:16" x14ac:dyDescent="0.25"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3"/>
      <c r="N402" s="1"/>
    </row>
    <row r="403" spans="1:16" ht="15.75" thickBot="1" x14ac:dyDescent="0.3"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3"/>
      <c r="N403" s="1"/>
      <c r="P403" s="11">
        <f>IFERROR(VLOOKUP($A404,'PROGRAMA MES '!$A:$B,2,0),0)</f>
        <v>440000</v>
      </c>
    </row>
    <row r="404" spans="1:16" x14ac:dyDescent="0.25">
      <c r="A404" s="89">
        <f>B404</f>
        <v>9521</v>
      </c>
      <c r="B404" s="17">
        <v>9521</v>
      </c>
      <c r="C404" s="17" t="s">
        <v>324</v>
      </c>
      <c r="D404" s="17">
        <v>99</v>
      </c>
      <c r="E404" s="17" t="s">
        <v>15</v>
      </c>
      <c r="F404" s="17">
        <v>1</v>
      </c>
      <c r="G404" s="17" t="s">
        <v>16</v>
      </c>
      <c r="H404" s="17" t="s">
        <v>17</v>
      </c>
      <c r="I404" s="18">
        <v>4002827</v>
      </c>
      <c r="J404" s="17" t="s">
        <v>0</v>
      </c>
      <c r="K404" s="17">
        <v>99</v>
      </c>
      <c r="L404" s="17" t="s">
        <v>15</v>
      </c>
      <c r="M404" s="17">
        <v>72.599999999999994</v>
      </c>
      <c r="N404" s="17" t="s">
        <v>2</v>
      </c>
      <c r="O404" s="20">
        <f t="shared" ref="O404:O407" si="97">M404/10000</f>
        <v>7.2599999999999991E-3</v>
      </c>
      <c r="P404" s="21">
        <f>O404*$P$403</f>
        <v>3194.3999999999996</v>
      </c>
    </row>
    <row r="405" spans="1:16" x14ac:dyDescent="0.25">
      <c r="A405" s="91"/>
      <c r="B405" s="13">
        <v>9521</v>
      </c>
      <c r="C405" s="13" t="s">
        <v>324</v>
      </c>
      <c r="D405" s="13">
        <v>99</v>
      </c>
      <c r="E405" s="13" t="s">
        <v>15</v>
      </c>
      <c r="F405" s="13">
        <v>1</v>
      </c>
      <c r="G405" s="13" t="s">
        <v>16</v>
      </c>
      <c r="H405" s="13" t="s">
        <v>17</v>
      </c>
      <c r="I405" s="14">
        <v>4003077</v>
      </c>
      <c r="J405" s="13" t="s">
        <v>325</v>
      </c>
      <c r="K405" s="13">
        <v>99</v>
      </c>
      <c r="L405" s="13" t="s">
        <v>15</v>
      </c>
      <c r="M405" s="15">
        <v>1000</v>
      </c>
      <c r="N405" s="13" t="s">
        <v>1</v>
      </c>
      <c r="O405" s="16">
        <f t="shared" si="97"/>
        <v>0.1</v>
      </c>
      <c r="P405" s="22">
        <f t="shared" ref="P405:P407" si="98">O405*$P$403</f>
        <v>44000</v>
      </c>
    </row>
    <row r="406" spans="1:16" x14ac:dyDescent="0.25">
      <c r="A406" s="91"/>
      <c r="B406" s="13">
        <v>9521</v>
      </c>
      <c r="C406" s="13" t="s">
        <v>324</v>
      </c>
      <c r="D406" s="13">
        <v>99</v>
      </c>
      <c r="E406" s="13" t="s">
        <v>15</v>
      </c>
      <c r="F406" s="13">
        <v>1</v>
      </c>
      <c r="G406" s="13" t="s">
        <v>16</v>
      </c>
      <c r="H406" s="13" t="s">
        <v>17</v>
      </c>
      <c r="I406" s="14">
        <v>4003873</v>
      </c>
      <c r="J406" s="13" t="s">
        <v>326</v>
      </c>
      <c r="K406" s="13">
        <v>99</v>
      </c>
      <c r="L406" s="13" t="s">
        <v>15</v>
      </c>
      <c r="M406" s="13">
        <v>50</v>
      </c>
      <c r="N406" s="13" t="s">
        <v>1</v>
      </c>
      <c r="O406" s="16">
        <f t="shared" si="97"/>
        <v>5.0000000000000001E-3</v>
      </c>
      <c r="P406" s="22">
        <f t="shared" si="98"/>
        <v>2200</v>
      </c>
    </row>
    <row r="407" spans="1:16" ht="15.75" thickBot="1" x14ac:dyDescent="0.3">
      <c r="A407" s="90"/>
      <c r="B407" s="23">
        <v>9521</v>
      </c>
      <c r="C407" s="23" t="s">
        <v>324</v>
      </c>
      <c r="D407" s="23">
        <v>99</v>
      </c>
      <c r="E407" s="23" t="s">
        <v>15</v>
      </c>
      <c r="F407" s="23">
        <v>1</v>
      </c>
      <c r="G407" s="23" t="s">
        <v>21</v>
      </c>
      <c r="H407" s="23" t="s">
        <v>17</v>
      </c>
      <c r="I407" s="24" t="s">
        <v>327</v>
      </c>
      <c r="J407" s="23" t="s">
        <v>328</v>
      </c>
      <c r="K407" s="23">
        <v>3</v>
      </c>
      <c r="L407" s="23" t="s">
        <v>24</v>
      </c>
      <c r="M407" s="25">
        <v>10000</v>
      </c>
      <c r="N407" s="23" t="s">
        <v>1</v>
      </c>
      <c r="O407" s="26">
        <f t="shared" si="97"/>
        <v>1</v>
      </c>
      <c r="P407" s="27">
        <f t="shared" si="98"/>
        <v>440000</v>
      </c>
    </row>
    <row r="408" spans="1:16" x14ac:dyDescent="0.25"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3"/>
      <c r="N408" s="1"/>
    </row>
    <row r="409" spans="1:16" ht="15.75" thickBot="1" x14ac:dyDescent="0.3"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3"/>
      <c r="N409" s="1"/>
      <c r="P409" s="11">
        <f>IFERROR(VLOOKUP($A410,'PROGRAMA MES '!$A:$B,2,0),0)</f>
        <v>300</v>
      </c>
    </row>
    <row r="410" spans="1:16" x14ac:dyDescent="0.25">
      <c r="A410" s="89">
        <f>B410</f>
        <v>9630</v>
      </c>
      <c r="B410" s="17">
        <v>9630</v>
      </c>
      <c r="C410" s="17" t="s">
        <v>329</v>
      </c>
      <c r="D410" s="17">
        <v>99</v>
      </c>
      <c r="E410" s="17" t="s">
        <v>15</v>
      </c>
      <c r="F410" s="17">
        <v>1</v>
      </c>
      <c r="G410" s="17" t="s">
        <v>16</v>
      </c>
      <c r="H410" s="17" t="s">
        <v>17</v>
      </c>
      <c r="I410" s="18">
        <v>4001382</v>
      </c>
      <c r="J410" s="17" t="s">
        <v>330</v>
      </c>
      <c r="K410" s="17">
        <v>99</v>
      </c>
      <c r="L410" s="17" t="s">
        <v>15</v>
      </c>
      <c r="M410" s="17">
        <v>500</v>
      </c>
      <c r="N410" s="17" t="s">
        <v>1</v>
      </c>
      <c r="O410" s="20">
        <f t="shared" ref="O410:O412" si="99">M410/10000</f>
        <v>0.05</v>
      </c>
      <c r="P410" s="21">
        <f>O410*$P$409</f>
        <v>15</v>
      </c>
    </row>
    <row r="411" spans="1:16" x14ac:dyDescent="0.25">
      <c r="A411" s="91"/>
      <c r="B411" s="13">
        <v>9630</v>
      </c>
      <c r="C411" s="13" t="s">
        <v>329</v>
      </c>
      <c r="D411" s="13">
        <v>99</v>
      </c>
      <c r="E411" s="13" t="s">
        <v>15</v>
      </c>
      <c r="F411" s="13">
        <v>1</v>
      </c>
      <c r="G411" s="13" t="s">
        <v>16</v>
      </c>
      <c r="H411" s="13" t="s">
        <v>17</v>
      </c>
      <c r="I411" s="14">
        <v>4002826</v>
      </c>
      <c r="J411" s="13" t="s">
        <v>4</v>
      </c>
      <c r="K411" s="13">
        <v>99</v>
      </c>
      <c r="L411" s="13" t="s">
        <v>15</v>
      </c>
      <c r="M411" s="13">
        <v>9</v>
      </c>
      <c r="N411" s="13" t="s">
        <v>1</v>
      </c>
      <c r="O411" s="16">
        <f t="shared" si="99"/>
        <v>8.9999999999999998E-4</v>
      </c>
      <c r="P411" s="22">
        <f t="shared" ref="P411:P412" si="100">O411*$P$409</f>
        <v>0.27</v>
      </c>
    </row>
    <row r="412" spans="1:16" ht="15.75" thickBot="1" x14ac:dyDescent="0.3">
      <c r="A412" s="90"/>
      <c r="B412" s="23">
        <v>9630</v>
      </c>
      <c r="C412" s="23" t="s">
        <v>329</v>
      </c>
      <c r="D412" s="23">
        <v>99</v>
      </c>
      <c r="E412" s="23" t="s">
        <v>15</v>
      </c>
      <c r="F412" s="23">
        <v>1</v>
      </c>
      <c r="G412" s="23" t="s">
        <v>21</v>
      </c>
      <c r="H412" s="23" t="s">
        <v>17</v>
      </c>
      <c r="I412" s="24" t="s">
        <v>331</v>
      </c>
      <c r="J412" s="23" t="s">
        <v>332</v>
      </c>
      <c r="K412" s="23">
        <v>3</v>
      </c>
      <c r="L412" s="23" t="s">
        <v>24</v>
      </c>
      <c r="M412" s="25">
        <v>10000</v>
      </c>
      <c r="N412" s="23" t="s">
        <v>1</v>
      </c>
      <c r="O412" s="26">
        <f t="shared" si="99"/>
        <v>1</v>
      </c>
      <c r="P412" s="27">
        <f t="shared" si="100"/>
        <v>300</v>
      </c>
    </row>
    <row r="413" spans="1:16" x14ac:dyDescent="0.25"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3"/>
      <c r="N413" s="1"/>
    </row>
    <row r="414" spans="1:16" ht="15.75" thickBot="1" x14ac:dyDescent="0.3"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3"/>
      <c r="N414" s="1"/>
      <c r="P414" s="11">
        <f>IFERROR(VLOOKUP($A415,'PROGRAMA MES '!$A:$B,2,0),0)</f>
        <v>6400</v>
      </c>
    </row>
    <row r="415" spans="1:16" x14ac:dyDescent="0.25">
      <c r="A415" s="89">
        <f>B415</f>
        <v>9635</v>
      </c>
      <c r="B415" s="17">
        <v>9635</v>
      </c>
      <c r="C415" s="17" t="s">
        <v>333</v>
      </c>
      <c r="D415" s="17">
        <v>99</v>
      </c>
      <c r="E415" s="17" t="s">
        <v>15</v>
      </c>
      <c r="F415" s="17">
        <v>1</v>
      </c>
      <c r="G415" s="17" t="s">
        <v>16</v>
      </c>
      <c r="H415" s="17" t="s">
        <v>17</v>
      </c>
      <c r="I415" s="18">
        <v>4001383</v>
      </c>
      <c r="J415" s="17" t="s">
        <v>334</v>
      </c>
      <c r="K415" s="17">
        <v>99</v>
      </c>
      <c r="L415" s="17" t="s">
        <v>15</v>
      </c>
      <c r="M415" s="17">
        <v>500</v>
      </c>
      <c r="N415" s="17" t="s">
        <v>1</v>
      </c>
      <c r="O415" s="20">
        <f t="shared" ref="O415:O417" si="101">M415/10000</f>
        <v>0.05</v>
      </c>
      <c r="P415" s="21">
        <f>O415*$P$414</f>
        <v>320</v>
      </c>
    </row>
    <row r="416" spans="1:16" x14ac:dyDescent="0.25">
      <c r="A416" s="91"/>
      <c r="B416" s="13">
        <v>9635</v>
      </c>
      <c r="C416" s="13" t="s">
        <v>333</v>
      </c>
      <c r="D416" s="13">
        <v>99</v>
      </c>
      <c r="E416" s="13" t="s">
        <v>15</v>
      </c>
      <c r="F416" s="13">
        <v>1</v>
      </c>
      <c r="G416" s="13" t="s">
        <v>16</v>
      </c>
      <c r="H416" s="13" t="s">
        <v>17</v>
      </c>
      <c r="I416" s="14">
        <v>4002826</v>
      </c>
      <c r="J416" s="13" t="s">
        <v>4</v>
      </c>
      <c r="K416" s="13">
        <v>99</v>
      </c>
      <c r="L416" s="13" t="s">
        <v>15</v>
      </c>
      <c r="M416" s="13">
        <v>9</v>
      </c>
      <c r="N416" s="13" t="s">
        <v>1</v>
      </c>
      <c r="O416" s="16">
        <f t="shared" si="101"/>
        <v>8.9999999999999998E-4</v>
      </c>
      <c r="P416" s="22">
        <f t="shared" ref="P416:P417" si="102">O416*$P$414</f>
        <v>5.76</v>
      </c>
    </row>
    <row r="417" spans="1:16" ht="15.75" thickBot="1" x14ac:dyDescent="0.3">
      <c r="A417" s="90"/>
      <c r="B417" s="23">
        <v>9635</v>
      </c>
      <c r="C417" s="23" t="s">
        <v>333</v>
      </c>
      <c r="D417" s="23">
        <v>99</v>
      </c>
      <c r="E417" s="23" t="s">
        <v>15</v>
      </c>
      <c r="F417" s="23">
        <v>1</v>
      </c>
      <c r="G417" s="23" t="s">
        <v>21</v>
      </c>
      <c r="H417" s="23" t="s">
        <v>17</v>
      </c>
      <c r="I417" s="24" t="s">
        <v>335</v>
      </c>
      <c r="J417" s="23" t="s">
        <v>336</v>
      </c>
      <c r="K417" s="23">
        <v>3</v>
      </c>
      <c r="L417" s="23" t="s">
        <v>24</v>
      </c>
      <c r="M417" s="25">
        <v>10000</v>
      </c>
      <c r="N417" s="23" t="s">
        <v>1</v>
      </c>
      <c r="O417" s="26">
        <f t="shared" si="101"/>
        <v>1</v>
      </c>
      <c r="P417" s="27">
        <f t="shared" si="102"/>
        <v>6400</v>
      </c>
    </row>
    <row r="418" spans="1:16" x14ac:dyDescent="0.25"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3"/>
      <c r="N418" s="1"/>
    </row>
    <row r="419" spans="1:16" ht="15.75" thickBot="1" x14ac:dyDescent="0.3"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3"/>
      <c r="N419" s="1"/>
      <c r="P419" s="11">
        <f>IFERROR(VLOOKUP($A420,'PROGRAMA MES '!$A:$B,2,0),0)</f>
        <v>800</v>
      </c>
    </row>
    <row r="420" spans="1:16" x14ac:dyDescent="0.25">
      <c r="A420" s="89">
        <f>B420</f>
        <v>9638</v>
      </c>
      <c r="B420" s="17">
        <v>9638</v>
      </c>
      <c r="C420" s="17" t="s">
        <v>337</v>
      </c>
      <c r="D420" s="17">
        <v>99</v>
      </c>
      <c r="E420" s="17" t="s">
        <v>15</v>
      </c>
      <c r="F420" s="17">
        <v>1</v>
      </c>
      <c r="G420" s="17" t="s">
        <v>16</v>
      </c>
      <c r="H420" s="17" t="s">
        <v>17</v>
      </c>
      <c r="I420" s="18">
        <v>4001384</v>
      </c>
      <c r="J420" s="17" t="s">
        <v>338</v>
      </c>
      <c r="K420" s="17">
        <v>53</v>
      </c>
      <c r="L420" s="17" t="s">
        <v>130</v>
      </c>
      <c r="M420" s="17">
        <v>500</v>
      </c>
      <c r="N420" s="17" t="s">
        <v>1</v>
      </c>
      <c r="O420" s="20">
        <f t="shared" ref="O420:O491" si="103">M420/10000</f>
        <v>0.05</v>
      </c>
      <c r="P420" s="21">
        <f>O420*$P$419</f>
        <v>40</v>
      </c>
    </row>
    <row r="421" spans="1:16" x14ac:dyDescent="0.25">
      <c r="A421" s="91"/>
      <c r="B421" s="13">
        <v>9638</v>
      </c>
      <c r="C421" s="13" t="s">
        <v>337</v>
      </c>
      <c r="D421" s="13">
        <v>99</v>
      </c>
      <c r="E421" s="13" t="s">
        <v>15</v>
      </c>
      <c r="F421" s="13">
        <v>1</v>
      </c>
      <c r="G421" s="13" t="s">
        <v>16</v>
      </c>
      <c r="H421" s="13" t="s">
        <v>17</v>
      </c>
      <c r="I421" s="14">
        <v>4002826</v>
      </c>
      <c r="J421" s="13" t="s">
        <v>4</v>
      </c>
      <c r="K421" s="13">
        <v>99</v>
      </c>
      <c r="L421" s="13" t="s">
        <v>15</v>
      </c>
      <c r="M421" s="13">
        <v>10</v>
      </c>
      <c r="N421" s="13" t="s">
        <v>1</v>
      </c>
      <c r="O421" s="16">
        <f t="shared" si="103"/>
        <v>1E-3</v>
      </c>
      <c r="P421" s="22">
        <f t="shared" ref="P421:P422" si="104">O421*$P$419</f>
        <v>0.8</v>
      </c>
    </row>
    <row r="422" spans="1:16" ht="15.75" thickBot="1" x14ac:dyDescent="0.3">
      <c r="A422" s="90"/>
      <c r="B422" s="23">
        <v>9638</v>
      </c>
      <c r="C422" s="23" t="s">
        <v>337</v>
      </c>
      <c r="D422" s="23">
        <v>99</v>
      </c>
      <c r="E422" s="23" t="s">
        <v>15</v>
      </c>
      <c r="F422" s="23">
        <v>1</v>
      </c>
      <c r="G422" s="23" t="s">
        <v>21</v>
      </c>
      <c r="H422" s="23" t="s">
        <v>17</v>
      </c>
      <c r="I422" s="24" t="s">
        <v>339</v>
      </c>
      <c r="J422" s="23" t="s">
        <v>340</v>
      </c>
      <c r="K422" s="23">
        <v>3</v>
      </c>
      <c r="L422" s="23" t="s">
        <v>24</v>
      </c>
      <c r="M422" s="25">
        <v>10000</v>
      </c>
      <c r="N422" s="23" t="s">
        <v>1</v>
      </c>
      <c r="O422" s="26">
        <f t="shared" si="103"/>
        <v>1</v>
      </c>
      <c r="P422" s="27">
        <f t="shared" si="104"/>
        <v>800</v>
      </c>
    </row>
    <row r="423" spans="1:16" x14ac:dyDescent="0.25"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3"/>
      <c r="N423" s="1"/>
    </row>
    <row r="424" spans="1:16" ht="15.75" thickBot="1" x14ac:dyDescent="0.3"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3"/>
      <c r="N424" s="1"/>
      <c r="P424" s="11">
        <f>IFERROR(VLOOKUP($A425,'PROGRAMA MES '!$A:$B,2,0),0)</f>
        <v>6000</v>
      </c>
    </row>
    <row r="425" spans="1:16" x14ac:dyDescent="0.25">
      <c r="A425" s="89">
        <f>B425</f>
        <v>9641</v>
      </c>
      <c r="B425" s="17">
        <v>9641</v>
      </c>
      <c r="C425" s="17" t="s">
        <v>341</v>
      </c>
      <c r="D425" s="17">
        <v>99</v>
      </c>
      <c r="E425" s="17" t="s">
        <v>15</v>
      </c>
      <c r="F425" s="17">
        <v>1</v>
      </c>
      <c r="G425" s="17" t="s">
        <v>16</v>
      </c>
      <c r="H425" s="17" t="s">
        <v>17</v>
      </c>
      <c r="I425" s="18">
        <v>4001384</v>
      </c>
      <c r="J425" s="17" t="s">
        <v>338</v>
      </c>
      <c r="K425" s="17">
        <v>53</v>
      </c>
      <c r="L425" s="17" t="s">
        <v>130</v>
      </c>
      <c r="M425" s="17">
        <v>500</v>
      </c>
      <c r="N425" s="17" t="s">
        <v>1</v>
      </c>
      <c r="O425" s="20">
        <f t="shared" si="103"/>
        <v>0.05</v>
      </c>
      <c r="P425" s="21">
        <f>O425*$P$424</f>
        <v>300</v>
      </c>
    </row>
    <row r="426" spans="1:16" x14ac:dyDescent="0.25">
      <c r="A426" s="91"/>
      <c r="B426" s="13">
        <v>9641</v>
      </c>
      <c r="C426" s="13" t="s">
        <v>341</v>
      </c>
      <c r="D426" s="13">
        <v>99</v>
      </c>
      <c r="E426" s="13" t="s">
        <v>15</v>
      </c>
      <c r="F426" s="13">
        <v>1</v>
      </c>
      <c r="G426" s="13" t="s">
        <v>16</v>
      </c>
      <c r="H426" s="13" t="s">
        <v>17</v>
      </c>
      <c r="I426" s="14">
        <v>4002826</v>
      </c>
      <c r="J426" s="13" t="s">
        <v>4</v>
      </c>
      <c r="K426" s="13">
        <v>99</v>
      </c>
      <c r="L426" s="13" t="s">
        <v>15</v>
      </c>
      <c r="M426" s="13">
        <v>10</v>
      </c>
      <c r="N426" s="13" t="s">
        <v>1</v>
      </c>
      <c r="O426" s="16">
        <f t="shared" si="103"/>
        <v>1E-3</v>
      </c>
      <c r="P426" s="22">
        <f t="shared" ref="P426:P427" si="105">O426*$P$424</f>
        <v>6</v>
      </c>
    </row>
    <row r="427" spans="1:16" ht="15.75" thickBot="1" x14ac:dyDescent="0.3">
      <c r="A427" s="90"/>
      <c r="B427" s="23">
        <v>9641</v>
      </c>
      <c r="C427" s="23" t="s">
        <v>341</v>
      </c>
      <c r="D427" s="23">
        <v>99</v>
      </c>
      <c r="E427" s="23" t="s">
        <v>15</v>
      </c>
      <c r="F427" s="23">
        <v>1</v>
      </c>
      <c r="G427" s="23" t="s">
        <v>21</v>
      </c>
      <c r="H427" s="23" t="s">
        <v>17</v>
      </c>
      <c r="I427" s="24" t="s">
        <v>342</v>
      </c>
      <c r="J427" s="23" t="s">
        <v>343</v>
      </c>
      <c r="K427" s="23">
        <v>3</v>
      </c>
      <c r="L427" s="23" t="s">
        <v>24</v>
      </c>
      <c r="M427" s="25">
        <v>10000</v>
      </c>
      <c r="N427" s="23" t="s">
        <v>1</v>
      </c>
      <c r="O427" s="26">
        <f t="shared" si="103"/>
        <v>1</v>
      </c>
      <c r="P427" s="27">
        <f t="shared" si="105"/>
        <v>6000</v>
      </c>
    </row>
    <row r="428" spans="1:16" x14ac:dyDescent="0.25"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3"/>
      <c r="N428" s="1"/>
    </row>
    <row r="429" spans="1:16" ht="15.75" thickBot="1" x14ac:dyDescent="0.3"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3"/>
      <c r="N429" s="1"/>
      <c r="P429" s="11">
        <f>IFERROR(VLOOKUP($A430,'PROGRAMA MES '!$A:$B,2,0),0)</f>
        <v>8000</v>
      </c>
    </row>
    <row r="430" spans="1:16" x14ac:dyDescent="0.25">
      <c r="A430" s="89">
        <f>B430</f>
        <v>9644</v>
      </c>
      <c r="B430" s="17">
        <v>9644</v>
      </c>
      <c r="C430" s="17" t="s">
        <v>344</v>
      </c>
      <c r="D430" s="17">
        <v>99</v>
      </c>
      <c r="E430" s="17" t="s">
        <v>15</v>
      </c>
      <c r="F430" s="17">
        <v>1</v>
      </c>
      <c r="G430" s="17" t="s">
        <v>16</v>
      </c>
      <c r="H430" s="17" t="s">
        <v>17</v>
      </c>
      <c r="I430" s="18">
        <v>4001385</v>
      </c>
      <c r="J430" s="17" t="s">
        <v>345</v>
      </c>
      <c r="K430" s="17">
        <v>99</v>
      </c>
      <c r="L430" s="17" t="s">
        <v>15</v>
      </c>
      <c r="M430" s="17">
        <v>500</v>
      </c>
      <c r="N430" s="17" t="s">
        <v>1</v>
      </c>
      <c r="O430" s="20">
        <f t="shared" si="103"/>
        <v>0.05</v>
      </c>
      <c r="P430" s="21">
        <f>O430*$P$429</f>
        <v>400</v>
      </c>
    </row>
    <row r="431" spans="1:16" x14ac:dyDescent="0.25">
      <c r="A431" s="91"/>
      <c r="B431" s="13">
        <v>9644</v>
      </c>
      <c r="C431" s="13" t="s">
        <v>344</v>
      </c>
      <c r="D431" s="13">
        <v>99</v>
      </c>
      <c r="E431" s="13" t="s">
        <v>15</v>
      </c>
      <c r="F431" s="13">
        <v>1</v>
      </c>
      <c r="G431" s="13" t="s">
        <v>16</v>
      </c>
      <c r="H431" s="13" t="s">
        <v>17</v>
      </c>
      <c r="I431" s="14">
        <v>4002546</v>
      </c>
      <c r="J431" s="13" t="s">
        <v>179</v>
      </c>
      <c r="K431" s="13">
        <v>99</v>
      </c>
      <c r="L431" s="13" t="s">
        <v>15</v>
      </c>
      <c r="M431" s="13">
        <v>500</v>
      </c>
      <c r="N431" s="13" t="s">
        <v>1</v>
      </c>
      <c r="O431" s="16">
        <f t="shared" si="103"/>
        <v>0.05</v>
      </c>
      <c r="P431" s="22">
        <f t="shared" ref="P431:P433" si="106">O431*$P$429</f>
        <v>400</v>
      </c>
    </row>
    <row r="432" spans="1:16" x14ac:dyDescent="0.25">
      <c r="A432" s="91"/>
      <c r="B432" s="13">
        <v>9644</v>
      </c>
      <c r="C432" s="13" t="s">
        <v>344</v>
      </c>
      <c r="D432" s="13">
        <v>99</v>
      </c>
      <c r="E432" s="13" t="s">
        <v>15</v>
      </c>
      <c r="F432" s="13">
        <v>1</v>
      </c>
      <c r="G432" s="13" t="s">
        <v>16</v>
      </c>
      <c r="H432" s="13" t="s">
        <v>17</v>
      </c>
      <c r="I432" s="14">
        <v>4002826</v>
      </c>
      <c r="J432" s="13" t="s">
        <v>4</v>
      </c>
      <c r="K432" s="13">
        <v>99</v>
      </c>
      <c r="L432" s="13" t="s">
        <v>15</v>
      </c>
      <c r="M432" s="13">
        <v>10</v>
      </c>
      <c r="N432" s="13" t="s">
        <v>1</v>
      </c>
      <c r="O432" s="16">
        <f t="shared" si="103"/>
        <v>1E-3</v>
      </c>
      <c r="P432" s="22">
        <f t="shared" si="106"/>
        <v>8</v>
      </c>
    </row>
    <row r="433" spans="1:16" ht="15.75" thickBot="1" x14ac:dyDescent="0.3">
      <c r="A433" s="90"/>
      <c r="B433" s="23">
        <v>9644</v>
      </c>
      <c r="C433" s="23" t="s">
        <v>344</v>
      </c>
      <c r="D433" s="23">
        <v>99</v>
      </c>
      <c r="E433" s="23" t="s">
        <v>15</v>
      </c>
      <c r="F433" s="23">
        <v>1</v>
      </c>
      <c r="G433" s="23" t="s">
        <v>21</v>
      </c>
      <c r="H433" s="23" t="s">
        <v>17</v>
      </c>
      <c r="I433" s="24" t="s">
        <v>346</v>
      </c>
      <c r="J433" s="23" t="s">
        <v>347</v>
      </c>
      <c r="K433" s="23">
        <v>3</v>
      </c>
      <c r="L433" s="23" t="s">
        <v>24</v>
      </c>
      <c r="M433" s="25">
        <v>10000</v>
      </c>
      <c r="N433" s="23" t="s">
        <v>1</v>
      </c>
      <c r="O433" s="26">
        <f t="shared" si="103"/>
        <v>1</v>
      </c>
      <c r="P433" s="27">
        <f t="shared" si="106"/>
        <v>8000</v>
      </c>
    </row>
    <row r="434" spans="1:16" x14ac:dyDescent="0.25"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3"/>
      <c r="N434" s="1"/>
    </row>
    <row r="435" spans="1:16" ht="15.75" thickBot="1" x14ac:dyDescent="0.3"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3"/>
      <c r="N435" s="1"/>
      <c r="P435" s="11">
        <f>IFERROR(VLOOKUP($A436,'PROGRAMA MES '!$A:$B,2,0),0)</f>
        <v>10000</v>
      </c>
    </row>
    <row r="436" spans="1:16" x14ac:dyDescent="0.25">
      <c r="A436" s="89">
        <f>B436</f>
        <v>9651</v>
      </c>
      <c r="B436" s="17">
        <v>9651</v>
      </c>
      <c r="C436" s="17" t="s">
        <v>348</v>
      </c>
      <c r="D436" s="17">
        <v>99</v>
      </c>
      <c r="E436" s="17" t="s">
        <v>15</v>
      </c>
      <c r="F436" s="17">
        <v>1</v>
      </c>
      <c r="G436" s="17" t="s">
        <v>16</v>
      </c>
      <c r="H436" s="17" t="s">
        <v>17</v>
      </c>
      <c r="I436" s="18">
        <v>4001386</v>
      </c>
      <c r="J436" s="17" t="s">
        <v>349</v>
      </c>
      <c r="K436" s="17">
        <v>53</v>
      </c>
      <c r="L436" s="17" t="s">
        <v>130</v>
      </c>
      <c r="M436" s="17">
        <v>500</v>
      </c>
      <c r="N436" s="17" t="s">
        <v>1</v>
      </c>
      <c r="O436" s="20">
        <f t="shared" si="103"/>
        <v>0.05</v>
      </c>
      <c r="P436" s="21">
        <f>O436*$P$435</f>
        <v>500</v>
      </c>
    </row>
    <row r="437" spans="1:16" x14ac:dyDescent="0.25">
      <c r="A437" s="91"/>
      <c r="B437" s="13">
        <v>9651</v>
      </c>
      <c r="C437" s="13" t="s">
        <v>348</v>
      </c>
      <c r="D437" s="13">
        <v>99</v>
      </c>
      <c r="E437" s="13" t="s">
        <v>15</v>
      </c>
      <c r="F437" s="13">
        <v>1</v>
      </c>
      <c r="G437" s="13" t="s">
        <v>16</v>
      </c>
      <c r="H437" s="13" t="s">
        <v>17</v>
      </c>
      <c r="I437" s="14">
        <v>4002826</v>
      </c>
      <c r="J437" s="13" t="s">
        <v>4</v>
      </c>
      <c r="K437" s="13">
        <v>99</v>
      </c>
      <c r="L437" s="13" t="s">
        <v>15</v>
      </c>
      <c r="M437" s="13">
        <v>11</v>
      </c>
      <c r="N437" s="13" t="s">
        <v>1</v>
      </c>
      <c r="O437" s="16">
        <f t="shared" si="103"/>
        <v>1.1000000000000001E-3</v>
      </c>
      <c r="P437" s="22">
        <f t="shared" ref="P437:P438" si="107">O437*$P$435</f>
        <v>11</v>
      </c>
    </row>
    <row r="438" spans="1:16" ht="15.75" thickBot="1" x14ac:dyDescent="0.3">
      <c r="A438" s="90"/>
      <c r="B438" s="23">
        <v>9651</v>
      </c>
      <c r="C438" s="23" t="s">
        <v>348</v>
      </c>
      <c r="D438" s="23">
        <v>99</v>
      </c>
      <c r="E438" s="23" t="s">
        <v>15</v>
      </c>
      <c r="F438" s="23">
        <v>1</v>
      </c>
      <c r="G438" s="23" t="s">
        <v>21</v>
      </c>
      <c r="H438" s="23" t="s">
        <v>17</v>
      </c>
      <c r="I438" s="24" t="s">
        <v>350</v>
      </c>
      <c r="J438" s="23" t="s">
        <v>351</v>
      </c>
      <c r="K438" s="23">
        <v>3</v>
      </c>
      <c r="L438" s="23" t="s">
        <v>24</v>
      </c>
      <c r="M438" s="25">
        <v>10000</v>
      </c>
      <c r="N438" s="23" t="s">
        <v>1</v>
      </c>
      <c r="O438" s="26">
        <f t="shared" si="103"/>
        <v>1</v>
      </c>
      <c r="P438" s="27">
        <f t="shared" si="107"/>
        <v>10000</v>
      </c>
    </row>
    <row r="439" spans="1:16" x14ac:dyDescent="0.25"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3"/>
      <c r="N439" s="1"/>
    </row>
    <row r="440" spans="1:16" ht="15.75" thickBot="1" x14ac:dyDescent="0.3"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3"/>
      <c r="N440" s="1"/>
      <c r="P440" s="11">
        <f>IFERROR(VLOOKUP($A441,'PROGRAMA MES '!$A:$B,2,0),0)</f>
        <v>0</v>
      </c>
    </row>
    <row r="441" spans="1:16" x14ac:dyDescent="0.25">
      <c r="A441" s="89">
        <f>B441</f>
        <v>9684</v>
      </c>
      <c r="B441" s="17">
        <v>9684</v>
      </c>
      <c r="C441" s="17" t="s">
        <v>352</v>
      </c>
      <c r="D441" s="17">
        <v>99</v>
      </c>
      <c r="E441" s="17" t="s">
        <v>15</v>
      </c>
      <c r="F441" s="17">
        <v>1</v>
      </c>
      <c r="G441" s="17" t="s">
        <v>16</v>
      </c>
      <c r="H441" s="17" t="s">
        <v>17</v>
      </c>
      <c r="I441" s="18">
        <v>4000136</v>
      </c>
      <c r="J441" s="17" t="s">
        <v>353</v>
      </c>
      <c r="K441" s="17">
        <v>53</v>
      </c>
      <c r="L441" s="17" t="s">
        <v>130</v>
      </c>
      <c r="M441" s="19">
        <v>1250</v>
      </c>
      <c r="N441" s="17" t="s">
        <v>1</v>
      </c>
      <c r="O441" s="20">
        <f t="shared" si="103"/>
        <v>0.125</v>
      </c>
      <c r="P441" s="21">
        <f>O441*$P$440</f>
        <v>0</v>
      </c>
    </row>
    <row r="442" spans="1:16" x14ac:dyDescent="0.25">
      <c r="A442" s="91"/>
      <c r="B442" s="13">
        <v>9684</v>
      </c>
      <c r="C442" s="13" t="s">
        <v>352</v>
      </c>
      <c r="D442" s="13">
        <v>99</v>
      </c>
      <c r="E442" s="13" t="s">
        <v>15</v>
      </c>
      <c r="F442" s="13">
        <v>1</v>
      </c>
      <c r="G442" s="13" t="s">
        <v>16</v>
      </c>
      <c r="H442" s="13" t="s">
        <v>17</v>
      </c>
      <c r="I442" s="14">
        <v>4000137</v>
      </c>
      <c r="J442" s="13" t="s">
        <v>354</v>
      </c>
      <c r="K442" s="13">
        <v>53</v>
      </c>
      <c r="L442" s="13" t="s">
        <v>130</v>
      </c>
      <c r="M442" s="15">
        <v>3750</v>
      </c>
      <c r="N442" s="13" t="s">
        <v>1</v>
      </c>
      <c r="O442" s="16">
        <f t="shared" si="103"/>
        <v>0.375</v>
      </c>
      <c r="P442" s="22">
        <f t="shared" ref="P442:P446" si="108">O442*$P$440</f>
        <v>0</v>
      </c>
    </row>
    <row r="443" spans="1:16" x14ac:dyDescent="0.25">
      <c r="A443" s="91"/>
      <c r="B443" s="13">
        <v>9684</v>
      </c>
      <c r="C443" s="13" t="s">
        <v>352</v>
      </c>
      <c r="D443" s="13">
        <v>99</v>
      </c>
      <c r="E443" s="13" t="s">
        <v>15</v>
      </c>
      <c r="F443" s="13">
        <v>1</v>
      </c>
      <c r="G443" s="13" t="s">
        <v>16</v>
      </c>
      <c r="H443" s="13" t="s">
        <v>17</v>
      </c>
      <c r="I443" s="14">
        <v>4001392</v>
      </c>
      <c r="J443" s="13" t="s">
        <v>355</v>
      </c>
      <c r="K443" s="13">
        <v>99</v>
      </c>
      <c r="L443" s="13" t="s">
        <v>15</v>
      </c>
      <c r="M443" s="15">
        <v>1250</v>
      </c>
      <c r="N443" s="13" t="s">
        <v>1</v>
      </c>
      <c r="O443" s="16">
        <f t="shared" si="103"/>
        <v>0.125</v>
      </c>
      <c r="P443" s="22">
        <f t="shared" si="108"/>
        <v>0</v>
      </c>
    </row>
    <row r="444" spans="1:16" x14ac:dyDescent="0.25">
      <c r="A444" s="91"/>
      <c r="B444" s="13">
        <v>9684</v>
      </c>
      <c r="C444" s="13" t="s">
        <v>352</v>
      </c>
      <c r="D444" s="13">
        <v>99</v>
      </c>
      <c r="E444" s="13" t="s">
        <v>15</v>
      </c>
      <c r="F444" s="13">
        <v>1</v>
      </c>
      <c r="G444" s="13" t="s">
        <v>16</v>
      </c>
      <c r="H444" s="13" t="s">
        <v>17</v>
      </c>
      <c r="I444" s="14">
        <v>4002472</v>
      </c>
      <c r="J444" s="13" t="s">
        <v>356</v>
      </c>
      <c r="K444" s="13">
        <v>99</v>
      </c>
      <c r="L444" s="13" t="s">
        <v>15</v>
      </c>
      <c r="M444" s="15">
        <v>10000</v>
      </c>
      <c r="N444" s="13" t="s">
        <v>1</v>
      </c>
      <c r="O444" s="16">
        <f t="shared" si="103"/>
        <v>1</v>
      </c>
      <c r="P444" s="22">
        <f t="shared" si="108"/>
        <v>0</v>
      </c>
    </row>
    <row r="445" spans="1:16" x14ac:dyDescent="0.25">
      <c r="A445" s="91"/>
      <c r="B445" s="13">
        <v>9684</v>
      </c>
      <c r="C445" s="13" t="s">
        <v>352</v>
      </c>
      <c r="D445" s="13">
        <v>99</v>
      </c>
      <c r="E445" s="13" t="s">
        <v>15</v>
      </c>
      <c r="F445" s="13">
        <v>1</v>
      </c>
      <c r="G445" s="13" t="s">
        <v>16</v>
      </c>
      <c r="H445" s="13" t="s">
        <v>17</v>
      </c>
      <c r="I445" s="14">
        <v>4002826</v>
      </c>
      <c r="J445" s="13" t="s">
        <v>4</v>
      </c>
      <c r="K445" s="13">
        <v>99</v>
      </c>
      <c r="L445" s="13" t="s">
        <v>15</v>
      </c>
      <c r="M445" s="13">
        <v>20</v>
      </c>
      <c r="N445" s="13" t="s">
        <v>1</v>
      </c>
      <c r="O445" s="16">
        <f t="shared" si="103"/>
        <v>2E-3</v>
      </c>
      <c r="P445" s="22">
        <f t="shared" si="108"/>
        <v>0</v>
      </c>
    </row>
    <row r="446" spans="1:16" ht="15.75" thickBot="1" x14ac:dyDescent="0.3">
      <c r="A446" s="90"/>
      <c r="B446" s="23">
        <v>9684</v>
      </c>
      <c r="C446" s="23" t="s">
        <v>352</v>
      </c>
      <c r="D446" s="23">
        <v>99</v>
      </c>
      <c r="E446" s="23" t="s">
        <v>15</v>
      </c>
      <c r="F446" s="23">
        <v>1</v>
      </c>
      <c r="G446" s="23" t="s">
        <v>21</v>
      </c>
      <c r="H446" s="23" t="s">
        <v>17</v>
      </c>
      <c r="I446" s="24" t="s">
        <v>357</v>
      </c>
      <c r="J446" s="23" t="s">
        <v>358</v>
      </c>
      <c r="K446" s="23">
        <v>3</v>
      </c>
      <c r="L446" s="23" t="s">
        <v>24</v>
      </c>
      <c r="M446" s="25">
        <v>10000</v>
      </c>
      <c r="N446" s="23" t="s">
        <v>1</v>
      </c>
      <c r="O446" s="26">
        <f t="shared" si="103"/>
        <v>1</v>
      </c>
      <c r="P446" s="27">
        <f t="shared" si="108"/>
        <v>0</v>
      </c>
    </row>
    <row r="447" spans="1:16" x14ac:dyDescent="0.25"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3"/>
      <c r="N447" s="1"/>
    </row>
    <row r="448" spans="1:16" ht="15.75" thickBot="1" x14ac:dyDescent="0.3"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3"/>
      <c r="N448" s="1"/>
      <c r="P448" s="11">
        <f>IFERROR(VLOOKUP($A449,'PROGRAMA MES '!$A:$B,2,0),0)</f>
        <v>3162</v>
      </c>
    </row>
    <row r="449" spans="1:16" x14ac:dyDescent="0.25">
      <c r="A449" s="89">
        <f>B449</f>
        <v>9700</v>
      </c>
      <c r="B449" s="17">
        <v>9700</v>
      </c>
      <c r="C449" s="17" t="s">
        <v>359</v>
      </c>
      <c r="D449" s="17">
        <v>99</v>
      </c>
      <c r="E449" s="17" t="s">
        <v>15</v>
      </c>
      <c r="F449" s="17">
        <v>1</v>
      </c>
      <c r="G449" s="17" t="s">
        <v>360</v>
      </c>
      <c r="H449" s="17" t="s">
        <v>17</v>
      </c>
      <c r="I449" s="18">
        <v>2005219</v>
      </c>
      <c r="J449" s="17" t="s">
        <v>361</v>
      </c>
      <c r="K449" s="17">
        <v>99</v>
      </c>
      <c r="L449" s="17" t="s">
        <v>15</v>
      </c>
      <c r="M449" s="19">
        <v>10000</v>
      </c>
      <c r="N449" s="17" t="s">
        <v>1</v>
      </c>
      <c r="O449" s="20">
        <f t="shared" si="103"/>
        <v>1</v>
      </c>
      <c r="P449" s="21">
        <f>O449*$P$448</f>
        <v>3162</v>
      </c>
    </row>
    <row r="450" spans="1:16" x14ac:dyDescent="0.25">
      <c r="A450" s="91"/>
      <c r="B450" s="13">
        <v>9700</v>
      </c>
      <c r="C450" s="13" t="s">
        <v>359</v>
      </c>
      <c r="D450" s="13">
        <v>99</v>
      </c>
      <c r="E450" s="13" t="s">
        <v>15</v>
      </c>
      <c r="F450" s="13">
        <v>1</v>
      </c>
      <c r="G450" s="13" t="s">
        <v>35</v>
      </c>
      <c r="H450" s="13" t="s">
        <v>17</v>
      </c>
      <c r="I450" s="14">
        <v>3000937</v>
      </c>
      <c r="J450" s="13" t="s">
        <v>362</v>
      </c>
      <c r="K450" s="13">
        <v>99</v>
      </c>
      <c r="L450" s="13" t="s">
        <v>15</v>
      </c>
      <c r="M450" s="15">
        <v>4892.5</v>
      </c>
      <c r="N450" s="13" t="s">
        <v>3</v>
      </c>
      <c r="O450" s="16">
        <f t="shared" si="103"/>
        <v>0.48925000000000002</v>
      </c>
      <c r="P450" s="22">
        <f t="shared" ref="P450:P458" si="109">O450*$P$448</f>
        <v>1547.0085000000001</v>
      </c>
    </row>
    <row r="451" spans="1:16" x14ac:dyDescent="0.25">
      <c r="A451" s="91"/>
      <c r="B451" s="13">
        <v>9700</v>
      </c>
      <c r="C451" s="13" t="s">
        <v>359</v>
      </c>
      <c r="D451" s="13">
        <v>99</v>
      </c>
      <c r="E451" s="13" t="s">
        <v>15</v>
      </c>
      <c r="F451" s="13">
        <v>1</v>
      </c>
      <c r="G451" s="13" t="s">
        <v>35</v>
      </c>
      <c r="H451" s="13" t="s">
        <v>17</v>
      </c>
      <c r="I451" s="14">
        <v>3000949</v>
      </c>
      <c r="J451" s="13" t="s">
        <v>363</v>
      </c>
      <c r="K451" s="13">
        <v>99</v>
      </c>
      <c r="L451" s="13" t="s">
        <v>15</v>
      </c>
      <c r="M451" s="13">
        <v>7.5</v>
      </c>
      <c r="N451" s="13" t="s">
        <v>3</v>
      </c>
      <c r="O451" s="16">
        <f t="shared" si="103"/>
        <v>7.5000000000000002E-4</v>
      </c>
      <c r="P451" s="22">
        <f t="shared" si="109"/>
        <v>2.3715000000000002</v>
      </c>
    </row>
    <row r="452" spans="1:16" x14ac:dyDescent="0.25">
      <c r="A452" s="91"/>
      <c r="B452" s="13">
        <v>9700</v>
      </c>
      <c r="C452" s="13" t="s">
        <v>359</v>
      </c>
      <c r="D452" s="13">
        <v>99</v>
      </c>
      <c r="E452" s="13" t="s">
        <v>15</v>
      </c>
      <c r="F452" s="13">
        <v>1</v>
      </c>
      <c r="G452" s="13" t="s">
        <v>35</v>
      </c>
      <c r="H452" s="13" t="s">
        <v>17</v>
      </c>
      <c r="I452" s="14">
        <v>3000984</v>
      </c>
      <c r="J452" s="13" t="s">
        <v>364</v>
      </c>
      <c r="K452" s="13">
        <v>99</v>
      </c>
      <c r="L452" s="13" t="s">
        <v>15</v>
      </c>
      <c r="M452" s="13">
        <v>70</v>
      </c>
      <c r="N452" s="13" t="s">
        <v>3</v>
      </c>
      <c r="O452" s="16">
        <f t="shared" si="103"/>
        <v>7.0000000000000001E-3</v>
      </c>
      <c r="P452" s="22">
        <f t="shared" si="109"/>
        <v>22.134</v>
      </c>
    </row>
    <row r="453" spans="1:16" x14ac:dyDescent="0.25">
      <c r="A453" s="91"/>
      <c r="B453" s="13">
        <v>9700</v>
      </c>
      <c r="C453" s="13" t="s">
        <v>359</v>
      </c>
      <c r="D453" s="13">
        <v>99</v>
      </c>
      <c r="E453" s="13" t="s">
        <v>15</v>
      </c>
      <c r="F453" s="13">
        <v>1</v>
      </c>
      <c r="G453" s="13" t="s">
        <v>35</v>
      </c>
      <c r="H453" s="13" t="s">
        <v>17</v>
      </c>
      <c r="I453" s="14">
        <v>3004212</v>
      </c>
      <c r="J453" s="13" t="s">
        <v>365</v>
      </c>
      <c r="K453" s="13">
        <v>99</v>
      </c>
      <c r="L453" s="13" t="s">
        <v>15</v>
      </c>
      <c r="M453" s="13">
        <v>101.58</v>
      </c>
      <c r="N453" s="13" t="s">
        <v>3</v>
      </c>
      <c r="O453" s="16">
        <f t="shared" si="103"/>
        <v>1.0158E-2</v>
      </c>
      <c r="P453" s="22">
        <f t="shared" si="109"/>
        <v>32.119596000000001</v>
      </c>
    </row>
    <row r="454" spans="1:16" x14ac:dyDescent="0.25">
      <c r="A454" s="91"/>
      <c r="B454" s="13">
        <v>9700</v>
      </c>
      <c r="C454" s="13" t="s">
        <v>359</v>
      </c>
      <c r="D454" s="13">
        <v>99</v>
      </c>
      <c r="E454" s="13" t="s">
        <v>15</v>
      </c>
      <c r="F454" s="13">
        <v>1</v>
      </c>
      <c r="G454" s="13" t="s">
        <v>16</v>
      </c>
      <c r="H454" s="13" t="s">
        <v>17</v>
      </c>
      <c r="I454" s="14">
        <v>4002474</v>
      </c>
      <c r="J454" s="13" t="s">
        <v>366</v>
      </c>
      <c r="K454" s="13">
        <v>99</v>
      </c>
      <c r="L454" s="13" t="s">
        <v>15</v>
      </c>
      <c r="M454" s="15">
        <v>10000</v>
      </c>
      <c r="N454" s="13" t="s">
        <v>1</v>
      </c>
      <c r="O454" s="16">
        <f t="shared" si="103"/>
        <v>1</v>
      </c>
      <c r="P454" s="22">
        <f t="shared" si="109"/>
        <v>3162</v>
      </c>
    </row>
    <row r="455" spans="1:16" x14ac:dyDescent="0.25">
      <c r="A455" s="91"/>
      <c r="B455" s="13">
        <v>9700</v>
      </c>
      <c r="C455" s="13" t="s">
        <v>359</v>
      </c>
      <c r="D455" s="13">
        <v>99</v>
      </c>
      <c r="E455" s="13" t="s">
        <v>15</v>
      </c>
      <c r="F455" s="13">
        <v>1</v>
      </c>
      <c r="G455" s="13" t="s">
        <v>16</v>
      </c>
      <c r="H455" s="13" t="s">
        <v>17</v>
      </c>
      <c r="I455" s="14">
        <v>4005240</v>
      </c>
      <c r="J455" s="13" t="s">
        <v>367</v>
      </c>
      <c r="K455" s="13">
        <v>99</v>
      </c>
      <c r="L455" s="13" t="s">
        <v>15</v>
      </c>
      <c r="M455" s="15">
        <v>1667</v>
      </c>
      <c r="N455" s="13" t="s">
        <v>1</v>
      </c>
      <c r="O455" s="16">
        <f t="shared" si="103"/>
        <v>0.16669999999999999</v>
      </c>
      <c r="P455" s="22">
        <f t="shared" si="109"/>
        <v>527.10539999999992</v>
      </c>
    </row>
    <row r="456" spans="1:16" x14ac:dyDescent="0.25">
      <c r="A456" s="91"/>
      <c r="B456" s="13">
        <v>9700</v>
      </c>
      <c r="C456" s="13" t="s">
        <v>359</v>
      </c>
      <c r="D456" s="13">
        <v>99</v>
      </c>
      <c r="E456" s="13" t="s">
        <v>15</v>
      </c>
      <c r="F456" s="13">
        <v>1</v>
      </c>
      <c r="G456" s="13" t="s">
        <v>16</v>
      </c>
      <c r="H456" s="13" t="s">
        <v>17</v>
      </c>
      <c r="I456" s="14">
        <v>4009781</v>
      </c>
      <c r="J456" s="13" t="s">
        <v>368</v>
      </c>
      <c r="K456" s="13">
        <v>99</v>
      </c>
      <c r="L456" s="13" t="s">
        <v>15</v>
      </c>
      <c r="M456" s="15">
        <v>10000</v>
      </c>
      <c r="N456" s="13" t="s">
        <v>1</v>
      </c>
      <c r="O456" s="16">
        <f t="shared" si="103"/>
        <v>1</v>
      </c>
      <c r="P456" s="22">
        <f t="shared" si="109"/>
        <v>3162</v>
      </c>
    </row>
    <row r="457" spans="1:16" x14ac:dyDescent="0.25">
      <c r="A457" s="91"/>
      <c r="B457" s="13">
        <v>9700</v>
      </c>
      <c r="C457" s="13" t="s">
        <v>359</v>
      </c>
      <c r="D457" s="13">
        <v>99</v>
      </c>
      <c r="E457" s="13" t="s">
        <v>15</v>
      </c>
      <c r="F457" s="13">
        <v>1</v>
      </c>
      <c r="G457" s="13" t="s">
        <v>16</v>
      </c>
      <c r="H457" s="13" t="s">
        <v>17</v>
      </c>
      <c r="I457" s="14">
        <v>4016160</v>
      </c>
      <c r="J457" s="13" t="s">
        <v>69</v>
      </c>
      <c r="K457" s="13">
        <v>99</v>
      </c>
      <c r="L457" s="13" t="s">
        <v>15</v>
      </c>
      <c r="M457" s="13">
        <v>20</v>
      </c>
      <c r="N457" s="13" t="s">
        <v>3</v>
      </c>
      <c r="O457" s="16">
        <f t="shared" si="103"/>
        <v>2E-3</v>
      </c>
      <c r="P457" s="22">
        <f t="shared" si="109"/>
        <v>6.3239999999999998</v>
      </c>
    </row>
    <row r="458" spans="1:16" ht="15.75" thickBot="1" x14ac:dyDescent="0.3">
      <c r="A458" s="90"/>
      <c r="B458" s="23">
        <v>9700</v>
      </c>
      <c r="C458" s="23" t="s">
        <v>359</v>
      </c>
      <c r="D458" s="23">
        <v>99</v>
      </c>
      <c r="E458" s="23" t="s">
        <v>15</v>
      </c>
      <c r="F458" s="23">
        <v>1</v>
      </c>
      <c r="G458" s="23" t="s">
        <v>369</v>
      </c>
      <c r="H458" s="23" t="s">
        <v>17</v>
      </c>
      <c r="I458" s="24">
        <v>14000760</v>
      </c>
      <c r="J458" s="23" t="s">
        <v>370</v>
      </c>
      <c r="K458" s="23">
        <v>99</v>
      </c>
      <c r="L458" s="23" t="s">
        <v>15</v>
      </c>
      <c r="M458" s="25">
        <v>10000</v>
      </c>
      <c r="N458" s="23" t="s">
        <v>1</v>
      </c>
      <c r="O458" s="26">
        <f t="shared" si="103"/>
        <v>1</v>
      </c>
      <c r="P458" s="27">
        <f t="shared" si="109"/>
        <v>3162</v>
      </c>
    </row>
    <row r="459" spans="1:16" x14ac:dyDescent="0.25"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3"/>
      <c r="N459" s="1"/>
    </row>
    <row r="460" spans="1:16" ht="15.75" thickBot="1" x14ac:dyDescent="0.3"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3"/>
      <c r="N460" s="1"/>
      <c r="P460" s="11">
        <f>IFERROR(VLOOKUP($A461,'PROGRAMA MES '!$A:$B,2,0),0)</f>
        <v>3600</v>
      </c>
    </row>
    <row r="461" spans="1:16" x14ac:dyDescent="0.25">
      <c r="A461" s="89">
        <f>B461</f>
        <v>9701</v>
      </c>
      <c r="B461" s="17">
        <v>9701</v>
      </c>
      <c r="C461" s="17" t="s">
        <v>371</v>
      </c>
      <c r="D461" s="17">
        <v>99</v>
      </c>
      <c r="E461" s="17" t="s">
        <v>15</v>
      </c>
      <c r="F461" s="17">
        <v>1</v>
      </c>
      <c r="G461" s="17" t="s">
        <v>360</v>
      </c>
      <c r="H461" s="17" t="s">
        <v>17</v>
      </c>
      <c r="I461" s="18">
        <v>2005220</v>
      </c>
      <c r="J461" s="17" t="s">
        <v>372</v>
      </c>
      <c r="K461" s="17">
        <v>99</v>
      </c>
      <c r="L461" s="17" t="s">
        <v>15</v>
      </c>
      <c r="M461" s="19">
        <v>10000</v>
      </c>
      <c r="N461" s="17" t="s">
        <v>1</v>
      </c>
      <c r="O461" s="20">
        <f t="shared" si="103"/>
        <v>1</v>
      </c>
      <c r="P461" s="21">
        <f>O461*$P$460</f>
        <v>3600</v>
      </c>
    </row>
    <row r="462" spans="1:16" x14ac:dyDescent="0.25">
      <c r="A462" s="91"/>
      <c r="B462" s="13">
        <v>9701</v>
      </c>
      <c r="C462" s="13" t="s">
        <v>371</v>
      </c>
      <c r="D462" s="13">
        <v>99</v>
      </c>
      <c r="E462" s="13" t="s">
        <v>15</v>
      </c>
      <c r="F462" s="13">
        <v>1</v>
      </c>
      <c r="G462" s="13" t="s">
        <v>35</v>
      </c>
      <c r="H462" s="13" t="s">
        <v>17</v>
      </c>
      <c r="I462" s="14">
        <v>3000937</v>
      </c>
      <c r="J462" s="13" t="s">
        <v>362</v>
      </c>
      <c r="K462" s="13">
        <v>99</v>
      </c>
      <c r="L462" s="13" t="s">
        <v>15</v>
      </c>
      <c r="M462" s="15">
        <v>4842.5</v>
      </c>
      <c r="N462" s="13" t="s">
        <v>3</v>
      </c>
      <c r="O462" s="16">
        <f t="shared" si="103"/>
        <v>0.48425000000000001</v>
      </c>
      <c r="P462" s="22">
        <f t="shared" ref="P462:P470" si="110">O462*$P$460</f>
        <v>1743.3</v>
      </c>
    </row>
    <row r="463" spans="1:16" x14ac:dyDescent="0.25">
      <c r="A463" s="91"/>
      <c r="B463" s="13">
        <v>9701</v>
      </c>
      <c r="C463" s="13" t="s">
        <v>371</v>
      </c>
      <c r="D463" s="13">
        <v>99</v>
      </c>
      <c r="E463" s="13" t="s">
        <v>15</v>
      </c>
      <c r="F463" s="13">
        <v>1</v>
      </c>
      <c r="G463" s="13" t="s">
        <v>35</v>
      </c>
      <c r="H463" s="13" t="s">
        <v>17</v>
      </c>
      <c r="I463" s="14">
        <v>3000949</v>
      </c>
      <c r="J463" s="13" t="s">
        <v>363</v>
      </c>
      <c r="K463" s="13">
        <v>99</v>
      </c>
      <c r="L463" s="13" t="s">
        <v>15</v>
      </c>
      <c r="M463" s="13">
        <v>7.5</v>
      </c>
      <c r="N463" s="13" t="s">
        <v>3</v>
      </c>
      <c r="O463" s="16">
        <f t="shared" si="103"/>
        <v>7.5000000000000002E-4</v>
      </c>
      <c r="P463" s="22">
        <f t="shared" si="110"/>
        <v>2.7</v>
      </c>
    </row>
    <row r="464" spans="1:16" x14ac:dyDescent="0.25">
      <c r="A464" s="91"/>
      <c r="B464" s="13">
        <v>9701</v>
      </c>
      <c r="C464" s="13" t="s">
        <v>371</v>
      </c>
      <c r="D464" s="13">
        <v>99</v>
      </c>
      <c r="E464" s="13" t="s">
        <v>15</v>
      </c>
      <c r="F464" s="13">
        <v>1</v>
      </c>
      <c r="G464" s="13" t="s">
        <v>35</v>
      </c>
      <c r="H464" s="13" t="s">
        <v>17</v>
      </c>
      <c r="I464" s="14">
        <v>3000984</v>
      </c>
      <c r="J464" s="13" t="s">
        <v>364</v>
      </c>
      <c r="K464" s="13">
        <v>99</v>
      </c>
      <c r="L464" s="13" t="s">
        <v>15</v>
      </c>
      <c r="M464" s="13">
        <v>70</v>
      </c>
      <c r="N464" s="13" t="s">
        <v>3</v>
      </c>
      <c r="O464" s="16">
        <f t="shared" si="103"/>
        <v>7.0000000000000001E-3</v>
      </c>
      <c r="P464" s="22">
        <f t="shared" si="110"/>
        <v>25.2</v>
      </c>
    </row>
    <row r="465" spans="1:16" x14ac:dyDescent="0.25">
      <c r="A465" s="91"/>
      <c r="B465" s="13">
        <v>9701</v>
      </c>
      <c r="C465" s="13" t="s">
        <v>371</v>
      </c>
      <c r="D465" s="13">
        <v>99</v>
      </c>
      <c r="E465" s="13" t="s">
        <v>15</v>
      </c>
      <c r="F465" s="13">
        <v>1</v>
      </c>
      <c r="G465" s="13" t="s">
        <v>35</v>
      </c>
      <c r="H465" s="13" t="s">
        <v>17</v>
      </c>
      <c r="I465" s="14">
        <v>3004212</v>
      </c>
      <c r="J465" s="13" t="s">
        <v>365</v>
      </c>
      <c r="K465" s="13">
        <v>99</v>
      </c>
      <c r="L465" s="13" t="s">
        <v>15</v>
      </c>
      <c r="M465" s="13">
        <v>101.57</v>
      </c>
      <c r="N465" s="13" t="s">
        <v>3</v>
      </c>
      <c r="O465" s="16">
        <f t="shared" si="103"/>
        <v>1.0156999999999999E-2</v>
      </c>
      <c r="P465" s="22">
        <f t="shared" si="110"/>
        <v>36.565199999999997</v>
      </c>
    </row>
    <row r="466" spans="1:16" x14ac:dyDescent="0.25">
      <c r="A466" s="91"/>
      <c r="B466" s="13">
        <v>9701</v>
      </c>
      <c r="C466" s="13" t="s">
        <v>371</v>
      </c>
      <c r="D466" s="13">
        <v>99</v>
      </c>
      <c r="E466" s="13" t="s">
        <v>15</v>
      </c>
      <c r="F466" s="13">
        <v>1</v>
      </c>
      <c r="G466" s="13" t="s">
        <v>16</v>
      </c>
      <c r="H466" s="13" t="s">
        <v>17</v>
      </c>
      <c r="I466" s="14">
        <v>4004927</v>
      </c>
      <c r="J466" s="13" t="s">
        <v>373</v>
      </c>
      <c r="K466" s="13">
        <v>99</v>
      </c>
      <c r="L466" s="13" t="s">
        <v>15</v>
      </c>
      <c r="M466" s="15">
        <v>10000</v>
      </c>
      <c r="N466" s="13" t="s">
        <v>1</v>
      </c>
      <c r="O466" s="16">
        <f t="shared" si="103"/>
        <v>1</v>
      </c>
      <c r="P466" s="22">
        <f t="shared" si="110"/>
        <v>3600</v>
      </c>
    </row>
    <row r="467" spans="1:16" x14ac:dyDescent="0.25">
      <c r="A467" s="91"/>
      <c r="B467" s="13">
        <v>9701</v>
      </c>
      <c r="C467" s="13" t="s">
        <v>371</v>
      </c>
      <c r="D467" s="13">
        <v>99</v>
      </c>
      <c r="E467" s="13" t="s">
        <v>15</v>
      </c>
      <c r="F467" s="13">
        <v>1</v>
      </c>
      <c r="G467" s="13" t="s">
        <v>16</v>
      </c>
      <c r="H467" s="13" t="s">
        <v>17</v>
      </c>
      <c r="I467" s="14">
        <v>4005241</v>
      </c>
      <c r="J467" s="13" t="s">
        <v>374</v>
      </c>
      <c r="K467" s="13">
        <v>99</v>
      </c>
      <c r="L467" s="13" t="s">
        <v>15</v>
      </c>
      <c r="M467" s="15">
        <v>1667</v>
      </c>
      <c r="N467" s="13" t="s">
        <v>1</v>
      </c>
      <c r="O467" s="16">
        <f t="shared" si="103"/>
        <v>0.16669999999999999</v>
      </c>
      <c r="P467" s="22">
        <f t="shared" si="110"/>
        <v>600.12</v>
      </c>
    </row>
    <row r="468" spans="1:16" x14ac:dyDescent="0.25">
      <c r="A468" s="91"/>
      <c r="B468" s="13">
        <v>9701</v>
      </c>
      <c r="C468" s="13" t="s">
        <v>371</v>
      </c>
      <c r="D468" s="13">
        <v>99</v>
      </c>
      <c r="E468" s="13" t="s">
        <v>15</v>
      </c>
      <c r="F468" s="13">
        <v>1</v>
      </c>
      <c r="G468" s="13" t="s">
        <v>16</v>
      </c>
      <c r="H468" s="13" t="s">
        <v>17</v>
      </c>
      <c r="I468" s="14">
        <v>4009779</v>
      </c>
      <c r="J468" s="13" t="s">
        <v>375</v>
      </c>
      <c r="K468" s="13">
        <v>99</v>
      </c>
      <c r="L468" s="13" t="s">
        <v>15</v>
      </c>
      <c r="M468" s="15">
        <v>10000</v>
      </c>
      <c r="N468" s="13" t="s">
        <v>1</v>
      </c>
      <c r="O468" s="16">
        <f t="shared" si="103"/>
        <v>1</v>
      </c>
      <c r="P468" s="22">
        <f t="shared" si="110"/>
        <v>3600</v>
      </c>
    </row>
    <row r="469" spans="1:16" x14ac:dyDescent="0.25">
      <c r="A469" s="91"/>
      <c r="B469" s="13">
        <v>9701</v>
      </c>
      <c r="C469" s="13" t="s">
        <v>371</v>
      </c>
      <c r="D469" s="13">
        <v>99</v>
      </c>
      <c r="E469" s="13" t="s">
        <v>15</v>
      </c>
      <c r="F469" s="13">
        <v>1</v>
      </c>
      <c r="G469" s="13" t="s">
        <v>16</v>
      </c>
      <c r="H469" s="13" t="s">
        <v>17</v>
      </c>
      <c r="I469" s="14">
        <v>4016160</v>
      </c>
      <c r="J469" s="13" t="s">
        <v>69</v>
      </c>
      <c r="K469" s="13">
        <v>99</v>
      </c>
      <c r="L469" s="13" t="s">
        <v>15</v>
      </c>
      <c r="M469" s="13">
        <v>20</v>
      </c>
      <c r="N469" s="13" t="s">
        <v>3</v>
      </c>
      <c r="O469" s="16">
        <f t="shared" si="103"/>
        <v>2E-3</v>
      </c>
      <c r="P469" s="22">
        <f t="shared" si="110"/>
        <v>7.2</v>
      </c>
    </row>
    <row r="470" spans="1:16" ht="15.75" thickBot="1" x14ac:dyDescent="0.3">
      <c r="A470" s="90"/>
      <c r="B470" s="23">
        <v>9701</v>
      </c>
      <c r="C470" s="23" t="s">
        <v>371</v>
      </c>
      <c r="D470" s="23">
        <v>99</v>
      </c>
      <c r="E470" s="23" t="s">
        <v>15</v>
      </c>
      <c r="F470" s="23">
        <v>1</v>
      </c>
      <c r="G470" s="23" t="s">
        <v>369</v>
      </c>
      <c r="H470" s="23" t="s">
        <v>17</v>
      </c>
      <c r="I470" s="24">
        <v>14000760</v>
      </c>
      <c r="J470" s="23" t="s">
        <v>370</v>
      </c>
      <c r="K470" s="23">
        <v>99</v>
      </c>
      <c r="L470" s="23" t="s">
        <v>15</v>
      </c>
      <c r="M470" s="25">
        <v>10000</v>
      </c>
      <c r="N470" s="23" t="s">
        <v>1</v>
      </c>
      <c r="O470" s="26">
        <f t="shared" si="103"/>
        <v>1</v>
      </c>
      <c r="P470" s="27">
        <f t="shared" si="110"/>
        <v>3600</v>
      </c>
    </row>
    <row r="471" spans="1:16" x14ac:dyDescent="0.25"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3"/>
      <c r="N471" s="1"/>
    </row>
    <row r="472" spans="1:16" ht="15.75" thickBot="1" x14ac:dyDescent="0.3"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3"/>
      <c r="N472" s="1"/>
      <c r="P472" s="11">
        <f>IFERROR(VLOOKUP($A473,'PROGRAMA MES '!$A:$B,2,0),0)</f>
        <v>3612</v>
      </c>
    </row>
    <row r="473" spans="1:16" x14ac:dyDescent="0.25">
      <c r="A473" s="89">
        <f>B473</f>
        <v>9702</v>
      </c>
      <c r="B473" s="17">
        <v>9702</v>
      </c>
      <c r="C473" s="17" t="s">
        <v>376</v>
      </c>
      <c r="D473" s="17">
        <v>99</v>
      </c>
      <c r="E473" s="17" t="s">
        <v>15</v>
      </c>
      <c r="F473" s="17">
        <v>1</v>
      </c>
      <c r="G473" s="17" t="s">
        <v>360</v>
      </c>
      <c r="H473" s="17" t="s">
        <v>17</v>
      </c>
      <c r="I473" s="18">
        <v>2005221</v>
      </c>
      <c r="J473" s="17" t="s">
        <v>377</v>
      </c>
      <c r="K473" s="17">
        <v>99</v>
      </c>
      <c r="L473" s="17" t="s">
        <v>15</v>
      </c>
      <c r="M473" s="19">
        <v>10000</v>
      </c>
      <c r="N473" s="17" t="s">
        <v>1</v>
      </c>
      <c r="O473" s="20">
        <f t="shared" si="103"/>
        <v>1</v>
      </c>
      <c r="P473" s="21">
        <f>O473*$P$472</f>
        <v>3612</v>
      </c>
    </row>
    <row r="474" spans="1:16" x14ac:dyDescent="0.25">
      <c r="A474" s="91"/>
      <c r="B474" s="13">
        <v>9702</v>
      </c>
      <c r="C474" s="13" t="s">
        <v>376</v>
      </c>
      <c r="D474" s="13">
        <v>99</v>
      </c>
      <c r="E474" s="13" t="s">
        <v>15</v>
      </c>
      <c r="F474" s="13">
        <v>1</v>
      </c>
      <c r="G474" s="13" t="s">
        <v>35</v>
      </c>
      <c r="H474" s="13" t="s">
        <v>17</v>
      </c>
      <c r="I474" s="14">
        <v>3000937</v>
      </c>
      <c r="J474" s="13" t="s">
        <v>362</v>
      </c>
      <c r="K474" s="13">
        <v>99</v>
      </c>
      <c r="L474" s="13" t="s">
        <v>15</v>
      </c>
      <c r="M474" s="15">
        <v>3192.5</v>
      </c>
      <c r="N474" s="13" t="s">
        <v>3</v>
      </c>
      <c r="O474" s="16">
        <f t="shared" si="103"/>
        <v>0.31924999999999998</v>
      </c>
      <c r="P474" s="22">
        <f t="shared" ref="P474:P488" si="111">O474*$P$472</f>
        <v>1153.1309999999999</v>
      </c>
    </row>
    <row r="475" spans="1:16" x14ac:dyDescent="0.25">
      <c r="A475" s="91"/>
      <c r="B475" s="13">
        <v>9702</v>
      </c>
      <c r="C475" s="13" t="s">
        <v>376</v>
      </c>
      <c r="D475" s="13">
        <v>99</v>
      </c>
      <c r="E475" s="13" t="s">
        <v>15</v>
      </c>
      <c r="F475" s="13">
        <v>1</v>
      </c>
      <c r="G475" s="13" t="s">
        <v>35</v>
      </c>
      <c r="H475" s="13" t="s">
        <v>17</v>
      </c>
      <c r="I475" s="14">
        <v>3000949</v>
      </c>
      <c r="J475" s="13" t="s">
        <v>363</v>
      </c>
      <c r="K475" s="13">
        <v>99</v>
      </c>
      <c r="L475" s="13" t="s">
        <v>15</v>
      </c>
      <c r="M475" s="13">
        <v>7.5</v>
      </c>
      <c r="N475" s="13" t="s">
        <v>3</v>
      </c>
      <c r="O475" s="16">
        <f t="shared" si="103"/>
        <v>7.5000000000000002E-4</v>
      </c>
      <c r="P475" s="22">
        <f t="shared" si="111"/>
        <v>2.7090000000000001</v>
      </c>
    </row>
    <row r="476" spans="1:16" x14ac:dyDescent="0.25">
      <c r="A476" s="91"/>
      <c r="B476" s="13">
        <v>9702</v>
      </c>
      <c r="C476" s="13" t="s">
        <v>376</v>
      </c>
      <c r="D476" s="13">
        <v>99</v>
      </c>
      <c r="E476" s="13" t="s">
        <v>15</v>
      </c>
      <c r="F476" s="13">
        <v>1</v>
      </c>
      <c r="G476" s="13" t="s">
        <v>35</v>
      </c>
      <c r="H476" s="13" t="s">
        <v>17</v>
      </c>
      <c r="I476" s="14">
        <v>3000984</v>
      </c>
      <c r="J476" s="13" t="s">
        <v>364</v>
      </c>
      <c r="K476" s="13">
        <v>99</v>
      </c>
      <c r="L476" s="13" t="s">
        <v>15</v>
      </c>
      <c r="M476" s="13">
        <v>70</v>
      </c>
      <c r="N476" s="13" t="s">
        <v>3</v>
      </c>
      <c r="O476" s="16">
        <f t="shared" si="103"/>
        <v>7.0000000000000001E-3</v>
      </c>
      <c r="P476" s="22">
        <f t="shared" si="111"/>
        <v>25.283999999999999</v>
      </c>
    </row>
    <row r="477" spans="1:16" x14ac:dyDescent="0.25">
      <c r="A477" s="91"/>
      <c r="B477" s="13">
        <v>9702</v>
      </c>
      <c r="C477" s="13" t="s">
        <v>376</v>
      </c>
      <c r="D477" s="13">
        <v>99</v>
      </c>
      <c r="E477" s="13" t="s">
        <v>15</v>
      </c>
      <c r="F477" s="13">
        <v>1</v>
      </c>
      <c r="G477" s="13" t="s">
        <v>35</v>
      </c>
      <c r="H477" s="13" t="s">
        <v>17</v>
      </c>
      <c r="I477" s="14">
        <v>3001643</v>
      </c>
      <c r="J477" s="13" t="s">
        <v>378</v>
      </c>
      <c r="K477" s="13">
        <v>99</v>
      </c>
      <c r="L477" s="13" t="s">
        <v>15</v>
      </c>
      <c r="M477" s="15">
        <v>10000</v>
      </c>
      <c r="N477" s="13" t="s">
        <v>1</v>
      </c>
      <c r="O477" s="16">
        <f t="shared" si="103"/>
        <v>1</v>
      </c>
      <c r="P477" s="22">
        <f t="shared" si="111"/>
        <v>3612</v>
      </c>
    </row>
    <row r="478" spans="1:16" x14ac:dyDescent="0.25">
      <c r="A478" s="91"/>
      <c r="B478" s="13">
        <v>9702</v>
      </c>
      <c r="C478" s="13" t="s">
        <v>376</v>
      </c>
      <c r="D478" s="13">
        <v>99</v>
      </c>
      <c r="E478" s="13" t="s">
        <v>15</v>
      </c>
      <c r="F478" s="13">
        <v>1</v>
      </c>
      <c r="G478" s="13" t="s">
        <v>35</v>
      </c>
      <c r="H478" s="13" t="s">
        <v>17</v>
      </c>
      <c r="I478" s="14">
        <v>3001910</v>
      </c>
      <c r="J478" s="13" t="s">
        <v>379</v>
      </c>
      <c r="K478" s="13">
        <v>99</v>
      </c>
      <c r="L478" s="13" t="s">
        <v>15</v>
      </c>
      <c r="M478" s="15">
        <v>10000</v>
      </c>
      <c r="N478" s="13" t="s">
        <v>1</v>
      </c>
      <c r="O478" s="16">
        <f t="shared" si="103"/>
        <v>1</v>
      </c>
      <c r="P478" s="22">
        <f t="shared" si="111"/>
        <v>3612</v>
      </c>
    </row>
    <row r="479" spans="1:16" x14ac:dyDescent="0.25">
      <c r="A479" s="91"/>
      <c r="B479" s="13">
        <v>9702</v>
      </c>
      <c r="C479" s="13" t="s">
        <v>376</v>
      </c>
      <c r="D479" s="13">
        <v>99</v>
      </c>
      <c r="E479" s="13" t="s">
        <v>15</v>
      </c>
      <c r="F479" s="13">
        <v>1</v>
      </c>
      <c r="G479" s="13" t="s">
        <v>35</v>
      </c>
      <c r="H479" s="13" t="s">
        <v>17</v>
      </c>
      <c r="I479" s="14">
        <v>3001950</v>
      </c>
      <c r="J479" s="13" t="s">
        <v>380</v>
      </c>
      <c r="K479" s="13">
        <v>99</v>
      </c>
      <c r="L479" s="13" t="s">
        <v>15</v>
      </c>
      <c r="M479" s="13">
        <v>51.5</v>
      </c>
      <c r="N479" s="13" t="s">
        <v>3</v>
      </c>
      <c r="O479" s="16">
        <f t="shared" si="103"/>
        <v>5.1500000000000001E-3</v>
      </c>
      <c r="P479" s="22">
        <f t="shared" si="111"/>
        <v>18.601800000000001</v>
      </c>
    </row>
    <row r="480" spans="1:16" x14ac:dyDescent="0.25">
      <c r="A480" s="91"/>
      <c r="B480" s="13">
        <v>9702</v>
      </c>
      <c r="C480" s="13" t="s">
        <v>376</v>
      </c>
      <c r="D480" s="13">
        <v>99</v>
      </c>
      <c r="E480" s="13" t="s">
        <v>15</v>
      </c>
      <c r="F480" s="13">
        <v>1</v>
      </c>
      <c r="G480" s="13" t="s">
        <v>35</v>
      </c>
      <c r="H480" s="13" t="s">
        <v>17</v>
      </c>
      <c r="I480" s="14">
        <v>3004212</v>
      </c>
      <c r="J480" s="13" t="s">
        <v>365</v>
      </c>
      <c r="K480" s="13">
        <v>99</v>
      </c>
      <c r="L480" s="13" t="s">
        <v>15</v>
      </c>
      <c r="M480" s="13">
        <v>31.31</v>
      </c>
      <c r="N480" s="13" t="s">
        <v>3</v>
      </c>
      <c r="O480" s="16">
        <f t="shared" si="103"/>
        <v>3.1309999999999997E-3</v>
      </c>
      <c r="P480" s="22">
        <f t="shared" si="111"/>
        <v>11.309171999999998</v>
      </c>
    </row>
    <row r="481" spans="1:16" x14ac:dyDescent="0.25">
      <c r="A481" s="91"/>
      <c r="B481" s="13">
        <v>9702</v>
      </c>
      <c r="C481" s="13" t="s">
        <v>376</v>
      </c>
      <c r="D481" s="13">
        <v>99</v>
      </c>
      <c r="E481" s="13" t="s">
        <v>15</v>
      </c>
      <c r="F481" s="13">
        <v>1</v>
      </c>
      <c r="G481" s="13" t="s">
        <v>35</v>
      </c>
      <c r="H481" s="13" t="s">
        <v>17</v>
      </c>
      <c r="I481" s="14">
        <v>3004213</v>
      </c>
      <c r="J481" s="13" t="s">
        <v>381</v>
      </c>
      <c r="K481" s="13">
        <v>99</v>
      </c>
      <c r="L481" s="13" t="s">
        <v>15</v>
      </c>
      <c r="M481" s="13">
        <v>51.5</v>
      </c>
      <c r="N481" s="13" t="s">
        <v>3</v>
      </c>
      <c r="O481" s="16">
        <f t="shared" si="103"/>
        <v>5.1500000000000001E-3</v>
      </c>
      <c r="P481" s="22">
        <f t="shared" si="111"/>
        <v>18.601800000000001</v>
      </c>
    </row>
    <row r="482" spans="1:16" x14ac:dyDescent="0.25">
      <c r="A482" s="91"/>
      <c r="B482" s="13">
        <v>9702</v>
      </c>
      <c r="C482" s="13" t="s">
        <v>376</v>
      </c>
      <c r="D482" s="13">
        <v>99</v>
      </c>
      <c r="E482" s="13" t="s">
        <v>15</v>
      </c>
      <c r="F482" s="13">
        <v>1</v>
      </c>
      <c r="G482" s="13" t="s">
        <v>35</v>
      </c>
      <c r="H482" s="13" t="s">
        <v>17</v>
      </c>
      <c r="I482" s="14">
        <v>3004630</v>
      </c>
      <c r="J482" s="13" t="s">
        <v>382</v>
      </c>
      <c r="K482" s="13">
        <v>99</v>
      </c>
      <c r="L482" s="13" t="s">
        <v>15</v>
      </c>
      <c r="M482" s="15">
        <v>10000</v>
      </c>
      <c r="N482" s="13" t="s">
        <v>1</v>
      </c>
      <c r="O482" s="16">
        <f t="shared" si="103"/>
        <v>1</v>
      </c>
      <c r="P482" s="22">
        <f t="shared" si="111"/>
        <v>3612</v>
      </c>
    </row>
    <row r="483" spans="1:16" x14ac:dyDescent="0.25">
      <c r="A483" s="91"/>
      <c r="B483" s="13">
        <v>9702</v>
      </c>
      <c r="C483" s="13" t="s">
        <v>376</v>
      </c>
      <c r="D483" s="13">
        <v>99</v>
      </c>
      <c r="E483" s="13" t="s">
        <v>15</v>
      </c>
      <c r="F483" s="13">
        <v>1</v>
      </c>
      <c r="G483" s="13" t="s">
        <v>16</v>
      </c>
      <c r="H483" s="13" t="s">
        <v>17</v>
      </c>
      <c r="I483" s="14">
        <v>4002476</v>
      </c>
      <c r="J483" s="13" t="s">
        <v>383</v>
      </c>
      <c r="K483" s="13">
        <v>99</v>
      </c>
      <c r="L483" s="13" t="s">
        <v>15</v>
      </c>
      <c r="M483" s="15">
        <v>10000</v>
      </c>
      <c r="N483" s="13" t="s">
        <v>1</v>
      </c>
      <c r="O483" s="16">
        <f t="shared" si="103"/>
        <v>1</v>
      </c>
      <c r="P483" s="22">
        <f t="shared" si="111"/>
        <v>3612</v>
      </c>
    </row>
    <row r="484" spans="1:16" x14ac:dyDescent="0.25">
      <c r="A484" s="91"/>
      <c r="B484" s="13">
        <v>9702</v>
      </c>
      <c r="C484" s="13" t="s">
        <v>376</v>
      </c>
      <c r="D484" s="13">
        <v>99</v>
      </c>
      <c r="E484" s="13" t="s">
        <v>15</v>
      </c>
      <c r="F484" s="13">
        <v>1</v>
      </c>
      <c r="G484" s="13" t="s">
        <v>16</v>
      </c>
      <c r="H484" s="13" t="s">
        <v>17</v>
      </c>
      <c r="I484" s="14">
        <v>4004780</v>
      </c>
      <c r="J484" s="13" t="s">
        <v>384</v>
      </c>
      <c r="K484" s="13">
        <v>99</v>
      </c>
      <c r="L484" s="13" t="s">
        <v>15</v>
      </c>
      <c r="M484" s="15">
        <v>10000</v>
      </c>
      <c r="N484" s="13" t="s">
        <v>1</v>
      </c>
      <c r="O484" s="16">
        <f t="shared" si="103"/>
        <v>1</v>
      </c>
      <c r="P484" s="22">
        <f t="shared" si="111"/>
        <v>3612</v>
      </c>
    </row>
    <row r="485" spans="1:16" x14ac:dyDescent="0.25">
      <c r="A485" s="91"/>
      <c r="B485" s="13">
        <v>9702</v>
      </c>
      <c r="C485" s="13" t="s">
        <v>376</v>
      </c>
      <c r="D485" s="13">
        <v>99</v>
      </c>
      <c r="E485" s="13" t="s">
        <v>15</v>
      </c>
      <c r="F485" s="13">
        <v>1</v>
      </c>
      <c r="G485" s="13" t="s">
        <v>16</v>
      </c>
      <c r="H485" s="13" t="s">
        <v>17</v>
      </c>
      <c r="I485" s="14">
        <v>4005242</v>
      </c>
      <c r="J485" s="13" t="s">
        <v>385</v>
      </c>
      <c r="K485" s="13">
        <v>99</v>
      </c>
      <c r="L485" s="13" t="s">
        <v>15</v>
      </c>
      <c r="M485" s="13">
        <v>715</v>
      </c>
      <c r="N485" s="13" t="s">
        <v>1</v>
      </c>
      <c r="O485" s="16">
        <f t="shared" si="103"/>
        <v>7.1499999999999994E-2</v>
      </c>
      <c r="P485" s="22">
        <f t="shared" si="111"/>
        <v>258.25799999999998</v>
      </c>
    </row>
    <row r="486" spans="1:16" x14ac:dyDescent="0.25">
      <c r="A486" s="91"/>
      <c r="B486" s="13">
        <v>9702</v>
      </c>
      <c r="C486" s="13" t="s">
        <v>376</v>
      </c>
      <c r="D486" s="13">
        <v>99</v>
      </c>
      <c r="E486" s="13" t="s">
        <v>15</v>
      </c>
      <c r="F486" s="13">
        <v>1</v>
      </c>
      <c r="G486" s="13" t="s">
        <v>16</v>
      </c>
      <c r="H486" s="13" t="s">
        <v>17</v>
      </c>
      <c r="I486" s="14">
        <v>4009783</v>
      </c>
      <c r="J486" s="13" t="s">
        <v>386</v>
      </c>
      <c r="K486" s="13">
        <v>99</v>
      </c>
      <c r="L486" s="13" t="s">
        <v>15</v>
      </c>
      <c r="M486" s="15">
        <v>10000</v>
      </c>
      <c r="N486" s="13" t="s">
        <v>1</v>
      </c>
      <c r="O486" s="16">
        <f t="shared" si="103"/>
        <v>1</v>
      </c>
      <c r="P486" s="22">
        <f t="shared" si="111"/>
        <v>3612</v>
      </c>
    </row>
    <row r="487" spans="1:16" x14ac:dyDescent="0.25">
      <c r="A487" s="91"/>
      <c r="B487" s="13">
        <v>9702</v>
      </c>
      <c r="C487" s="13" t="s">
        <v>376</v>
      </c>
      <c r="D487" s="13">
        <v>99</v>
      </c>
      <c r="E487" s="13" t="s">
        <v>15</v>
      </c>
      <c r="F487" s="13">
        <v>1</v>
      </c>
      <c r="G487" s="13" t="s">
        <v>16</v>
      </c>
      <c r="H487" s="13" t="s">
        <v>17</v>
      </c>
      <c r="I487" s="14">
        <v>4016160</v>
      </c>
      <c r="J487" s="13" t="s">
        <v>69</v>
      </c>
      <c r="K487" s="13">
        <v>99</v>
      </c>
      <c r="L487" s="13" t="s">
        <v>15</v>
      </c>
      <c r="M487" s="13">
        <v>10</v>
      </c>
      <c r="N487" s="13" t="s">
        <v>3</v>
      </c>
      <c r="O487" s="16">
        <f t="shared" si="103"/>
        <v>1E-3</v>
      </c>
      <c r="P487" s="22">
        <f t="shared" si="111"/>
        <v>3.6120000000000001</v>
      </c>
    </row>
    <row r="488" spans="1:16" ht="15.75" thickBot="1" x14ac:dyDescent="0.3">
      <c r="A488" s="90"/>
      <c r="B488" s="23">
        <v>9702</v>
      </c>
      <c r="C488" s="23" t="s">
        <v>376</v>
      </c>
      <c r="D488" s="23">
        <v>99</v>
      </c>
      <c r="E488" s="23" t="s">
        <v>15</v>
      </c>
      <c r="F488" s="23">
        <v>1</v>
      </c>
      <c r="G488" s="23" t="s">
        <v>369</v>
      </c>
      <c r="H488" s="23" t="s">
        <v>17</v>
      </c>
      <c r="I488" s="24">
        <v>14000760</v>
      </c>
      <c r="J488" s="23" t="s">
        <v>370</v>
      </c>
      <c r="K488" s="23">
        <v>99</v>
      </c>
      <c r="L488" s="23" t="s">
        <v>15</v>
      </c>
      <c r="M488" s="25">
        <v>10000</v>
      </c>
      <c r="N488" s="23" t="s">
        <v>1</v>
      </c>
      <c r="O488" s="26">
        <f t="shared" si="103"/>
        <v>1</v>
      </c>
      <c r="P488" s="27">
        <f t="shared" si="111"/>
        <v>3612</v>
      </c>
    </row>
    <row r="489" spans="1:16" x14ac:dyDescent="0.25"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3"/>
      <c r="N489" s="1"/>
    </row>
    <row r="490" spans="1:16" ht="15.75" thickBot="1" x14ac:dyDescent="0.3"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3"/>
      <c r="N490" s="1"/>
      <c r="P490" s="11">
        <f>IFERROR(VLOOKUP($A491,'PROGRAMA MES '!$A:$B,2,0),0)</f>
        <v>0</v>
      </c>
    </row>
    <row r="491" spans="1:16" x14ac:dyDescent="0.25">
      <c r="A491" s="89">
        <f>B491</f>
        <v>9735</v>
      </c>
      <c r="B491" s="17">
        <v>9735</v>
      </c>
      <c r="C491" s="17" t="s">
        <v>387</v>
      </c>
      <c r="D491" s="17">
        <v>99</v>
      </c>
      <c r="E491" s="17" t="s">
        <v>15</v>
      </c>
      <c r="F491" s="17">
        <v>1</v>
      </c>
      <c r="G491" s="17" t="s">
        <v>16</v>
      </c>
      <c r="H491" s="17" t="s">
        <v>17</v>
      </c>
      <c r="I491" s="18">
        <v>4001383</v>
      </c>
      <c r="J491" s="17" t="s">
        <v>334</v>
      </c>
      <c r="K491" s="17">
        <v>99</v>
      </c>
      <c r="L491" s="17" t="s">
        <v>15</v>
      </c>
      <c r="M491" s="17">
        <v>500</v>
      </c>
      <c r="N491" s="17" t="s">
        <v>1</v>
      </c>
      <c r="O491" s="20">
        <f t="shared" si="103"/>
        <v>0.05</v>
      </c>
      <c r="P491" s="21">
        <f>O491*$P$490</f>
        <v>0</v>
      </c>
    </row>
    <row r="492" spans="1:16" x14ac:dyDescent="0.25">
      <c r="A492" s="91"/>
      <c r="B492" s="13">
        <v>9735</v>
      </c>
      <c r="C492" s="13" t="s">
        <v>387</v>
      </c>
      <c r="D492" s="13">
        <v>99</v>
      </c>
      <c r="E492" s="13" t="s">
        <v>15</v>
      </c>
      <c r="F492" s="13">
        <v>1</v>
      </c>
      <c r="G492" s="13" t="s">
        <v>16</v>
      </c>
      <c r="H492" s="13" t="s">
        <v>17</v>
      </c>
      <c r="I492" s="14">
        <v>4002826</v>
      </c>
      <c r="J492" s="13" t="s">
        <v>4</v>
      </c>
      <c r="K492" s="13">
        <v>99</v>
      </c>
      <c r="L492" s="13" t="s">
        <v>15</v>
      </c>
      <c r="M492" s="13">
        <v>9</v>
      </c>
      <c r="N492" s="13" t="s">
        <v>1</v>
      </c>
      <c r="O492" s="16">
        <f t="shared" ref="O492:O493" si="112">M492/10000</f>
        <v>8.9999999999999998E-4</v>
      </c>
      <c r="P492" s="22">
        <f>O492*$P$490</f>
        <v>0</v>
      </c>
    </row>
    <row r="493" spans="1:16" ht="15.75" thickBot="1" x14ac:dyDescent="0.3">
      <c r="A493" s="90"/>
      <c r="B493" s="23">
        <v>9735</v>
      </c>
      <c r="C493" s="23" t="s">
        <v>387</v>
      </c>
      <c r="D493" s="23">
        <v>99</v>
      </c>
      <c r="E493" s="23" t="s">
        <v>15</v>
      </c>
      <c r="F493" s="23">
        <v>1</v>
      </c>
      <c r="G493" s="23" t="s">
        <v>21</v>
      </c>
      <c r="H493" s="23" t="s">
        <v>17</v>
      </c>
      <c r="I493" s="24" t="s">
        <v>388</v>
      </c>
      <c r="J493" s="23" t="s">
        <v>389</v>
      </c>
      <c r="K493" s="23">
        <v>3</v>
      </c>
      <c r="L493" s="23" t="s">
        <v>24</v>
      </c>
      <c r="M493" s="25">
        <v>10000</v>
      </c>
      <c r="N493" s="23" t="s">
        <v>1</v>
      </c>
      <c r="O493" s="26">
        <f t="shared" si="112"/>
        <v>1</v>
      </c>
      <c r="P493" s="27">
        <f>O493*$P$490</f>
        <v>0</v>
      </c>
    </row>
    <row r="494" spans="1:16" x14ac:dyDescent="0.25"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3"/>
      <c r="N494" s="1"/>
    </row>
    <row r="495" spans="1:16" ht="15.75" thickBot="1" x14ac:dyDescent="0.3"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3"/>
      <c r="N495" s="1"/>
      <c r="P495" s="11">
        <f>IFERROR(VLOOKUP($A496,'PROGRAMA MES '!$A:$B,2,0),0)</f>
        <v>0</v>
      </c>
    </row>
    <row r="496" spans="1:16" x14ac:dyDescent="0.25">
      <c r="A496" s="89">
        <f>B496</f>
        <v>9738</v>
      </c>
      <c r="B496" s="17">
        <v>9738</v>
      </c>
      <c r="C496" s="17" t="s">
        <v>390</v>
      </c>
      <c r="D496" s="17">
        <v>51</v>
      </c>
      <c r="E496" s="17" t="s">
        <v>101</v>
      </c>
      <c r="F496" s="17">
        <v>1</v>
      </c>
      <c r="G496" s="17" t="s">
        <v>16</v>
      </c>
      <c r="H496" s="17" t="s">
        <v>17</v>
      </c>
      <c r="I496" s="18">
        <v>4001384</v>
      </c>
      <c r="J496" s="17" t="s">
        <v>338</v>
      </c>
      <c r="K496" s="17">
        <v>53</v>
      </c>
      <c r="L496" s="17" t="s">
        <v>130</v>
      </c>
      <c r="M496" s="17">
        <v>500</v>
      </c>
      <c r="N496" s="17" t="s">
        <v>1</v>
      </c>
      <c r="O496" s="20">
        <f t="shared" ref="O496:O499" si="113">M496/10000</f>
        <v>0.05</v>
      </c>
      <c r="P496" s="21">
        <f>O496*$P$495</f>
        <v>0</v>
      </c>
    </row>
    <row r="497" spans="1:16" x14ac:dyDescent="0.25">
      <c r="A497" s="91"/>
      <c r="B497" s="13">
        <v>9738</v>
      </c>
      <c r="C497" s="13" t="s">
        <v>390</v>
      </c>
      <c r="D497" s="13">
        <v>51</v>
      </c>
      <c r="E497" s="13" t="s">
        <v>101</v>
      </c>
      <c r="F497" s="13">
        <v>1</v>
      </c>
      <c r="G497" s="13" t="s">
        <v>16</v>
      </c>
      <c r="H497" s="13" t="s">
        <v>17</v>
      </c>
      <c r="I497" s="14">
        <v>4002546</v>
      </c>
      <c r="J497" s="13" t="s">
        <v>179</v>
      </c>
      <c r="K497" s="13">
        <v>99</v>
      </c>
      <c r="L497" s="13" t="s">
        <v>15</v>
      </c>
      <c r="M497" s="13">
        <v>500</v>
      </c>
      <c r="N497" s="13" t="s">
        <v>1</v>
      </c>
      <c r="O497" s="16">
        <f t="shared" si="113"/>
        <v>0.05</v>
      </c>
      <c r="P497" s="22">
        <f t="shared" ref="P497:P499" si="114">O497*$P$495</f>
        <v>0</v>
      </c>
    </row>
    <row r="498" spans="1:16" x14ac:dyDescent="0.25">
      <c r="A498" s="91"/>
      <c r="B498" s="13">
        <v>9738</v>
      </c>
      <c r="C498" s="13" t="s">
        <v>390</v>
      </c>
      <c r="D498" s="13">
        <v>51</v>
      </c>
      <c r="E498" s="13" t="s">
        <v>101</v>
      </c>
      <c r="F498" s="13">
        <v>1</v>
      </c>
      <c r="G498" s="13" t="s">
        <v>16</v>
      </c>
      <c r="H498" s="13" t="s">
        <v>17</v>
      </c>
      <c r="I498" s="14">
        <v>4002826</v>
      </c>
      <c r="J498" s="13" t="s">
        <v>4</v>
      </c>
      <c r="K498" s="13">
        <v>99</v>
      </c>
      <c r="L498" s="13" t="s">
        <v>15</v>
      </c>
      <c r="M498" s="13">
        <v>9</v>
      </c>
      <c r="N498" s="13" t="s">
        <v>1</v>
      </c>
      <c r="O498" s="16">
        <f t="shared" si="113"/>
        <v>8.9999999999999998E-4</v>
      </c>
      <c r="P498" s="22">
        <f t="shared" si="114"/>
        <v>0</v>
      </c>
    </row>
    <row r="499" spans="1:16" ht="15.75" thickBot="1" x14ac:dyDescent="0.3">
      <c r="A499" s="90"/>
      <c r="B499" s="23">
        <v>9738</v>
      </c>
      <c r="C499" s="23" t="s">
        <v>390</v>
      </c>
      <c r="D499" s="23">
        <v>51</v>
      </c>
      <c r="E499" s="23" t="s">
        <v>101</v>
      </c>
      <c r="F499" s="23">
        <v>1</v>
      </c>
      <c r="G499" s="23" t="s">
        <v>21</v>
      </c>
      <c r="H499" s="23" t="s">
        <v>17</v>
      </c>
      <c r="I499" s="24" t="s">
        <v>391</v>
      </c>
      <c r="J499" s="23" t="s">
        <v>392</v>
      </c>
      <c r="K499" s="23">
        <v>3</v>
      </c>
      <c r="L499" s="23" t="s">
        <v>24</v>
      </c>
      <c r="M499" s="25">
        <v>10000</v>
      </c>
      <c r="N499" s="23" t="s">
        <v>1</v>
      </c>
      <c r="O499" s="26">
        <f t="shared" si="113"/>
        <v>1</v>
      </c>
      <c r="P499" s="27">
        <f t="shared" si="114"/>
        <v>0</v>
      </c>
    </row>
    <row r="500" spans="1:16" x14ac:dyDescent="0.25"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3"/>
      <c r="N500" s="1"/>
    </row>
    <row r="501" spans="1:16" ht="15.75" thickBot="1" x14ac:dyDescent="0.3"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3"/>
      <c r="N501" s="1"/>
      <c r="P501" s="11">
        <f>IFERROR(VLOOKUP($A502,'PROGRAMA MES '!$A:$B,2,0),0)</f>
        <v>0</v>
      </c>
    </row>
    <row r="502" spans="1:16" x14ac:dyDescent="0.25">
      <c r="A502" s="89">
        <f>B502</f>
        <v>9741</v>
      </c>
      <c r="B502" s="17">
        <v>9741</v>
      </c>
      <c r="C502" s="17" t="s">
        <v>393</v>
      </c>
      <c r="D502" s="17">
        <v>99</v>
      </c>
      <c r="E502" s="17" t="s">
        <v>15</v>
      </c>
      <c r="F502" s="17">
        <v>1</v>
      </c>
      <c r="G502" s="17" t="s">
        <v>16</v>
      </c>
      <c r="H502" s="17" t="s">
        <v>17</v>
      </c>
      <c r="I502" s="18">
        <v>4001384</v>
      </c>
      <c r="J502" s="17" t="s">
        <v>338</v>
      </c>
      <c r="K502" s="17">
        <v>53</v>
      </c>
      <c r="L502" s="17" t="s">
        <v>130</v>
      </c>
      <c r="M502" s="17">
        <v>500</v>
      </c>
      <c r="N502" s="17" t="s">
        <v>1</v>
      </c>
      <c r="O502" s="20">
        <f t="shared" ref="O502:O504" si="115">M502/10000</f>
        <v>0.05</v>
      </c>
      <c r="P502" s="21">
        <f>O502*$P$501</f>
        <v>0</v>
      </c>
    </row>
    <row r="503" spans="1:16" x14ac:dyDescent="0.25">
      <c r="A503" s="91"/>
      <c r="B503" s="13">
        <v>9741</v>
      </c>
      <c r="C503" s="13" t="s">
        <v>393</v>
      </c>
      <c r="D503" s="13">
        <v>99</v>
      </c>
      <c r="E503" s="13" t="s">
        <v>15</v>
      </c>
      <c r="F503" s="13">
        <v>1</v>
      </c>
      <c r="G503" s="13" t="s">
        <v>16</v>
      </c>
      <c r="H503" s="13" t="s">
        <v>17</v>
      </c>
      <c r="I503" s="14">
        <v>4002826</v>
      </c>
      <c r="J503" s="13" t="s">
        <v>4</v>
      </c>
      <c r="K503" s="13">
        <v>99</v>
      </c>
      <c r="L503" s="13" t="s">
        <v>15</v>
      </c>
      <c r="M503" s="13">
        <v>10</v>
      </c>
      <c r="N503" s="13" t="s">
        <v>1</v>
      </c>
      <c r="O503" s="16">
        <f t="shared" si="115"/>
        <v>1E-3</v>
      </c>
      <c r="P503" s="22">
        <f t="shared" ref="P503:P504" si="116">O503*$P$501</f>
        <v>0</v>
      </c>
    </row>
    <row r="504" spans="1:16" ht="15.75" thickBot="1" x14ac:dyDescent="0.3">
      <c r="A504" s="90"/>
      <c r="B504" s="23">
        <v>9741</v>
      </c>
      <c r="C504" s="23" t="s">
        <v>393</v>
      </c>
      <c r="D504" s="23">
        <v>99</v>
      </c>
      <c r="E504" s="23" t="s">
        <v>15</v>
      </c>
      <c r="F504" s="23">
        <v>1</v>
      </c>
      <c r="G504" s="23" t="s">
        <v>21</v>
      </c>
      <c r="H504" s="23" t="s">
        <v>17</v>
      </c>
      <c r="I504" s="24" t="s">
        <v>394</v>
      </c>
      <c r="J504" s="23" t="s">
        <v>395</v>
      </c>
      <c r="K504" s="23">
        <v>3</v>
      </c>
      <c r="L504" s="23" t="s">
        <v>24</v>
      </c>
      <c r="M504" s="25">
        <v>10000</v>
      </c>
      <c r="N504" s="23" t="s">
        <v>1</v>
      </c>
      <c r="O504" s="26">
        <f t="shared" si="115"/>
        <v>1</v>
      </c>
      <c r="P504" s="27">
        <f t="shared" si="116"/>
        <v>0</v>
      </c>
    </row>
    <row r="505" spans="1:16" x14ac:dyDescent="0.25"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3"/>
      <c r="N505" s="1"/>
    </row>
    <row r="506" spans="1:16" ht="15.75" thickBot="1" x14ac:dyDescent="0.3"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3"/>
      <c r="N506" s="1"/>
      <c r="P506" s="11">
        <f>IFERROR(VLOOKUP($A507,'PROGRAMA MES '!$A:$B,2,0),0)</f>
        <v>0</v>
      </c>
    </row>
    <row r="507" spans="1:16" x14ac:dyDescent="0.25">
      <c r="A507" s="89">
        <f>B507</f>
        <v>9744</v>
      </c>
      <c r="B507" s="17">
        <v>9744</v>
      </c>
      <c r="C507" s="17" t="s">
        <v>396</v>
      </c>
      <c r="D507" s="17">
        <v>51</v>
      </c>
      <c r="E507" s="17" t="s">
        <v>101</v>
      </c>
      <c r="F507" s="17">
        <v>1</v>
      </c>
      <c r="G507" s="17" t="s">
        <v>16</v>
      </c>
      <c r="H507" s="17" t="s">
        <v>17</v>
      </c>
      <c r="I507" s="18">
        <v>4001385</v>
      </c>
      <c r="J507" s="17" t="s">
        <v>345</v>
      </c>
      <c r="K507" s="17">
        <v>99</v>
      </c>
      <c r="L507" s="17" t="s">
        <v>15</v>
      </c>
      <c r="M507" s="17">
        <v>500</v>
      </c>
      <c r="N507" s="17" t="s">
        <v>1</v>
      </c>
      <c r="O507" s="20">
        <f t="shared" ref="O507:O586" si="117">M507/10000</f>
        <v>0.05</v>
      </c>
      <c r="P507" s="21">
        <f>O507*$P$506</f>
        <v>0</v>
      </c>
    </row>
    <row r="508" spans="1:16" x14ac:dyDescent="0.25">
      <c r="A508" s="91"/>
      <c r="B508" s="13">
        <v>9744</v>
      </c>
      <c r="C508" s="13" t="s">
        <v>396</v>
      </c>
      <c r="D508" s="13">
        <v>51</v>
      </c>
      <c r="E508" s="13" t="s">
        <v>101</v>
      </c>
      <c r="F508" s="13">
        <v>1</v>
      </c>
      <c r="G508" s="13" t="s">
        <v>16</v>
      </c>
      <c r="H508" s="13" t="s">
        <v>17</v>
      </c>
      <c r="I508" s="14">
        <v>4002826</v>
      </c>
      <c r="J508" s="13" t="s">
        <v>4</v>
      </c>
      <c r="K508" s="13">
        <v>99</v>
      </c>
      <c r="L508" s="13" t="s">
        <v>15</v>
      </c>
      <c r="M508" s="13">
        <v>10</v>
      </c>
      <c r="N508" s="13" t="s">
        <v>1</v>
      </c>
      <c r="O508" s="16">
        <f t="shared" si="117"/>
        <v>1E-3</v>
      </c>
      <c r="P508" s="22">
        <f t="shared" ref="P508:P509" si="118">O508*$P$506</f>
        <v>0</v>
      </c>
    </row>
    <row r="509" spans="1:16" ht="15.75" thickBot="1" x14ac:dyDescent="0.3">
      <c r="A509" s="90"/>
      <c r="B509" s="23">
        <v>9744</v>
      </c>
      <c r="C509" s="23" t="s">
        <v>396</v>
      </c>
      <c r="D509" s="23">
        <v>51</v>
      </c>
      <c r="E509" s="23" t="s">
        <v>101</v>
      </c>
      <c r="F509" s="23">
        <v>1</v>
      </c>
      <c r="G509" s="23" t="s">
        <v>21</v>
      </c>
      <c r="H509" s="23" t="s">
        <v>17</v>
      </c>
      <c r="I509" s="24" t="s">
        <v>397</v>
      </c>
      <c r="J509" s="23" t="s">
        <v>398</v>
      </c>
      <c r="K509" s="23">
        <v>3</v>
      </c>
      <c r="L509" s="23" t="s">
        <v>24</v>
      </c>
      <c r="M509" s="25">
        <v>10000</v>
      </c>
      <c r="N509" s="23" t="s">
        <v>1</v>
      </c>
      <c r="O509" s="26">
        <f t="shared" si="117"/>
        <v>1</v>
      </c>
      <c r="P509" s="27">
        <f t="shared" si="118"/>
        <v>0</v>
      </c>
    </row>
    <row r="510" spans="1:16" x14ac:dyDescent="0.25"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3"/>
      <c r="N510" s="1"/>
    </row>
    <row r="511" spans="1:16" ht="15.75" thickBot="1" x14ac:dyDescent="0.3"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3"/>
      <c r="N511" s="1"/>
      <c r="P511" s="11">
        <f>IFERROR(VLOOKUP($A512,'PROGRAMA MES '!$A:$B,2,0),0)</f>
        <v>0</v>
      </c>
    </row>
    <row r="512" spans="1:16" x14ac:dyDescent="0.25">
      <c r="A512" s="89">
        <f>B512</f>
        <v>9751</v>
      </c>
      <c r="B512" s="17">
        <v>9751</v>
      </c>
      <c r="C512" s="17" t="s">
        <v>399</v>
      </c>
      <c r="D512" s="17">
        <v>99</v>
      </c>
      <c r="E512" s="17" t="s">
        <v>15</v>
      </c>
      <c r="F512" s="17">
        <v>1</v>
      </c>
      <c r="G512" s="17" t="s">
        <v>16</v>
      </c>
      <c r="H512" s="17" t="s">
        <v>17</v>
      </c>
      <c r="I512" s="18">
        <v>4001386</v>
      </c>
      <c r="J512" s="17" t="s">
        <v>349</v>
      </c>
      <c r="K512" s="17">
        <v>53</v>
      </c>
      <c r="L512" s="17" t="s">
        <v>130</v>
      </c>
      <c r="M512" s="17">
        <v>500</v>
      </c>
      <c r="N512" s="17" t="s">
        <v>1</v>
      </c>
      <c r="O512" s="20">
        <f t="shared" si="117"/>
        <v>0.05</v>
      </c>
      <c r="P512" s="21">
        <f>O512*$P$511</f>
        <v>0</v>
      </c>
    </row>
    <row r="513" spans="1:16" x14ac:dyDescent="0.25">
      <c r="A513" s="91"/>
      <c r="B513" s="13">
        <v>9751</v>
      </c>
      <c r="C513" s="13" t="s">
        <v>399</v>
      </c>
      <c r="D513" s="13">
        <v>99</v>
      </c>
      <c r="E513" s="13" t="s">
        <v>15</v>
      </c>
      <c r="F513" s="13">
        <v>1</v>
      </c>
      <c r="G513" s="13" t="s">
        <v>16</v>
      </c>
      <c r="H513" s="13" t="s">
        <v>17</v>
      </c>
      <c r="I513" s="14">
        <v>4002826</v>
      </c>
      <c r="J513" s="13" t="s">
        <v>4</v>
      </c>
      <c r="K513" s="13">
        <v>99</v>
      </c>
      <c r="L513" s="13" t="s">
        <v>15</v>
      </c>
      <c r="M513" s="13">
        <v>1</v>
      </c>
      <c r="N513" s="13" t="s">
        <v>1</v>
      </c>
      <c r="O513" s="16">
        <f t="shared" si="117"/>
        <v>1E-4</v>
      </c>
      <c r="P513" s="22">
        <f t="shared" ref="P513:P514" si="119">O513*$P$511</f>
        <v>0</v>
      </c>
    </row>
    <row r="514" spans="1:16" ht="15.75" thickBot="1" x14ac:dyDescent="0.3">
      <c r="A514" s="90"/>
      <c r="B514" s="23">
        <v>9751</v>
      </c>
      <c r="C514" s="23" t="s">
        <v>399</v>
      </c>
      <c r="D514" s="23">
        <v>99</v>
      </c>
      <c r="E514" s="23" t="s">
        <v>15</v>
      </c>
      <c r="F514" s="23">
        <v>1</v>
      </c>
      <c r="G514" s="23" t="s">
        <v>21</v>
      </c>
      <c r="H514" s="23" t="s">
        <v>17</v>
      </c>
      <c r="I514" s="24" t="s">
        <v>400</v>
      </c>
      <c r="J514" s="23" t="s">
        <v>401</v>
      </c>
      <c r="K514" s="23">
        <v>3</v>
      </c>
      <c r="L514" s="23" t="s">
        <v>24</v>
      </c>
      <c r="M514" s="25">
        <v>10000</v>
      </c>
      <c r="N514" s="23" t="s">
        <v>1</v>
      </c>
      <c r="O514" s="26">
        <f t="shared" si="117"/>
        <v>1</v>
      </c>
      <c r="P514" s="27">
        <f t="shared" si="119"/>
        <v>0</v>
      </c>
    </row>
    <row r="515" spans="1:16" x14ac:dyDescent="0.25"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3"/>
      <c r="N515" s="1"/>
    </row>
    <row r="516" spans="1:16" ht="15.75" thickBot="1" x14ac:dyDescent="0.3"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3"/>
      <c r="N516" s="1"/>
      <c r="P516" s="11">
        <f>IFERROR(VLOOKUP($A517,'PROGRAMA MES '!$A:$B,2,0),0)</f>
        <v>400</v>
      </c>
    </row>
    <row r="517" spans="1:16" x14ac:dyDescent="0.25">
      <c r="A517" s="89">
        <f>B517</f>
        <v>9830</v>
      </c>
      <c r="B517" s="17">
        <v>9830</v>
      </c>
      <c r="C517" s="17" t="s">
        <v>402</v>
      </c>
      <c r="D517" s="17">
        <v>99</v>
      </c>
      <c r="E517" s="17" t="s">
        <v>15</v>
      </c>
      <c r="F517" s="17">
        <v>1</v>
      </c>
      <c r="G517" s="17" t="s">
        <v>16</v>
      </c>
      <c r="H517" s="17" t="s">
        <v>17</v>
      </c>
      <c r="I517" s="18">
        <v>4001382</v>
      </c>
      <c r="J517" s="17" t="s">
        <v>330</v>
      </c>
      <c r="K517" s="17">
        <v>99</v>
      </c>
      <c r="L517" s="17" t="s">
        <v>15</v>
      </c>
      <c r="M517" s="17">
        <v>500</v>
      </c>
      <c r="N517" s="17" t="s">
        <v>1</v>
      </c>
      <c r="O517" s="20">
        <f t="shared" si="117"/>
        <v>0.05</v>
      </c>
      <c r="P517" s="21">
        <f>O517*$P$516</f>
        <v>20</v>
      </c>
    </row>
    <row r="518" spans="1:16" x14ac:dyDescent="0.25">
      <c r="A518" s="91"/>
      <c r="B518" s="13">
        <v>9830</v>
      </c>
      <c r="C518" s="13" t="s">
        <v>402</v>
      </c>
      <c r="D518" s="13">
        <v>99</v>
      </c>
      <c r="E518" s="13" t="s">
        <v>15</v>
      </c>
      <c r="F518" s="13">
        <v>1</v>
      </c>
      <c r="G518" s="13" t="s">
        <v>16</v>
      </c>
      <c r="H518" s="13" t="s">
        <v>17</v>
      </c>
      <c r="I518" s="14">
        <v>4002826</v>
      </c>
      <c r="J518" s="13" t="s">
        <v>4</v>
      </c>
      <c r="K518" s="13">
        <v>99</v>
      </c>
      <c r="L518" s="13" t="s">
        <v>15</v>
      </c>
      <c r="M518" s="13">
        <v>9</v>
      </c>
      <c r="N518" s="13" t="s">
        <v>1</v>
      </c>
      <c r="O518" s="16">
        <f t="shared" si="117"/>
        <v>8.9999999999999998E-4</v>
      </c>
      <c r="P518" s="22">
        <f t="shared" ref="P518:P519" si="120">O518*$P$516</f>
        <v>0.36</v>
      </c>
    </row>
    <row r="519" spans="1:16" ht="15.75" thickBot="1" x14ac:dyDescent="0.3">
      <c r="A519" s="90"/>
      <c r="B519" s="23">
        <v>9830</v>
      </c>
      <c r="C519" s="23" t="s">
        <v>402</v>
      </c>
      <c r="D519" s="23">
        <v>99</v>
      </c>
      <c r="E519" s="23" t="s">
        <v>15</v>
      </c>
      <c r="F519" s="23">
        <v>1</v>
      </c>
      <c r="G519" s="23" t="s">
        <v>21</v>
      </c>
      <c r="H519" s="23" t="s">
        <v>17</v>
      </c>
      <c r="I519" s="24" t="s">
        <v>403</v>
      </c>
      <c r="J519" s="23" t="s">
        <v>404</v>
      </c>
      <c r="K519" s="23">
        <v>3</v>
      </c>
      <c r="L519" s="23" t="s">
        <v>24</v>
      </c>
      <c r="M519" s="25">
        <v>10000</v>
      </c>
      <c r="N519" s="23" t="s">
        <v>1</v>
      </c>
      <c r="O519" s="26">
        <f t="shared" si="117"/>
        <v>1</v>
      </c>
      <c r="P519" s="27">
        <f t="shared" si="120"/>
        <v>400</v>
      </c>
    </row>
    <row r="520" spans="1:16" x14ac:dyDescent="0.25"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3"/>
      <c r="N520" s="1"/>
    </row>
    <row r="521" spans="1:16" ht="15.75" thickBot="1" x14ac:dyDescent="0.3"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3"/>
      <c r="N521" s="1"/>
      <c r="P521" s="11">
        <f>IFERROR(VLOOKUP($A522,'PROGRAMA MES '!$A:$B,2,0),0)</f>
        <v>10000</v>
      </c>
    </row>
    <row r="522" spans="1:16" x14ac:dyDescent="0.25">
      <c r="A522" s="89">
        <f>B522</f>
        <v>9835</v>
      </c>
      <c r="B522" s="17">
        <v>9835</v>
      </c>
      <c r="C522" s="17" t="s">
        <v>405</v>
      </c>
      <c r="D522" s="17">
        <v>99</v>
      </c>
      <c r="E522" s="17" t="s">
        <v>15</v>
      </c>
      <c r="F522" s="17">
        <v>1</v>
      </c>
      <c r="G522" s="17" t="s">
        <v>16</v>
      </c>
      <c r="H522" s="17" t="s">
        <v>17</v>
      </c>
      <c r="I522" s="18">
        <v>4001383</v>
      </c>
      <c r="J522" s="17" t="s">
        <v>334</v>
      </c>
      <c r="K522" s="17">
        <v>99</v>
      </c>
      <c r="L522" s="17" t="s">
        <v>15</v>
      </c>
      <c r="M522" s="17">
        <v>500</v>
      </c>
      <c r="N522" s="17" t="s">
        <v>1</v>
      </c>
      <c r="O522" s="20">
        <f t="shared" si="117"/>
        <v>0.05</v>
      </c>
      <c r="P522" s="21">
        <f>O522*$P$521</f>
        <v>500</v>
      </c>
    </row>
    <row r="523" spans="1:16" x14ac:dyDescent="0.25">
      <c r="A523" s="91"/>
      <c r="B523" s="13">
        <v>9835</v>
      </c>
      <c r="C523" s="13" t="s">
        <v>405</v>
      </c>
      <c r="D523" s="13">
        <v>99</v>
      </c>
      <c r="E523" s="13" t="s">
        <v>15</v>
      </c>
      <c r="F523" s="13">
        <v>1</v>
      </c>
      <c r="G523" s="13" t="s">
        <v>16</v>
      </c>
      <c r="H523" s="13" t="s">
        <v>17</v>
      </c>
      <c r="I523" s="14">
        <v>4002826</v>
      </c>
      <c r="J523" s="13" t="s">
        <v>4</v>
      </c>
      <c r="K523" s="13">
        <v>99</v>
      </c>
      <c r="L523" s="13" t="s">
        <v>15</v>
      </c>
      <c r="M523" s="13">
        <v>9</v>
      </c>
      <c r="N523" s="13" t="s">
        <v>1</v>
      </c>
      <c r="O523" s="16">
        <f t="shared" si="117"/>
        <v>8.9999999999999998E-4</v>
      </c>
      <c r="P523" s="22">
        <f t="shared" ref="P523:P524" si="121">O523*$P$521</f>
        <v>9</v>
      </c>
    </row>
    <row r="524" spans="1:16" ht="15.75" thickBot="1" x14ac:dyDescent="0.3">
      <c r="A524" s="90"/>
      <c r="B524" s="23">
        <v>9835</v>
      </c>
      <c r="C524" s="23" t="s">
        <v>405</v>
      </c>
      <c r="D524" s="23">
        <v>99</v>
      </c>
      <c r="E524" s="23" t="s">
        <v>15</v>
      </c>
      <c r="F524" s="23">
        <v>1</v>
      </c>
      <c r="G524" s="23" t="s">
        <v>21</v>
      </c>
      <c r="H524" s="23" t="s">
        <v>17</v>
      </c>
      <c r="I524" s="24" t="s">
        <v>406</v>
      </c>
      <c r="J524" s="23" t="s">
        <v>407</v>
      </c>
      <c r="K524" s="23">
        <v>3</v>
      </c>
      <c r="L524" s="23" t="s">
        <v>24</v>
      </c>
      <c r="M524" s="25">
        <v>10000</v>
      </c>
      <c r="N524" s="23" t="s">
        <v>1</v>
      </c>
      <c r="O524" s="26">
        <f t="shared" si="117"/>
        <v>1</v>
      </c>
      <c r="P524" s="27">
        <f t="shared" si="121"/>
        <v>10000</v>
      </c>
    </row>
    <row r="525" spans="1:16" x14ac:dyDescent="0.25"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3"/>
      <c r="N525" s="1"/>
    </row>
    <row r="526" spans="1:16" ht="15.75" thickBot="1" x14ac:dyDescent="0.3"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3"/>
      <c r="N526" s="1"/>
      <c r="P526" s="11">
        <f>IFERROR(VLOOKUP($A527,'PROGRAMA MES '!$A:$B,2,0),0)</f>
        <v>2600</v>
      </c>
    </row>
    <row r="527" spans="1:16" x14ac:dyDescent="0.25">
      <c r="A527" s="89">
        <f>B527</f>
        <v>9838</v>
      </c>
      <c r="B527" s="17">
        <v>9838</v>
      </c>
      <c r="C527" s="17" t="s">
        <v>408</v>
      </c>
      <c r="D527" s="17">
        <v>99</v>
      </c>
      <c r="E527" s="17" t="s">
        <v>15</v>
      </c>
      <c r="F527" s="17">
        <v>1</v>
      </c>
      <c r="G527" s="17" t="s">
        <v>16</v>
      </c>
      <c r="H527" s="17" t="s">
        <v>17</v>
      </c>
      <c r="I527" s="18">
        <v>4001384</v>
      </c>
      <c r="J527" s="17" t="s">
        <v>338</v>
      </c>
      <c r="K527" s="17">
        <v>53</v>
      </c>
      <c r="L527" s="17" t="s">
        <v>130</v>
      </c>
      <c r="M527" s="17">
        <v>500</v>
      </c>
      <c r="N527" s="17" t="s">
        <v>1</v>
      </c>
      <c r="O527" s="20">
        <f t="shared" si="117"/>
        <v>0.05</v>
      </c>
      <c r="P527" s="21">
        <f>O527*$P$526</f>
        <v>130</v>
      </c>
    </row>
    <row r="528" spans="1:16" x14ac:dyDescent="0.25">
      <c r="A528" s="91"/>
      <c r="B528" s="13">
        <v>9838</v>
      </c>
      <c r="C528" s="13" t="s">
        <v>408</v>
      </c>
      <c r="D528" s="13">
        <v>99</v>
      </c>
      <c r="E528" s="13" t="s">
        <v>15</v>
      </c>
      <c r="F528" s="13">
        <v>1</v>
      </c>
      <c r="G528" s="13" t="s">
        <v>16</v>
      </c>
      <c r="H528" s="13" t="s">
        <v>17</v>
      </c>
      <c r="I528" s="14">
        <v>4002826</v>
      </c>
      <c r="J528" s="13" t="s">
        <v>4</v>
      </c>
      <c r="K528" s="13">
        <v>99</v>
      </c>
      <c r="L528" s="13" t="s">
        <v>15</v>
      </c>
      <c r="M528" s="13">
        <v>10</v>
      </c>
      <c r="N528" s="13" t="s">
        <v>1</v>
      </c>
      <c r="O528" s="16">
        <f t="shared" si="117"/>
        <v>1E-3</v>
      </c>
      <c r="P528" s="22">
        <f>O528*$P$526</f>
        <v>2.6</v>
      </c>
    </row>
    <row r="529" spans="1:16" ht="15.75" thickBot="1" x14ac:dyDescent="0.3">
      <c r="A529" s="90"/>
      <c r="B529" s="23">
        <v>9838</v>
      </c>
      <c r="C529" s="23" t="s">
        <v>408</v>
      </c>
      <c r="D529" s="23">
        <v>99</v>
      </c>
      <c r="E529" s="23" t="s">
        <v>15</v>
      </c>
      <c r="F529" s="23">
        <v>1</v>
      </c>
      <c r="G529" s="23" t="s">
        <v>21</v>
      </c>
      <c r="H529" s="23" t="s">
        <v>17</v>
      </c>
      <c r="I529" s="24" t="s">
        <v>409</v>
      </c>
      <c r="J529" s="23" t="s">
        <v>410</v>
      </c>
      <c r="K529" s="23">
        <v>3</v>
      </c>
      <c r="L529" s="23" t="s">
        <v>24</v>
      </c>
      <c r="M529" s="25">
        <v>10000</v>
      </c>
      <c r="N529" s="23" t="s">
        <v>1</v>
      </c>
      <c r="O529" s="26">
        <f t="shared" si="117"/>
        <v>1</v>
      </c>
      <c r="P529" s="27">
        <f>O529*$P$526</f>
        <v>2600</v>
      </c>
    </row>
    <row r="530" spans="1:16" x14ac:dyDescent="0.25"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3"/>
      <c r="N530" s="1"/>
    </row>
    <row r="531" spans="1:16" ht="15.75" thickBot="1" x14ac:dyDescent="0.3"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3"/>
      <c r="N531" s="1"/>
      <c r="P531" s="11">
        <f>IFERROR(VLOOKUP($A532,'PROGRAMA MES '!$A:$B,2,0),0)</f>
        <v>11000</v>
      </c>
    </row>
    <row r="532" spans="1:16" x14ac:dyDescent="0.25">
      <c r="A532" s="89">
        <f>B532</f>
        <v>9841</v>
      </c>
      <c r="B532" s="17">
        <v>9841</v>
      </c>
      <c r="C532" s="17" t="s">
        <v>411</v>
      </c>
      <c r="D532" s="17">
        <v>99</v>
      </c>
      <c r="E532" s="17" t="s">
        <v>15</v>
      </c>
      <c r="F532" s="17">
        <v>1</v>
      </c>
      <c r="G532" s="17" t="s">
        <v>16</v>
      </c>
      <c r="H532" s="17" t="s">
        <v>17</v>
      </c>
      <c r="I532" s="18">
        <v>4001384</v>
      </c>
      <c r="J532" s="17" t="s">
        <v>338</v>
      </c>
      <c r="K532" s="17">
        <v>53</v>
      </c>
      <c r="L532" s="17" t="s">
        <v>130</v>
      </c>
      <c r="M532" s="17">
        <v>500</v>
      </c>
      <c r="N532" s="17" t="s">
        <v>1</v>
      </c>
      <c r="O532" s="20">
        <f t="shared" si="117"/>
        <v>0.05</v>
      </c>
      <c r="P532" s="21">
        <f>O532*$P$531</f>
        <v>550</v>
      </c>
    </row>
    <row r="533" spans="1:16" x14ac:dyDescent="0.25">
      <c r="A533" s="91"/>
      <c r="B533" s="13">
        <v>9841</v>
      </c>
      <c r="C533" s="13" t="s">
        <v>411</v>
      </c>
      <c r="D533" s="13">
        <v>99</v>
      </c>
      <c r="E533" s="13" t="s">
        <v>15</v>
      </c>
      <c r="F533" s="13">
        <v>1</v>
      </c>
      <c r="G533" s="13" t="s">
        <v>16</v>
      </c>
      <c r="H533" s="13" t="s">
        <v>17</v>
      </c>
      <c r="I533" s="14">
        <v>4002826</v>
      </c>
      <c r="J533" s="13" t="s">
        <v>4</v>
      </c>
      <c r="K533" s="13">
        <v>99</v>
      </c>
      <c r="L533" s="13" t="s">
        <v>15</v>
      </c>
      <c r="M533" s="13">
        <v>10</v>
      </c>
      <c r="N533" s="13" t="s">
        <v>1</v>
      </c>
      <c r="O533" s="16">
        <f t="shared" si="117"/>
        <v>1E-3</v>
      </c>
      <c r="P533" s="22">
        <f t="shared" ref="P533:P534" si="122">O533*$P$531</f>
        <v>11</v>
      </c>
    </row>
    <row r="534" spans="1:16" ht="15.75" thickBot="1" x14ac:dyDescent="0.3">
      <c r="A534" s="90"/>
      <c r="B534" s="23">
        <v>9841</v>
      </c>
      <c r="C534" s="23" t="s">
        <v>411</v>
      </c>
      <c r="D534" s="23">
        <v>99</v>
      </c>
      <c r="E534" s="23" t="s">
        <v>15</v>
      </c>
      <c r="F534" s="23">
        <v>1</v>
      </c>
      <c r="G534" s="23" t="s">
        <v>21</v>
      </c>
      <c r="H534" s="23" t="s">
        <v>17</v>
      </c>
      <c r="I534" s="24" t="s">
        <v>412</v>
      </c>
      <c r="J534" s="23" t="s">
        <v>413</v>
      </c>
      <c r="K534" s="23">
        <v>3</v>
      </c>
      <c r="L534" s="23" t="s">
        <v>24</v>
      </c>
      <c r="M534" s="25">
        <v>10000</v>
      </c>
      <c r="N534" s="23" t="s">
        <v>1</v>
      </c>
      <c r="O534" s="26">
        <f t="shared" si="117"/>
        <v>1</v>
      </c>
      <c r="P534" s="27">
        <f t="shared" si="122"/>
        <v>11000</v>
      </c>
    </row>
    <row r="535" spans="1:16" x14ac:dyDescent="0.25"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3"/>
      <c r="N535" s="1"/>
    </row>
    <row r="536" spans="1:16" ht="15.75" thickBot="1" x14ac:dyDescent="0.3"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3"/>
      <c r="N536" s="1"/>
      <c r="P536" s="11">
        <f>IFERROR(VLOOKUP($A537,'PROGRAMA MES '!$A:$B,2,0),0)</f>
        <v>5000</v>
      </c>
    </row>
    <row r="537" spans="1:16" x14ac:dyDescent="0.25">
      <c r="A537" s="89">
        <f>B537</f>
        <v>9844</v>
      </c>
      <c r="B537" s="17">
        <v>9844</v>
      </c>
      <c r="C537" s="17" t="s">
        <v>414</v>
      </c>
      <c r="D537" s="17">
        <v>99</v>
      </c>
      <c r="E537" s="17" t="s">
        <v>15</v>
      </c>
      <c r="F537" s="17">
        <v>1</v>
      </c>
      <c r="G537" s="17" t="s">
        <v>16</v>
      </c>
      <c r="H537" s="17" t="s">
        <v>17</v>
      </c>
      <c r="I537" s="18">
        <v>4001385</v>
      </c>
      <c r="J537" s="17" t="s">
        <v>345</v>
      </c>
      <c r="K537" s="17">
        <v>99</v>
      </c>
      <c r="L537" s="17" t="s">
        <v>15</v>
      </c>
      <c r="M537" s="17">
        <v>500</v>
      </c>
      <c r="N537" s="17" t="s">
        <v>1</v>
      </c>
      <c r="O537" s="20">
        <f t="shared" si="117"/>
        <v>0.05</v>
      </c>
      <c r="P537" s="21">
        <f>O537*$P$536</f>
        <v>250</v>
      </c>
    </row>
    <row r="538" spans="1:16" x14ac:dyDescent="0.25">
      <c r="A538" s="91"/>
      <c r="B538" s="13">
        <v>9844</v>
      </c>
      <c r="C538" s="13" t="s">
        <v>414</v>
      </c>
      <c r="D538" s="13">
        <v>99</v>
      </c>
      <c r="E538" s="13" t="s">
        <v>15</v>
      </c>
      <c r="F538" s="13">
        <v>1</v>
      </c>
      <c r="G538" s="13" t="s">
        <v>16</v>
      </c>
      <c r="H538" s="13" t="s">
        <v>17</v>
      </c>
      <c r="I538" s="14">
        <v>4002546</v>
      </c>
      <c r="J538" s="13" t="s">
        <v>179</v>
      </c>
      <c r="K538" s="13">
        <v>99</v>
      </c>
      <c r="L538" s="13" t="s">
        <v>15</v>
      </c>
      <c r="M538" s="13">
        <v>500</v>
      </c>
      <c r="N538" s="13" t="s">
        <v>1</v>
      </c>
      <c r="O538" s="16">
        <f t="shared" si="117"/>
        <v>0.05</v>
      </c>
      <c r="P538" s="22">
        <f t="shared" ref="P538:P540" si="123">O538*$P$536</f>
        <v>250</v>
      </c>
    </row>
    <row r="539" spans="1:16" x14ac:dyDescent="0.25">
      <c r="A539" s="91"/>
      <c r="B539" s="13">
        <v>9844</v>
      </c>
      <c r="C539" s="13" t="s">
        <v>414</v>
      </c>
      <c r="D539" s="13">
        <v>99</v>
      </c>
      <c r="E539" s="13" t="s">
        <v>15</v>
      </c>
      <c r="F539" s="13">
        <v>1</v>
      </c>
      <c r="G539" s="13" t="s">
        <v>16</v>
      </c>
      <c r="H539" s="13" t="s">
        <v>17</v>
      </c>
      <c r="I539" s="14">
        <v>4002826</v>
      </c>
      <c r="J539" s="13" t="s">
        <v>4</v>
      </c>
      <c r="K539" s="13">
        <v>99</v>
      </c>
      <c r="L539" s="13" t="s">
        <v>15</v>
      </c>
      <c r="M539" s="13">
        <v>10</v>
      </c>
      <c r="N539" s="13" t="s">
        <v>1</v>
      </c>
      <c r="O539" s="16">
        <f t="shared" si="117"/>
        <v>1E-3</v>
      </c>
      <c r="P539" s="22">
        <f t="shared" si="123"/>
        <v>5</v>
      </c>
    </row>
    <row r="540" spans="1:16" ht="15.75" thickBot="1" x14ac:dyDescent="0.3">
      <c r="A540" s="90"/>
      <c r="B540" s="23">
        <v>9844</v>
      </c>
      <c r="C540" s="23" t="s">
        <v>414</v>
      </c>
      <c r="D540" s="23">
        <v>99</v>
      </c>
      <c r="E540" s="23" t="s">
        <v>15</v>
      </c>
      <c r="F540" s="23">
        <v>1</v>
      </c>
      <c r="G540" s="23" t="s">
        <v>21</v>
      </c>
      <c r="H540" s="23" t="s">
        <v>17</v>
      </c>
      <c r="I540" s="24" t="s">
        <v>415</v>
      </c>
      <c r="J540" s="23" t="s">
        <v>416</v>
      </c>
      <c r="K540" s="23">
        <v>3</v>
      </c>
      <c r="L540" s="23" t="s">
        <v>24</v>
      </c>
      <c r="M540" s="25">
        <v>10000</v>
      </c>
      <c r="N540" s="23" t="s">
        <v>1</v>
      </c>
      <c r="O540" s="26">
        <f t="shared" si="117"/>
        <v>1</v>
      </c>
      <c r="P540" s="27">
        <f t="shared" si="123"/>
        <v>5000</v>
      </c>
    </row>
    <row r="541" spans="1:16" x14ac:dyDescent="0.25"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3"/>
      <c r="N541" s="1"/>
    </row>
    <row r="542" spans="1:16" ht="15.75" thickBot="1" x14ac:dyDescent="0.3"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3"/>
      <c r="N542" s="1"/>
      <c r="P542" s="11">
        <f>IFERROR(VLOOKUP($A543,'PROGRAMA MES '!$A:$B,2,0),0)</f>
        <v>9000</v>
      </c>
    </row>
    <row r="543" spans="1:16" x14ac:dyDescent="0.25">
      <c r="A543" s="89">
        <f>B543</f>
        <v>9851</v>
      </c>
      <c r="B543" s="17">
        <v>9851</v>
      </c>
      <c r="C543" s="17" t="s">
        <v>417</v>
      </c>
      <c r="D543" s="17">
        <v>99</v>
      </c>
      <c r="E543" s="17" t="s">
        <v>15</v>
      </c>
      <c r="F543" s="17">
        <v>1</v>
      </c>
      <c r="G543" s="17" t="s">
        <v>16</v>
      </c>
      <c r="H543" s="17" t="s">
        <v>17</v>
      </c>
      <c r="I543" s="18">
        <v>4001386</v>
      </c>
      <c r="J543" s="17" t="s">
        <v>349</v>
      </c>
      <c r="K543" s="17">
        <v>53</v>
      </c>
      <c r="L543" s="17" t="s">
        <v>130</v>
      </c>
      <c r="M543" s="17">
        <v>500</v>
      </c>
      <c r="N543" s="17" t="s">
        <v>1</v>
      </c>
      <c r="O543" s="20">
        <f t="shared" si="117"/>
        <v>0.05</v>
      </c>
      <c r="P543" s="21">
        <f>O543*$P$542</f>
        <v>450</v>
      </c>
    </row>
    <row r="544" spans="1:16" x14ac:dyDescent="0.25">
      <c r="A544" s="91"/>
      <c r="B544" s="13">
        <v>9851</v>
      </c>
      <c r="C544" s="13" t="s">
        <v>417</v>
      </c>
      <c r="D544" s="13">
        <v>99</v>
      </c>
      <c r="E544" s="13" t="s">
        <v>15</v>
      </c>
      <c r="F544" s="13">
        <v>1</v>
      </c>
      <c r="G544" s="13" t="s">
        <v>16</v>
      </c>
      <c r="H544" s="13" t="s">
        <v>17</v>
      </c>
      <c r="I544" s="14">
        <v>4002826</v>
      </c>
      <c r="J544" s="13" t="s">
        <v>4</v>
      </c>
      <c r="K544" s="13">
        <v>99</v>
      </c>
      <c r="L544" s="13" t="s">
        <v>15</v>
      </c>
      <c r="M544" s="13">
        <v>11</v>
      </c>
      <c r="N544" s="13" t="s">
        <v>1</v>
      </c>
      <c r="O544" s="16">
        <f t="shared" si="117"/>
        <v>1.1000000000000001E-3</v>
      </c>
      <c r="P544" s="22">
        <f t="shared" ref="P544:P545" si="124">O544*$P$542</f>
        <v>9.9</v>
      </c>
    </row>
    <row r="545" spans="1:16" ht="15.75" thickBot="1" x14ac:dyDescent="0.3">
      <c r="A545" s="90"/>
      <c r="B545" s="23">
        <v>9851</v>
      </c>
      <c r="C545" s="23" t="s">
        <v>417</v>
      </c>
      <c r="D545" s="23">
        <v>99</v>
      </c>
      <c r="E545" s="23" t="s">
        <v>15</v>
      </c>
      <c r="F545" s="23">
        <v>1</v>
      </c>
      <c r="G545" s="23" t="s">
        <v>21</v>
      </c>
      <c r="H545" s="23" t="s">
        <v>17</v>
      </c>
      <c r="I545" s="24" t="s">
        <v>418</v>
      </c>
      <c r="J545" s="23" t="s">
        <v>419</v>
      </c>
      <c r="K545" s="23">
        <v>3</v>
      </c>
      <c r="L545" s="23" t="s">
        <v>24</v>
      </c>
      <c r="M545" s="25">
        <v>10000</v>
      </c>
      <c r="N545" s="23" t="s">
        <v>1</v>
      </c>
      <c r="O545" s="26">
        <f t="shared" si="117"/>
        <v>1</v>
      </c>
      <c r="P545" s="27">
        <f t="shared" si="124"/>
        <v>9000</v>
      </c>
    </row>
    <row r="546" spans="1:16" x14ac:dyDescent="0.25"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3"/>
      <c r="N546" s="1"/>
    </row>
    <row r="547" spans="1:16" ht="15.75" thickBot="1" x14ac:dyDescent="0.3"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3"/>
      <c r="N547" s="1"/>
      <c r="P547" s="11">
        <f>IFERROR(VLOOKUP($A548,'PROGRAMA MES '!$A:$B,2,0),0)</f>
        <v>600</v>
      </c>
    </row>
    <row r="548" spans="1:16" x14ac:dyDescent="0.25">
      <c r="A548" s="89">
        <f>B548</f>
        <v>9935</v>
      </c>
      <c r="B548" s="17">
        <v>9935</v>
      </c>
      <c r="C548" s="17" t="s">
        <v>420</v>
      </c>
      <c r="D548" s="17">
        <v>99</v>
      </c>
      <c r="E548" s="17" t="s">
        <v>15</v>
      </c>
      <c r="F548" s="17">
        <v>1</v>
      </c>
      <c r="G548" s="17" t="s">
        <v>16</v>
      </c>
      <c r="H548" s="17" t="s">
        <v>17</v>
      </c>
      <c r="I548" s="18">
        <v>4001383</v>
      </c>
      <c r="J548" s="17" t="s">
        <v>334</v>
      </c>
      <c r="K548" s="17">
        <v>99</v>
      </c>
      <c r="L548" s="17" t="s">
        <v>15</v>
      </c>
      <c r="M548" s="17">
        <v>500</v>
      </c>
      <c r="N548" s="17" t="s">
        <v>1</v>
      </c>
      <c r="O548" s="20">
        <f t="shared" si="117"/>
        <v>0.05</v>
      </c>
      <c r="P548" s="21">
        <f>O548*$P$547</f>
        <v>30</v>
      </c>
    </row>
    <row r="549" spans="1:16" x14ac:dyDescent="0.25">
      <c r="A549" s="91"/>
      <c r="B549" s="13">
        <v>9935</v>
      </c>
      <c r="C549" s="13" t="s">
        <v>420</v>
      </c>
      <c r="D549" s="13">
        <v>99</v>
      </c>
      <c r="E549" s="13" t="s">
        <v>15</v>
      </c>
      <c r="F549" s="13">
        <v>1</v>
      </c>
      <c r="G549" s="13" t="s">
        <v>16</v>
      </c>
      <c r="H549" s="13" t="s">
        <v>17</v>
      </c>
      <c r="I549" s="14">
        <v>4002826</v>
      </c>
      <c r="J549" s="13" t="s">
        <v>4</v>
      </c>
      <c r="K549" s="13">
        <v>99</v>
      </c>
      <c r="L549" s="13" t="s">
        <v>15</v>
      </c>
      <c r="M549" s="13">
        <v>9</v>
      </c>
      <c r="N549" s="13" t="s">
        <v>1</v>
      </c>
      <c r="O549" s="16">
        <f t="shared" si="117"/>
        <v>8.9999999999999998E-4</v>
      </c>
      <c r="P549" s="22">
        <f t="shared" ref="P549:P550" si="125">O549*$P$547</f>
        <v>0.54</v>
      </c>
    </row>
    <row r="550" spans="1:16" ht="15.75" thickBot="1" x14ac:dyDescent="0.3">
      <c r="A550" s="90"/>
      <c r="B550" s="23">
        <v>9935</v>
      </c>
      <c r="C550" s="23" t="s">
        <v>420</v>
      </c>
      <c r="D550" s="23">
        <v>99</v>
      </c>
      <c r="E550" s="23" t="s">
        <v>15</v>
      </c>
      <c r="F550" s="23">
        <v>1</v>
      </c>
      <c r="G550" s="23" t="s">
        <v>21</v>
      </c>
      <c r="H550" s="23" t="s">
        <v>17</v>
      </c>
      <c r="I550" s="24" t="s">
        <v>421</v>
      </c>
      <c r="J550" s="23" t="s">
        <v>422</v>
      </c>
      <c r="K550" s="23">
        <v>3</v>
      </c>
      <c r="L550" s="23" t="s">
        <v>24</v>
      </c>
      <c r="M550" s="25">
        <v>10000</v>
      </c>
      <c r="N550" s="23" t="s">
        <v>1</v>
      </c>
      <c r="O550" s="26">
        <f t="shared" si="117"/>
        <v>1</v>
      </c>
      <c r="P550" s="27">
        <f t="shared" si="125"/>
        <v>600</v>
      </c>
    </row>
    <row r="551" spans="1:16" x14ac:dyDescent="0.25"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3"/>
      <c r="N551" s="1"/>
    </row>
    <row r="552" spans="1:16" ht="15.75" thickBot="1" x14ac:dyDescent="0.3"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3"/>
      <c r="N552" s="1"/>
      <c r="P552" s="11">
        <f>IFERROR(VLOOKUP($A553,'PROGRAMA MES '!$A:$B,2,0),0)</f>
        <v>500</v>
      </c>
    </row>
    <row r="553" spans="1:16" x14ac:dyDescent="0.25">
      <c r="A553" s="89">
        <f>B553</f>
        <v>9938</v>
      </c>
      <c r="B553" s="17">
        <v>9938</v>
      </c>
      <c r="C553" s="17" t="s">
        <v>423</v>
      </c>
      <c r="D553" s="17">
        <v>99</v>
      </c>
      <c r="E553" s="17" t="s">
        <v>15</v>
      </c>
      <c r="F553" s="17">
        <v>1</v>
      </c>
      <c r="G553" s="17" t="s">
        <v>16</v>
      </c>
      <c r="H553" s="17" t="s">
        <v>17</v>
      </c>
      <c r="I553" s="18">
        <v>4001384</v>
      </c>
      <c r="J553" s="17" t="s">
        <v>338</v>
      </c>
      <c r="K553" s="17">
        <v>53</v>
      </c>
      <c r="L553" s="17" t="s">
        <v>130</v>
      </c>
      <c r="M553" s="17">
        <v>500</v>
      </c>
      <c r="N553" s="17" t="s">
        <v>1</v>
      </c>
      <c r="O553" s="20">
        <f t="shared" si="117"/>
        <v>0.05</v>
      </c>
      <c r="P553" s="21">
        <f>O553*$P$552</f>
        <v>25</v>
      </c>
    </row>
    <row r="554" spans="1:16" x14ac:dyDescent="0.25">
      <c r="A554" s="91"/>
      <c r="B554" s="13">
        <v>9938</v>
      </c>
      <c r="C554" s="13" t="s">
        <v>423</v>
      </c>
      <c r="D554" s="13">
        <v>99</v>
      </c>
      <c r="E554" s="13" t="s">
        <v>15</v>
      </c>
      <c r="F554" s="13">
        <v>1</v>
      </c>
      <c r="G554" s="13" t="s">
        <v>16</v>
      </c>
      <c r="H554" s="13" t="s">
        <v>17</v>
      </c>
      <c r="I554" s="14">
        <v>4002826</v>
      </c>
      <c r="J554" s="13" t="s">
        <v>4</v>
      </c>
      <c r="K554" s="13">
        <v>99</v>
      </c>
      <c r="L554" s="13" t="s">
        <v>15</v>
      </c>
      <c r="M554" s="13">
        <v>10</v>
      </c>
      <c r="N554" s="13" t="s">
        <v>1</v>
      </c>
      <c r="O554" s="16">
        <f t="shared" si="117"/>
        <v>1E-3</v>
      </c>
      <c r="P554" s="22">
        <f t="shared" ref="P554:P555" si="126">O554*$P$552</f>
        <v>0.5</v>
      </c>
    </row>
    <row r="555" spans="1:16" ht="15.75" thickBot="1" x14ac:dyDescent="0.3">
      <c r="A555" s="90"/>
      <c r="B555" s="23">
        <v>9938</v>
      </c>
      <c r="C555" s="23" t="s">
        <v>423</v>
      </c>
      <c r="D555" s="23">
        <v>99</v>
      </c>
      <c r="E555" s="23" t="s">
        <v>15</v>
      </c>
      <c r="F555" s="23">
        <v>1</v>
      </c>
      <c r="G555" s="23" t="s">
        <v>21</v>
      </c>
      <c r="H555" s="23" t="s">
        <v>17</v>
      </c>
      <c r="I555" s="24" t="s">
        <v>424</v>
      </c>
      <c r="J555" s="23" t="s">
        <v>425</v>
      </c>
      <c r="K555" s="23">
        <v>3</v>
      </c>
      <c r="L555" s="23" t="s">
        <v>24</v>
      </c>
      <c r="M555" s="25">
        <v>10000</v>
      </c>
      <c r="N555" s="23" t="s">
        <v>1</v>
      </c>
      <c r="O555" s="26">
        <f t="shared" si="117"/>
        <v>1</v>
      </c>
      <c r="P555" s="27">
        <f t="shared" si="126"/>
        <v>500</v>
      </c>
    </row>
    <row r="556" spans="1:16" x14ac:dyDescent="0.25"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3"/>
      <c r="N556" s="1"/>
    </row>
    <row r="557" spans="1:16" ht="15.75" thickBot="1" x14ac:dyDescent="0.3"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3"/>
      <c r="N557" s="1"/>
      <c r="P557" s="11">
        <f>IFERROR(VLOOKUP($A558,'PROGRAMA MES '!$A:$B,2,0),0)</f>
        <v>0</v>
      </c>
    </row>
    <row r="558" spans="1:16" x14ac:dyDescent="0.25">
      <c r="A558" s="89">
        <f>B558</f>
        <v>9941</v>
      </c>
      <c r="B558" s="17">
        <v>9941</v>
      </c>
      <c r="C558" s="17" t="s">
        <v>426</v>
      </c>
      <c r="D558" s="17">
        <v>99</v>
      </c>
      <c r="E558" s="17" t="s">
        <v>15</v>
      </c>
      <c r="F558" s="17">
        <v>1</v>
      </c>
      <c r="G558" s="17" t="s">
        <v>16</v>
      </c>
      <c r="H558" s="17" t="s">
        <v>17</v>
      </c>
      <c r="I558" s="18">
        <v>4001384</v>
      </c>
      <c r="J558" s="17" t="s">
        <v>338</v>
      </c>
      <c r="K558" s="17">
        <v>53</v>
      </c>
      <c r="L558" s="17" t="s">
        <v>130</v>
      </c>
      <c r="M558" s="17">
        <v>500</v>
      </c>
      <c r="N558" s="17" t="s">
        <v>1</v>
      </c>
      <c r="O558" s="20">
        <f t="shared" si="117"/>
        <v>0.05</v>
      </c>
      <c r="P558" s="21">
        <f>O558*$P$557</f>
        <v>0</v>
      </c>
    </row>
    <row r="559" spans="1:16" x14ac:dyDescent="0.25">
      <c r="A559" s="91"/>
      <c r="B559" s="13">
        <v>9941</v>
      </c>
      <c r="C559" s="13" t="s">
        <v>426</v>
      </c>
      <c r="D559" s="13">
        <v>99</v>
      </c>
      <c r="E559" s="13" t="s">
        <v>15</v>
      </c>
      <c r="F559" s="13">
        <v>1</v>
      </c>
      <c r="G559" s="13" t="s">
        <v>16</v>
      </c>
      <c r="H559" s="13" t="s">
        <v>17</v>
      </c>
      <c r="I559" s="14">
        <v>4002826</v>
      </c>
      <c r="J559" s="13" t="s">
        <v>4</v>
      </c>
      <c r="K559" s="13">
        <v>99</v>
      </c>
      <c r="L559" s="13" t="s">
        <v>15</v>
      </c>
      <c r="M559" s="13">
        <v>10</v>
      </c>
      <c r="N559" s="13" t="s">
        <v>1</v>
      </c>
      <c r="O559" s="16">
        <f t="shared" si="117"/>
        <v>1E-3</v>
      </c>
      <c r="P559" s="22">
        <f t="shared" ref="P559:P560" si="127">O559*$P$557</f>
        <v>0</v>
      </c>
    </row>
    <row r="560" spans="1:16" ht="15.75" thickBot="1" x14ac:dyDescent="0.3">
      <c r="A560" s="90"/>
      <c r="B560" s="23">
        <v>9941</v>
      </c>
      <c r="C560" s="23" t="s">
        <v>426</v>
      </c>
      <c r="D560" s="23">
        <v>99</v>
      </c>
      <c r="E560" s="23" t="s">
        <v>15</v>
      </c>
      <c r="F560" s="23">
        <v>1</v>
      </c>
      <c r="G560" s="23" t="s">
        <v>21</v>
      </c>
      <c r="H560" s="23" t="s">
        <v>17</v>
      </c>
      <c r="I560" s="24" t="s">
        <v>427</v>
      </c>
      <c r="J560" s="23" t="s">
        <v>428</v>
      </c>
      <c r="K560" s="23">
        <v>3</v>
      </c>
      <c r="L560" s="23" t="s">
        <v>24</v>
      </c>
      <c r="M560" s="25">
        <v>10000</v>
      </c>
      <c r="N560" s="23" t="s">
        <v>1</v>
      </c>
      <c r="O560" s="26">
        <f t="shared" si="117"/>
        <v>1</v>
      </c>
      <c r="P560" s="27">
        <f t="shared" si="127"/>
        <v>0</v>
      </c>
    </row>
    <row r="561" spans="1:16" x14ac:dyDescent="0.25"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3"/>
      <c r="N561" s="1"/>
    </row>
    <row r="562" spans="1:16" ht="15.75" thickBot="1" x14ac:dyDescent="0.3"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3"/>
      <c r="N562" s="1"/>
      <c r="P562" s="11">
        <f>IFERROR(VLOOKUP($A563,'PROGRAMA MES '!$A:$B,2,0),0)</f>
        <v>0</v>
      </c>
    </row>
    <row r="563" spans="1:16" x14ac:dyDescent="0.25">
      <c r="A563" s="89">
        <f>B563</f>
        <v>9944</v>
      </c>
      <c r="B563" s="17">
        <v>9944</v>
      </c>
      <c r="C563" s="17" t="s">
        <v>429</v>
      </c>
      <c r="D563" s="17">
        <v>99</v>
      </c>
      <c r="E563" s="17" t="s">
        <v>15</v>
      </c>
      <c r="F563" s="17">
        <v>1</v>
      </c>
      <c r="G563" s="17" t="s">
        <v>16</v>
      </c>
      <c r="H563" s="17" t="s">
        <v>17</v>
      </c>
      <c r="I563" s="18">
        <v>4001385</v>
      </c>
      <c r="J563" s="17" t="s">
        <v>345</v>
      </c>
      <c r="K563" s="17">
        <v>99</v>
      </c>
      <c r="L563" s="17" t="s">
        <v>15</v>
      </c>
      <c r="M563" s="17">
        <v>500</v>
      </c>
      <c r="N563" s="17" t="s">
        <v>1</v>
      </c>
      <c r="O563" s="20">
        <f t="shared" si="117"/>
        <v>0.05</v>
      </c>
      <c r="P563" s="21">
        <f>O563*$P$562</f>
        <v>0</v>
      </c>
    </row>
    <row r="564" spans="1:16" x14ac:dyDescent="0.25">
      <c r="A564" s="91"/>
      <c r="B564" s="13">
        <v>9944</v>
      </c>
      <c r="C564" s="13" t="s">
        <v>429</v>
      </c>
      <c r="D564" s="13">
        <v>99</v>
      </c>
      <c r="E564" s="13" t="s">
        <v>15</v>
      </c>
      <c r="F564" s="13">
        <v>1</v>
      </c>
      <c r="G564" s="13" t="s">
        <v>16</v>
      </c>
      <c r="H564" s="13" t="s">
        <v>17</v>
      </c>
      <c r="I564" s="14">
        <v>4002546</v>
      </c>
      <c r="J564" s="13" t="s">
        <v>179</v>
      </c>
      <c r="K564" s="13">
        <v>99</v>
      </c>
      <c r="L564" s="13" t="s">
        <v>15</v>
      </c>
      <c r="M564" s="13">
        <v>500</v>
      </c>
      <c r="N564" s="13" t="s">
        <v>1</v>
      </c>
      <c r="O564" s="16">
        <f t="shared" si="117"/>
        <v>0.05</v>
      </c>
      <c r="P564" s="22">
        <f t="shared" ref="P564:P566" si="128">O564*$P$562</f>
        <v>0</v>
      </c>
    </row>
    <row r="565" spans="1:16" x14ac:dyDescent="0.25">
      <c r="A565" s="91"/>
      <c r="B565" s="13">
        <v>9944</v>
      </c>
      <c r="C565" s="13" t="s">
        <v>429</v>
      </c>
      <c r="D565" s="13">
        <v>99</v>
      </c>
      <c r="E565" s="13" t="s">
        <v>15</v>
      </c>
      <c r="F565" s="13">
        <v>1</v>
      </c>
      <c r="G565" s="13" t="s">
        <v>16</v>
      </c>
      <c r="H565" s="13" t="s">
        <v>17</v>
      </c>
      <c r="I565" s="14">
        <v>4002826</v>
      </c>
      <c r="J565" s="13" t="s">
        <v>4</v>
      </c>
      <c r="K565" s="13">
        <v>99</v>
      </c>
      <c r="L565" s="13" t="s">
        <v>15</v>
      </c>
      <c r="M565" s="13">
        <v>10</v>
      </c>
      <c r="N565" s="13" t="s">
        <v>1</v>
      </c>
      <c r="O565" s="16">
        <f t="shared" si="117"/>
        <v>1E-3</v>
      </c>
      <c r="P565" s="22">
        <f t="shared" si="128"/>
        <v>0</v>
      </c>
    </row>
    <row r="566" spans="1:16" ht="15.75" thickBot="1" x14ac:dyDescent="0.3">
      <c r="A566" s="90"/>
      <c r="B566" s="23">
        <v>9944</v>
      </c>
      <c r="C566" s="23" t="s">
        <v>429</v>
      </c>
      <c r="D566" s="23">
        <v>99</v>
      </c>
      <c r="E566" s="23" t="s">
        <v>15</v>
      </c>
      <c r="F566" s="23">
        <v>1</v>
      </c>
      <c r="G566" s="23" t="s">
        <v>21</v>
      </c>
      <c r="H566" s="23" t="s">
        <v>17</v>
      </c>
      <c r="I566" s="24" t="s">
        <v>430</v>
      </c>
      <c r="J566" s="23" t="s">
        <v>431</v>
      </c>
      <c r="K566" s="23">
        <v>3</v>
      </c>
      <c r="L566" s="23" t="s">
        <v>24</v>
      </c>
      <c r="M566" s="25">
        <v>10000</v>
      </c>
      <c r="N566" s="23" t="s">
        <v>1</v>
      </c>
      <c r="O566" s="26">
        <f t="shared" si="117"/>
        <v>1</v>
      </c>
      <c r="P566" s="27">
        <f t="shared" si="128"/>
        <v>0</v>
      </c>
    </row>
    <row r="567" spans="1:16" x14ac:dyDescent="0.25"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3"/>
      <c r="N567" s="1"/>
    </row>
    <row r="568" spans="1:16" ht="15.75" thickBot="1" x14ac:dyDescent="0.3"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3"/>
      <c r="N568" s="1"/>
      <c r="P568" s="11">
        <f>IFERROR(VLOOKUP($A569,'PROGRAMA MES '!$A:$B,2,0),0)</f>
        <v>2000</v>
      </c>
    </row>
    <row r="569" spans="1:16" x14ac:dyDescent="0.25">
      <c r="A569" s="89">
        <f>B569</f>
        <v>9951</v>
      </c>
      <c r="B569" s="17">
        <v>9951</v>
      </c>
      <c r="C569" s="17" t="s">
        <v>432</v>
      </c>
      <c r="D569" s="17">
        <v>99</v>
      </c>
      <c r="E569" s="17" t="s">
        <v>15</v>
      </c>
      <c r="F569" s="17">
        <v>1</v>
      </c>
      <c r="G569" s="17" t="s">
        <v>16</v>
      </c>
      <c r="H569" s="17" t="s">
        <v>17</v>
      </c>
      <c r="I569" s="18">
        <v>4001386</v>
      </c>
      <c r="J569" s="17" t="s">
        <v>349</v>
      </c>
      <c r="K569" s="17">
        <v>53</v>
      </c>
      <c r="L569" s="17" t="s">
        <v>130</v>
      </c>
      <c r="M569" s="17">
        <v>500</v>
      </c>
      <c r="N569" s="17" t="s">
        <v>1</v>
      </c>
      <c r="O569" s="20">
        <f t="shared" si="117"/>
        <v>0.05</v>
      </c>
      <c r="P569" s="21">
        <f>O569*$P$568</f>
        <v>100</v>
      </c>
    </row>
    <row r="570" spans="1:16" x14ac:dyDescent="0.25">
      <c r="A570" s="91"/>
      <c r="B570" s="13">
        <v>9951</v>
      </c>
      <c r="C570" s="13" t="s">
        <v>432</v>
      </c>
      <c r="D570" s="13">
        <v>99</v>
      </c>
      <c r="E570" s="13" t="s">
        <v>15</v>
      </c>
      <c r="F570" s="13">
        <v>1</v>
      </c>
      <c r="G570" s="13" t="s">
        <v>16</v>
      </c>
      <c r="H570" s="13" t="s">
        <v>17</v>
      </c>
      <c r="I570" s="14">
        <v>4002826</v>
      </c>
      <c r="J570" s="13" t="s">
        <v>4</v>
      </c>
      <c r="K570" s="13">
        <v>99</v>
      </c>
      <c r="L570" s="13" t="s">
        <v>15</v>
      </c>
      <c r="M570" s="13">
        <v>11</v>
      </c>
      <c r="N570" s="13" t="s">
        <v>1</v>
      </c>
      <c r="O570" s="16">
        <f t="shared" si="117"/>
        <v>1.1000000000000001E-3</v>
      </c>
      <c r="P570" s="22">
        <f t="shared" ref="P570:P571" si="129">O570*$P$568</f>
        <v>2.2000000000000002</v>
      </c>
    </row>
    <row r="571" spans="1:16" ht="15.75" thickBot="1" x14ac:dyDescent="0.3">
      <c r="A571" s="90"/>
      <c r="B571" s="23">
        <v>9951</v>
      </c>
      <c r="C571" s="23" t="s">
        <v>432</v>
      </c>
      <c r="D571" s="23">
        <v>99</v>
      </c>
      <c r="E571" s="23" t="s">
        <v>15</v>
      </c>
      <c r="F571" s="23">
        <v>1</v>
      </c>
      <c r="G571" s="23" t="s">
        <v>21</v>
      </c>
      <c r="H571" s="23" t="s">
        <v>17</v>
      </c>
      <c r="I571" s="24" t="s">
        <v>433</v>
      </c>
      <c r="J571" s="23" t="s">
        <v>434</v>
      </c>
      <c r="K571" s="23">
        <v>3</v>
      </c>
      <c r="L571" s="23" t="s">
        <v>24</v>
      </c>
      <c r="M571" s="25">
        <v>10000</v>
      </c>
      <c r="N571" s="23" t="s">
        <v>1</v>
      </c>
      <c r="O571" s="26">
        <f t="shared" si="117"/>
        <v>1</v>
      </c>
      <c r="P571" s="27">
        <f t="shared" si="129"/>
        <v>2000</v>
      </c>
    </row>
    <row r="572" spans="1:16" x14ac:dyDescent="0.25"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3"/>
      <c r="N572" s="1"/>
    </row>
    <row r="573" spans="1:16" ht="15.75" thickBot="1" x14ac:dyDescent="0.3"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3"/>
      <c r="N573" s="1"/>
      <c r="P573" s="11">
        <f>IFERROR(VLOOKUP($A574,'PROGRAMA MES '!$A:$B,2,0),0)</f>
        <v>2000</v>
      </c>
    </row>
    <row r="574" spans="1:16" x14ac:dyDescent="0.25">
      <c r="A574" s="89">
        <f>B574</f>
        <v>11035</v>
      </c>
      <c r="B574" s="17">
        <v>11035</v>
      </c>
      <c r="C574" s="17" t="s">
        <v>435</v>
      </c>
      <c r="D574" s="17">
        <v>99</v>
      </c>
      <c r="E574" s="17" t="s">
        <v>15</v>
      </c>
      <c r="F574" s="17">
        <v>1</v>
      </c>
      <c r="G574" s="17" t="s">
        <v>16</v>
      </c>
      <c r="H574" s="17" t="s">
        <v>17</v>
      </c>
      <c r="I574" s="18">
        <v>4001383</v>
      </c>
      <c r="J574" s="17" t="s">
        <v>334</v>
      </c>
      <c r="K574" s="17">
        <v>99</v>
      </c>
      <c r="L574" s="17" t="s">
        <v>15</v>
      </c>
      <c r="M574" s="17">
        <v>500</v>
      </c>
      <c r="N574" s="17" t="s">
        <v>1</v>
      </c>
      <c r="O574" s="20">
        <f t="shared" si="117"/>
        <v>0.05</v>
      </c>
      <c r="P574" s="21">
        <f>O574*$P$573</f>
        <v>100</v>
      </c>
    </row>
    <row r="575" spans="1:16" x14ac:dyDescent="0.25">
      <c r="A575" s="91"/>
      <c r="B575" s="13">
        <v>11035</v>
      </c>
      <c r="C575" s="13" t="s">
        <v>435</v>
      </c>
      <c r="D575" s="13">
        <v>99</v>
      </c>
      <c r="E575" s="13" t="s">
        <v>15</v>
      </c>
      <c r="F575" s="13">
        <v>1</v>
      </c>
      <c r="G575" s="13" t="s">
        <v>16</v>
      </c>
      <c r="H575" s="13" t="s">
        <v>17</v>
      </c>
      <c r="I575" s="14">
        <v>4002546</v>
      </c>
      <c r="J575" s="13" t="s">
        <v>179</v>
      </c>
      <c r="K575" s="13">
        <v>99</v>
      </c>
      <c r="L575" s="13" t="s">
        <v>15</v>
      </c>
      <c r="M575" s="13">
        <v>500</v>
      </c>
      <c r="N575" s="13" t="s">
        <v>1</v>
      </c>
      <c r="O575" s="16">
        <f t="shared" si="117"/>
        <v>0.05</v>
      </c>
      <c r="P575" s="22">
        <f t="shared" ref="P575:P577" si="130">O575*$P$573</f>
        <v>100</v>
      </c>
    </row>
    <row r="576" spans="1:16" x14ac:dyDescent="0.25">
      <c r="A576" s="91"/>
      <c r="B576" s="13">
        <v>11035</v>
      </c>
      <c r="C576" s="13" t="s">
        <v>435</v>
      </c>
      <c r="D576" s="13">
        <v>99</v>
      </c>
      <c r="E576" s="13" t="s">
        <v>15</v>
      </c>
      <c r="F576" s="13">
        <v>1</v>
      </c>
      <c r="G576" s="13" t="s">
        <v>16</v>
      </c>
      <c r="H576" s="13" t="s">
        <v>17</v>
      </c>
      <c r="I576" s="14">
        <v>4002826</v>
      </c>
      <c r="J576" s="13" t="s">
        <v>4</v>
      </c>
      <c r="K576" s="13">
        <v>99</v>
      </c>
      <c r="L576" s="13" t="s">
        <v>15</v>
      </c>
      <c r="M576" s="13">
        <v>9</v>
      </c>
      <c r="N576" s="13" t="s">
        <v>1</v>
      </c>
      <c r="O576" s="16">
        <f t="shared" si="117"/>
        <v>8.9999999999999998E-4</v>
      </c>
      <c r="P576" s="22">
        <f t="shared" si="130"/>
        <v>1.8</v>
      </c>
    </row>
    <row r="577" spans="1:16" ht="15.75" thickBot="1" x14ac:dyDescent="0.3">
      <c r="A577" s="90"/>
      <c r="B577" s="23">
        <v>11035</v>
      </c>
      <c r="C577" s="23" t="s">
        <v>435</v>
      </c>
      <c r="D577" s="23">
        <v>99</v>
      </c>
      <c r="E577" s="23" t="s">
        <v>15</v>
      </c>
      <c r="F577" s="23">
        <v>1</v>
      </c>
      <c r="G577" s="23" t="s">
        <v>21</v>
      </c>
      <c r="H577" s="23" t="s">
        <v>17</v>
      </c>
      <c r="I577" s="24" t="s">
        <v>436</v>
      </c>
      <c r="J577" s="23" t="s">
        <v>437</v>
      </c>
      <c r="K577" s="23">
        <v>3</v>
      </c>
      <c r="L577" s="23" t="s">
        <v>24</v>
      </c>
      <c r="M577" s="25">
        <v>10000</v>
      </c>
      <c r="N577" s="23" t="s">
        <v>1</v>
      </c>
      <c r="O577" s="26">
        <f t="shared" si="117"/>
        <v>1</v>
      </c>
      <c r="P577" s="27">
        <f t="shared" si="130"/>
        <v>2000</v>
      </c>
    </row>
    <row r="578" spans="1:16" x14ac:dyDescent="0.25"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3"/>
      <c r="N578" s="1"/>
    </row>
    <row r="579" spans="1:16" ht="15.75" thickBot="1" x14ac:dyDescent="0.3"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3"/>
      <c r="N579" s="1"/>
      <c r="P579" s="11">
        <f>IFERROR(VLOOKUP($A580,'PROGRAMA MES '!$A:$B,2,0),0)</f>
        <v>0</v>
      </c>
    </row>
    <row r="580" spans="1:16" x14ac:dyDescent="0.25">
      <c r="A580" s="89">
        <f>B580</f>
        <v>11041</v>
      </c>
      <c r="B580" s="17">
        <v>11041</v>
      </c>
      <c r="C580" s="17" t="s">
        <v>438</v>
      </c>
      <c r="D580" s="17">
        <v>99</v>
      </c>
      <c r="E580" s="17" t="s">
        <v>15</v>
      </c>
      <c r="F580" s="17">
        <v>1</v>
      </c>
      <c r="G580" s="17" t="s">
        <v>16</v>
      </c>
      <c r="H580" s="17" t="s">
        <v>17</v>
      </c>
      <c r="I580" s="18">
        <v>4001384</v>
      </c>
      <c r="J580" s="17" t="s">
        <v>338</v>
      </c>
      <c r="K580" s="17">
        <v>53</v>
      </c>
      <c r="L580" s="17" t="s">
        <v>130</v>
      </c>
      <c r="M580" s="17">
        <v>500</v>
      </c>
      <c r="N580" s="17" t="s">
        <v>1</v>
      </c>
      <c r="O580" s="20">
        <f t="shared" si="117"/>
        <v>0.05</v>
      </c>
      <c r="P580" s="21">
        <f>O580*$P$579</f>
        <v>0</v>
      </c>
    </row>
    <row r="581" spans="1:16" x14ac:dyDescent="0.25">
      <c r="A581" s="91"/>
      <c r="B581" s="13">
        <v>11041</v>
      </c>
      <c r="C581" s="13" t="s">
        <v>438</v>
      </c>
      <c r="D581" s="13">
        <v>99</v>
      </c>
      <c r="E581" s="13" t="s">
        <v>15</v>
      </c>
      <c r="F581" s="13">
        <v>1</v>
      </c>
      <c r="G581" s="13" t="s">
        <v>16</v>
      </c>
      <c r="H581" s="13" t="s">
        <v>17</v>
      </c>
      <c r="I581" s="14">
        <v>4002546</v>
      </c>
      <c r="J581" s="13" t="s">
        <v>179</v>
      </c>
      <c r="K581" s="13">
        <v>99</v>
      </c>
      <c r="L581" s="13" t="s">
        <v>15</v>
      </c>
      <c r="M581" s="13">
        <v>500</v>
      </c>
      <c r="N581" s="13" t="s">
        <v>1</v>
      </c>
      <c r="O581" s="16">
        <f t="shared" si="117"/>
        <v>0.05</v>
      </c>
      <c r="P581" s="22">
        <f t="shared" ref="P581:P583" si="131">O581*$P$579</f>
        <v>0</v>
      </c>
    </row>
    <row r="582" spans="1:16" x14ac:dyDescent="0.25">
      <c r="A582" s="91"/>
      <c r="B582" s="13">
        <v>11041</v>
      </c>
      <c r="C582" s="13" t="s">
        <v>438</v>
      </c>
      <c r="D582" s="13">
        <v>99</v>
      </c>
      <c r="E582" s="13" t="s">
        <v>15</v>
      </c>
      <c r="F582" s="13">
        <v>1</v>
      </c>
      <c r="G582" s="13" t="s">
        <v>16</v>
      </c>
      <c r="H582" s="13" t="s">
        <v>17</v>
      </c>
      <c r="I582" s="14">
        <v>4002826</v>
      </c>
      <c r="J582" s="13" t="s">
        <v>4</v>
      </c>
      <c r="K582" s="13">
        <v>99</v>
      </c>
      <c r="L582" s="13" t="s">
        <v>15</v>
      </c>
      <c r="M582" s="13">
        <v>10</v>
      </c>
      <c r="N582" s="13" t="s">
        <v>1</v>
      </c>
      <c r="O582" s="16">
        <f t="shared" si="117"/>
        <v>1E-3</v>
      </c>
      <c r="P582" s="22">
        <f t="shared" si="131"/>
        <v>0</v>
      </c>
    </row>
    <row r="583" spans="1:16" ht="15.75" thickBot="1" x14ac:dyDescent="0.3">
      <c r="A583" s="90"/>
      <c r="B583" s="23">
        <v>11041</v>
      </c>
      <c r="C583" s="23" t="s">
        <v>438</v>
      </c>
      <c r="D583" s="23">
        <v>99</v>
      </c>
      <c r="E583" s="23" t="s">
        <v>15</v>
      </c>
      <c r="F583" s="23">
        <v>1</v>
      </c>
      <c r="G583" s="23" t="s">
        <v>21</v>
      </c>
      <c r="H583" s="23" t="s">
        <v>17</v>
      </c>
      <c r="I583" s="24" t="s">
        <v>439</v>
      </c>
      <c r="J583" s="23" t="s">
        <v>440</v>
      </c>
      <c r="K583" s="23">
        <v>3</v>
      </c>
      <c r="L583" s="23" t="s">
        <v>24</v>
      </c>
      <c r="M583" s="25">
        <v>10000</v>
      </c>
      <c r="N583" s="23" t="s">
        <v>1</v>
      </c>
      <c r="O583" s="26">
        <f t="shared" si="117"/>
        <v>1</v>
      </c>
      <c r="P583" s="27">
        <f t="shared" si="131"/>
        <v>0</v>
      </c>
    </row>
    <row r="584" spans="1:16" x14ac:dyDescent="0.25"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3"/>
      <c r="N584" s="1"/>
    </row>
    <row r="585" spans="1:16" ht="15.75" thickBot="1" x14ac:dyDescent="0.3"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3"/>
      <c r="N585" s="1"/>
      <c r="P585" s="11">
        <f>IFERROR(VLOOKUP($A586,'PROGRAMA MES '!$A:$B,2,0),0)</f>
        <v>3400</v>
      </c>
    </row>
    <row r="586" spans="1:16" x14ac:dyDescent="0.25">
      <c r="A586" s="89">
        <f>B586</f>
        <v>11044</v>
      </c>
      <c r="B586" s="17">
        <v>11044</v>
      </c>
      <c r="C586" s="17" t="s">
        <v>441</v>
      </c>
      <c r="D586" s="17">
        <v>99</v>
      </c>
      <c r="E586" s="17" t="s">
        <v>15</v>
      </c>
      <c r="F586" s="17">
        <v>1</v>
      </c>
      <c r="G586" s="17" t="s">
        <v>16</v>
      </c>
      <c r="H586" s="17" t="s">
        <v>17</v>
      </c>
      <c r="I586" s="18">
        <v>4001385</v>
      </c>
      <c r="J586" s="17" t="s">
        <v>345</v>
      </c>
      <c r="K586" s="17">
        <v>99</v>
      </c>
      <c r="L586" s="17" t="s">
        <v>15</v>
      </c>
      <c r="M586" s="17">
        <v>500</v>
      </c>
      <c r="N586" s="17" t="s">
        <v>1</v>
      </c>
      <c r="O586" s="20">
        <f t="shared" si="117"/>
        <v>0.05</v>
      </c>
      <c r="P586" s="21">
        <f>O586*$P$585</f>
        <v>170</v>
      </c>
    </row>
    <row r="587" spans="1:16" x14ac:dyDescent="0.25">
      <c r="A587" s="91"/>
      <c r="B587" s="13">
        <v>11044</v>
      </c>
      <c r="C587" s="13" t="s">
        <v>441</v>
      </c>
      <c r="D587" s="13">
        <v>99</v>
      </c>
      <c r="E587" s="13" t="s">
        <v>15</v>
      </c>
      <c r="F587" s="13">
        <v>1</v>
      </c>
      <c r="G587" s="13" t="s">
        <v>16</v>
      </c>
      <c r="H587" s="13" t="s">
        <v>17</v>
      </c>
      <c r="I587" s="14">
        <v>4002546</v>
      </c>
      <c r="J587" s="13" t="s">
        <v>179</v>
      </c>
      <c r="K587" s="13">
        <v>99</v>
      </c>
      <c r="L587" s="13" t="s">
        <v>15</v>
      </c>
      <c r="M587" s="13">
        <v>500</v>
      </c>
      <c r="N587" s="13" t="s">
        <v>1</v>
      </c>
      <c r="O587" s="16">
        <f t="shared" ref="O587:O589" si="132">M587/10000</f>
        <v>0.05</v>
      </c>
      <c r="P587" s="22">
        <f t="shared" ref="P587:P589" si="133">O587*$P$585</f>
        <v>170</v>
      </c>
    </row>
    <row r="588" spans="1:16" x14ac:dyDescent="0.25">
      <c r="A588" s="91"/>
      <c r="B588" s="13">
        <v>11044</v>
      </c>
      <c r="C588" s="13" t="s">
        <v>441</v>
      </c>
      <c r="D588" s="13">
        <v>99</v>
      </c>
      <c r="E588" s="13" t="s">
        <v>15</v>
      </c>
      <c r="F588" s="13">
        <v>1</v>
      </c>
      <c r="G588" s="13" t="s">
        <v>16</v>
      </c>
      <c r="H588" s="13" t="s">
        <v>17</v>
      </c>
      <c r="I588" s="14">
        <v>4002826</v>
      </c>
      <c r="J588" s="13" t="s">
        <v>4</v>
      </c>
      <c r="K588" s="13">
        <v>99</v>
      </c>
      <c r="L588" s="13" t="s">
        <v>15</v>
      </c>
      <c r="M588" s="13">
        <v>10</v>
      </c>
      <c r="N588" s="13" t="s">
        <v>1</v>
      </c>
      <c r="O588" s="16">
        <f t="shared" si="132"/>
        <v>1E-3</v>
      </c>
      <c r="P588" s="22">
        <f t="shared" si="133"/>
        <v>3.4</v>
      </c>
    </row>
    <row r="589" spans="1:16" ht="15.75" thickBot="1" x14ac:dyDescent="0.3">
      <c r="A589" s="90"/>
      <c r="B589" s="23">
        <v>11044</v>
      </c>
      <c r="C589" s="23" t="s">
        <v>441</v>
      </c>
      <c r="D589" s="23">
        <v>99</v>
      </c>
      <c r="E589" s="23" t="s">
        <v>15</v>
      </c>
      <c r="F589" s="23">
        <v>1</v>
      </c>
      <c r="G589" s="23" t="s">
        <v>21</v>
      </c>
      <c r="H589" s="23" t="s">
        <v>17</v>
      </c>
      <c r="I589" s="24" t="s">
        <v>442</v>
      </c>
      <c r="J589" s="23" t="s">
        <v>443</v>
      </c>
      <c r="K589" s="23">
        <v>3</v>
      </c>
      <c r="L589" s="23" t="s">
        <v>24</v>
      </c>
      <c r="M589" s="25">
        <v>10000</v>
      </c>
      <c r="N589" s="23" t="s">
        <v>1</v>
      </c>
      <c r="O589" s="26">
        <f t="shared" si="132"/>
        <v>1</v>
      </c>
      <c r="P589" s="27">
        <f t="shared" si="133"/>
        <v>3400</v>
      </c>
    </row>
    <row r="590" spans="1:16" x14ac:dyDescent="0.25"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3"/>
      <c r="N590" s="1"/>
    </row>
    <row r="591" spans="1:16" ht="15.75" thickBot="1" x14ac:dyDescent="0.3"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3"/>
      <c r="N591" s="1"/>
      <c r="P591" s="11">
        <f>IFERROR(VLOOKUP($A592,'PROGRAMA MES '!$A:$B,2,0),0)</f>
        <v>10600</v>
      </c>
    </row>
    <row r="592" spans="1:16" x14ac:dyDescent="0.25">
      <c r="A592" s="89">
        <f>B592</f>
        <v>11051</v>
      </c>
      <c r="B592" s="17">
        <v>11051</v>
      </c>
      <c r="C592" s="17" t="s">
        <v>444</v>
      </c>
      <c r="D592" s="17">
        <v>99</v>
      </c>
      <c r="E592" s="17" t="s">
        <v>15</v>
      </c>
      <c r="F592" s="17">
        <v>1</v>
      </c>
      <c r="G592" s="17" t="s">
        <v>16</v>
      </c>
      <c r="H592" s="17" t="s">
        <v>17</v>
      </c>
      <c r="I592" s="18">
        <v>4001386</v>
      </c>
      <c r="J592" s="17" t="s">
        <v>349</v>
      </c>
      <c r="K592" s="17">
        <v>53</v>
      </c>
      <c r="L592" s="17" t="s">
        <v>130</v>
      </c>
      <c r="M592" s="17">
        <v>500</v>
      </c>
      <c r="N592" s="17" t="s">
        <v>1</v>
      </c>
      <c r="O592" s="20">
        <f t="shared" ref="O592:O595" si="134">M592/10000</f>
        <v>0.05</v>
      </c>
      <c r="P592" s="21">
        <f>O592*$P$591</f>
        <v>530</v>
      </c>
    </row>
    <row r="593" spans="1:16" x14ac:dyDescent="0.25">
      <c r="A593" s="91"/>
      <c r="B593" s="13">
        <v>11051</v>
      </c>
      <c r="C593" s="13" t="s">
        <v>444</v>
      </c>
      <c r="D593" s="13">
        <v>99</v>
      </c>
      <c r="E593" s="13" t="s">
        <v>15</v>
      </c>
      <c r="F593" s="13">
        <v>1</v>
      </c>
      <c r="G593" s="13" t="s">
        <v>16</v>
      </c>
      <c r="H593" s="13" t="s">
        <v>17</v>
      </c>
      <c r="I593" s="14">
        <v>4002546</v>
      </c>
      <c r="J593" s="13" t="s">
        <v>179</v>
      </c>
      <c r="K593" s="13">
        <v>99</v>
      </c>
      <c r="L593" s="13" t="s">
        <v>15</v>
      </c>
      <c r="M593" s="13">
        <v>500</v>
      </c>
      <c r="N593" s="13" t="s">
        <v>1</v>
      </c>
      <c r="O593" s="16">
        <f t="shared" si="134"/>
        <v>0.05</v>
      </c>
      <c r="P593" s="22">
        <f t="shared" ref="P593:P595" si="135">O593*$P$591</f>
        <v>530</v>
      </c>
    </row>
    <row r="594" spans="1:16" x14ac:dyDescent="0.25">
      <c r="A594" s="91"/>
      <c r="B594" s="13">
        <v>11051</v>
      </c>
      <c r="C594" s="13" t="s">
        <v>444</v>
      </c>
      <c r="D594" s="13">
        <v>99</v>
      </c>
      <c r="E594" s="13" t="s">
        <v>15</v>
      </c>
      <c r="F594" s="13">
        <v>1</v>
      </c>
      <c r="G594" s="13" t="s">
        <v>16</v>
      </c>
      <c r="H594" s="13" t="s">
        <v>17</v>
      </c>
      <c r="I594" s="14">
        <v>4002826</v>
      </c>
      <c r="J594" s="13" t="s">
        <v>4</v>
      </c>
      <c r="K594" s="13">
        <v>99</v>
      </c>
      <c r="L594" s="13" t="s">
        <v>15</v>
      </c>
      <c r="M594" s="13">
        <v>11</v>
      </c>
      <c r="N594" s="13" t="s">
        <v>1</v>
      </c>
      <c r="O594" s="16">
        <f t="shared" si="134"/>
        <v>1.1000000000000001E-3</v>
      </c>
      <c r="P594" s="22">
        <f t="shared" si="135"/>
        <v>11.66</v>
      </c>
    </row>
    <row r="595" spans="1:16" ht="15.75" thickBot="1" x14ac:dyDescent="0.3">
      <c r="A595" s="90"/>
      <c r="B595" s="23">
        <v>11051</v>
      </c>
      <c r="C595" s="23" t="s">
        <v>444</v>
      </c>
      <c r="D595" s="23">
        <v>99</v>
      </c>
      <c r="E595" s="23" t="s">
        <v>15</v>
      </c>
      <c r="F595" s="23">
        <v>1</v>
      </c>
      <c r="G595" s="23" t="s">
        <v>21</v>
      </c>
      <c r="H595" s="23" t="s">
        <v>17</v>
      </c>
      <c r="I595" s="24" t="s">
        <v>445</v>
      </c>
      <c r="J595" s="23" t="s">
        <v>446</v>
      </c>
      <c r="K595" s="23">
        <v>3</v>
      </c>
      <c r="L595" s="23" t="s">
        <v>24</v>
      </c>
      <c r="M595" s="25">
        <v>10000</v>
      </c>
      <c r="N595" s="23" t="s">
        <v>1</v>
      </c>
      <c r="O595" s="26">
        <f t="shared" si="134"/>
        <v>1</v>
      </c>
      <c r="P595" s="27">
        <f t="shared" si="135"/>
        <v>10600</v>
      </c>
    </row>
    <row r="596" spans="1:16" x14ac:dyDescent="0.25"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3"/>
      <c r="N596" s="1"/>
    </row>
    <row r="597" spans="1:16" ht="15.75" thickBot="1" x14ac:dyDescent="0.3"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3"/>
      <c r="N597" s="1"/>
      <c r="P597" s="11">
        <f>IFERROR(VLOOKUP($A598,'PROGRAMA MES '!$A:$B,2,0),0)</f>
        <v>0</v>
      </c>
    </row>
    <row r="598" spans="1:16" x14ac:dyDescent="0.25">
      <c r="A598" s="89">
        <f>B598</f>
        <v>12035</v>
      </c>
      <c r="B598" s="17">
        <v>12035</v>
      </c>
      <c r="C598" s="17" t="s">
        <v>447</v>
      </c>
      <c r="D598" s="17">
        <v>99</v>
      </c>
      <c r="E598" s="17" t="s">
        <v>15</v>
      </c>
      <c r="F598" s="17">
        <v>1</v>
      </c>
      <c r="G598" s="17" t="s">
        <v>16</v>
      </c>
      <c r="H598" s="17" t="s">
        <v>17</v>
      </c>
      <c r="I598" s="18">
        <v>4001383</v>
      </c>
      <c r="J598" s="17" t="s">
        <v>334</v>
      </c>
      <c r="K598" s="17">
        <v>99</v>
      </c>
      <c r="L598" s="17" t="s">
        <v>15</v>
      </c>
      <c r="M598" s="17">
        <v>500</v>
      </c>
      <c r="N598" s="17" t="s">
        <v>1</v>
      </c>
      <c r="O598" s="20">
        <f t="shared" ref="O598:O600" si="136">M598/10000</f>
        <v>0.05</v>
      </c>
      <c r="P598" s="21">
        <f>O598*$P$597</f>
        <v>0</v>
      </c>
    </row>
    <row r="599" spans="1:16" x14ac:dyDescent="0.25">
      <c r="A599" s="91"/>
      <c r="B599" s="13">
        <v>12035</v>
      </c>
      <c r="C599" s="13" t="s">
        <v>447</v>
      </c>
      <c r="D599" s="13">
        <v>99</v>
      </c>
      <c r="E599" s="13" t="s">
        <v>15</v>
      </c>
      <c r="F599" s="13">
        <v>1</v>
      </c>
      <c r="G599" s="13" t="s">
        <v>16</v>
      </c>
      <c r="H599" s="13" t="s">
        <v>17</v>
      </c>
      <c r="I599" s="14">
        <v>4002826</v>
      </c>
      <c r="J599" s="13" t="s">
        <v>4</v>
      </c>
      <c r="K599" s="13">
        <v>99</v>
      </c>
      <c r="L599" s="13" t="s">
        <v>15</v>
      </c>
      <c r="M599" s="13">
        <v>9</v>
      </c>
      <c r="N599" s="13" t="s">
        <v>1</v>
      </c>
      <c r="O599" s="16">
        <f t="shared" si="136"/>
        <v>8.9999999999999998E-4</v>
      </c>
      <c r="P599" s="22">
        <f t="shared" ref="P599:P600" si="137">O599*$P$597</f>
        <v>0</v>
      </c>
    </row>
    <row r="600" spans="1:16" ht="15.75" thickBot="1" x14ac:dyDescent="0.3">
      <c r="A600" s="90"/>
      <c r="B600" s="23">
        <v>12035</v>
      </c>
      <c r="C600" s="23" t="s">
        <v>447</v>
      </c>
      <c r="D600" s="23">
        <v>99</v>
      </c>
      <c r="E600" s="23" t="s">
        <v>15</v>
      </c>
      <c r="F600" s="23">
        <v>1</v>
      </c>
      <c r="G600" s="23" t="s">
        <v>21</v>
      </c>
      <c r="H600" s="23" t="s">
        <v>17</v>
      </c>
      <c r="I600" s="24" t="s">
        <v>448</v>
      </c>
      <c r="J600" s="23" t="s">
        <v>449</v>
      </c>
      <c r="K600" s="23">
        <v>3</v>
      </c>
      <c r="L600" s="23" t="s">
        <v>24</v>
      </c>
      <c r="M600" s="25">
        <v>10000</v>
      </c>
      <c r="N600" s="23" t="s">
        <v>1</v>
      </c>
      <c r="O600" s="26">
        <f t="shared" si="136"/>
        <v>1</v>
      </c>
      <c r="P600" s="27">
        <f t="shared" si="137"/>
        <v>0</v>
      </c>
    </row>
    <row r="601" spans="1:16" x14ac:dyDescent="0.25"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3"/>
      <c r="N601" s="1"/>
    </row>
    <row r="602" spans="1:16" ht="15.75" thickBot="1" x14ac:dyDescent="0.3"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3"/>
      <c r="N602" s="1"/>
      <c r="P602" s="11">
        <f>IFERROR(VLOOKUP($A603,'PROGRAMA MES '!$A:$B,2,0),0)</f>
        <v>0</v>
      </c>
    </row>
    <row r="603" spans="1:16" x14ac:dyDescent="0.25">
      <c r="A603" s="89">
        <f>B603</f>
        <v>12041</v>
      </c>
      <c r="B603" s="17">
        <v>12041</v>
      </c>
      <c r="C603" s="17" t="s">
        <v>450</v>
      </c>
      <c r="D603" s="17">
        <v>99</v>
      </c>
      <c r="E603" s="17" t="s">
        <v>15</v>
      </c>
      <c r="F603" s="17">
        <v>1</v>
      </c>
      <c r="G603" s="17" t="s">
        <v>16</v>
      </c>
      <c r="H603" s="17" t="s">
        <v>17</v>
      </c>
      <c r="I603" s="18">
        <v>4001384</v>
      </c>
      <c r="J603" s="17" t="s">
        <v>338</v>
      </c>
      <c r="K603" s="17">
        <v>53</v>
      </c>
      <c r="L603" s="17" t="s">
        <v>130</v>
      </c>
      <c r="M603" s="17">
        <v>500</v>
      </c>
      <c r="N603" s="17" t="s">
        <v>1</v>
      </c>
      <c r="O603" s="20">
        <f t="shared" ref="O603:O605" si="138">M603/10000</f>
        <v>0.05</v>
      </c>
      <c r="P603" s="21">
        <f>O603*$P$602</f>
        <v>0</v>
      </c>
    </row>
    <row r="604" spans="1:16" x14ac:dyDescent="0.25">
      <c r="A604" s="91"/>
      <c r="B604" s="13">
        <v>12041</v>
      </c>
      <c r="C604" s="13" t="s">
        <v>450</v>
      </c>
      <c r="D604" s="13">
        <v>99</v>
      </c>
      <c r="E604" s="13" t="s">
        <v>15</v>
      </c>
      <c r="F604" s="13">
        <v>1</v>
      </c>
      <c r="G604" s="13" t="s">
        <v>16</v>
      </c>
      <c r="H604" s="13" t="s">
        <v>17</v>
      </c>
      <c r="I604" s="14">
        <v>4002826</v>
      </c>
      <c r="J604" s="13" t="s">
        <v>4</v>
      </c>
      <c r="K604" s="13">
        <v>99</v>
      </c>
      <c r="L604" s="13" t="s">
        <v>15</v>
      </c>
      <c r="M604" s="13">
        <v>9</v>
      </c>
      <c r="N604" s="13" t="s">
        <v>1</v>
      </c>
      <c r="O604" s="16">
        <f t="shared" si="138"/>
        <v>8.9999999999999998E-4</v>
      </c>
      <c r="P604" s="22">
        <f>O604*$P$602</f>
        <v>0</v>
      </c>
    </row>
    <row r="605" spans="1:16" ht="15.75" thickBot="1" x14ac:dyDescent="0.3">
      <c r="A605" s="90"/>
      <c r="B605" s="23">
        <v>12041</v>
      </c>
      <c r="C605" s="23" t="s">
        <v>450</v>
      </c>
      <c r="D605" s="23">
        <v>99</v>
      </c>
      <c r="E605" s="23" t="s">
        <v>15</v>
      </c>
      <c r="F605" s="23">
        <v>1</v>
      </c>
      <c r="G605" s="23" t="s">
        <v>21</v>
      </c>
      <c r="H605" s="23" t="s">
        <v>17</v>
      </c>
      <c r="I605" s="24" t="s">
        <v>451</v>
      </c>
      <c r="J605" s="23" t="s">
        <v>452</v>
      </c>
      <c r="K605" s="23">
        <v>3</v>
      </c>
      <c r="L605" s="23" t="s">
        <v>24</v>
      </c>
      <c r="M605" s="25">
        <v>10000</v>
      </c>
      <c r="N605" s="23" t="s">
        <v>1</v>
      </c>
      <c r="O605" s="26">
        <f t="shared" si="138"/>
        <v>1</v>
      </c>
      <c r="P605" s="27">
        <f>O605*$P$602</f>
        <v>0</v>
      </c>
    </row>
    <row r="606" spans="1:16" x14ac:dyDescent="0.25"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3"/>
      <c r="N606" s="1"/>
    </row>
    <row r="607" spans="1:16" ht="15.75" thickBot="1" x14ac:dyDescent="0.3"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3"/>
      <c r="N607" s="1"/>
      <c r="P607" s="11">
        <f>IFERROR(VLOOKUP($A608,'PROGRAMA MES '!$A:$B,2,0),0)</f>
        <v>200</v>
      </c>
    </row>
    <row r="608" spans="1:16" x14ac:dyDescent="0.25">
      <c r="A608" s="89">
        <f>B608</f>
        <v>12051</v>
      </c>
      <c r="B608" s="17">
        <v>12051</v>
      </c>
      <c r="C608" s="17" t="s">
        <v>453</v>
      </c>
      <c r="D608" s="17">
        <v>99</v>
      </c>
      <c r="E608" s="17" t="s">
        <v>15</v>
      </c>
      <c r="F608" s="17">
        <v>1</v>
      </c>
      <c r="G608" s="17" t="s">
        <v>16</v>
      </c>
      <c r="H608" s="17" t="s">
        <v>17</v>
      </c>
      <c r="I608" s="18">
        <v>4001386</v>
      </c>
      <c r="J608" s="17" t="s">
        <v>349</v>
      </c>
      <c r="K608" s="17">
        <v>53</v>
      </c>
      <c r="L608" s="17" t="s">
        <v>130</v>
      </c>
      <c r="M608" s="17">
        <v>500</v>
      </c>
      <c r="N608" s="17" t="s">
        <v>1</v>
      </c>
      <c r="O608" s="20">
        <f t="shared" ref="O608:O610" si="139">M608/10000</f>
        <v>0.05</v>
      </c>
      <c r="P608" s="21">
        <f>O608*$P$607</f>
        <v>10</v>
      </c>
    </row>
    <row r="609" spans="1:16" x14ac:dyDescent="0.25">
      <c r="A609" s="91"/>
      <c r="B609" s="13">
        <v>12051</v>
      </c>
      <c r="C609" s="13" t="s">
        <v>453</v>
      </c>
      <c r="D609" s="13">
        <v>99</v>
      </c>
      <c r="E609" s="13" t="s">
        <v>15</v>
      </c>
      <c r="F609" s="13">
        <v>1</v>
      </c>
      <c r="G609" s="13" t="s">
        <v>16</v>
      </c>
      <c r="H609" s="13" t="s">
        <v>17</v>
      </c>
      <c r="I609" s="14">
        <v>4002826</v>
      </c>
      <c r="J609" s="13" t="s">
        <v>4</v>
      </c>
      <c r="K609" s="13">
        <v>99</v>
      </c>
      <c r="L609" s="13" t="s">
        <v>15</v>
      </c>
      <c r="M609" s="13">
        <v>11</v>
      </c>
      <c r="N609" s="13" t="s">
        <v>1</v>
      </c>
      <c r="O609" s="16">
        <f t="shared" si="139"/>
        <v>1.1000000000000001E-3</v>
      </c>
      <c r="P609" s="22">
        <f t="shared" ref="P609:P610" si="140">O609*$P$607</f>
        <v>0.22</v>
      </c>
    </row>
    <row r="610" spans="1:16" ht="15.75" thickBot="1" x14ac:dyDescent="0.3">
      <c r="A610" s="90"/>
      <c r="B610" s="23">
        <v>12051</v>
      </c>
      <c r="C610" s="23" t="s">
        <v>453</v>
      </c>
      <c r="D610" s="23">
        <v>99</v>
      </c>
      <c r="E610" s="23" t="s">
        <v>15</v>
      </c>
      <c r="F610" s="23">
        <v>1</v>
      </c>
      <c r="G610" s="23" t="s">
        <v>21</v>
      </c>
      <c r="H610" s="23" t="s">
        <v>17</v>
      </c>
      <c r="I610" s="24" t="s">
        <v>454</v>
      </c>
      <c r="J610" s="23" t="s">
        <v>455</v>
      </c>
      <c r="K610" s="23">
        <v>3</v>
      </c>
      <c r="L610" s="23" t="s">
        <v>24</v>
      </c>
      <c r="M610" s="25">
        <v>10000</v>
      </c>
      <c r="N610" s="23" t="s">
        <v>1</v>
      </c>
      <c r="O610" s="26">
        <f t="shared" si="139"/>
        <v>1</v>
      </c>
      <c r="P610" s="27">
        <f t="shared" si="140"/>
        <v>200</v>
      </c>
    </row>
    <row r="611" spans="1:16" x14ac:dyDescent="0.25"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3"/>
      <c r="N611" s="1"/>
    </row>
    <row r="612" spans="1:16" ht="15.75" thickBot="1" x14ac:dyDescent="0.3"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3"/>
      <c r="N612" s="1"/>
      <c r="P612" s="11">
        <f>IFERROR(VLOOKUP($A613,'PROGRAMA MES '!$A:$B,2,0),0)</f>
        <v>300</v>
      </c>
    </row>
    <row r="613" spans="1:16" x14ac:dyDescent="0.25">
      <c r="A613" s="89">
        <f>B613</f>
        <v>13505</v>
      </c>
      <c r="B613" s="17">
        <v>13505</v>
      </c>
      <c r="C613" s="17" t="s">
        <v>456</v>
      </c>
      <c r="D613" s="17">
        <v>99</v>
      </c>
      <c r="E613" s="17" t="s">
        <v>15</v>
      </c>
      <c r="F613" s="17">
        <v>1</v>
      </c>
      <c r="G613" s="17" t="s">
        <v>16</v>
      </c>
      <c r="H613" s="17" t="s">
        <v>17</v>
      </c>
      <c r="I613" s="18">
        <v>4002826</v>
      </c>
      <c r="J613" s="17" t="s">
        <v>4</v>
      </c>
      <c r="K613" s="17">
        <v>99</v>
      </c>
      <c r="L613" s="17" t="s">
        <v>15</v>
      </c>
      <c r="M613" s="17">
        <v>17</v>
      </c>
      <c r="N613" s="17" t="s">
        <v>1</v>
      </c>
      <c r="O613" s="20">
        <f t="shared" ref="O613:O615" si="141">M613/10000</f>
        <v>1.6999999999999999E-3</v>
      </c>
      <c r="P613" s="21">
        <f>O613*$P$612</f>
        <v>0.51</v>
      </c>
    </row>
    <row r="614" spans="1:16" x14ac:dyDescent="0.25">
      <c r="A614" s="91"/>
      <c r="B614" s="13">
        <v>13505</v>
      </c>
      <c r="C614" s="13" t="s">
        <v>456</v>
      </c>
      <c r="D614" s="13">
        <v>99</v>
      </c>
      <c r="E614" s="13" t="s">
        <v>15</v>
      </c>
      <c r="F614" s="13">
        <v>1</v>
      </c>
      <c r="G614" s="13" t="s">
        <v>16</v>
      </c>
      <c r="H614" s="13" t="s">
        <v>17</v>
      </c>
      <c r="I614" s="14">
        <v>4003870</v>
      </c>
      <c r="J614" s="13" t="s">
        <v>457</v>
      </c>
      <c r="K614" s="13">
        <v>99</v>
      </c>
      <c r="L614" s="13" t="s">
        <v>15</v>
      </c>
      <c r="M614" s="15">
        <v>1000</v>
      </c>
      <c r="N614" s="13" t="s">
        <v>1</v>
      </c>
      <c r="O614" s="16">
        <f t="shared" si="141"/>
        <v>0.1</v>
      </c>
      <c r="P614" s="22">
        <f t="shared" ref="P614:P615" si="142">O614*$P$612</f>
        <v>30</v>
      </c>
    </row>
    <row r="615" spans="1:16" ht="15.75" thickBot="1" x14ac:dyDescent="0.3">
      <c r="A615" s="90"/>
      <c r="B615" s="23">
        <v>13505</v>
      </c>
      <c r="C615" s="23" t="s">
        <v>456</v>
      </c>
      <c r="D615" s="23">
        <v>99</v>
      </c>
      <c r="E615" s="23" t="s">
        <v>15</v>
      </c>
      <c r="F615" s="23">
        <v>1</v>
      </c>
      <c r="G615" s="23" t="s">
        <v>21</v>
      </c>
      <c r="H615" s="23" t="s">
        <v>17</v>
      </c>
      <c r="I615" s="24" t="s">
        <v>458</v>
      </c>
      <c r="J615" s="23" t="s">
        <v>459</v>
      </c>
      <c r="K615" s="23">
        <v>3</v>
      </c>
      <c r="L615" s="23" t="s">
        <v>24</v>
      </c>
      <c r="M615" s="25">
        <v>10000</v>
      </c>
      <c r="N615" s="23" t="s">
        <v>1</v>
      </c>
      <c r="O615" s="26">
        <f t="shared" si="141"/>
        <v>1</v>
      </c>
      <c r="P615" s="27">
        <f t="shared" si="142"/>
        <v>300</v>
      </c>
    </row>
    <row r="616" spans="1:16" x14ac:dyDescent="0.25"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3"/>
      <c r="N616" s="1"/>
    </row>
    <row r="617" spans="1:16" ht="15.75" thickBot="1" x14ac:dyDescent="0.3"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3"/>
      <c r="N617" s="1"/>
      <c r="P617" s="11">
        <f>IFERROR(VLOOKUP($A618,'PROGRAMA MES '!$A:$B,2,0),0)</f>
        <v>400</v>
      </c>
    </row>
    <row r="618" spans="1:16" x14ac:dyDescent="0.25">
      <c r="A618" s="89">
        <f>B618</f>
        <v>13685</v>
      </c>
      <c r="B618" s="17">
        <v>13685</v>
      </c>
      <c r="C618" s="17" t="s">
        <v>460</v>
      </c>
      <c r="D618" s="17">
        <v>99</v>
      </c>
      <c r="E618" s="17" t="s">
        <v>15</v>
      </c>
      <c r="F618" s="17">
        <v>1</v>
      </c>
      <c r="G618" s="17" t="s">
        <v>16</v>
      </c>
      <c r="H618" s="17" t="s">
        <v>17</v>
      </c>
      <c r="I618" s="18">
        <v>4001138</v>
      </c>
      <c r="J618" s="17" t="s">
        <v>461</v>
      </c>
      <c r="K618" s="17">
        <v>99</v>
      </c>
      <c r="L618" s="17" t="s">
        <v>15</v>
      </c>
      <c r="M618" s="19">
        <v>1000</v>
      </c>
      <c r="N618" s="17" t="s">
        <v>1</v>
      </c>
      <c r="O618" s="20">
        <f t="shared" ref="O618:O620" si="143">M618/10000</f>
        <v>0.1</v>
      </c>
      <c r="P618" s="21">
        <f>O618*$P$617</f>
        <v>40</v>
      </c>
    </row>
    <row r="619" spans="1:16" x14ac:dyDescent="0.25">
      <c r="A619" s="91"/>
      <c r="B619" s="13">
        <v>13685</v>
      </c>
      <c r="C619" s="13" t="s">
        <v>460</v>
      </c>
      <c r="D619" s="13">
        <v>99</v>
      </c>
      <c r="E619" s="13" t="s">
        <v>15</v>
      </c>
      <c r="F619" s="13">
        <v>1</v>
      </c>
      <c r="G619" s="13" t="s">
        <v>16</v>
      </c>
      <c r="H619" s="13" t="s">
        <v>17</v>
      </c>
      <c r="I619" s="14">
        <v>4002826</v>
      </c>
      <c r="J619" s="13" t="s">
        <v>4</v>
      </c>
      <c r="K619" s="13">
        <v>99</v>
      </c>
      <c r="L619" s="13" t="s">
        <v>15</v>
      </c>
      <c r="M619" s="13">
        <v>20</v>
      </c>
      <c r="N619" s="13" t="s">
        <v>1</v>
      </c>
      <c r="O619" s="16">
        <f t="shared" si="143"/>
        <v>2E-3</v>
      </c>
      <c r="P619" s="22">
        <f t="shared" ref="P619:P620" si="144">O619*$P$617</f>
        <v>0.8</v>
      </c>
    </row>
    <row r="620" spans="1:16" ht="15.75" thickBot="1" x14ac:dyDescent="0.3">
      <c r="A620" s="90"/>
      <c r="B620" s="23">
        <v>13685</v>
      </c>
      <c r="C620" s="23" t="s">
        <v>460</v>
      </c>
      <c r="D620" s="23">
        <v>99</v>
      </c>
      <c r="E620" s="23" t="s">
        <v>15</v>
      </c>
      <c r="F620" s="23">
        <v>1</v>
      </c>
      <c r="G620" s="23" t="s">
        <v>21</v>
      </c>
      <c r="H620" s="23" t="s">
        <v>17</v>
      </c>
      <c r="I620" s="24" t="s">
        <v>462</v>
      </c>
      <c r="J620" s="23" t="s">
        <v>463</v>
      </c>
      <c r="K620" s="23">
        <v>3</v>
      </c>
      <c r="L620" s="23" t="s">
        <v>24</v>
      </c>
      <c r="M620" s="25">
        <v>10000</v>
      </c>
      <c r="N620" s="23" t="s">
        <v>1</v>
      </c>
      <c r="O620" s="26">
        <f t="shared" si="143"/>
        <v>1</v>
      </c>
      <c r="P620" s="27">
        <f t="shared" si="144"/>
        <v>400</v>
      </c>
    </row>
    <row r="621" spans="1:16" x14ac:dyDescent="0.25"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3"/>
      <c r="N621" s="1"/>
    </row>
    <row r="622" spans="1:16" ht="15.75" thickBot="1" x14ac:dyDescent="0.3"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3"/>
      <c r="N622" s="1"/>
      <c r="P622" s="11">
        <f>IFERROR(VLOOKUP($A623,'PROGRAMA MES '!$A:$B,2,0),0)</f>
        <v>0</v>
      </c>
    </row>
    <row r="623" spans="1:16" x14ac:dyDescent="0.25">
      <c r="A623" s="89">
        <f>B623</f>
        <v>14505</v>
      </c>
      <c r="B623" s="17">
        <v>14505</v>
      </c>
      <c r="C623" s="17" t="s">
        <v>464</v>
      </c>
      <c r="D623" s="17">
        <v>3</v>
      </c>
      <c r="E623" s="17" t="s">
        <v>24</v>
      </c>
      <c r="F623" s="17">
        <v>1</v>
      </c>
      <c r="G623" s="17" t="s">
        <v>16</v>
      </c>
      <c r="H623" s="17" t="s">
        <v>17</v>
      </c>
      <c r="I623" s="18">
        <v>4002546</v>
      </c>
      <c r="J623" s="17" t="s">
        <v>179</v>
      </c>
      <c r="K623" s="17">
        <v>99</v>
      </c>
      <c r="L623" s="17" t="s">
        <v>15</v>
      </c>
      <c r="M623" s="19">
        <v>1000</v>
      </c>
      <c r="N623" s="17" t="s">
        <v>1</v>
      </c>
      <c r="O623" s="20">
        <f t="shared" ref="O623:O626" si="145">M623/10000</f>
        <v>0.1</v>
      </c>
      <c r="P623" s="21">
        <f>O623*$P$622</f>
        <v>0</v>
      </c>
    </row>
    <row r="624" spans="1:16" x14ac:dyDescent="0.25">
      <c r="A624" s="91"/>
      <c r="B624" s="13">
        <v>14505</v>
      </c>
      <c r="C624" s="13" t="s">
        <v>464</v>
      </c>
      <c r="D624" s="13">
        <v>3</v>
      </c>
      <c r="E624" s="13" t="s">
        <v>24</v>
      </c>
      <c r="F624" s="13">
        <v>1</v>
      </c>
      <c r="G624" s="13" t="s">
        <v>16</v>
      </c>
      <c r="H624" s="13" t="s">
        <v>17</v>
      </c>
      <c r="I624" s="14">
        <v>4002826</v>
      </c>
      <c r="J624" s="13" t="s">
        <v>4</v>
      </c>
      <c r="K624" s="13">
        <v>99</v>
      </c>
      <c r="L624" s="13" t="s">
        <v>15</v>
      </c>
      <c r="M624" s="13">
        <v>17</v>
      </c>
      <c r="N624" s="13" t="s">
        <v>1</v>
      </c>
      <c r="O624" s="16">
        <f t="shared" si="145"/>
        <v>1.6999999999999999E-3</v>
      </c>
      <c r="P624" s="22">
        <f t="shared" ref="P624:P626" si="146">O624*$P$622</f>
        <v>0</v>
      </c>
    </row>
    <row r="625" spans="1:16" x14ac:dyDescent="0.25">
      <c r="A625" s="91"/>
      <c r="B625" s="13">
        <v>14505</v>
      </c>
      <c r="C625" s="13" t="s">
        <v>464</v>
      </c>
      <c r="D625" s="13">
        <v>3</v>
      </c>
      <c r="E625" s="13" t="s">
        <v>24</v>
      </c>
      <c r="F625" s="13">
        <v>1</v>
      </c>
      <c r="G625" s="13" t="s">
        <v>16</v>
      </c>
      <c r="H625" s="13" t="s">
        <v>17</v>
      </c>
      <c r="I625" s="14">
        <v>4003870</v>
      </c>
      <c r="J625" s="13" t="s">
        <v>457</v>
      </c>
      <c r="K625" s="13">
        <v>99</v>
      </c>
      <c r="L625" s="13" t="s">
        <v>15</v>
      </c>
      <c r="M625" s="15">
        <v>1000</v>
      </c>
      <c r="N625" s="13" t="s">
        <v>1</v>
      </c>
      <c r="O625" s="16">
        <f t="shared" si="145"/>
        <v>0.1</v>
      </c>
      <c r="P625" s="22">
        <f t="shared" si="146"/>
        <v>0</v>
      </c>
    </row>
    <row r="626" spans="1:16" ht="15.75" thickBot="1" x14ac:dyDescent="0.3">
      <c r="A626" s="90"/>
      <c r="B626" s="23">
        <v>14505</v>
      </c>
      <c r="C626" s="23" t="s">
        <v>464</v>
      </c>
      <c r="D626" s="23">
        <v>3</v>
      </c>
      <c r="E626" s="23" t="s">
        <v>24</v>
      </c>
      <c r="F626" s="23">
        <v>1</v>
      </c>
      <c r="G626" s="23" t="s">
        <v>21</v>
      </c>
      <c r="H626" s="23" t="s">
        <v>17</v>
      </c>
      <c r="I626" s="24" t="s">
        <v>465</v>
      </c>
      <c r="J626" s="23" t="s">
        <v>466</v>
      </c>
      <c r="K626" s="23">
        <v>3</v>
      </c>
      <c r="L626" s="23" t="s">
        <v>24</v>
      </c>
      <c r="M626" s="25">
        <v>10000</v>
      </c>
      <c r="N626" s="23" t="s">
        <v>1</v>
      </c>
      <c r="O626" s="26">
        <f t="shared" si="145"/>
        <v>1</v>
      </c>
      <c r="P626" s="27">
        <f t="shared" si="146"/>
        <v>0</v>
      </c>
    </row>
    <row r="627" spans="1:16" x14ac:dyDescent="0.25"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3"/>
      <c r="N627" s="1"/>
    </row>
    <row r="628" spans="1:16" ht="15.75" thickBot="1" x14ac:dyDescent="0.3"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3"/>
      <c r="N628" s="1"/>
      <c r="P628" s="11">
        <f>IFERROR(VLOOKUP($A629,'PROGRAMA MES '!$A:$B,2,0),0)</f>
        <v>0</v>
      </c>
    </row>
    <row r="629" spans="1:16" x14ac:dyDescent="0.25">
      <c r="A629" s="89">
        <f>B629</f>
        <v>14685</v>
      </c>
      <c r="B629" s="17">
        <v>14685</v>
      </c>
      <c r="C629" s="17" t="s">
        <v>467</v>
      </c>
      <c r="D629" s="17">
        <v>51</v>
      </c>
      <c r="E629" s="17" t="s">
        <v>101</v>
      </c>
      <c r="F629" s="17">
        <v>1</v>
      </c>
      <c r="G629" s="17" t="s">
        <v>16</v>
      </c>
      <c r="H629" s="17" t="s">
        <v>17</v>
      </c>
      <c r="I629" s="18">
        <v>4001138</v>
      </c>
      <c r="J629" s="17" t="s">
        <v>461</v>
      </c>
      <c r="K629" s="17">
        <v>99</v>
      </c>
      <c r="L629" s="17" t="s">
        <v>15</v>
      </c>
      <c r="M629" s="19">
        <v>1000</v>
      </c>
      <c r="N629" s="17" t="s">
        <v>1</v>
      </c>
      <c r="O629" s="20">
        <f t="shared" ref="O629:O632" si="147">M629/10000</f>
        <v>0.1</v>
      </c>
      <c r="P629" s="21">
        <f>O629*$P$628</f>
        <v>0</v>
      </c>
    </row>
    <row r="630" spans="1:16" x14ac:dyDescent="0.25">
      <c r="A630" s="91"/>
      <c r="B630" s="13">
        <v>14685</v>
      </c>
      <c r="C630" s="13" t="s">
        <v>467</v>
      </c>
      <c r="D630" s="13">
        <v>51</v>
      </c>
      <c r="E630" s="13" t="s">
        <v>101</v>
      </c>
      <c r="F630" s="13">
        <v>1</v>
      </c>
      <c r="G630" s="13" t="s">
        <v>16</v>
      </c>
      <c r="H630" s="13" t="s">
        <v>17</v>
      </c>
      <c r="I630" s="14">
        <v>4002546</v>
      </c>
      <c r="J630" s="13" t="s">
        <v>179</v>
      </c>
      <c r="K630" s="13">
        <v>99</v>
      </c>
      <c r="L630" s="13" t="s">
        <v>15</v>
      </c>
      <c r="M630" s="15">
        <v>1000</v>
      </c>
      <c r="N630" s="13" t="s">
        <v>1</v>
      </c>
      <c r="O630" s="16">
        <f t="shared" si="147"/>
        <v>0.1</v>
      </c>
      <c r="P630" s="22">
        <f t="shared" ref="P630:P632" si="148">O630*$P$628</f>
        <v>0</v>
      </c>
    </row>
    <row r="631" spans="1:16" x14ac:dyDescent="0.25">
      <c r="A631" s="91"/>
      <c r="B631" s="13">
        <v>14685</v>
      </c>
      <c r="C631" s="13" t="s">
        <v>467</v>
      </c>
      <c r="D631" s="13">
        <v>51</v>
      </c>
      <c r="E631" s="13" t="s">
        <v>101</v>
      </c>
      <c r="F631" s="13">
        <v>1</v>
      </c>
      <c r="G631" s="13" t="s">
        <v>16</v>
      </c>
      <c r="H631" s="13" t="s">
        <v>17</v>
      </c>
      <c r="I631" s="14">
        <v>4002826</v>
      </c>
      <c r="J631" s="13" t="s">
        <v>4</v>
      </c>
      <c r="K631" s="13">
        <v>99</v>
      </c>
      <c r="L631" s="13" t="s">
        <v>15</v>
      </c>
      <c r="M631" s="13">
        <v>20</v>
      </c>
      <c r="N631" s="13" t="s">
        <v>1</v>
      </c>
      <c r="O631" s="16">
        <f t="shared" si="147"/>
        <v>2E-3</v>
      </c>
      <c r="P631" s="22">
        <f t="shared" si="148"/>
        <v>0</v>
      </c>
    </row>
    <row r="632" spans="1:16" ht="15.75" thickBot="1" x14ac:dyDescent="0.3">
      <c r="A632" s="90"/>
      <c r="B632" s="23">
        <v>14685</v>
      </c>
      <c r="C632" s="23" t="s">
        <v>467</v>
      </c>
      <c r="D632" s="23">
        <v>51</v>
      </c>
      <c r="E632" s="23" t="s">
        <v>101</v>
      </c>
      <c r="F632" s="23">
        <v>1</v>
      </c>
      <c r="G632" s="23" t="s">
        <v>21</v>
      </c>
      <c r="H632" s="23" t="s">
        <v>17</v>
      </c>
      <c r="I632" s="24" t="s">
        <v>468</v>
      </c>
      <c r="J632" s="23" t="s">
        <v>469</v>
      </c>
      <c r="K632" s="23">
        <v>3</v>
      </c>
      <c r="L632" s="23" t="s">
        <v>24</v>
      </c>
      <c r="M632" s="25">
        <v>10000</v>
      </c>
      <c r="N632" s="23" t="s">
        <v>1</v>
      </c>
      <c r="O632" s="26">
        <f t="shared" si="147"/>
        <v>1</v>
      </c>
      <c r="P632" s="27">
        <f t="shared" si="148"/>
        <v>0</v>
      </c>
    </row>
    <row r="633" spans="1:16" x14ac:dyDescent="0.25"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3"/>
      <c r="N633" s="1"/>
    </row>
    <row r="634" spans="1:16" ht="15.75" thickBot="1" x14ac:dyDescent="0.3"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3"/>
      <c r="N634" s="1"/>
      <c r="P634" s="11">
        <f>IFERROR(VLOOKUP($A635,'PROGRAMA MES '!$A:$B,2,0),0)</f>
        <v>600</v>
      </c>
    </row>
    <row r="635" spans="1:16" x14ac:dyDescent="0.25">
      <c r="A635" s="89">
        <f>B635</f>
        <v>90502</v>
      </c>
      <c r="B635" s="17">
        <v>90502</v>
      </c>
      <c r="C635" s="17" t="s">
        <v>470</v>
      </c>
      <c r="D635" s="17">
        <v>99</v>
      </c>
      <c r="E635" s="17" t="s">
        <v>15</v>
      </c>
      <c r="F635" s="17">
        <v>1</v>
      </c>
      <c r="G635" s="17" t="s">
        <v>35</v>
      </c>
      <c r="H635" s="17" t="s">
        <v>17</v>
      </c>
      <c r="I635" s="18">
        <v>3001610</v>
      </c>
      <c r="J635" s="17" t="s">
        <v>75</v>
      </c>
      <c r="K635" s="17">
        <v>99</v>
      </c>
      <c r="L635" s="17" t="s">
        <v>15</v>
      </c>
      <c r="M635" s="19">
        <v>10000</v>
      </c>
      <c r="N635" s="17" t="s">
        <v>1</v>
      </c>
      <c r="O635" s="20">
        <f t="shared" ref="O635:O639" si="149">M635/10000</f>
        <v>1</v>
      </c>
      <c r="P635" s="21">
        <f>O635*$P$634</f>
        <v>600</v>
      </c>
    </row>
    <row r="636" spans="1:16" x14ac:dyDescent="0.25">
      <c r="A636" s="91"/>
      <c r="B636" s="13">
        <v>90502</v>
      </c>
      <c r="C636" s="13" t="s">
        <v>470</v>
      </c>
      <c r="D636" s="13">
        <v>99</v>
      </c>
      <c r="E636" s="13" t="s">
        <v>15</v>
      </c>
      <c r="F636" s="13">
        <v>1</v>
      </c>
      <c r="G636" s="13" t="s">
        <v>16</v>
      </c>
      <c r="H636" s="13" t="s">
        <v>17</v>
      </c>
      <c r="I636" s="14">
        <v>4001186</v>
      </c>
      <c r="J636" s="13" t="s">
        <v>471</v>
      </c>
      <c r="K636" s="13">
        <v>3</v>
      </c>
      <c r="L636" s="13" t="s">
        <v>24</v>
      </c>
      <c r="M636" s="13">
        <v>278</v>
      </c>
      <c r="N636" s="13" t="s">
        <v>1</v>
      </c>
      <c r="O636" s="16">
        <f t="shared" si="149"/>
        <v>2.7799999999999998E-2</v>
      </c>
      <c r="P636" s="22">
        <f t="shared" ref="P636:P639" si="150">O636*$P$634</f>
        <v>16.68</v>
      </c>
    </row>
    <row r="637" spans="1:16" x14ac:dyDescent="0.25">
      <c r="A637" s="91"/>
      <c r="B637" s="13">
        <v>90502</v>
      </c>
      <c r="C637" s="13" t="s">
        <v>470</v>
      </c>
      <c r="D637" s="13">
        <v>99</v>
      </c>
      <c r="E637" s="13" t="s">
        <v>15</v>
      </c>
      <c r="F637" s="13">
        <v>1</v>
      </c>
      <c r="G637" s="13" t="s">
        <v>16</v>
      </c>
      <c r="H637" s="13" t="s">
        <v>17</v>
      </c>
      <c r="I637" s="14">
        <v>4002546</v>
      </c>
      <c r="J637" s="13" t="s">
        <v>179</v>
      </c>
      <c r="K637" s="13">
        <v>99</v>
      </c>
      <c r="L637" s="13" t="s">
        <v>15</v>
      </c>
      <c r="M637" s="15">
        <v>1667</v>
      </c>
      <c r="N637" s="13" t="s">
        <v>1</v>
      </c>
      <c r="O637" s="16">
        <f t="shared" si="149"/>
        <v>0.16669999999999999</v>
      </c>
      <c r="P637" s="22">
        <f t="shared" si="150"/>
        <v>100.02</v>
      </c>
    </row>
    <row r="638" spans="1:16" x14ac:dyDescent="0.25">
      <c r="A638" s="91"/>
      <c r="B638" s="13">
        <v>90502</v>
      </c>
      <c r="C638" s="13" t="s">
        <v>470</v>
      </c>
      <c r="D638" s="13">
        <v>99</v>
      </c>
      <c r="E638" s="13" t="s">
        <v>15</v>
      </c>
      <c r="F638" s="13">
        <v>1</v>
      </c>
      <c r="G638" s="13" t="s">
        <v>16</v>
      </c>
      <c r="H638" s="13" t="s">
        <v>17</v>
      </c>
      <c r="I638" s="14">
        <v>4002826</v>
      </c>
      <c r="J638" s="13" t="s">
        <v>4</v>
      </c>
      <c r="K638" s="13">
        <v>99</v>
      </c>
      <c r="L638" s="13" t="s">
        <v>15</v>
      </c>
      <c r="M638" s="13">
        <v>1</v>
      </c>
      <c r="N638" s="13" t="s">
        <v>1</v>
      </c>
      <c r="O638" s="16">
        <f t="shared" si="149"/>
        <v>1E-4</v>
      </c>
      <c r="P638" s="22">
        <f t="shared" si="150"/>
        <v>6.0000000000000005E-2</v>
      </c>
    </row>
    <row r="639" spans="1:16" ht="15.75" thickBot="1" x14ac:dyDescent="0.3">
      <c r="A639" s="90"/>
      <c r="B639" s="23">
        <v>90502</v>
      </c>
      <c r="C639" s="23" t="s">
        <v>470</v>
      </c>
      <c r="D639" s="23">
        <v>99</v>
      </c>
      <c r="E639" s="23" t="s">
        <v>15</v>
      </c>
      <c r="F639" s="23">
        <v>1</v>
      </c>
      <c r="G639" s="23" t="s">
        <v>16</v>
      </c>
      <c r="H639" s="23" t="s">
        <v>17</v>
      </c>
      <c r="I639" s="24">
        <v>4003594</v>
      </c>
      <c r="J639" s="23" t="s">
        <v>472</v>
      </c>
      <c r="K639" s="23">
        <v>99</v>
      </c>
      <c r="L639" s="23" t="s">
        <v>15</v>
      </c>
      <c r="M639" s="25">
        <v>1667</v>
      </c>
      <c r="N639" s="23" t="s">
        <v>1</v>
      </c>
      <c r="O639" s="26">
        <f t="shared" si="149"/>
        <v>0.16669999999999999</v>
      </c>
      <c r="P639" s="27">
        <f t="shared" si="150"/>
        <v>100.02</v>
      </c>
    </row>
    <row r="640" spans="1:16" x14ac:dyDescent="0.25"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3"/>
      <c r="N640" s="1"/>
    </row>
    <row r="641" spans="1:16" ht="15.75" thickBot="1" x14ac:dyDescent="0.3"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3"/>
      <c r="N641" s="1"/>
      <c r="P641" s="11">
        <f>IFERROR(VLOOKUP($A642,'PROGRAMA MES '!$A:$B,2,0),0)</f>
        <v>600</v>
      </c>
    </row>
    <row r="642" spans="1:16" x14ac:dyDescent="0.25">
      <c r="A642" s="89">
        <f>B642</f>
        <v>90503</v>
      </c>
      <c r="B642" s="17">
        <v>90503</v>
      </c>
      <c r="C642" s="17" t="s">
        <v>473</v>
      </c>
      <c r="D642" s="17">
        <v>99</v>
      </c>
      <c r="E642" s="17" t="s">
        <v>15</v>
      </c>
      <c r="F642" s="17">
        <v>1</v>
      </c>
      <c r="G642" s="17" t="s">
        <v>35</v>
      </c>
      <c r="H642" s="17" t="s">
        <v>17</v>
      </c>
      <c r="I642" s="18">
        <v>3001609</v>
      </c>
      <c r="J642" s="17" t="s">
        <v>65</v>
      </c>
      <c r="K642" s="17">
        <v>99</v>
      </c>
      <c r="L642" s="17" t="s">
        <v>15</v>
      </c>
      <c r="M642" s="19">
        <v>9970</v>
      </c>
      <c r="N642" s="17" t="s">
        <v>1</v>
      </c>
      <c r="O642" s="20">
        <f t="shared" ref="O642:O646" si="151">M642/10000</f>
        <v>0.997</v>
      </c>
      <c r="P642" s="21">
        <f>O642*$P$641</f>
        <v>598.20000000000005</v>
      </c>
    </row>
    <row r="643" spans="1:16" x14ac:dyDescent="0.25">
      <c r="A643" s="91"/>
      <c r="B643" s="13">
        <v>90503</v>
      </c>
      <c r="C643" s="13" t="s">
        <v>473</v>
      </c>
      <c r="D643" s="13">
        <v>99</v>
      </c>
      <c r="E643" s="13" t="s">
        <v>15</v>
      </c>
      <c r="F643" s="13">
        <v>1</v>
      </c>
      <c r="G643" s="13" t="s">
        <v>16</v>
      </c>
      <c r="H643" s="13" t="s">
        <v>17</v>
      </c>
      <c r="I643" s="14">
        <v>4001187</v>
      </c>
      <c r="J643" s="13" t="s">
        <v>474</v>
      </c>
      <c r="K643" s="13">
        <v>3</v>
      </c>
      <c r="L643" s="13" t="s">
        <v>24</v>
      </c>
      <c r="M643" s="13">
        <v>278</v>
      </c>
      <c r="N643" s="13" t="s">
        <v>1</v>
      </c>
      <c r="O643" s="16">
        <f t="shared" si="151"/>
        <v>2.7799999999999998E-2</v>
      </c>
      <c r="P643" s="22">
        <f t="shared" ref="P643:P646" si="152">O643*$P$641</f>
        <v>16.68</v>
      </c>
    </row>
    <row r="644" spans="1:16" x14ac:dyDescent="0.25">
      <c r="A644" s="91"/>
      <c r="B644" s="13">
        <v>90503</v>
      </c>
      <c r="C644" s="13" t="s">
        <v>473</v>
      </c>
      <c r="D644" s="13">
        <v>99</v>
      </c>
      <c r="E644" s="13" t="s">
        <v>15</v>
      </c>
      <c r="F644" s="13">
        <v>1</v>
      </c>
      <c r="G644" s="13" t="s">
        <v>16</v>
      </c>
      <c r="H644" s="13" t="s">
        <v>17</v>
      </c>
      <c r="I644" s="14">
        <v>4002546</v>
      </c>
      <c r="J644" s="13" t="s">
        <v>179</v>
      </c>
      <c r="K644" s="13">
        <v>99</v>
      </c>
      <c r="L644" s="13" t="s">
        <v>15</v>
      </c>
      <c r="M644" s="15">
        <v>1667</v>
      </c>
      <c r="N644" s="13" t="s">
        <v>1</v>
      </c>
      <c r="O644" s="16">
        <f t="shared" si="151"/>
        <v>0.16669999999999999</v>
      </c>
      <c r="P644" s="22">
        <f t="shared" si="152"/>
        <v>100.02</v>
      </c>
    </row>
    <row r="645" spans="1:16" x14ac:dyDescent="0.25">
      <c r="A645" s="91"/>
      <c r="B645" s="13">
        <v>90503</v>
      </c>
      <c r="C645" s="13" t="s">
        <v>473</v>
      </c>
      <c r="D645" s="13">
        <v>99</v>
      </c>
      <c r="E645" s="13" t="s">
        <v>15</v>
      </c>
      <c r="F645" s="13">
        <v>1</v>
      </c>
      <c r="G645" s="13" t="s">
        <v>16</v>
      </c>
      <c r="H645" s="13" t="s">
        <v>17</v>
      </c>
      <c r="I645" s="14">
        <v>4002826</v>
      </c>
      <c r="J645" s="13" t="s">
        <v>4</v>
      </c>
      <c r="K645" s="13">
        <v>99</v>
      </c>
      <c r="L645" s="13" t="s">
        <v>15</v>
      </c>
      <c r="M645" s="13">
        <v>1</v>
      </c>
      <c r="N645" s="13" t="s">
        <v>1</v>
      </c>
      <c r="O645" s="16">
        <f t="shared" si="151"/>
        <v>1E-4</v>
      </c>
      <c r="P645" s="22">
        <f t="shared" si="152"/>
        <v>6.0000000000000005E-2</v>
      </c>
    </row>
    <row r="646" spans="1:16" ht="15.75" thickBot="1" x14ac:dyDescent="0.3">
      <c r="A646" s="90"/>
      <c r="B646" s="23">
        <v>90503</v>
      </c>
      <c r="C646" s="23" t="s">
        <v>473</v>
      </c>
      <c r="D646" s="23">
        <v>99</v>
      </c>
      <c r="E646" s="23" t="s">
        <v>15</v>
      </c>
      <c r="F646" s="23">
        <v>1</v>
      </c>
      <c r="G646" s="23" t="s">
        <v>16</v>
      </c>
      <c r="H646" s="23" t="s">
        <v>17</v>
      </c>
      <c r="I646" s="24">
        <v>4003594</v>
      </c>
      <c r="J646" s="23" t="s">
        <v>472</v>
      </c>
      <c r="K646" s="23">
        <v>99</v>
      </c>
      <c r="L646" s="23" t="s">
        <v>15</v>
      </c>
      <c r="M646" s="25">
        <v>1667</v>
      </c>
      <c r="N646" s="23" t="s">
        <v>1</v>
      </c>
      <c r="O646" s="26">
        <f t="shared" si="151"/>
        <v>0.16669999999999999</v>
      </c>
      <c r="P646" s="27">
        <f t="shared" si="152"/>
        <v>100.02</v>
      </c>
    </row>
    <row r="647" spans="1:16" x14ac:dyDescent="0.25"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3"/>
      <c r="N647" s="1"/>
    </row>
    <row r="648" spans="1:16" ht="15.75" thickBot="1" x14ac:dyDescent="0.3"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3"/>
      <c r="N648" s="1"/>
      <c r="P648" s="11">
        <f>IFERROR(VLOOKUP($A649,'PROGRAMA MES '!$A:$B,2,0),0)</f>
        <v>0</v>
      </c>
    </row>
    <row r="649" spans="1:16" x14ac:dyDescent="0.25">
      <c r="A649" s="89">
        <f>B649</f>
        <v>94106</v>
      </c>
      <c r="B649" s="17">
        <v>94106</v>
      </c>
      <c r="C649" s="17" t="s">
        <v>475</v>
      </c>
      <c r="D649" s="17">
        <v>99</v>
      </c>
      <c r="E649" s="17" t="s">
        <v>15</v>
      </c>
      <c r="F649" s="17">
        <v>1</v>
      </c>
      <c r="G649" s="17" t="s">
        <v>16</v>
      </c>
      <c r="H649" s="17" t="s">
        <v>17</v>
      </c>
      <c r="I649" s="18">
        <v>4001178</v>
      </c>
      <c r="J649" s="17" t="s">
        <v>476</v>
      </c>
      <c r="K649" s="17">
        <v>53</v>
      </c>
      <c r="L649" s="17" t="s">
        <v>130</v>
      </c>
      <c r="M649" s="17">
        <v>84</v>
      </c>
      <c r="N649" s="17" t="s">
        <v>1</v>
      </c>
      <c r="O649" s="20">
        <f t="shared" ref="O649:O652" si="153">M649/10000</f>
        <v>8.3999999999999995E-3</v>
      </c>
      <c r="P649" s="21">
        <f>O649*$P$648</f>
        <v>0</v>
      </c>
    </row>
    <row r="650" spans="1:16" x14ac:dyDescent="0.25">
      <c r="A650" s="91"/>
      <c r="B650" s="13">
        <v>94106</v>
      </c>
      <c r="C650" s="13" t="s">
        <v>475</v>
      </c>
      <c r="D650" s="13">
        <v>99</v>
      </c>
      <c r="E650" s="13" t="s">
        <v>15</v>
      </c>
      <c r="F650" s="13">
        <v>1</v>
      </c>
      <c r="G650" s="13" t="s">
        <v>16</v>
      </c>
      <c r="H650" s="13" t="s">
        <v>17</v>
      </c>
      <c r="I650" s="14">
        <v>4002733</v>
      </c>
      <c r="J650" s="13" t="s">
        <v>243</v>
      </c>
      <c r="K650" s="13">
        <v>99</v>
      </c>
      <c r="L650" s="13" t="s">
        <v>15</v>
      </c>
      <c r="M650" s="13">
        <v>7.4</v>
      </c>
      <c r="N650" s="13" t="s">
        <v>3</v>
      </c>
      <c r="O650" s="16">
        <f t="shared" si="153"/>
        <v>7.3999999999999999E-4</v>
      </c>
      <c r="P650" s="22">
        <f t="shared" ref="P650:P652" si="154">O650*$P$648</f>
        <v>0</v>
      </c>
    </row>
    <row r="651" spans="1:16" x14ac:dyDescent="0.25">
      <c r="A651" s="91"/>
      <c r="B651" s="13">
        <v>94106</v>
      </c>
      <c r="C651" s="13" t="s">
        <v>475</v>
      </c>
      <c r="D651" s="13">
        <v>99</v>
      </c>
      <c r="E651" s="13" t="s">
        <v>15</v>
      </c>
      <c r="F651" s="13">
        <v>1</v>
      </c>
      <c r="G651" s="13" t="s">
        <v>16</v>
      </c>
      <c r="H651" s="13" t="s">
        <v>17</v>
      </c>
      <c r="I651" s="14">
        <v>4002827</v>
      </c>
      <c r="J651" s="13" t="s">
        <v>0</v>
      </c>
      <c r="K651" s="13">
        <v>99</v>
      </c>
      <c r="L651" s="13" t="s">
        <v>15</v>
      </c>
      <c r="M651" s="13">
        <v>181.5</v>
      </c>
      <c r="N651" s="13" t="s">
        <v>2</v>
      </c>
      <c r="O651" s="16">
        <f t="shared" si="153"/>
        <v>1.8149999999999999E-2</v>
      </c>
      <c r="P651" s="22">
        <f t="shared" si="154"/>
        <v>0</v>
      </c>
    </row>
    <row r="652" spans="1:16" ht="15.75" thickBot="1" x14ac:dyDescent="0.3">
      <c r="A652" s="90"/>
      <c r="B652" s="23">
        <v>94106</v>
      </c>
      <c r="C652" s="23" t="s">
        <v>475</v>
      </c>
      <c r="D652" s="23">
        <v>99</v>
      </c>
      <c r="E652" s="23" t="s">
        <v>15</v>
      </c>
      <c r="F652" s="23">
        <v>1</v>
      </c>
      <c r="G652" s="23" t="s">
        <v>21</v>
      </c>
      <c r="H652" s="23" t="s">
        <v>17</v>
      </c>
      <c r="I652" s="24" t="s">
        <v>477</v>
      </c>
      <c r="J652" s="23" t="s">
        <v>478</v>
      </c>
      <c r="K652" s="23">
        <v>3</v>
      </c>
      <c r="L652" s="23" t="s">
        <v>24</v>
      </c>
      <c r="M652" s="25">
        <v>10000</v>
      </c>
      <c r="N652" s="23" t="s">
        <v>1</v>
      </c>
      <c r="O652" s="26">
        <f t="shared" si="153"/>
        <v>1</v>
      </c>
      <c r="P652" s="27">
        <f t="shared" si="154"/>
        <v>0</v>
      </c>
    </row>
    <row r="653" spans="1:16" x14ac:dyDescent="0.25"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3"/>
      <c r="N653" s="1"/>
    </row>
    <row r="654" spans="1:16" ht="15.75" thickBot="1" x14ac:dyDescent="0.3"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3"/>
      <c r="N654" s="1"/>
      <c r="P654" s="11">
        <f>IFERROR(VLOOKUP($A655,'PROGRAMA MES '!$A:$B,2,0),0)</f>
        <v>0</v>
      </c>
    </row>
    <row r="655" spans="1:16" x14ac:dyDescent="0.25">
      <c r="A655" s="89">
        <f>B655</f>
        <v>950011</v>
      </c>
      <c r="B655" s="17">
        <v>950011</v>
      </c>
      <c r="C655" s="17" t="s">
        <v>479</v>
      </c>
      <c r="D655" s="17">
        <v>51</v>
      </c>
      <c r="E655" s="17" t="s">
        <v>101</v>
      </c>
      <c r="F655" s="17">
        <v>1</v>
      </c>
      <c r="G655" s="17" t="s">
        <v>16</v>
      </c>
      <c r="H655" s="17" t="s">
        <v>17</v>
      </c>
      <c r="I655" s="18">
        <v>4002546</v>
      </c>
      <c r="J655" s="17" t="s">
        <v>179</v>
      </c>
      <c r="K655" s="17">
        <v>99</v>
      </c>
      <c r="L655" s="17" t="s">
        <v>15</v>
      </c>
      <c r="M655" s="17">
        <v>10</v>
      </c>
      <c r="N655" s="17" t="s">
        <v>1</v>
      </c>
      <c r="O655" s="20">
        <f t="shared" ref="O655:O657" si="155">M655/10000</f>
        <v>1E-3</v>
      </c>
      <c r="P655" s="21">
        <f>O655*$P$654</f>
        <v>0</v>
      </c>
    </row>
    <row r="656" spans="1:16" x14ac:dyDescent="0.25">
      <c r="A656" s="91"/>
      <c r="B656" s="13">
        <v>950011</v>
      </c>
      <c r="C656" s="13" t="s">
        <v>479</v>
      </c>
      <c r="D656" s="13">
        <v>51</v>
      </c>
      <c r="E656" s="13" t="s">
        <v>101</v>
      </c>
      <c r="F656" s="13">
        <v>1</v>
      </c>
      <c r="G656" s="13" t="s">
        <v>16</v>
      </c>
      <c r="H656" s="13" t="s">
        <v>17</v>
      </c>
      <c r="I656" s="14">
        <v>4016160</v>
      </c>
      <c r="J656" s="13" t="s">
        <v>69</v>
      </c>
      <c r="K656" s="13">
        <v>99</v>
      </c>
      <c r="L656" s="13" t="s">
        <v>15</v>
      </c>
      <c r="M656" s="13">
        <v>40</v>
      </c>
      <c r="N656" s="13" t="s">
        <v>3</v>
      </c>
      <c r="O656" s="16">
        <f t="shared" si="155"/>
        <v>4.0000000000000001E-3</v>
      </c>
      <c r="P656" s="22">
        <f t="shared" ref="P656:P657" si="156">O656*$P$654</f>
        <v>0</v>
      </c>
    </row>
    <row r="657" spans="1:16" ht="15.75" thickBot="1" x14ac:dyDescent="0.3">
      <c r="A657" s="90"/>
      <c r="B657" s="23">
        <v>950011</v>
      </c>
      <c r="C657" s="23" t="s">
        <v>479</v>
      </c>
      <c r="D657" s="23">
        <v>51</v>
      </c>
      <c r="E657" s="23" t="s">
        <v>101</v>
      </c>
      <c r="F657" s="23">
        <v>1</v>
      </c>
      <c r="G657" s="23" t="s">
        <v>21</v>
      </c>
      <c r="H657" s="23" t="s">
        <v>17</v>
      </c>
      <c r="I657" s="24" t="s">
        <v>480</v>
      </c>
      <c r="J657" s="23" t="s">
        <v>481</v>
      </c>
      <c r="K657" s="23">
        <v>3</v>
      </c>
      <c r="L657" s="23" t="s">
        <v>24</v>
      </c>
      <c r="M657" s="25">
        <v>10000</v>
      </c>
      <c r="N657" s="23" t="s">
        <v>482</v>
      </c>
      <c r="O657" s="26">
        <f t="shared" si="155"/>
        <v>1</v>
      </c>
      <c r="P657" s="27">
        <f t="shared" si="156"/>
        <v>0</v>
      </c>
    </row>
    <row r="658" spans="1:16" x14ac:dyDescent="0.25"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3"/>
      <c r="N658" s="1"/>
    </row>
    <row r="659" spans="1:16" ht="15.75" thickBot="1" x14ac:dyDescent="0.3"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3"/>
      <c r="N659" s="1"/>
      <c r="P659" s="11">
        <f>IFERROR(VLOOKUP($A660,'PROGRAMA MES '!$A:$B,2,0),0)</f>
        <v>10500</v>
      </c>
    </row>
    <row r="660" spans="1:16" x14ac:dyDescent="0.25">
      <c r="A660" s="89" t="str">
        <f>B660</f>
        <v>9001C</v>
      </c>
      <c r="B660" s="17" t="s">
        <v>483</v>
      </c>
      <c r="C660" s="17" t="s">
        <v>484</v>
      </c>
      <c r="D660" s="17">
        <v>99</v>
      </c>
      <c r="E660" s="17" t="s">
        <v>15</v>
      </c>
      <c r="F660" s="17">
        <v>1</v>
      </c>
      <c r="G660" s="17" t="s">
        <v>16</v>
      </c>
      <c r="H660" s="17" t="s">
        <v>17</v>
      </c>
      <c r="I660" s="18">
        <v>4000017</v>
      </c>
      <c r="J660" s="17" t="s">
        <v>485</v>
      </c>
      <c r="K660" s="17">
        <v>99</v>
      </c>
      <c r="L660" s="17" t="s">
        <v>15</v>
      </c>
      <c r="M660" s="19">
        <v>1334</v>
      </c>
      <c r="N660" s="17" t="s">
        <v>1</v>
      </c>
      <c r="O660" s="20">
        <f t="shared" ref="O660:O665" si="157">M660/10000</f>
        <v>0.13339999999999999</v>
      </c>
      <c r="P660" s="21">
        <f>O660*$P$659</f>
        <v>1400.6999999999998</v>
      </c>
    </row>
    <row r="661" spans="1:16" x14ac:dyDescent="0.25">
      <c r="A661" s="91"/>
      <c r="B661" s="13" t="s">
        <v>483</v>
      </c>
      <c r="C661" s="13" t="s">
        <v>484</v>
      </c>
      <c r="D661" s="13">
        <v>99</v>
      </c>
      <c r="E661" s="13" t="s">
        <v>15</v>
      </c>
      <c r="F661" s="13">
        <v>1</v>
      </c>
      <c r="G661" s="13" t="s">
        <v>16</v>
      </c>
      <c r="H661" s="13" t="s">
        <v>17</v>
      </c>
      <c r="I661" s="14">
        <v>4000018</v>
      </c>
      <c r="J661" s="13" t="s">
        <v>486</v>
      </c>
      <c r="K661" s="13">
        <v>99</v>
      </c>
      <c r="L661" s="13" t="s">
        <v>15</v>
      </c>
      <c r="M661" s="13">
        <v>667</v>
      </c>
      <c r="N661" s="13" t="s">
        <v>1</v>
      </c>
      <c r="O661" s="16">
        <f t="shared" si="157"/>
        <v>6.6699999999999995E-2</v>
      </c>
      <c r="P661" s="22">
        <f t="shared" ref="P661:P665" si="158">O661*$P$659</f>
        <v>700.34999999999991</v>
      </c>
    </row>
    <row r="662" spans="1:16" x14ac:dyDescent="0.25">
      <c r="A662" s="91"/>
      <c r="B662" s="13" t="s">
        <v>483</v>
      </c>
      <c r="C662" s="13" t="s">
        <v>484</v>
      </c>
      <c r="D662" s="13">
        <v>99</v>
      </c>
      <c r="E662" s="13" t="s">
        <v>15</v>
      </c>
      <c r="F662" s="13">
        <v>1</v>
      </c>
      <c r="G662" s="13" t="s">
        <v>16</v>
      </c>
      <c r="H662" s="13" t="s">
        <v>17</v>
      </c>
      <c r="I662" s="14">
        <v>4001216</v>
      </c>
      <c r="J662" s="13" t="s">
        <v>487</v>
      </c>
      <c r="K662" s="13">
        <v>99</v>
      </c>
      <c r="L662" s="13" t="s">
        <v>15</v>
      </c>
      <c r="M662" s="13">
        <v>667</v>
      </c>
      <c r="N662" s="13" t="s">
        <v>1</v>
      </c>
      <c r="O662" s="16">
        <f t="shared" si="157"/>
        <v>6.6699999999999995E-2</v>
      </c>
      <c r="P662" s="22">
        <f t="shared" si="158"/>
        <v>700.34999999999991</v>
      </c>
    </row>
    <row r="663" spans="1:16" x14ac:dyDescent="0.25">
      <c r="A663" s="91"/>
      <c r="B663" s="13" t="s">
        <v>483</v>
      </c>
      <c r="C663" s="13" t="s">
        <v>484</v>
      </c>
      <c r="D663" s="13">
        <v>99</v>
      </c>
      <c r="E663" s="13" t="s">
        <v>15</v>
      </c>
      <c r="F663" s="13">
        <v>1</v>
      </c>
      <c r="G663" s="13" t="s">
        <v>16</v>
      </c>
      <c r="H663" s="13" t="s">
        <v>17</v>
      </c>
      <c r="I663" s="14">
        <v>4002347</v>
      </c>
      <c r="J663" s="13" t="s">
        <v>488</v>
      </c>
      <c r="K663" s="13">
        <v>99</v>
      </c>
      <c r="L663" s="13" t="s">
        <v>15</v>
      </c>
      <c r="M663" s="15">
        <v>10000</v>
      </c>
      <c r="N663" s="13" t="s">
        <v>1</v>
      </c>
      <c r="O663" s="16">
        <f t="shared" si="157"/>
        <v>1</v>
      </c>
      <c r="P663" s="22">
        <f t="shared" si="158"/>
        <v>10500</v>
      </c>
    </row>
    <row r="664" spans="1:16" x14ac:dyDescent="0.25">
      <c r="A664" s="91"/>
      <c r="B664" s="13" t="s">
        <v>483</v>
      </c>
      <c r="C664" s="13" t="s">
        <v>484</v>
      </c>
      <c r="D664" s="13">
        <v>99</v>
      </c>
      <c r="E664" s="13" t="s">
        <v>15</v>
      </c>
      <c r="F664" s="13">
        <v>1</v>
      </c>
      <c r="G664" s="13" t="s">
        <v>16</v>
      </c>
      <c r="H664" s="13" t="s">
        <v>17</v>
      </c>
      <c r="I664" s="14">
        <v>4002827</v>
      </c>
      <c r="J664" s="13" t="s">
        <v>0</v>
      </c>
      <c r="K664" s="13">
        <v>99</v>
      </c>
      <c r="L664" s="13" t="s">
        <v>15</v>
      </c>
      <c r="M664" s="15">
        <v>1283.33</v>
      </c>
      <c r="N664" s="13" t="s">
        <v>2</v>
      </c>
      <c r="O664" s="16">
        <f t="shared" si="157"/>
        <v>0.128333</v>
      </c>
      <c r="P664" s="22">
        <f t="shared" si="158"/>
        <v>1347.4965</v>
      </c>
    </row>
    <row r="665" spans="1:16" ht="15.75" thickBot="1" x14ac:dyDescent="0.3">
      <c r="A665" s="90"/>
      <c r="B665" s="23" t="s">
        <v>483</v>
      </c>
      <c r="C665" s="23" t="s">
        <v>484</v>
      </c>
      <c r="D665" s="23">
        <v>99</v>
      </c>
      <c r="E665" s="23" t="s">
        <v>15</v>
      </c>
      <c r="F665" s="23">
        <v>1</v>
      </c>
      <c r="G665" s="23" t="s">
        <v>21</v>
      </c>
      <c r="H665" s="23" t="s">
        <v>17</v>
      </c>
      <c r="I665" s="24" t="s">
        <v>489</v>
      </c>
      <c r="J665" s="23" t="s">
        <v>490</v>
      </c>
      <c r="K665" s="23">
        <v>3</v>
      </c>
      <c r="L665" s="23" t="s">
        <v>24</v>
      </c>
      <c r="M665" s="25">
        <v>10000</v>
      </c>
      <c r="N665" s="23" t="s">
        <v>1</v>
      </c>
      <c r="O665" s="26">
        <f t="shared" si="157"/>
        <v>1</v>
      </c>
      <c r="P665" s="27">
        <f t="shared" si="158"/>
        <v>10500</v>
      </c>
    </row>
    <row r="666" spans="1:16" x14ac:dyDescent="0.25"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3"/>
      <c r="N666" s="1"/>
    </row>
    <row r="667" spans="1:16" ht="15.75" thickBot="1" x14ac:dyDescent="0.3"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3"/>
      <c r="N667" s="1"/>
      <c r="P667" s="11">
        <f>IFERROR(VLOOKUP($A668,'PROGRAMA MES '!$A:$B,2,0),0)</f>
        <v>5400</v>
      </c>
    </row>
    <row r="668" spans="1:16" x14ac:dyDescent="0.25">
      <c r="A668" s="89" t="str">
        <f>B668</f>
        <v>9003C</v>
      </c>
      <c r="B668" s="17" t="s">
        <v>491</v>
      </c>
      <c r="C668" s="17" t="s">
        <v>492</v>
      </c>
      <c r="D668" s="17">
        <v>99</v>
      </c>
      <c r="E668" s="17" t="s">
        <v>15</v>
      </c>
      <c r="F668" s="17">
        <v>1</v>
      </c>
      <c r="G668" s="17" t="s">
        <v>16</v>
      </c>
      <c r="H668" s="17" t="s">
        <v>17</v>
      </c>
      <c r="I668" s="18">
        <v>4001215</v>
      </c>
      <c r="J668" s="17" t="s">
        <v>493</v>
      </c>
      <c r="K668" s="17">
        <v>99</v>
      </c>
      <c r="L668" s="17" t="s">
        <v>15</v>
      </c>
      <c r="M668" s="17">
        <v>834</v>
      </c>
      <c r="N668" s="17" t="s">
        <v>1</v>
      </c>
      <c r="O668" s="20">
        <f t="shared" ref="O668:O673" si="159">M668/10000</f>
        <v>8.3400000000000002E-2</v>
      </c>
      <c r="P668" s="21">
        <f>O668*$P$667</f>
        <v>450.36</v>
      </c>
    </row>
    <row r="669" spans="1:16" x14ac:dyDescent="0.25">
      <c r="A669" s="91"/>
      <c r="B669" s="13" t="s">
        <v>491</v>
      </c>
      <c r="C669" s="13" t="s">
        <v>492</v>
      </c>
      <c r="D669" s="13">
        <v>99</v>
      </c>
      <c r="E669" s="13" t="s">
        <v>15</v>
      </c>
      <c r="F669" s="13">
        <v>1</v>
      </c>
      <c r="G669" s="13" t="s">
        <v>16</v>
      </c>
      <c r="H669" s="13" t="s">
        <v>17</v>
      </c>
      <c r="I669" s="14">
        <v>4002348</v>
      </c>
      <c r="J669" s="13" t="s">
        <v>494</v>
      </c>
      <c r="K669" s="13">
        <v>99</v>
      </c>
      <c r="L669" s="13" t="s">
        <v>15</v>
      </c>
      <c r="M669" s="15">
        <v>10000</v>
      </c>
      <c r="N669" s="13" t="s">
        <v>1</v>
      </c>
      <c r="O669" s="16">
        <f t="shared" si="159"/>
        <v>1</v>
      </c>
      <c r="P669" s="22">
        <f t="shared" ref="P669:P673" si="160">O669*$P$667</f>
        <v>5400</v>
      </c>
    </row>
    <row r="670" spans="1:16" x14ac:dyDescent="0.25">
      <c r="A670" s="91"/>
      <c r="B670" s="13" t="s">
        <v>491</v>
      </c>
      <c r="C670" s="13" t="s">
        <v>492</v>
      </c>
      <c r="D670" s="13">
        <v>99</v>
      </c>
      <c r="E670" s="13" t="s">
        <v>15</v>
      </c>
      <c r="F670" s="13">
        <v>1</v>
      </c>
      <c r="G670" s="13" t="s">
        <v>16</v>
      </c>
      <c r="H670" s="13" t="s">
        <v>17</v>
      </c>
      <c r="I670" s="14">
        <v>4002826</v>
      </c>
      <c r="J670" s="13" t="s">
        <v>4</v>
      </c>
      <c r="K670" s="13">
        <v>99</v>
      </c>
      <c r="L670" s="13" t="s">
        <v>15</v>
      </c>
      <c r="M670" s="13">
        <v>12</v>
      </c>
      <c r="N670" s="13" t="s">
        <v>1</v>
      </c>
      <c r="O670" s="16">
        <f t="shared" si="159"/>
        <v>1.1999999999999999E-3</v>
      </c>
      <c r="P670" s="22">
        <f t="shared" si="160"/>
        <v>6.4799999999999995</v>
      </c>
    </row>
    <row r="671" spans="1:16" x14ac:dyDescent="0.25">
      <c r="A671" s="91"/>
      <c r="B671" s="13" t="s">
        <v>491</v>
      </c>
      <c r="C671" s="13" t="s">
        <v>492</v>
      </c>
      <c r="D671" s="13">
        <v>99</v>
      </c>
      <c r="E671" s="13" t="s">
        <v>15</v>
      </c>
      <c r="F671" s="13">
        <v>1</v>
      </c>
      <c r="G671" s="13" t="s">
        <v>16</v>
      </c>
      <c r="H671" s="13" t="s">
        <v>17</v>
      </c>
      <c r="I671" s="14">
        <v>4016880</v>
      </c>
      <c r="J671" s="13" t="s">
        <v>495</v>
      </c>
      <c r="K671" s="13">
        <v>99</v>
      </c>
      <c r="L671" s="13" t="s">
        <v>15</v>
      </c>
      <c r="M671" s="15">
        <v>5000</v>
      </c>
      <c r="N671" s="13" t="s">
        <v>1</v>
      </c>
      <c r="O671" s="16">
        <f t="shared" si="159"/>
        <v>0.5</v>
      </c>
      <c r="P671" s="22">
        <f t="shared" si="160"/>
        <v>2700</v>
      </c>
    </row>
    <row r="672" spans="1:16" x14ac:dyDescent="0.25">
      <c r="A672" s="91"/>
      <c r="B672" s="13" t="s">
        <v>491</v>
      </c>
      <c r="C672" s="13" t="s">
        <v>492</v>
      </c>
      <c r="D672" s="13">
        <v>99</v>
      </c>
      <c r="E672" s="13" t="s">
        <v>15</v>
      </c>
      <c r="F672" s="13">
        <v>1</v>
      </c>
      <c r="G672" s="13" t="s">
        <v>16</v>
      </c>
      <c r="H672" s="13" t="s">
        <v>17</v>
      </c>
      <c r="I672" s="14">
        <v>4016890</v>
      </c>
      <c r="J672" s="13" t="s">
        <v>496</v>
      </c>
      <c r="K672" s="13">
        <v>99</v>
      </c>
      <c r="L672" s="13" t="s">
        <v>15</v>
      </c>
      <c r="M672" s="15">
        <v>1667</v>
      </c>
      <c r="N672" s="13" t="s">
        <v>1</v>
      </c>
      <c r="O672" s="16">
        <f t="shared" si="159"/>
        <v>0.16669999999999999</v>
      </c>
      <c r="P672" s="22">
        <f t="shared" si="160"/>
        <v>900.18</v>
      </c>
    </row>
    <row r="673" spans="1:16" ht="15.75" thickBot="1" x14ac:dyDescent="0.3">
      <c r="A673" s="90"/>
      <c r="B673" s="23" t="s">
        <v>491</v>
      </c>
      <c r="C673" s="23" t="s">
        <v>492</v>
      </c>
      <c r="D673" s="23">
        <v>99</v>
      </c>
      <c r="E673" s="23" t="s">
        <v>15</v>
      </c>
      <c r="F673" s="23">
        <v>1</v>
      </c>
      <c r="G673" s="23" t="s">
        <v>21</v>
      </c>
      <c r="H673" s="23" t="s">
        <v>17</v>
      </c>
      <c r="I673" s="24" t="s">
        <v>497</v>
      </c>
      <c r="J673" s="23" t="s">
        <v>498</v>
      </c>
      <c r="K673" s="23">
        <v>3</v>
      </c>
      <c r="L673" s="23" t="s">
        <v>24</v>
      </c>
      <c r="M673" s="25">
        <v>10000</v>
      </c>
      <c r="N673" s="23" t="s">
        <v>1</v>
      </c>
      <c r="O673" s="26">
        <f t="shared" si="159"/>
        <v>1</v>
      </c>
      <c r="P673" s="27">
        <f t="shared" si="160"/>
        <v>5400</v>
      </c>
    </row>
    <row r="674" spans="1:16" x14ac:dyDescent="0.25"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3"/>
      <c r="N674" s="1"/>
    </row>
    <row r="675" spans="1:16" ht="15.75" thickBot="1" x14ac:dyDescent="0.3"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3"/>
      <c r="N675" s="1"/>
      <c r="P675" s="11">
        <f>IFERROR(VLOOKUP($A676,'PROGRAMA MES '!$A:$B,2,0),0)</f>
        <v>7800</v>
      </c>
    </row>
    <row r="676" spans="1:16" x14ac:dyDescent="0.25">
      <c r="A676" s="89" t="str">
        <f>B676</f>
        <v>9004D</v>
      </c>
      <c r="B676" s="17" t="s">
        <v>499</v>
      </c>
      <c r="C676" s="17" t="s">
        <v>500</v>
      </c>
      <c r="D676" s="17">
        <v>99</v>
      </c>
      <c r="E676" s="17" t="s">
        <v>15</v>
      </c>
      <c r="F676" s="17">
        <v>1</v>
      </c>
      <c r="G676" s="17" t="s">
        <v>16</v>
      </c>
      <c r="H676" s="17" t="s">
        <v>17</v>
      </c>
      <c r="I676" s="18">
        <v>4000129</v>
      </c>
      <c r="J676" s="17" t="s">
        <v>501</v>
      </c>
      <c r="K676" s="17">
        <v>99</v>
      </c>
      <c r="L676" s="17" t="s">
        <v>15</v>
      </c>
      <c r="M676" s="17">
        <v>834</v>
      </c>
      <c r="N676" s="17" t="s">
        <v>1</v>
      </c>
      <c r="O676" s="20">
        <f t="shared" ref="O676:O680" si="161">M676/10000</f>
        <v>8.3400000000000002E-2</v>
      </c>
      <c r="P676" s="21">
        <f>O676*$P$675</f>
        <v>650.52</v>
      </c>
    </row>
    <row r="677" spans="1:16" x14ac:dyDescent="0.25">
      <c r="A677" s="91"/>
      <c r="B677" s="13" t="s">
        <v>499</v>
      </c>
      <c r="C677" s="13" t="s">
        <v>500</v>
      </c>
      <c r="D677" s="13">
        <v>99</v>
      </c>
      <c r="E677" s="13" t="s">
        <v>15</v>
      </c>
      <c r="F677" s="13">
        <v>1</v>
      </c>
      <c r="G677" s="13" t="s">
        <v>16</v>
      </c>
      <c r="H677" s="13" t="s">
        <v>17</v>
      </c>
      <c r="I677" s="14">
        <v>4001226</v>
      </c>
      <c r="J677" s="13" t="s">
        <v>502</v>
      </c>
      <c r="K677" s="13">
        <v>99</v>
      </c>
      <c r="L677" s="13" t="s">
        <v>15</v>
      </c>
      <c r="M677" s="13">
        <v>834</v>
      </c>
      <c r="N677" s="13" t="s">
        <v>1</v>
      </c>
      <c r="O677" s="16">
        <f t="shared" si="161"/>
        <v>8.3400000000000002E-2</v>
      </c>
      <c r="P677" s="22">
        <f t="shared" ref="P677:P680" si="162">O677*$P$675</f>
        <v>650.52</v>
      </c>
    </row>
    <row r="678" spans="1:16" x14ac:dyDescent="0.25">
      <c r="A678" s="91"/>
      <c r="B678" s="13" t="s">
        <v>499</v>
      </c>
      <c r="C678" s="13" t="s">
        <v>500</v>
      </c>
      <c r="D678" s="13">
        <v>99</v>
      </c>
      <c r="E678" s="13" t="s">
        <v>15</v>
      </c>
      <c r="F678" s="13">
        <v>1</v>
      </c>
      <c r="G678" s="13" t="s">
        <v>16</v>
      </c>
      <c r="H678" s="13" t="s">
        <v>17</v>
      </c>
      <c r="I678" s="14">
        <v>4002349</v>
      </c>
      <c r="J678" s="13" t="s">
        <v>503</v>
      </c>
      <c r="K678" s="13">
        <v>99</v>
      </c>
      <c r="L678" s="13" t="s">
        <v>15</v>
      </c>
      <c r="M678" s="15">
        <v>10000</v>
      </c>
      <c r="N678" s="13" t="s">
        <v>1</v>
      </c>
      <c r="O678" s="16">
        <f t="shared" si="161"/>
        <v>1</v>
      </c>
      <c r="P678" s="22">
        <f t="shared" si="162"/>
        <v>7800</v>
      </c>
    </row>
    <row r="679" spans="1:16" x14ac:dyDescent="0.25">
      <c r="A679" s="91"/>
      <c r="B679" s="13" t="s">
        <v>499</v>
      </c>
      <c r="C679" s="13" t="s">
        <v>500</v>
      </c>
      <c r="D679" s="13">
        <v>99</v>
      </c>
      <c r="E679" s="13" t="s">
        <v>15</v>
      </c>
      <c r="F679" s="13">
        <v>1</v>
      </c>
      <c r="G679" s="13" t="s">
        <v>16</v>
      </c>
      <c r="H679" s="13" t="s">
        <v>17</v>
      </c>
      <c r="I679" s="14">
        <v>4002826</v>
      </c>
      <c r="J679" s="13" t="s">
        <v>4</v>
      </c>
      <c r="K679" s="13">
        <v>99</v>
      </c>
      <c r="L679" s="13" t="s">
        <v>15</v>
      </c>
      <c r="M679" s="13">
        <v>13</v>
      </c>
      <c r="N679" s="13" t="s">
        <v>1</v>
      </c>
      <c r="O679" s="16">
        <f t="shared" si="161"/>
        <v>1.2999999999999999E-3</v>
      </c>
      <c r="P679" s="22">
        <f t="shared" si="162"/>
        <v>10.139999999999999</v>
      </c>
    </row>
    <row r="680" spans="1:16" ht="15.75" thickBot="1" x14ac:dyDescent="0.3">
      <c r="A680" s="90"/>
      <c r="B680" s="23" t="s">
        <v>499</v>
      </c>
      <c r="C680" s="23" t="s">
        <v>500</v>
      </c>
      <c r="D680" s="23">
        <v>99</v>
      </c>
      <c r="E680" s="23" t="s">
        <v>15</v>
      </c>
      <c r="F680" s="23">
        <v>1</v>
      </c>
      <c r="G680" s="23" t="s">
        <v>21</v>
      </c>
      <c r="H680" s="23" t="s">
        <v>17</v>
      </c>
      <c r="I680" s="24" t="s">
        <v>504</v>
      </c>
      <c r="J680" s="23" t="s">
        <v>505</v>
      </c>
      <c r="K680" s="23">
        <v>3</v>
      </c>
      <c r="L680" s="23" t="s">
        <v>24</v>
      </c>
      <c r="M680" s="25">
        <v>10000</v>
      </c>
      <c r="N680" s="23" t="s">
        <v>1</v>
      </c>
      <c r="O680" s="26">
        <f t="shared" si="161"/>
        <v>1</v>
      </c>
      <c r="P680" s="27">
        <f t="shared" si="162"/>
        <v>7800</v>
      </c>
    </row>
    <row r="681" spans="1:16" x14ac:dyDescent="0.25"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3"/>
      <c r="N681" s="1"/>
    </row>
    <row r="682" spans="1:16" ht="15.75" thickBot="1" x14ac:dyDescent="0.3"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3"/>
      <c r="N682" s="1"/>
      <c r="P682" s="11">
        <f>IFERROR(VLOOKUP($A683,'PROGRAMA MES '!$A:$B,2,0),0)</f>
        <v>5400</v>
      </c>
    </row>
    <row r="683" spans="1:16" x14ac:dyDescent="0.25">
      <c r="A683" s="89" t="str">
        <f>B683</f>
        <v>9005D</v>
      </c>
      <c r="B683" s="17" t="s">
        <v>506</v>
      </c>
      <c r="C683" s="17" t="s">
        <v>507</v>
      </c>
      <c r="D683" s="17">
        <v>99</v>
      </c>
      <c r="E683" s="17" t="s">
        <v>15</v>
      </c>
      <c r="F683" s="17">
        <v>1</v>
      </c>
      <c r="G683" s="17" t="s">
        <v>16</v>
      </c>
      <c r="H683" s="17" t="s">
        <v>17</v>
      </c>
      <c r="I683" s="18">
        <v>4001227</v>
      </c>
      <c r="J683" s="17" t="s">
        <v>508</v>
      </c>
      <c r="K683" s="17">
        <v>99</v>
      </c>
      <c r="L683" s="17" t="s">
        <v>15</v>
      </c>
      <c r="M683" s="17">
        <v>834</v>
      </c>
      <c r="N683" s="17" t="s">
        <v>1</v>
      </c>
      <c r="O683" s="20">
        <f t="shared" ref="O683:O686" si="163">M683/10000</f>
        <v>8.3400000000000002E-2</v>
      </c>
      <c r="P683" s="21">
        <f>O683*$P$682</f>
        <v>450.36</v>
      </c>
    </row>
    <row r="684" spans="1:16" x14ac:dyDescent="0.25">
      <c r="A684" s="91"/>
      <c r="B684" s="13" t="s">
        <v>506</v>
      </c>
      <c r="C684" s="13" t="s">
        <v>507</v>
      </c>
      <c r="D684" s="13">
        <v>99</v>
      </c>
      <c r="E684" s="13" t="s">
        <v>15</v>
      </c>
      <c r="F684" s="13">
        <v>1</v>
      </c>
      <c r="G684" s="13" t="s">
        <v>16</v>
      </c>
      <c r="H684" s="13" t="s">
        <v>17</v>
      </c>
      <c r="I684" s="14">
        <v>4002353</v>
      </c>
      <c r="J684" s="13" t="s">
        <v>509</v>
      </c>
      <c r="K684" s="13">
        <v>99</v>
      </c>
      <c r="L684" s="13" t="s">
        <v>15</v>
      </c>
      <c r="M684" s="15">
        <v>10000</v>
      </c>
      <c r="N684" s="13" t="s">
        <v>1</v>
      </c>
      <c r="O684" s="16">
        <f t="shared" si="163"/>
        <v>1</v>
      </c>
      <c r="P684" s="22">
        <f t="shared" ref="P684:P686" si="164">O684*$P$682</f>
        <v>5400</v>
      </c>
    </row>
    <row r="685" spans="1:16" x14ac:dyDescent="0.25">
      <c r="A685" s="91"/>
      <c r="B685" s="13" t="s">
        <v>506</v>
      </c>
      <c r="C685" s="13" t="s">
        <v>507</v>
      </c>
      <c r="D685" s="13">
        <v>99</v>
      </c>
      <c r="E685" s="13" t="s">
        <v>15</v>
      </c>
      <c r="F685" s="13">
        <v>1</v>
      </c>
      <c r="G685" s="13" t="s">
        <v>16</v>
      </c>
      <c r="H685" s="13" t="s">
        <v>17</v>
      </c>
      <c r="I685" s="14">
        <v>4002826</v>
      </c>
      <c r="J685" s="13" t="s">
        <v>4</v>
      </c>
      <c r="K685" s="13">
        <v>99</v>
      </c>
      <c r="L685" s="13" t="s">
        <v>15</v>
      </c>
      <c r="M685" s="13">
        <v>15</v>
      </c>
      <c r="N685" s="13" t="s">
        <v>1</v>
      </c>
      <c r="O685" s="16">
        <f t="shared" si="163"/>
        <v>1.5E-3</v>
      </c>
      <c r="P685" s="22">
        <f t="shared" si="164"/>
        <v>8.1</v>
      </c>
    </row>
    <row r="686" spans="1:16" ht="15.75" thickBot="1" x14ac:dyDescent="0.3">
      <c r="A686" s="90"/>
      <c r="B686" s="23" t="s">
        <v>506</v>
      </c>
      <c r="C686" s="23" t="s">
        <v>507</v>
      </c>
      <c r="D686" s="23">
        <v>99</v>
      </c>
      <c r="E686" s="23" t="s">
        <v>15</v>
      </c>
      <c r="F686" s="23">
        <v>1</v>
      </c>
      <c r="G686" s="23" t="s">
        <v>21</v>
      </c>
      <c r="H686" s="23" t="s">
        <v>17</v>
      </c>
      <c r="I686" s="24" t="s">
        <v>510</v>
      </c>
      <c r="J686" s="23" t="s">
        <v>511</v>
      </c>
      <c r="K686" s="23">
        <v>3</v>
      </c>
      <c r="L686" s="23" t="s">
        <v>24</v>
      </c>
      <c r="M686" s="25">
        <v>10000</v>
      </c>
      <c r="N686" s="23" t="s">
        <v>1</v>
      </c>
      <c r="O686" s="26">
        <f t="shared" si="163"/>
        <v>1</v>
      </c>
      <c r="P686" s="27">
        <f t="shared" si="164"/>
        <v>5400</v>
      </c>
    </row>
    <row r="687" spans="1:16" x14ac:dyDescent="0.25"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3"/>
      <c r="N687" s="1"/>
    </row>
    <row r="688" spans="1:16" ht="15.75" thickBot="1" x14ac:dyDescent="0.3"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3"/>
      <c r="N688" s="1"/>
      <c r="P688" s="11">
        <f>IFERROR(VLOOKUP($A689,'PROGRAMA MES '!$A:$B,2,0),0)</f>
        <v>4800</v>
      </c>
    </row>
    <row r="689" spans="1:16" x14ac:dyDescent="0.25">
      <c r="A689" s="89" t="str">
        <f>B689</f>
        <v>9006C</v>
      </c>
      <c r="B689" s="17" t="s">
        <v>512</v>
      </c>
      <c r="C689" s="17" t="s">
        <v>513</v>
      </c>
      <c r="D689" s="17">
        <v>99</v>
      </c>
      <c r="E689" s="17" t="s">
        <v>15</v>
      </c>
      <c r="F689" s="17">
        <v>1</v>
      </c>
      <c r="G689" s="17" t="s">
        <v>16</v>
      </c>
      <c r="H689" s="17" t="s">
        <v>17</v>
      </c>
      <c r="I689" s="18">
        <v>4000124</v>
      </c>
      <c r="J689" s="17" t="s">
        <v>514</v>
      </c>
      <c r="K689" s="17">
        <v>99</v>
      </c>
      <c r="L689" s="17" t="s">
        <v>15</v>
      </c>
      <c r="M689" s="17">
        <v>834</v>
      </c>
      <c r="N689" s="17" t="s">
        <v>1</v>
      </c>
      <c r="O689" s="20">
        <f t="shared" ref="O689:O694" si="165">M689/10000</f>
        <v>8.3400000000000002E-2</v>
      </c>
      <c r="P689" s="21">
        <f>O689*$P$688</f>
        <v>400.32</v>
      </c>
    </row>
    <row r="690" spans="1:16" x14ac:dyDescent="0.25">
      <c r="A690" s="91"/>
      <c r="B690" s="13" t="s">
        <v>512</v>
      </c>
      <c r="C690" s="13" t="s">
        <v>513</v>
      </c>
      <c r="D690" s="13">
        <v>99</v>
      </c>
      <c r="E690" s="13" t="s">
        <v>15</v>
      </c>
      <c r="F690" s="13">
        <v>1</v>
      </c>
      <c r="G690" s="13" t="s">
        <v>16</v>
      </c>
      <c r="H690" s="13" t="s">
        <v>17</v>
      </c>
      <c r="I690" s="14">
        <v>4000125</v>
      </c>
      <c r="J690" s="13" t="s">
        <v>515</v>
      </c>
      <c r="K690" s="13">
        <v>99</v>
      </c>
      <c r="L690" s="13" t="s">
        <v>15</v>
      </c>
      <c r="M690" s="15">
        <v>1667</v>
      </c>
      <c r="N690" s="13" t="s">
        <v>1</v>
      </c>
      <c r="O690" s="16">
        <f t="shared" si="165"/>
        <v>0.16669999999999999</v>
      </c>
      <c r="P690" s="22">
        <f t="shared" ref="P690:P694" si="166">O690*$P$688</f>
        <v>800.16</v>
      </c>
    </row>
    <row r="691" spans="1:16" x14ac:dyDescent="0.25">
      <c r="A691" s="91"/>
      <c r="B691" s="13" t="s">
        <v>512</v>
      </c>
      <c r="C691" s="13" t="s">
        <v>513</v>
      </c>
      <c r="D691" s="13">
        <v>99</v>
      </c>
      <c r="E691" s="13" t="s">
        <v>15</v>
      </c>
      <c r="F691" s="13">
        <v>1</v>
      </c>
      <c r="G691" s="13" t="s">
        <v>16</v>
      </c>
      <c r="H691" s="13" t="s">
        <v>17</v>
      </c>
      <c r="I691" s="14">
        <v>4001213</v>
      </c>
      <c r="J691" s="13" t="s">
        <v>516</v>
      </c>
      <c r="K691" s="13">
        <v>99</v>
      </c>
      <c r="L691" s="13" t="s">
        <v>15</v>
      </c>
      <c r="M691" s="13">
        <v>834</v>
      </c>
      <c r="N691" s="13" t="s">
        <v>1</v>
      </c>
      <c r="O691" s="16">
        <f t="shared" si="165"/>
        <v>8.3400000000000002E-2</v>
      </c>
      <c r="P691" s="22">
        <f t="shared" si="166"/>
        <v>400.32</v>
      </c>
    </row>
    <row r="692" spans="1:16" x14ac:dyDescent="0.25">
      <c r="A692" s="91"/>
      <c r="B692" s="13" t="s">
        <v>512</v>
      </c>
      <c r="C692" s="13" t="s">
        <v>513</v>
      </c>
      <c r="D692" s="13">
        <v>99</v>
      </c>
      <c r="E692" s="13" t="s">
        <v>15</v>
      </c>
      <c r="F692" s="13">
        <v>1</v>
      </c>
      <c r="G692" s="13" t="s">
        <v>16</v>
      </c>
      <c r="H692" s="13" t="s">
        <v>17</v>
      </c>
      <c r="I692" s="14">
        <v>4002358</v>
      </c>
      <c r="J692" s="13" t="s">
        <v>517</v>
      </c>
      <c r="K692" s="13">
        <v>99</v>
      </c>
      <c r="L692" s="13" t="s">
        <v>15</v>
      </c>
      <c r="M692" s="15">
        <v>10000</v>
      </c>
      <c r="N692" s="13" t="s">
        <v>1</v>
      </c>
      <c r="O692" s="16">
        <f t="shared" si="165"/>
        <v>1</v>
      </c>
      <c r="P692" s="22">
        <f t="shared" si="166"/>
        <v>4800</v>
      </c>
    </row>
    <row r="693" spans="1:16" x14ac:dyDescent="0.25">
      <c r="A693" s="91"/>
      <c r="B693" s="13" t="s">
        <v>512</v>
      </c>
      <c r="C693" s="13" t="s">
        <v>513</v>
      </c>
      <c r="D693" s="13">
        <v>99</v>
      </c>
      <c r="E693" s="13" t="s">
        <v>15</v>
      </c>
      <c r="F693" s="13">
        <v>1</v>
      </c>
      <c r="G693" s="13" t="s">
        <v>16</v>
      </c>
      <c r="H693" s="13" t="s">
        <v>17</v>
      </c>
      <c r="I693" s="14">
        <v>4002826</v>
      </c>
      <c r="J693" s="13" t="s">
        <v>4</v>
      </c>
      <c r="K693" s="13">
        <v>99</v>
      </c>
      <c r="L693" s="13" t="s">
        <v>15</v>
      </c>
      <c r="M693" s="13">
        <v>20</v>
      </c>
      <c r="N693" s="13" t="s">
        <v>1</v>
      </c>
      <c r="O693" s="16">
        <f t="shared" si="165"/>
        <v>2E-3</v>
      </c>
      <c r="P693" s="22">
        <f t="shared" si="166"/>
        <v>9.6</v>
      </c>
    </row>
    <row r="694" spans="1:16" ht="15.75" thickBot="1" x14ac:dyDescent="0.3">
      <c r="A694" s="90"/>
      <c r="B694" s="23" t="s">
        <v>512</v>
      </c>
      <c r="C694" s="23" t="s">
        <v>513</v>
      </c>
      <c r="D694" s="23">
        <v>99</v>
      </c>
      <c r="E694" s="23" t="s">
        <v>15</v>
      </c>
      <c r="F694" s="23">
        <v>1</v>
      </c>
      <c r="G694" s="23" t="s">
        <v>21</v>
      </c>
      <c r="H694" s="23" t="s">
        <v>17</v>
      </c>
      <c r="I694" s="24" t="s">
        <v>518</v>
      </c>
      <c r="J694" s="23" t="s">
        <v>519</v>
      </c>
      <c r="K694" s="23">
        <v>3</v>
      </c>
      <c r="L694" s="23" t="s">
        <v>24</v>
      </c>
      <c r="M694" s="25">
        <v>10000</v>
      </c>
      <c r="N694" s="23" t="s">
        <v>1</v>
      </c>
      <c r="O694" s="26">
        <f t="shared" si="165"/>
        <v>1</v>
      </c>
      <c r="P694" s="27">
        <f t="shared" si="166"/>
        <v>4800</v>
      </c>
    </row>
    <row r="695" spans="1:16" x14ac:dyDescent="0.25"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3"/>
      <c r="N695" s="1"/>
    </row>
    <row r="696" spans="1:16" ht="15.75" thickBot="1" x14ac:dyDescent="0.3"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3"/>
      <c r="N696" s="1"/>
      <c r="P696" s="11">
        <f>IFERROR(VLOOKUP($A697,'PROGRAMA MES '!$A:$B,2,0),0)</f>
        <v>1200</v>
      </c>
    </row>
    <row r="697" spans="1:16" x14ac:dyDescent="0.25">
      <c r="A697" s="89" t="str">
        <f>B697</f>
        <v>9008C</v>
      </c>
      <c r="B697" s="17" t="s">
        <v>520</v>
      </c>
      <c r="C697" s="17" t="s">
        <v>521</v>
      </c>
      <c r="D697" s="17">
        <v>99</v>
      </c>
      <c r="E697" s="17" t="s">
        <v>15</v>
      </c>
      <c r="F697" s="17">
        <v>1</v>
      </c>
      <c r="G697" s="17" t="s">
        <v>16</v>
      </c>
      <c r="H697" s="17" t="s">
        <v>17</v>
      </c>
      <c r="I697" s="18">
        <v>4000013</v>
      </c>
      <c r="J697" s="17" t="s">
        <v>522</v>
      </c>
      <c r="K697" s="17">
        <v>99</v>
      </c>
      <c r="L697" s="17" t="s">
        <v>15</v>
      </c>
      <c r="M697" s="19">
        <v>1667</v>
      </c>
      <c r="N697" s="17" t="s">
        <v>1</v>
      </c>
      <c r="O697" s="20">
        <f t="shared" ref="O697:O701" si="167">M697/10000</f>
        <v>0.16669999999999999</v>
      </c>
      <c r="P697" s="21">
        <f>O697*$P$696</f>
        <v>200.04</v>
      </c>
    </row>
    <row r="698" spans="1:16" x14ac:dyDescent="0.25">
      <c r="A698" s="91"/>
      <c r="B698" s="13" t="s">
        <v>520</v>
      </c>
      <c r="C698" s="13" t="s">
        <v>521</v>
      </c>
      <c r="D698" s="13">
        <v>99</v>
      </c>
      <c r="E698" s="13" t="s">
        <v>15</v>
      </c>
      <c r="F698" s="13">
        <v>1</v>
      </c>
      <c r="G698" s="13" t="s">
        <v>16</v>
      </c>
      <c r="H698" s="13" t="s">
        <v>17</v>
      </c>
      <c r="I698" s="14">
        <v>4001220</v>
      </c>
      <c r="J698" s="13" t="s">
        <v>523</v>
      </c>
      <c r="K698" s="13">
        <v>99</v>
      </c>
      <c r="L698" s="13" t="s">
        <v>15</v>
      </c>
      <c r="M698" s="13">
        <v>834</v>
      </c>
      <c r="N698" s="13" t="s">
        <v>1</v>
      </c>
      <c r="O698" s="16">
        <f t="shared" si="167"/>
        <v>8.3400000000000002E-2</v>
      </c>
      <c r="P698" s="22">
        <f t="shared" ref="P698:P701" si="168">O698*$P$696</f>
        <v>100.08</v>
      </c>
    </row>
    <row r="699" spans="1:16" x14ac:dyDescent="0.25">
      <c r="A699" s="91"/>
      <c r="B699" s="13" t="s">
        <v>520</v>
      </c>
      <c r="C699" s="13" t="s">
        <v>521</v>
      </c>
      <c r="D699" s="13">
        <v>99</v>
      </c>
      <c r="E699" s="13" t="s">
        <v>15</v>
      </c>
      <c r="F699" s="13">
        <v>1</v>
      </c>
      <c r="G699" s="13" t="s">
        <v>16</v>
      </c>
      <c r="H699" s="13" t="s">
        <v>17</v>
      </c>
      <c r="I699" s="14">
        <v>4002364</v>
      </c>
      <c r="J699" s="13" t="s">
        <v>524</v>
      </c>
      <c r="K699" s="13">
        <v>99</v>
      </c>
      <c r="L699" s="13" t="s">
        <v>15</v>
      </c>
      <c r="M699" s="15">
        <v>10000</v>
      </c>
      <c r="N699" s="13" t="s">
        <v>1</v>
      </c>
      <c r="O699" s="16">
        <f t="shared" si="167"/>
        <v>1</v>
      </c>
      <c r="P699" s="22">
        <f t="shared" si="168"/>
        <v>1200</v>
      </c>
    </row>
    <row r="700" spans="1:16" x14ac:dyDescent="0.25">
      <c r="A700" s="91"/>
      <c r="B700" s="13" t="s">
        <v>520</v>
      </c>
      <c r="C700" s="13" t="s">
        <v>521</v>
      </c>
      <c r="D700" s="13">
        <v>99</v>
      </c>
      <c r="E700" s="13" t="s">
        <v>15</v>
      </c>
      <c r="F700" s="13">
        <v>1</v>
      </c>
      <c r="G700" s="13" t="s">
        <v>16</v>
      </c>
      <c r="H700" s="13" t="s">
        <v>17</v>
      </c>
      <c r="I700" s="14">
        <v>4002827</v>
      </c>
      <c r="J700" s="13" t="s">
        <v>0</v>
      </c>
      <c r="K700" s="13">
        <v>99</v>
      </c>
      <c r="L700" s="13" t="s">
        <v>15</v>
      </c>
      <c r="M700" s="15">
        <v>1283.33</v>
      </c>
      <c r="N700" s="13" t="s">
        <v>2</v>
      </c>
      <c r="O700" s="16">
        <f t="shared" si="167"/>
        <v>0.128333</v>
      </c>
      <c r="P700" s="22">
        <f t="shared" si="168"/>
        <v>153.99960000000002</v>
      </c>
    </row>
    <row r="701" spans="1:16" ht="15.75" thickBot="1" x14ac:dyDescent="0.3">
      <c r="A701" s="90"/>
      <c r="B701" s="23" t="s">
        <v>520</v>
      </c>
      <c r="C701" s="23" t="s">
        <v>521</v>
      </c>
      <c r="D701" s="23">
        <v>99</v>
      </c>
      <c r="E701" s="23" t="s">
        <v>15</v>
      </c>
      <c r="F701" s="23">
        <v>1</v>
      </c>
      <c r="G701" s="23" t="s">
        <v>21</v>
      </c>
      <c r="H701" s="23" t="s">
        <v>17</v>
      </c>
      <c r="I701" s="24" t="s">
        <v>525</v>
      </c>
      <c r="J701" s="23" t="s">
        <v>526</v>
      </c>
      <c r="K701" s="23">
        <v>3</v>
      </c>
      <c r="L701" s="23" t="s">
        <v>24</v>
      </c>
      <c r="M701" s="25">
        <v>10000</v>
      </c>
      <c r="N701" s="23" t="s">
        <v>1</v>
      </c>
      <c r="O701" s="26">
        <f t="shared" si="167"/>
        <v>1</v>
      </c>
      <c r="P701" s="27">
        <f t="shared" si="168"/>
        <v>1200</v>
      </c>
    </row>
    <row r="702" spans="1:16" x14ac:dyDescent="0.25"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3"/>
      <c r="N702" s="1"/>
    </row>
    <row r="703" spans="1:16" ht="15.75" thickBot="1" x14ac:dyDescent="0.3"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3"/>
      <c r="N703" s="1"/>
      <c r="P703" s="11">
        <f>IFERROR(VLOOKUP($A704,'PROGRAMA MES '!$A:$B,2,0),0)</f>
        <v>0</v>
      </c>
    </row>
    <row r="704" spans="1:16" x14ac:dyDescent="0.25">
      <c r="A704" s="89" t="str">
        <f>B704</f>
        <v>9021C</v>
      </c>
      <c r="B704" s="17" t="s">
        <v>527</v>
      </c>
      <c r="C704" s="17" t="s">
        <v>528</v>
      </c>
      <c r="D704" s="17">
        <v>99</v>
      </c>
      <c r="E704" s="17" t="s">
        <v>15</v>
      </c>
      <c r="F704" s="17">
        <v>1</v>
      </c>
      <c r="G704" s="17" t="s">
        <v>16</v>
      </c>
      <c r="H704" s="17" t="s">
        <v>17</v>
      </c>
      <c r="I704" s="18">
        <v>4000126</v>
      </c>
      <c r="J704" s="17" t="s">
        <v>529</v>
      </c>
      <c r="K704" s="17">
        <v>99</v>
      </c>
      <c r="L704" s="17" t="s">
        <v>15</v>
      </c>
      <c r="M704" s="17">
        <v>834</v>
      </c>
      <c r="N704" s="17" t="s">
        <v>1</v>
      </c>
      <c r="O704" s="20">
        <f t="shared" ref="O704:O708" si="169">M704/10000</f>
        <v>8.3400000000000002E-2</v>
      </c>
      <c r="P704" s="21">
        <f>O704*$P$703</f>
        <v>0</v>
      </c>
    </row>
    <row r="705" spans="1:16" x14ac:dyDescent="0.25">
      <c r="A705" s="91"/>
      <c r="B705" s="13" t="s">
        <v>527</v>
      </c>
      <c r="C705" s="13" t="s">
        <v>528</v>
      </c>
      <c r="D705" s="13">
        <v>99</v>
      </c>
      <c r="E705" s="13" t="s">
        <v>15</v>
      </c>
      <c r="F705" s="13">
        <v>1</v>
      </c>
      <c r="G705" s="13" t="s">
        <v>16</v>
      </c>
      <c r="H705" s="13" t="s">
        <v>17</v>
      </c>
      <c r="I705" s="14">
        <v>4001223</v>
      </c>
      <c r="J705" s="13" t="s">
        <v>530</v>
      </c>
      <c r="K705" s="13">
        <v>99</v>
      </c>
      <c r="L705" s="13" t="s">
        <v>15</v>
      </c>
      <c r="M705" s="13">
        <v>834</v>
      </c>
      <c r="N705" s="13" t="s">
        <v>1</v>
      </c>
      <c r="O705" s="16">
        <f t="shared" si="169"/>
        <v>8.3400000000000002E-2</v>
      </c>
      <c r="P705" s="22">
        <f t="shared" ref="P705:P708" si="170">O705*$P$703</f>
        <v>0</v>
      </c>
    </row>
    <row r="706" spans="1:16" x14ac:dyDescent="0.25">
      <c r="A706" s="91"/>
      <c r="B706" s="13" t="s">
        <v>527</v>
      </c>
      <c r="C706" s="13" t="s">
        <v>528</v>
      </c>
      <c r="D706" s="13">
        <v>99</v>
      </c>
      <c r="E706" s="13" t="s">
        <v>15</v>
      </c>
      <c r="F706" s="13">
        <v>1</v>
      </c>
      <c r="G706" s="13" t="s">
        <v>16</v>
      </c>
      <c r="H706" s="13" t="s">
        <v>17</v>
      </c>
      <c r="I706" s="14">
        <v>4002374</v>
      </c>
      <c r="J706" s="13" t="s">
        <v>531</v>
      </c>
      <c r="K706" s="13">
        <v>99</v>
      </c>
      <c r="L706" s="13" t="s">
        <v>15</v>
      </c>
      <c r="M706" s="15">
        <v>10000</v>
      </c>
      <c r="N706" s="13" t="s">
        <v>1</v>
      </c>
      <c r="O706" s="16">
        <f t="shared" si="169"/>
        <v>1</v>
      </c>
      <c r="P706" s="22">
        <f t="shared" si="170"/>
        <v>0</v>
      </c>
    </row>
    <row r="707" spans="1:16" x14ac:dyDescent="0.25">
      <c r="A707" s="91"/>
      <c r="B707" s="13" t="s">
        <v>527</v>
      </c>
      <c r="C707" s="13" t="s">
        <v>528</v>
      </c>
      <c r="D707" s="13">
        <v>99</v>
      </c>
      <c r="E707" s="13" t="s">
        <v>15</v>
      </c>
      <c r="F707" s="13">
        <v>1</v>
      </c>
      <c r="G707" s="13" t="s">
        <v>16</v>
      </c>
      <c r="H707" s="13" t="s">
        <v>17</v>
      </c>
      <c r="I707" s="14">
        <v>4002826</v>
      </c>
      <c r="J707" s="13" t="s">
        <v>4</v>
      </c>
      <c r="K707" s="13">
        <v>99</v>
      </c>
      <c r="L707" s="13" t="s">
        <v>15</v>
      </c>
      <c r="M707" s="13">
        <v>13</v>
      </c>
      <c r="N707" s="13" t="s">
        <v>1</v>
      </c>
      <c r="O707" s="16">
        <f t="shared" si="169"/>
        <v>1.2999999999999999E-3</v>
      </c>
      <c r="P707" s="22">
        <f t="shared" si="170"/>
        <v>0</v>
      </c>
    </row>
    <row r="708" spans="1:16" ht="15.75" thickBot="1" x14ac:dyDescent="0.3">
      <c r="A708" s="90"/>
      <c r="B708" s="23" t="s">
        <v>527</v>
      </c>
      <c r="C708" s="23" t="s">
        <v>528</v>
      </c>
      <c r="D708" s="23">
        <v>99</v>
      </c>
      <c r="E708" s="23" t="s">
        <v>15</v>
      </c>
      <c r="F708" s="23">
        <v>1</v>
      </c>
      <c r="G708" s="23" t="s">
        <v>21</v>
      </c>
      <c r="H708" s="23" t="s">
        <v>17</v>
      </c>
      <c r="I708" s="24" t="s">
        <v>532</v>
      </c>
      <c r="J708" s="23" t="s">
        <v>533</v>
      </c>
      <c r="K708" s="23">
        <v>3</v>
      </c>
      <c r="L708" s="23" t="s">
        <v>24</v>
      </c>
      <c r="M708" s="25">
        <v>10000</v>
      </c>
      <c r="N708" s="23" t="s">
        <v>1</v>
      </c>
      <c r="O708" s="26">
        <f t="shared" si="169"/>
        <v>1</v>
      </c>
      <c r="P708" s="27">
        <f t="shared" si="170"/>
        <v>0</v>
      </c>
    </row>
    <row r="709" spans="1:16" x14ac:dyDescent="0.25"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3"/>
      <c r="N709" s="1"/>
    </row>
    <row r="710" spans="1:16" ht="15.75" thickBot="1" x14ac:dyDescent="0.3"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3"/>
      <c r="N710" s="1"/>
      <c r="P710" s="11">
        <f>IFERROR(VLOOKUP($A711,'PROGRAMA MES '!$A:$B,2,0),0)</f>
        <v>0</v>
      </c>
    </row>
    <row r="711" spans="1:16" x14ac:dyDescent="0.25">
      <c r="A711" s="89" t="str">
        <f>B711</f>
        <v>9051C</v>
      </c>
      <c r="B711" s="17" t="s">
        <v>534</v>
      </c>
      <c r="C711" s="17" t="s">
        <v>535</v>
      </c>
      <c r="D711" s="17">
        <v>99</v>
      </c>
      <c r="E711" s="17" t="s">
        <v>15</v>
      </c>
      <c r="F711" s="17">
        <v>1</v>
      </c>
      <c r="G711" s="17" t="s">
        <v>16</v>
      </c>
      <c r="H711" s="17" t="s">
        <v>17</v>
      </c>
      <c r="I711" s="18">
        <v>4000120</v>
      </c>
      <c r="J711" s="17" t="s">
        <v>129</v>
      </c>
      <c r="K711" s="17">
        <v>53</v>
      </c>
      <c r="L711" s="17" t="s">
        <v>130</v>
      </c>
      <c r="M711" s="19">
        <v>1667</v>
      </c>
      <c r="N711" s="17" t="s">
        <v>1</v>
      </c>
      <c r="O711" s="20">
        <f t="shared" ref="O711:O715" si="171">M711/10000</f>
        <v>0.16669999999999999</v>
      </c>
      <c r="P711" s="21">
        <f>O711*$P$710</f>
        <v>0</v>
      </c>
    </row>
    <row r="712" spans="1:16" x14ac:dyDescent="0.25">
      <c r="A712" s="91"/>
      <c r="B712" s="13" t="s">
        <v>534</v>
      </c>
      <c r="C712" s="13" t="s">
        <v>535</v>
      </c>
      <c r="D712" s="13">
        <v>99</v>
      </c>
      <c r="E712" s="13" t="s">
        <v>15</v>
      </c>
      <c r="F712" s="13">
        <v>1</v>
      </c>
      <c r="G712" s="13" t="s">
        <v>16</v>
      </c>
      <c r="H712" s="13" t="s">
        <v>17</v>
      </c>
      <c r="I712" s="14">
        <v>4001228</v>
      </c>
      <c r="J712" s="13" t="s">
        <v>536</v>
      </c>
      <c r="K712" s="13">
        <v>99</v>
      </c>
      <c r="L712" s="13" t="s">
        <v>15</v>
      </c>
      <c r="M712" s="13">
        <v>834</v>
      </c>
      <c r="N712" s="13" t="s">
        <v>1</v>
      </c>
      <c r="O712" s="16">
        <f t="shared" si="171"/>
        <v>8.3400000000000002E-2</v>
      </c>
      <c r="P712" s="22">
        <f t="shared" ref="P712:P715" si="172">O712*$P$710</f>
        <v>0</v>
      </c>
    </row>
    <row r="713" spans="1:16" x14ac:dyDescent="0.25">
      <c r="A713" s="91"/>
      <c r="B713" s="13" t="s">
        <v>534</v>
      </c>
      <c r="C713" s="13" t="s">
        <v>535</v>
      </c>
      <c r="D713" s="13">
        <v>99</v>
      </c>
      <c r="E713" s="13" t="s">
        <v>15</v>
      </c>
      <c r="F713" s="13">
        <v>1</v>
      </c>
      <c r="G713" s="13" t="s">
        <v>16</v>
      </c>
      <c r="H713" s="13" t="s">
        <v>17</v>
      </c>
      <c r="I713" s="14">
        <v>4002381</v>
      </c>
      <c r="J713" s="13" t="s">
        <v>537</v>
      </c>
      <c r="K713" s="13">
        <v>99</v>
      </c>
      <c r="L713" s="13" t="s">
        <v>15</v>
      </c>
      <c r="M713" s="15">
        <v>10000</v>
      </c>
      <c r="N713" s="13" t="s">
        <v>1</v>
      </c>
      <c r="O713" s="16">
        <f t="shared" si="171"/>
        <v>1</v>
      </c>
      <c r="P713" s="22">
        <f t="shared" si="172"/>
        <v>0</v>
      </c>
    </row>
    <row r="714" spans="1:16" x14ac:dyDescent="0.25">
      <c r="A714" s="91"/>
      <c r="B714" s="13" t="s">
        <v>534</v>
      </c>
      <c r="C714" s="13" t="s">
        <v>535</v>
      </c>
      <c r="D714" s="13">
        <v>99</v>
      </c>
      <c r="E714" s="13" t="s">
        <v>15</v>
      </c>
      <c r="F714" s="13">
        <v>1</v>
      </c>
      <c r="G714" s="13" t="s">
        <v>16</v>
      </c>
      <c r="H714" s="13" t="s">
        <v>17</v>
      </c>
      <c r="I714" s="14">
        <v>4002826</v>
      </c>
      <c r="J714" s="13" t="s">
        <v>4</v>
      </c>
      <c r="K714" s="13">
        <v>99</v>
      </c>
      <c r="L714" s="13" t="s">
        <v>15</v>
      </c>
      <c r="M714" s="13">
        <v>12</v>
      </c>
      <c r="N714" s="13" t="s">
        <v>1</v>
      </c>
      <c r="O714" s="16">
        <f t="shared" si="171"/>
        <v>1.1999999999999999E-3</v>
      </c>
      <c r="P714" s="22">
        <f t="shared" si="172"/>
        <v>0</v>
      </c>
    </row>
    <row r="715" spans="1:16" ht="15.75" thickBot="1" x14ac:dyDescent="0.3">
      <c r="A715" s="90"/>
      <c r="B715" s="23" t="s">
        <v>534</v>
      </c>
      <c r="C715" s="23" t="s">
        <v>535</v>
      </c>
      <c r="D715" s="23">
        <v>99</v>
      </c>
      <c r="E715" s="23" t="s">
        <v>15</v>
      </c>
      <c r="F715" s="23">
        <v>1</v>
      </c>
      <c r="G715" s="23" t="s">
        <v>21</v>
      </c>
      <c r="H715" s="23" t="s">
        <v>17</v>
      </c>
      <c r="I715" s="24" t="s">
        <v>538</v>
      </c>
      <c r="J715" s="23" t="s">
        <v>539</v>
      </c>
      <c r="K715" s="23">
        <v>3</v>
      </c>
      <c r="L715" s="23" t="s">
        <v>24</v>
      </c>
      <c r="M715" s="25">
        <v>10000</v>
      </c>
      <c r="N715" s="23" t="s">
        <v>1</v>
      </c>
      <c r="O715" s="26">
        <f t="shared" si="171"/>
        <v>1</v>
      </c>
      <c r="P715" s="27">
        <f t="shared" si="172"/>
        <v>0</v>
      </c>
    </row>
    <row r="716" spans="1:16" x14ac:dyDescent="0.25"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3"/>
      <c r="N716" s="1"/>
    </row>
    <row r="717" spans="1:16" ht="15.75" thickBot="1" x14ac:dyDescent="0.3"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3"/>
      <c r="N717" s="1"/>
      <c r="P717" s="11">
        <f>IFERROR(VLOOKUP($A718,'PROGRAMA MES '!$A:$B,2,0),0)</f>
        <v>1200</v>
      </c>
    </row>
    <row r="718" spans="1:16" x14ac:dyDescent="0.25">
      <c r="A718" s="89" t="str">
        <f>B718</f>
        <v>9052C</v>
      </c>
      <c r="B718" s="17" t="s">
        <v>540</v>
      </c>
      <c r="C718" s="17" t="s">
        <v>541</v>
      </c>
      <c r="D718" s="17">
        <v>99</v>
      </c>
      <c r="E718" s="17" t="s">
        <v>15</v>
      </c>
      <c r="F718" s="17">
        <v>1</v>
      </c>
      <c r="G718" s="17" t="s">
        <v>16</v>
      </c>
      <c r="H718" s="17" t="s">
        <v>17</v>
      </c>
      <c r="I718" s="18">
        <v>4000120</v>
      </c>
      <c r="J718" s="17" t="s">
        <v>129</v>
      </c>
      <c r="K718" s="17">
        <v>53</v>
      </c>
      <c r="L718" s="17" t="s">
        <v>130</v>
      </c>
      <c r="M718" s="19">
        <v>1667</v>
      </c>
      <c r="N718" s="17" t="s">
        <v>1</v>
      </c>
      <c r="O718" s="20">
        <f t="shared" ref="O718:O722" si="173">M718/10000</f>
        <v>0.16669999999999999</v>
      </c>
      <c r="P718" s="21">
        <f>O718*$P$717</f>
        <v>200.04</v>
      </c>
    </row>
    <row r="719" spans="1:16" x14ac:dyDescent="0.25">
      <c r="A719" s="91"/>
      <c r="B719" s="13" t="s">
        <v>540</v>
      </c>
      <c r="C719" s="13" t="s">
        <v>541</v>
      </c>
      <c r="D719" s="13">
        <v>99</v>
      </c>
      <c r="E719" s="13" t="s">
        <v>15</v>
      </c>
      <c r="F719" s="13">
        <v>1</v>
      </c>
      <c r="G719" s="13" t="s">
        <v>16</v>
      </c>
      <c r="H719" s="13" t="s">
        <v>17</v>
      </c>
      <c r="I719" s="14">
        <v>4001229</v>
      </c>
      <c r="J719" s="13" t="s">
        <v>542</v>
      </c>
      <c r="K719" s="13">
        <v>99</v>
      </c>
      <c r="L719" s="13" t="s">
        <v>15</v>
      </c>
      <c r="M719" s="13">
        <v>834</v>
      </c>
      <c r="N719" s="13" t="s">
        <v>1</v>
      </c>
      <c r="O719" s="16">
        <f t="shared" si="173"/>
        <v>8.3400000000000002E-2</v>
      </c>
      <c r="P719" s="22">
        <f t="shared" ref="P719:P722" si="174">O719*$P$717</f>
        <v>100.08</v>
      </c>
    </row>
    <row r="720" spans="1:16" x14ac:dyDescent="0.25">
      <c r="A720" s="91"/>
      <c r="B720" s="13" t="s">
        <v>540</v>
      </c>
      <c r="C720" s="13" t="s">
        <v>541</v>
      </c>
      <c r="D720" s="13">
        <v>99</v>
      </c>
      <c r="E720" s="13" t="s">
        <v>15</v>
      </c>
      <c r="F720" s="13">
        <v>1</v>
      </c>
      <c r="G720" s="13" t="s">
        <v>16</v>
      </c>
      <c r="H720" s="13" t="s">
        <v>17</v>
      </c>
      <c r="I720" s="14">
        <v>4002382</v>
      </c>
      <c r="J720" s="13" t="s">
        <v>543</v>
      </c>
      <c r="K720" s="13">
        <v>99</v>
      </c>
      <c r="L720" s="13" t="s">
        <v>15</v>
      </c>
      <c r="M720" s="15">
        <v>10000</v>
      </c>
      <c r="N720" s="13" t="s">
        <v>1</v>
      </c>
      <c r="O720" s="16">
        <f t="shared" si="173"/>
        <v>1</v>
      </c>
      <c r="P720" s="22">
        <f t="shared" si="174"/>
        <v>1200</v>
      </c>
    </row>
    <row r="721" spans="1:16" x14ac:dyDescent="0.25">
      <c r="A721" s="91"/>
      <c r="B721" s="13" t="s">
        <v>540</v>
      </c>
      <c r="C721" s="13" t="s">
        <v>541</v>
      </c>
      <c r="D721" s="13">
        <v>99</v>
      </c>
      <c r="E721" s="13" t="s">
        <v>15</v>
      </c>
      <c r="F721" s="13">
        <v>1</v>
      </c>
      <c r="G721" s="13" t="s">
        <v>16</v>
      </c>
      <c r="H721" s="13" t="s">
        <v>17</v>
      </c>
      <c r="I721" s="14">
        <v>4002826</v>
      </c>
      <c r="J721" s="13" t="s">
        <v>4</v>
      </c>
      <c r="K721" s="13">
        <v>99</v>
      </c>
      <c r="L721" s="13" t="s">
        <v>15</v>
      </c>
      <c r="M721" s="13">
        <v>12</v>
      </c>
      <c r="N721" s="13" t="s">
        <v>1</v>
      </c>
      <c r="O721" s="16">
        <f t="shared" si="173"/>
        <v>1.1999999999999999E-3</v>
      </c>
      <c r="P721" s="22">
        <f t="shared" si="174"/>
        <v>1.44</v>
      </c>
    </row>
    <row r="722" spans="1:16" ht="15.75" thickBot="1" x14ac:dyDescent="0.3">
      <c r="A722" s="90"/>
      <c r="B722" s="23" t="s">
        <v>540</v>
      </c>
      <c r="C722" s="23" t="s">
        <v>541</v>
      </c>
      <c r="D722" s="23">
        <v>99</v>
      </c>
      <c r="E722" s="23" t="s">
        <v>15</v>
      </c>
      <c r="F722" s="23">
        <v>1</v>
      </c>
      <c r="G722" s="23" t="s">
        <v>21</v>
      </c>
      <c r="H722" s="23" t="s">
        <v>17</v>
      </c>
      <c r="I722" s="24" t="s">
        <v>544</v>
      </c>
      <c r="J722" s="23" t="s">
        <v>545</v>
      </c>
      <c r="K722" s="23">
        <v>3</v>
      </c>
      <c r="L722" s="23" t="s">
        <v>24</v>
      </c>
      <c r="M722" s="25">
        <v>10000</v>
      </c>
      <c r="N722" s="23" t="s">
        <v>1</v>
      </c>
      <c r="O722" s="26">
        <f t="shared" si="173"/>
        <v>1</v>
      </c>
      <c r="P722" s="27">
        <f t="shared" si="174"/>
        <v>1200</v>
      </c>
    </row>
    <row r="723" spans="1:16" x14ac:dyDescent="0.25"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3"/>
      <c r="N723" s="1"/>
    </row>
    <row r="724" spans="1:16" ht="15.75" thickBot="1" x14ac:dyDescent="0.3"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3"/>
      <c r="N724" s="1"/>
      <c r="P724" s="11">
        <f>IFERROR(VLOOKUP($A725,'PROGRAMA MES '!$A:$B,2,0),0)</f>
        <v>3000</v>
      </c>
    </row>
    <row r="725" spans="1:16" x14ac:dyDescent="0.25">
      <c r="A725" s="89" t="str">
        <f>B725</f>
        <v>9053C</v>
      </c>
      <c r="B725" s="17" t="s">
        <v>546</v>
      </c>
      <c r="C725" s="17" t="s">
        <v>547</v>
      </c>
      <c r="D725" s="17">
        <v>99</v>
      </c>
      <c r="E725" s="17" t="s">
        <v>15</v>
      </c>
      <c r="F725" s="17">
        <v>1</v>
      </c>
      <c r="G725" s="17" t="s">
        <v>16</v>
      </c>
      <c r="H725" s="17" t="s">
        <v>17</v>
      </c>
      <c r="I725" s="18">
        <v>4001230</v>
      </c>
      <c r="J725" s="17" t="s">
        <v>548</v>
      </c>
      <c r="K725" s="17">
        <v>99</v>
      </c>
      <c r="L725" s="17" t="s">
        <v>15</v>
      </c>
      <c r="M725" s="17">
        <v>667</v>
      </c>
      <c r="N725" s="17" t="s">
        <v>1</v>
      </c>
      <c r="O725" s="20">
        <f t="shared" ref="O725:O730" si="175">M725/10000</f>
        <v>6.6699999999999995E-2</v>
      </c>
      <c r="P725" s="21">
        <f>O725*$P$724</f>
        <v>200.1</v>
      </c>
    </row>
    <row r="726" spans="1:16" x14ac:dyDescent="0.25">
      <c r="A726" s="91"/>
      <c r="B726" s="13" t="s">
        <v>546</v>
      </c>
      <c r="C726" s="13" t="s">
        <v>547</v>
      </c>
      <c r="D726" s="13">
        <v>99</v>
      </c>
      <c r="E726" s="13" t="s">
        <v>15</v>
      </c>
      <c r="F726" s="13">
        <v>1</v>
      </c>
      <c r="G726" s="13" t="s">
        <v>16</v>
      </c>
      <c r="H726" s="13" t="s">
        <v>17</v>
      </c>
      <c r="I726" s="14">
        <v>4002383</v>
      </c>
      <c r="J726" s="13" t="s">
        <v>549</v>
      </c>
      <c r="K726" s="13">
        <v>99</v>
      </c>
      <c r="L726" s="13" t="s">
        <v>15</v>
      </c>
      <c r="M726" s="15">
        <v>10000</v>
      </c>
      <c r="N726" s="13" t="s">
        <v>1</v>
      </c>
      <c r="O726" s="16">
        <f t="shared" si="175"/>
        <v>1</v>
      </c>
      <c r="P726" s="22">
        <f t="shared" ref="P726:P730" si="176">O726*$P$724</f>
        <v>3000</v>
      </c>
    </row>
    <row r="727" spans="1:16" x14ac:dyDescent="0.25">
      <c r="A727" s="91"/>
      <c r="B727" s="13" t="s">
        <v>546</v>
      </c>
      <c r="C727" s="13" t="s">
        <v>547</v>
      </c>
      <c r="D727" s="13">
        <v>99</v>
      </c>
      <c r="E727" s="13" t="s">
        <v>15</v>
      </c>
      <c r="F727" s="13">
        <v>1</v>
      </c>
      <c r="G727" s="13" t="s">
        <v>16</v>
      </c>
      <c r="H727" s="13" t="s">
        <v>17</v>
      </c>
      <c r="I727" s="14">
        <v>4002826</v>
      </c>
      <c r="J727" s="13" t="s">
        <v>4</v>
      </c>
      <c r="K727" s="13">
        <v>99</v>
      </c>
      <c r="L727" s="13" t="s">
        <v>15</v>
      </c>
      <c r="M727" s="13">
        <v>12</v>
      </c>
      <c r="N727" s="13" t="s">
        <v>1</v>
      </c>
      <c r="O727" s="16">
        <f t="shared" si="175"/>
        <v>1.1999999999999999E-3</v>
      </c>
      <c r="P727" s="22">
        <f t="shared" si="176"/>
        <v>3.5999999999999996</v>
      </c>
    </row>
    <row r="728" spans="1:16" x14ac:dyDescent="0.25">
      <c r="A728" s="91"/>
      <c r="B728" s="13" t="s">
        <v>546</v>
      </c>
      <c r="C728" s="13" t="s">
        <v>547</v>
      </c>
      <c r="D728" s="13">
        <v>99</v>
      </c>
      <c r="E728" s="13" t="s">
        <v>15</v>
      </c>
      <c r="F728" s="13">
        <v>1</v>
      </c>
      <c r="G728" s="13" t="s">
        <v>16</v>
      </c>
      <c r="H728" s="13" t="s">
        <v>17</v>
      </c>
      <c r="I728" s="14">
        <v>4008732</v>
      </c>
      <c r="J728" s="13" t="s">
        <v>550</v>
      </c>
      <c r="K728" s="13">
        <v>99</v>
      </c>
      <c r="L728" s="13" t="s">
        <v>15</v>
      </c>
      <c r="M728" s="13">
        <v>667</v>
      </c>
      <c r="N728" s="13" t="s">
        <v>1</v>
      </c>
      <c r="O728" s="16">
        <f t="shared" si="175"/>
        <v>6.6699999999999995E-2</v>
      </c>
      <c r="P728" s="22">
        <f t="shared" si="176"/>
        <v>200.1</v>
      </c>
    </row>
    <row r="729" spans="1:16" x14ac:dyDescent="0.25">
      <c r="A729" s="91"/>
      <c r="B729" s="13" t="s">
        <v>546</v>
      </c>
      <c r="C729" s="13" t="s">
        <v>547</v>
      </c>
      <c r="D729" s="13">
        <v>99</v>
      </c>
      <c r="E729" s="13" t="s">
        <v>15</v>
      </c>
      <c r="F729" s="13">
        <v>1</v>
      </c>
      <c r="G729" s="13" t="s">
        <v>16</v>
      </c>
      <c r="H729" s="13" t="s">
        <v>17</v>
      </c>
      <c r="I729" s="14">
        <v>4008733</v>
      </c>
      <c r="J729" s="13" t="s">
        <v>551</v>
      </c>
      <c r="K729" s="13">
        <v>99</v>
      </c>
      <c r="L729" s="13" t="s">
        <v>15</v>
      </c>
      <c r="M729" s="15">
        <v>1334</v>
      </c>
      <c r="N729" s="13" t="s">
        <v>1</v>
      </c>
      <c r="O729" s="16">
        <f t="shared" si="175"/>
        <v>0.13339999999999999</v>
      </c>
      <c r="P729" s="22">
        <f t="shared" si="176"/>
        <v>400.2</v>
      </c>
    </row>
    <row r="730" spans="1:16" ht="15.75" thickBot="1" x14ac:dyDescent="0.3">
      <c r="A730" s="90"/>
      <c r="B730" s="23" t="s">
        <v>546</v>
      </c>
      <c r="C730" s="23" t="s">
        <v>547</v>
      </c>
      <c r="D730" s="23">
        <v>99</v>
      </c>
      <c r="E730" s="23" t="s">
        <v>15</v>
      </c>
      <c r="F730" s="23">
        <v>1</v>
      </c>
      <c r="G730" s="23" t="s">
        <v>21</v>
      </c>
      <c r="H730" s="23" t="s">
        <v>17</v>
      </c>
      <c r="I730" s="24" t="s">
        <v>552</v>
      </c>
      <c r="J730" s="23" t="s">
        <v>553</v>
      </c>
      <c r="K730" s="23">
        <v>3</v>
      </c>
      <c r="L730" s="23" t="s">
        <v>24</v>
      </c>
      <c r="M730" s="25">
        <v>10000</v>
      </c>
      <c r="N730" s="23" t="s">
        <v>1</v>
      </c>
      <c r="O730" s="26">
        <f t="shared" si="175"/>
        <v>1</v>
      </c>
      <c r="P730" s="27">
        <f t="shared" si="176"/>
        <v>3000</v>
      </c>
    </row>
    <row r="731" spans="1:16" x14ac:dyDescent="0.25"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3"/>
      <c r="N731" s="1"/>
    </row>
    <row r="732" spans="1:16" ht="15.75" thickBot="1" x14ac:dyDescent="0.3"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3"/>
      <c r="N732" s="1"/>
      <c r="P732" s="11">
        <f>IFERROR(VLOOKUP($A733,'PROGRAMA MES '!$A:$B,2,0),0)</f>
        <v>6000</v>
      </c>
    </row>
    <row r="733" spans="1:16" x14ac:dyDescent="0.25">
      <c r="A733" s="89" t="str">
        <f>B733</f>
        <v>9054C</v>
      </c>
      <c r="B733" s="17" t="s">
        <v>554</v>
      </c>
      <c r="C733" s="17" t="s">
        <v>555</v>
      </c>
      <c r="D733" s="17">
        <v>99</v>
      </c>
      <c r="E733" s="17" t="s">
        <v>15</v>
      </c>
      <c r="F733" s="17">
        <v>1</v>
      </c>
      <c r="G733" s="17" t="s">
        <v>16</v>
      </c>
      <c r="H733" s="17" t="s">
        <v>17</v>
      </c>
      <c r="I733" s="18">
        <v>4002384</v>
      </c>
      <c r="J733" s="17" t="s">
        <v>556</v>
      </c>
      <c r="K733" s="17">
        <v>99</v>
      </c>
      <c r="L733" s="17" t="s">
        <v>15</v>
      </c>
      <c r="M733" s="19">
        <v>10000</v>
      </c>
      <c r="N733" s="17" t="s">
        <v>1</v>
      </c>
      <c r="O733" s="20">
        <f t="shared" ref="O733:O738" si="177">M733/10000</f>
        <v>1</v>
      </c>
      <c r="P733" s="21">
        <f>O733*$P$732</f>
        <v>6000</v>
      </c>
    </row>
    <row r="734" spans="1:16" x14ac:dyDescent="0.25">
      <c r="A734" s="91"/>
      <c r="B734" s="13" t="s">
        <v>554</v>
      </c>
      <c r="C734" s="13" t="s">
        <v>555</v>
      </c>
      <c r="D734" s="13">
        <v>99</v>
      </c>
      <c r="E734" s="13" t="s">
        <v>15</v>
      </c>
      <c r="F734" s="13">
        <v>1</v>
      </c>
      <c r="G734" s="13" t="s">
        <v>16</v>
      </c>
      <c r="H734" s="13" t="s">
        <v>17</v>
      </c>
      <c r="I734" s="14">
        <v>4002826</v>
      </c>
      <c r="J734" s="13" t="s">
        <v>4</v>
      </c>
      <c r="K734" s="13">
        <v>99</v>
      </c>
      <c r="L734" s="13" t="s">
        <v>15</v>
      </c>
      <c r="M734" s="13">
        <v>12</v>
      </c>
      <c r="N734" s="13" t="s">
        <v>1</v>
      </c>
      <c r="O734" s="16">
        <f t="shared" si="177"/>
        <v>1.1999999999999999E-3</v>
      </c>
      <c r="P734" s="22">
        <f t="shared" ref="P734:P738" si="178">O734*$P$732</f>
        <v>7.1999999999999993</v>
      </c>
    </row>
    <row r="735" spans="1:16" x14ac:dyDescent="0.25">
      <c r="A735" s="91"/>
      <c r="B735" s="13" t="s">
        <v>554</v>
      </c>
      <c r="C735" s="13" t="s">
        <v>555</v>
      </c>
      <c r="D735" s="13">
        <v>99</v>
      </c>
      <c r="E735" s="13" t="s">
        <v>15</v>
      </c>
      <c r="F735" s="13">
        <v>1</v>
      </c>
      <c r="G735" s="13" t="s">
        <v>16</v>
      </c>
      <c r="H735" s="13" t="s">
        <v>17</v>
      </c>
      <c r="I735" s="14">
        <v>4008709</v>
      </c>
      <c r="J735" s="13" t="s">
        <v>137</v>
      </c>
      <c r="K735" s="13">
        <v>99</v>
      </c>
      <c r="L735" s="13" t="s">
        <v>15</v>
      </c>
      <c r="M735" s="13">
        <v>667</v>
      </c>
      <c r="N735" s="13" t="s">
        <v>1</v>
      </c>
      <c r="O735" s="16">
        <f t="shared" si="177"/>
        <v>6.6699999999999995E-2</v>
      </c>
      <c r="P735" s="22">
        <f t="shared" si="178"/>
        <v>400.2</v>
      </c>
    </row>
    <row r="736" spans="1:16" x14ac:dyDescent="0.25">
      <c r="A736" s="91"/>
      <c r="B736" s="13" t="s">
        <v>554</v>
      </c>
      <c r="C736" s="13" t="s">
        <v>555</v>
      </c>
      <c r="D736" s="13">
        <v>99</v>
      </c>
      <c r="E736" s="13" t="s">
        <v>15</v>
      </c>
      <c r="F736" s="13">
        <v>1</v>
      </c>
      <c r="G736" s="13" t="s">
        <v>16</v>
      </c>
      <c r="H736" s="13" t="s">
        <v>17</v>
      </c>
      <c r="I736" s="14">
        <v>4008730</v>
      </c>
      <c r="J736" s="13" t="s">
        <v>138</v>
      </c>
      <c r="K736" s="13">
        <v>99</v>
      </c>
      <c r="L736" s="13" t="s">
        <v>15</v>
      </c>
      <c r="M736" s="13">
        <v>667</v>
      </c>
      <c r="N736" s="13" t="s">
        <v>1</v>
      </c>
      <c r="O736" s="16">
        <f t="shared" si="177"/>
        <v>6.6699999999999995E-2</v>
      </c>
      <c r="P736" s="22">
        <f t="shared" si="178"/>
        <v>400.2</v>
      </c>
    </row>
    <row r="737" spans="1:16" x14ac:dyDescent="0.25">
      <c r="A737" s="91"/>
      <c r="B737" s="13" t="s">
        <v>554</v>
      </c>
      <c r="C737" s="13" t="s">
        <v>555</v>
      </c>
      <c r="D737" s="13">
        <v>99</v>
      </c>
      <c r="E737" s="13" t="s">
        <v>15</v>
      </c>
      <c r="F737" s="13">
        <v>1</v>
      </c>
      <c r="G737" s="13" t="s">
        <v>16</v>
      </c>
      <c r="H737" s="13" t="s">
        <v>17</v>
      </c>
      <c r="I737" s="14">
        <v>4008731</v>
      </c>
      <c r="J737" s="13" t="s">
        <v>139</v>
      </c>
      <c r="K737" s="13">
        <v>99</v>
      </c>
      <c r="L737" s="13" t="s">
        <v>15</v>
      </c>
      <c r="M737" s="15">
        <v>1334</v>
      </c>
      <c r="N737" s="13" t="s">
        <v>1</v>
      </c>
      <c r="O737" s="16">
        <f t="shared" si="177"/>
        <v>0.13339999999999999</v>
      </c>
      <c r="P737" s="22">
        <f t="shared" si="178"/>
        <v>800.4</v>
      </c>
    </row>
    <row r="738" spans="1:16" ht="15.75" thickBot="1" x14ac:dyDescent="0.3">
      <c r="A738" s="90"/>
      <c r="B738" s="23" t="s">
        <v>554</v>
      </c>
      <c r="C738" s="23" t="s">
        <v>555</v>
      </c>
      <c r="D738" s="23">
        <v>99</v>
      </c>
      <c r="E738" s="23" t="s">
        <v>15</v>
      </c>
      <c r="F738" s="23">
        <v>1</v>
      </c>
      <c r="G738" s="23" t="s">
        <v>21</v>
      </c>
      <c r="H738" s="23" t="s">
        <v>17</v>
      </c>
      <c r="I738" s="24" t="s">
        <v>557</v>
      </c>
      <c r="J738" s="23" t="s">
        <v>558</v>
      </c>
      <c r="K738" s="23">
        <v>3</v>
      </c>
      <c r="L738" s="23" t="s">
        <v>24</v>
      </c>
      <c r="M738" s="25">
        <v>10000</v>
      </c>
      <c r="N738" s="23" t="s">
        <v>1</v>
      </c>
      <c r="O738" s="26">
        <f t="shared" si="177"/>
        <v>1</v>
      </c>
      <c r="P738" s="27">
        <f t="shared" si="178"/>
        <v>6000</v>
      </c>
    </row>
    <row r="739" spans="1:16" x14ac:dyDescent="0.25"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3"/>
      <c r="N739" s="1"/>
    </row>
    <row r="740" spans="1:16" ht="15.75" thickBot="1" x14ac:dyDescent="0.3"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3"/>
      <c r="N740" s="1"/>
      <c r="P740" s="11">
        <f>IFERROR(VLOOKUP($A741,'PROGRAMA MES '!$A:$B,2,0),0)</f>
        <v>3600</v>
      </c>
    </row>
    <row r="741" spans="1:16" x14ac:dyDescent="0.25">
      <c r="A741" s="89" t="str">
        <f>B741</f>
        <v>9063D</v>
      </c>
      <c r="B741" s="17" t="s">
        <v>559</v>
      </c>
      <c r="C741" s="17" t="s">
        <v>560</v>
      </c>
      <c r="D741" s="17">
        <v>99</v>
      </c>
      <c r="E741" s="17" t="s">
        <v>15</v>
      </c>
      <c r="F741" s="17">
        <v>1</v>
      </c>
      <c r="G741" s="17" t="s">
        <v>16</v>
      </c>
      <c r="H741" s="17" t="s">
        <v>17</v>
      </c>
      <c r="I741" s="18">
        <v>4000121</v>
      </c>
      <c r="J741" s="17" t="s">
        <v>561</v>
      </c>
      <c r="K741" s="17">
        <v>99</v>
      </c>
      <c r="L741" s="17" t="s">
        <v>15</v>
      </c>
      <c r="M741" s="17">
        <v>834</v>
      </c>
      <c r="N741" s="17" t="s">
        <v>1</v>
      </c>
      <c r="O741" s="20">
        <f t="shared" ref="O741:O745" si="179">M741/10000</f>
        <v>8.3400000000000002E-2</v>
      </c>
      <c r="P741" s="21">
        <f>O741*$P$740</f>
        <v>300.24</v>
      </c>
    </row>
    <row r="742" spans="1:16" x14ac:dyDescent="0.25">
      <c r="A742" s="91"/>
      <c r="B742" s="13" t="s">
        <v>559</v>
      </c>
      <c r="C742" s="13" t="s">
        <v>560</v>
      </c>
      <c r="D742" s="13">
        <v>99</v>
      </c>
      <c r="E742" s="13" t="s">
        <v>15</v>
      </c>
      <c r="F742" s="13">
        <v>1</v>
      </c>
      <c r="G742" s="13" t="s">
        <v>16</v>
      </c>
      <c r="H742" s="13" t="s">
        <v>17</v>
      </c>
      <c r="I742" s="14">
        <v>4002388</v>
      </c>
      <c r="J742" s="13" t="s">
        <v>562</v>
      </c>
      <c r="K742" s="13">
        <v>99</v>
      </c>
      <c r="L742" s="13" t="s">
        <v>15</v>
      </c>
      <c r="M742" s="15">
        <v>10000</v>
      </c>
      <c r="N742" s="13" t="s">
        <v>1</v>
      </c>
      <c r="O742" s="16">
        <f t="shared" si="179"/>
        <v>1</v>
      </c>
      <c r="P742" s="22">
        <f t="shared" ref="P742:P745" si="180">O742*$P$740</f>
        <v>3600</v>
      </c>
    </row>
    <row r="743" spans="1:16" x14ac:dyDescent="0.25">
      <c r="A743" s="91"/>
      <c r="B743" s="13" t="s">
        <v>559</v>
      </c>
      <c r="C743" s="13" t="s">
        <v>560</v>
      </c>
      <c r="D743" s="13">
        <v>99</v>
      </c>
      <c r="E743" s="13" t="s">
        <v>15</v>
      </c>
      <c r="F743" s="13">
        <v>1</v>
      </c>
      <c r="G743" s="13" t="s">
        <v>16</v>
      </c>
      <c r="H743" s="13" t="s">
        <v>17</v>
      </c>
      <c r="I743" s="14">
        <v>4002826</v>
      </c>
      <c r="J743" s="13" t="s">
        <v>4</v>
      </c>
      <c r="K743" s="13">
        <v>99</v>
      </c>
      <c r="L743" s="13" t="s">
        <v>15</v>
      </c>
      <c r="M743" s="13">
        <v>15</v>
      </c>
      <c r="N743" s="13" t="s">
        <v>1</v>
      </c>
      <c r="O743" s="16">
        <f t="shared" si="179"/>
        <v>1.5E-3</v>
      </c>
      <c r="P743" s="22">
        <f t="shared" si="180"/>
        <v>5.4</v>
      </c>
    </row>
    <row r="744" spans="1:16" x14ac:dyDescent="0.25">
      <c r="A744" s="91"/>
      <c r="B744" s="13" t="s">
        <v>559</v>
      </c>
      <c r="C744" s="13" t="s">
        <v>560</v>
      </c>
      <c r="D744" s="13">
        <v>99</v>
      </c>
      <c r="E744" s="13" t="s">
        <v>15</v>
      </c>
      <c r="F744" s="13">
        <v>1</v>
      </c>
      <c r="G744" s="13" t="s">
        <v>16</v>
      </c>
      <c r="H744" s="13" t="s">
        <v>17</v>
      </c>
      <c r="I744" s="14">
        <v>4003874</v>
      </c>
      <c r="J744" s="13" t="s">
        <v>563</v>
      </c>
      <c r="K744" s="13">
        <v>99</v>
      </c>
      <c r="L744" s="13" t="s">
        <v>15</v>
      </c>
      <c r="M744" s="13">
        <v>834</v>
      </c>
      <c r="N744" s="13" t="s">
        <v>1</v>
      </c>
      <c r="O744" s="16">
        <f t="shared" si="179"/>
        <v>8.3400000000000002E-2</v>
      </c>
      <c r="P744" s="22">
        <f t="shared" si="180"/>
        <v>300.24</v>
      </c>
    </row>
    <row r="745" spans="1:16" ht="15.75" thickBot="1" x14ac:dyDescent="0.3">
      <c r="A745" s="90"/>
      <c r="B745" s="23" t="s">
        <v>559</v>
      </c>
      <c r="C745" s="23" t="s">
        <v>560</v>
      </c>
      <c r="D745" s="23">
        <v>99</v>
      </c>
      <c r="E745" s="23" t="s">
        <v>15</v>
      </c>
      <c r="F745" s="23">
        <v>1</v>
      </c>
      <c r="G745" s="23" t="s">
        <v>21</v>
      </c>
      <c r="H745" s="23" t="s">
        <v>17</v>
      </c>
      <c r="I745" s="24" t="s">
        <v>564</v>
      </c>
      <c r="J745" s="23" t="s">
        <v>565</v>
      </c>
      <c r="K745" s="23">
        <v>3</v>
      </c>
      <c r="L745" s="23" t="s">
        <v>24</v>
      </c>
      <c r="M745" s="25">
        <v>10000</v>
      </c>
      <c r="N745" s="23" t="s">
        <v>1</v>
      </c>
      <c r="O745" s="26">
        <f t="shared" si="179"/>
        <v>1</v>
      </c>
      <c r="P745" s="27">
        <f t="shared" si="180"/>
        <v>3600</v>
      </c>
    </row>
    <row r="746" spans="1:16" x14ac:dyDescent="0.25"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3"/>
      <c r="N746" s="1"/>
    </row>
    <row r="747" spans="1:16" ht="15.75" thickBot="1" x14ac:dyDescent="0.3"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3"/>
      <c r="N747" s="1"/>
      <c r="P747" s="11">
        <f>IFERROR(VLOOKUP($A748,'PROGRAMA MES '!$A:$B,2,0),0)</f>
        <v>7800</v>
      </c>
    </row>
    <row r="748" spans="1:16" x14ac:dyDescent="0.25">
      <c r="A748" s="89" t="str">
        <f>B748</f>
        <v>9064D</v>
      </c>
      <c r="B748" s="17" t="s">
        <v>566</v>
      </c>
      <c r="C748" s="17" t="s">
        <v>567</v>
      </c>
      <c r="D748" s="17">
        <v>99</v>
      </c>
      <c r="E748" s="17" t="s">
        <v>15</v>
      </c>
      <c r="F748" s="17">
        <v>1</v>
      </c>
      <c r="G748" s="17" t="s">
        <v>16</v>
      </c>
      <c r="H748" s="17" t="s">
        <v>17</v>
      </c>
      <c r="I748" s="18">
        <v>4000121</v>
      </c>
      <c r="J748" s="17" t="s">
        <v>561</v>
      </c>
      <c r="K748" s="17">
        <v>99</v>
      </c>
      <c r="L748" s="17" t="s">
        <v>15</v>
      </c>
      <c r="M748" s="17">
        <v>834</v>
      </c>
      <c r="N748" s="17" t="s">
        <v>1</v>
      </c>
      <c r="O748" s="20">
        <f t="shared" ref="O748:O752" si="181">M748/10000</f>
        <v>8.3400000000000002E-2</v>
      </c>
      <c r="P748" s="21">
        <f>O748*$P$747</f>
        <v>650.52</v>
      </c>
    </row>
    <row r="749" spans="1:16" x14ac:dyDescent="0.25">
      <c r="A749" s="91"/>
      <c r="B749" s="13" t="s">
        <v>566</v>
      </c>
      <c r="C749" s="13" t="s">
        <v>567</v>
      </c>
      <c r="D749" s="13">
        <v>99</v>
      </c>
      <c r="E749" s="13" t="s">
        <v>15</v>
      </c>
      <c r="F749" s="13">
        <v>1</v>
      </c>
      <c r="G749" s="13" t="s">
        <v>16</v>
      </c>
      <c r="H749" s="13" t="s">
        <v>17</v>
      </c>
      <c r="I749" s="14">
        <v>4001146</v>
      </c>
      <c r="J749" s="13" t="s">
        <v>568</v>
      </c>
      <c r="K749" s="13">
        <v>99</v>
      </c>
      <c r="L749" s="13" t="s">
        <v>15</v>
      </c>
      <c r="M749" s="13">
        <v>834</v>
      </c>
      <c r="N749" s="13" t="s">
        <v>1</v>
      </c>
      <c r="O749" s="16">
        <f t="shared" si="181"/>
        <v>8.3400000000000002E-2</v>
      </c>
      <c r="P749" s="22">
        <f t="shared" ref="P749:P752" si="182">O749*$P$747</f>
        <v>650.52</v>
      </c>
    </row>
    <row r="750" spans="1:16" x14ac:dyDescent="0.25">
      <c r="A750" s="91"/>
      <c r="B750" s="13" t="s">
        <v>566</v>
      </c>
      <c r="C750" s="13" t="s">
        <v>567</v>
      </c>
      <c r="D750" s="13">
        <v>99</v>
      </c>
      <c r="E750" s="13" t="s">
        <v>15</v>
      </c>
      <c r="F750" s="13">
        <v>1</v>
      </c>
      <c r="G750" s="13" t="s">
        <v>16</v>
      </c>
      <c r="H750" s="13" t="s">
        <v>17</v>
      </c>
      <c r="I750" s="14">
        <v>4002389</v>
      </c>
      <c r="J750" s="13" t="s">
        <v>569</v>
      </c>
      <c r="K750" s="13">
        <v>99</v>
      </c>
      <c r="L750" s="13" t="s">
        <v>15</v>
      </c>
      <c r="M750" s="15">
        <v>10000</v>
      </c>
      <c r="N750" s="13" t="s">
        <v>1</v>
      </c>
      <c r="O750" s="16">
        <f t="shared" si="181"/>
        <v>1</v>
      </c>
      <c r="P750" s="22">
        <f t="shared" si="182"/>
        <v>7800</v>
      </c>
    </row>
    <row r="751" spans="1:16" x14ac:dyDescent="0.25">
      <c r="A751" s="91"/>
      <c r="B751" s="13" t="s">
        <v>566</v>
      </c>
      <c r="C751" s="13" t="s">
        <v>567</v>
      </c>
      <c r="D751" s="13">
        <v>99</v>
      </c>
      <c r="E751" s="13" t="s">
        <v>15</v>
      </c>
      <c r="F751" s="13">
        <v>1</v>
      </c>
      <c r="G751" s="13" t="s">
        <v>16</v>
      </c>
      <c r="H751" s="13" t="s">
        <v>17</v>
      </c>
      <c r="I751" s="14">
        <v>4002826</v>
      </c>
      <c r="J751" s="13" t="s">
        <v>4</v>
      </c>
      <c r="K751" s="13">
        <v>99</v>
      </c>
      <c r="L751" s="13" t="s">
        <v>15</v>
      </c>
      <c r="M751" s="13">
        <v>15</v>
      </c>
      <c r="N751" s="13" t="s">
        <v>1</v>
      </c>
      <c r="O751" s="16">
        <f t="shared" si="181"/>
        <v>1.5E-3</v>
      </c>
      <c r="P751" s="22">
        <f t="shared" si="182"/>
        <v>11.700000000000001</v>
      </c>
    </row>
    <row r="752" spans="1:16" ht="15.75" thickBot="1" x14ac:dyDescent="0.3">
      <c r="A752" s="90"/>
      <c r="B752" s="23" t="s">
        <v>566</v>
      </c>
      <c r="C752" s="23" t="s">
        <v>567</v>
      </c>
      <c r="D752" s="23">
        <v>99</v>
      </c>
      <c r="E752" s="23" t="s">
        <v>15</v>
      </c>
      <c r="F752" s="23">
        <v>1</v>
      </c>
      <c r="G752" s="23" t="s">
        <v>21</v>
      </c>
      <c r="H752" s="23" t="s">
        <v>17</v>
      </c>
      <c r="I752" s="24" t="s">
        <v>570</v>
      </c>
      <c r="J752" s="23" t="s">
        <v>571</v>
      </c>
      <c r="K752" s="23">
        <v>3</v>
      </c>
      <c r="L752" s="23" t="s">
        <v>24</v>
      </c>
      <c r="M752" s="25">
        <v>10000</v>
      </c>
      <c r="N752" s="23" t="s">
        <v>1</v>
      </c>
      <c r="O752" s="26">
        <f t="shared" si="181"/>
        <v>1</v>
      </c>
      <c r="P752" s="27">
        <f t="shared" si="182"/>
        <v>7800</v>
      </c>
    </row>
    <row r="753" spans="1:16" x14ac:dyDescent="0.25"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3"/>
      <c r="N753" s="1"/>
    </row>
    <row r="754" spans="1:16" ht="15.75" thickBot="1" x14ac:dyDescent="0.3"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3"/>
      <c r="N754" s="1"/>
      <c r="P754" s="11">
        <f>IFERROR(VLOOKUP($A755,'PROGRAMA MES '!$A:$B,2,0),0)</f>
        <v>0</v>
      </c>
    </row>
    <row r="755" spans="1:16" x14ac:dyDescent="0.25">
      <c r="A755" s="89" t="str">
        <f>B755</f>
        <v>9070D</v>
      </c>
      <c r="B755" s="17" t="s">
        <v>572</v>
      </c>
      <c r="C755" s="17" t="s">
        <v>573</v>
      </c>
      <c r="D755" s="17">
        <v>51</v>
      </c>
      <c r="E755" s="17" t="s">
        <v>101</v>
      </c>
      <c r="F755" s="17">
        <v>1</v>
      </c>
      <c r="G755" s="17" t="s">
        <v>16</v>
      </c>
      <c r="H755" s="17" t="s">
        <v>17</v>
      </c>
      <c r="I755" s="18">
        <v>4001144</v>
      </c>
      <c r="J755" s="17" t="s">
        <v>574</v>
      </c>
      <c r="K755" s="17">
        <v>99</v>
      </c>
      <c r="L755" s="17" t="s">
        <v>15</v>
      </c>
      <c r="M755" s="17">
        <v>834</v>
      </c>
      <c r="N755" s="17" t="s">
        <v>1</v>
      </c>
      <c r="O755" s="20">
        <f t="shared" ref="O755:O761" si="183">M755/10000</f>
        <v>8.3400000000000002E-2</v>
      </c>
      <c r="P755" s="21">
        <f>O755*$P$754</f>
        <v>0</v>
      </c>
    </row>
    <row r="756" spans="1:16" x14ac:dyDescent="0.25">
      <c r="A756" s="91"/>
      <c r="B756" s="13" t="s">
        <v>572</v>
      </c>
      <c r="C756" s="13" t="s">
        <v>573</v>
      </c>
      <c r="D756" s="13">
        <v>51</v>
      </c>
      <c r="E756" s="13" t="s">
        <v>101</v>
      </c>
      <c r="F756" s="13">
        <v>1</v>
      </c>
      <c r="G756" s="13" t="s">
        <v>16</v>
      </c>
      <c r="H756" s="13" t="s">
        <v>17</v>
      </c>
      <c r="I756" s="14">
        <v>4002391</v>
      </c>
      <c r="J756" s="13" t="s">
        <v>575</v>
      </c>
      <c r="K756" s="13">
        <v>99</v>
      </c>
      <c r="L756" s="13" t="s">
        <v>15</v>
      </c>
      <c r="M756" s="15">
        <v>10000</v>
      </c>
      <c r="N756" s="13" t="s">
        <v>1</v>
      </c>
      <c r="O756" s="16">
        <f t="shared" si="183"/>
        <v>1</v>
      </c>
      <c r="P756" s="22">
        <f t="shared" ref="P756:P761" si="184">O756*$P$754</f>
        <v>0</v>
      </c>
    </row>
    <row r="757" spans="1:16" x14ac:dyDescent="0.25">
      <c r="A757" s="91"/>
      <c r="B757" s="13" t="s">
        <v>572</v>
      </c>
      <c r="C757" s="13" t="s">
        <v>573</v>
      </c>
      <c r="D757" s="13">
        <v>51</v>
      </c>
      <c r="E757" s="13" t="s">
        <v>101</v>
      </c>
      <c r="F757" s="13">
        <v>1</v>
      </c>
      <c r="G757" s="13" t="s">
        <v>16</v>
      </c>
      <c r="H757" s="13" t="s">
        <v>17</v>
      </c>
      <c r="I757" s="14">
        <v>4002827</v>
      </c>
      <c r="J757" s="13" t="s">
        <v>0</v>
      </c>
      <c r="K757" s="13">
        <v>99</v>
      </c>
      <c r="L757" s="13" t="s">
        <v>15</v>
      </c>
      <c r="M757" s="15">
        <v>1575</v>
      </c>
      <c r="N757" s="13" t="s">
        <v>2</v>
      </c>
      <c r="O757" s="16">
        <f t="shared" si="183"/>
        <v>0.1575</v>
      </c>
      <c r="P757" s="22">
        <f t="shared" si="184"/>
        <v>0</v>
      </c>
    </row>
    <row r="758" spans="1:16" x14ac:dyDescent="0.25">
      <c r="A758" s="91"/>
      <c r="B758" s="13" t="s">
        <v>572</v>
      </c>
      <c r="C758" s="13" t="s">
        <v>573</v>
      </c>
      <c r="D758" s="13">
        <v>51</v>
      </c>
      <c r="E758" s="13" t="s">
        <v>101</v>
      </c>
      <c r="F758" s="13">
        <v>1</v>
      </c>
      <c r="G758" s="13" t="s">
        <v>16</v>
      </c>
      <c r="H758" s="13" t="s">
        <v>17</v>
      </c>
      <c r="I758" s="14">
        <v>4011811</v>
      </c>
      <c r="J758" s="13" t="s">
        <v>576</v>
      </c>
      <c r="K758" s="13">
        <v>99</v>
      </c>
      <c r="L758" s="13" t="s">
        <v>15</v>
      </c>
      <c r="M758" s="13">
        <v>834</v>
      </c>
      <c r="N758" s="13" t="s">
        <v>1</v>
      </c>
      <c r="O758" s="16">
        <f t="shared" si="183"/>
        <v>8.3400000000000002E-2</v>
      </c>
      <c r="P758" s="22">
        <f t="shared" si="184"/>
        <v>0</v>
      </c>
    </row>
    <row r="759" spans="1:16" x14ac:dyDescent="0.25">
      <c r="A759" s="91"/>
      <c r="B759" s="13" t="s">
        <v>572</v>
      </c>
      <c r="C759" s="13" t="s">
        <v>573</v>
      </c>
      <c r="D759" s="13">
        <v>51</v>
      </c>
      <c r="E759" s="13" t="s">
        <v>101</v>
      </c>
      <c r="F759" s="13">
        <v>1</v>
      </c>
      <c r="G759" s="13" t="s">
        <v>16</v>
      </c>
      <c r="H759" s="13" t="s">
        <v>17</v>
      </c>
      <c r="I759" s="14">
        <v>4011815</v>
      </c>
      <c r="J759" s="13" t="s">
        <v>577</v>
      </c>
      <c r="K759" s="13">
        <v>99</v>
      </c>
      <c r="L759" s="13" t="s">
        <v>15</v>
      </c>
      <c r="M759" s="13">
        <v>834</v>
      </c>
      <c r="N759" s="13" t="s">
        <v>1</v>
      </c>
      <c r="O759" s="16">
        <f t="shared" si="183"/>
        <v>8.3400000000000002E-2</v>
      </c>
      <c r="P759" s="22">
        <f t="shared" si="184"/>
        <v>0</v>
      </c>
    </row>
    <row r="760" spans="1:16" x14ac:dyDescent="0.25">
      <c r="A760" s="91"/>
      <c r="B760" s="13" t="s">
        <v>572</v>
      </c>
      <c r="C760" s="13" t="s">
        <v>573</v>
      </c>
      <c r="D760" s="13">
        <v>51</v>
      </c>
      <c r="E760" s="13" t="s">
        <v>101</v>
      </c>
      <c r="F760" s="13">
        <v>1</v>
      </c>
      <c r="G760" s="13" t="s">
        <v>21</v>
      </c>
      <c r="H760" s="13" t="s">
        <v>17</v>
      </c>
      <c r="I760" s="14" t="s">
        <v>578</v>
      </c>
      <c r="J760" s="13" t="s">
        <v>579</v>
      </c>
      <c r="K760" s="13">
        <v>3</v>
      </c>
      <c r="L760" s="13" t="s">
        <v>24</v>
      </c>
      <c r="M760" s="15">
        <v>10000</v>
      </c>
      <c r="N760" s="13" t="s">
        <v>1</v>
      </c>
      <c r="O760" s="16">
        <f t="shared" si="183"/>
        <v>1</v>
      </c>
      <c r="P760" s="22">
        <f t="shared" si="184"/>
        <v>0</v>
      </c>
    </row>
    <row r="761" spans="1:16" ht="15.75" thickBot="1" x14ac:dyDescent="0.3">
      <c r="A761" s="90"/>
      <c r="B761" s="23" t="s">
        <v>572</v>
      </c>
      <c r="C761" s="23" t="s">
        <v>573</v>
      </c>
      <c r="D761" s="23">
        <v>51</v>
      </c>
      <c r="E761" s="23" t="s">
        <v>101</v>
      </c>
      <c r="F761" s="23">
        <v>1</v>
      </c>
      <c r="G761" s="23" t="s">
        <v>21</v>
      </c>
      <c r="H761" s="23" t="s">
        <v>17</v>
      </c>
      <c r="I761" s="24" t="s">
        <v>580</v>
      </c>
      <c r="J761" s="23" t="s">
        <v>581</v>
      </c>
      <c r="K761" s="23">
        <v>3</v>
      </c>
      <c r="L761" s="23" t="s">
        <v>24</v>
      </c>
      <c r="M761" s="25">
        <v>10000</v>
      </c>
      <c r="N761" s="23" t="s">
        <v>1</v>
      </c>
      <c r="O761" s="26">
        <f t="shared" si="183"/>
        <v>1</v>
      </c>
      <c r="P761" s="27">
        <f t="shared" si="184"/>
        <v>0</v>
      </c>
    </row>
    <row r="762" spans="1:16" x14ac:dyDescent="0.25"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3"/>
      <c r="N762" s="1"/>
    </row>
    <row r="763" spans="1:16" ht="15.75" thickBot="1" x14ac:dyDescent="0.3"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3"/>
      <c r="N763" s="1"/>
      <c r="P763" s="11">
        <f>IFERROR(VLOOKUP($A764,'PROGRAMA MES '!$A:$B,2,0),0)</f>
        <v>1200</v>
      </c>
    </row>
    <row r="764" spans="1:16" x14ac:dyDescent="0.25">
      <c r="A764" s="89" t="str">
        <f>B764</f>
        <v>9108P</v>
      </c>
      <c r="B764" s="17" t="s">
        <v>582</v>
      </c>
      <c r="C764" s="17" t="s">
        <v>583</v>
      </c>
      <c r="D764" s="17">
        <v>99</v>
      </c>
      <c r="E764" s="17" t="s">
        <v>15</v>
      </c>
      <c r="F764" s="17">
        <v>1</v>
      </c>
      <c r="G764" s="17" t="s">
        <v>16</v>
      </c>
      <c r="H764" s="17" t="s">
        <v>17</v>
      </c>
      <c r="I764" s="18">
        <v>4001151</v>
      </c>
      <c r="J764" s="17" t="s">
        <v>584</v>
      </c>
      <c r="K764" s="17">
        <v>99</v>
      </c>
      <c r="L764" s="17" t="s">
        <v>15</v>
      </c>
      <c r="M764" s="17">
        <v>834</v>
      </c>
      <c r="N764" s="17" t="s">
        <v>1</v>
      </c>
      <c r="O764" s="20">
        <f t="shared" ref="O764:O768" si="185">M764/10000</f>
        <v>8.3400000000000002E-2</v>
      </c>
      <c r="P764" s="21">
        <f>O764*$P$763</f>
        <v>100.08</v>
      </c>
    </row>
    <row r="765" spans="1:16" x14ac:dyDescent="0.25">
      <c r="A765" s="91"/>
      <c r="B765" s="13" t="s">
        <v>582</v>
      </c>
      <c r="C765" s="13" t="s">
        <v>583</v>
      </c>
      <c r="D765" s="13">
        <v>99</v>
      </c>
      <c r="E765" s="13" t="s">
        <v>15</v>
      </c>
      <c r="F765" s="13">
        <v>1</v>
      </c>
      <c r="G765" s="13" t="s">
        <v>16</v>
      </c>
      <c r="H765" s="13" t="s">
        <v>17</v>
      </c>
      <c r="I765" s="14">
        <v>4002546</v>
      </c>
      <c r="J765" s="13" t="s">
        <v>179</v>
      </c>
      <c r="K765" s="13">
        <v>99</v>
      </c>
      <c r="L765" s="13" t="s">
        <v>15</v>
      </c>
      <c r="M765" s="13">
        <v>834</v>
      </c>
      <c r="N765" s="13" t="s">
        <v>1</v>
      </c>
      <c r="O765" s="16">
        <f t="shared" si="185"/>
        <v>8.3400000000000002E-2</v>
      </c>
      <c r="P765" s="22">
        <f t="shared" ref="P765:P768" si="186">O765*$P$763</f>
        <v>100.08</v>
      </c>
    </row>
    <row r="766" spans="1:16" x14ac:dyDescent="0.25">
      <c r="A766" s="91"/>
      <c r="B766" s="13" t="s">
        <v>582</v>
      </c>
      <c r="C766" s="13" t="s">
        <v>583</v>
      </c>
      <c r="D766" s="13">
        <v>99</v>
      </c>
      <c r="E766" s="13" t="s">
        <v>15</v>
      </c>
      <c r="F766" s="13">
        <v>1</v>
      </c>
      <c r="G766" s="13" t="s">
        <v>16</v>
      </c>
      <c r="H766" s="13" t="s">
        <v>17</v>
      </c>
      <c r="I766" s="14">
        <v>4002827</v>
      </c>
      <c r="J766" s="13" t="s">
        <v>0</v>
      </c>
      <c r="K766" s="13">
        <v>99</v>
      </c>
      <c r="L766" s="13" t="s">
        <v>15</v>
      </c>
      <c r="M766" s="13">
        <v>1</v>
      </c>
      <c r="N766" s="13" t="s">
        <v>2</v>
      </c>
      <c r="O766" s="16">
        <f t="shared" si="185"/>
        <v>1E-4</v>
      </c>
      <c r="P766" s="22">
        <f t="shared" si="186"/>
        <v>0.12000000000000001</v>
      </c>
    </row>
    <row r="767" spans="1:16" x14ac:dyDescent="0.25">
      <c r="A767" s="91"/>
      <c r="B767" s="13" t="s">
        <v>582</v>
      </c>
      <c r="C767" s="13" t="s">
        <v>583</v>
      </c>
      <c r="D767" s="13">
        <v>99</v>
      </c>
      <c r="E767" s="13" t="s">
        <v>15</v>
      </c>
      <c r="F767" s="13">
        <v>1</v>
      </c>
      <c r="G767" s="13" t="s">
        <v>16</v>
      </c>
      <c r="H767" s="13" t="s">
        <v>17</v>
      </c>
      <c r="I767" s="14">
        <v>4003639</v>
      </c>
      <c r="J767" s="13" t="s">
        <v>585</v>
      </c>
      <c r="K767" s="13">
        <v>99</v>
      </c>
      <c r="L767" s="13" t="s">
        <v>15</v>
      </c>
      <c r="M767" s="15">
        <v>10000</v>
      </c>
      <c r="N767" s="13" t="s">
        <v>1</v>
      </c>
      <c r="O767" s="16">
        <f t="shared" si="185"/>
        <v>1</v>
      </c>
      <c r="P767" s="22">
        <f t="shared" si="186"/>
        <v>1200</v>
      </c>
    </row>
    <row r="768" spans="1:16" ht="15.75" thickBot="1" x14ac:dyDescent="0.3">
      <c r="A768" s="90"/>
      <c r="B768" s="23" t="s">
        <v>582</v>
      </c>
      <c r="C768" s="23" t="s">
        <v>583</v>
      </c>
      <c r="D768" s="23">
        <v>99</v>
      </c>
      <c r="E768" s="23" t="s">
        <v>15</v>
      </c>
      <c r="F768" s="23">
        <v>1</v>
      </c>
      <c r="G768" s="23" t="s">
        <v>21</v>
      </c>
      <c r="H768" s="23" t="s">
        <v>17</v>
      </c>
      <c r="I768" s="24" t="s">
        <v>586</v>
      </c>
      <c r="J768" s="23" t="s">
        <v>587</v>
      </c>
      <c r="K768" s="23">
        <v>3</v>
      </c>
      <c r="L768" s="23" t="s">
        <v>24</v>
      </c>
      <c r="M768" s="25">
        <v>10000</v>
      </c>
      <c r="N768" s="23" t="s">
        <v>1</v>
      </c>
      <c r="O768" s="26">
        <f t="shared" si="185"/>
        <v>1</v>
      </c>
      <c r="P768" s="27">
        <f t="shared" si="186"/>
        <v>1200</v>
      </c>
    </row>
    <row r="769" spans="1:16" x14ac:dyDescent="0.25"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3"/>
      <c r="N769" s="1"/>
    </row>
    <row r="770" spans="1:16" ht="15.75" thickBot="1" x14ac:dyDescent="0.3"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3"/>
      <c r="N770" s="1"/>
      <c r="P770" s="11">
        <f>IFERROR(VLOOKUP($A771,'PROGRAMA MES '!$A:$B,2,0),0)</f>
        <v>1200</v>
      </c>
    </row>
    <row r="771" spans="1:16" x14ac:dyDescent="0.25">
      <c r="A771" s="89" t="str">
        <f>B771</f>
        <v>9109P</v>
      </c>
      <c r="B771" s="17" t="s">
        <v>588</v>
      </c>
      <c r="C771" s="17" t="s">
        <v>589</v>
      </c>
      <c r="D771" s="17">
        <v>99</v>
      </c>
      <c r="E771" s="17" t="s">
        <v>15</v>
      </c>
      <c r="F771" s="17">
        <v>1</v>
      </c>
      <c r="G771" s="17" t="s">
        <v>16</v>
      </c>
      <c r="H771" s="17" t="s">
        <v>17</v>
      </c>
      <c r="I771" s="18">
        <v>4001273</v>
      </c>
      <c r="J771" s="17" t="s">
        <v>590</v>
      </c>
      <c r="K771" s="17">
        <v>99</v>
      </c>
      <c r="L771" s="17" t="s">
        <v>15</v>
      </c>
      <c r="M771" s="17">
        <v>834</v>
      </c>
      <c r="N771" s="17" t="s">
        <v>1</v>
      </c>
      <c r="O771" s="20">
        <f t="shared" ref="O771:O775" si="187">M771/10000</f>
        <v>8.3400000000000002E-2</v>
      </c>
      <c r="P771" s="21">
        <f>O771*$P$770</f>
        <v>100.08</v>
      </c>
    </row>
    <row r="772" spans="1:16" x14ac:dyDescent="0.25">
      <c r="A772" s="91"/>
      <c r="B772" s="13" t="s">
        <v>588</v>
      </c>
      <c r="C772" s="13" t="s">
        <v>589</v>
      </c>
      <c r="D772" s="13">
        <v>99</v>
      </c>
      <c r="E772" s="13" t="s">
        <v>15</v>
      </c>
      <c r="F772" s="13">
        <v>1</v>
      </c>
      <c r="G772" s="13" t="s">
        <v>16</v>
      </c>
      <c r="H772" s="13" t="s">
        <v>17</v>
      </c>
      <c r="I772" s="14">
        <v>4002546</v>
      </c>
      <c r="J772" s="13" t="s">
        <v>179</v>
      </c>
      <c r="K772" s="13">
        <v>99</v>
      </c>
      <c r="L772" s="13" t="s">
        <v>15</v>
      </c>
      <c r="M772" s="13">
        <v>834</v>
      </c>
      <c r="N772" s="13" t="s">
        <v>1</v>
      </c>
      <c r="O772" s="16">
        <f t="shared" si="187"/>
        <v>8.3400000000000002E-2</v>
      </c>
      <c r="P772" s="22">
        <f t="shared" ref="P772:P775" si="188">O772*$P$770</f>
        <v>100.08</v>
      </c>
    </row>
    <row r="773" spans="1:16" x14ac:dyDescent="0.25">
      <c r="A773" s="91"/>
      <c r="B773" s="13" t="s">
        <v>588</v>
      </c>
      <c r="C773" s="13" t="s">
        <v>589</v>
      </c>
      <c r="D773" s="13">
        <v>99</v>
      </c>
      <c r="E773" s="13" t="s">
        <v>15</v>
      </c>
      <c r="F773" s="13">
        <v>1</v>
      </c>
      <c r="G773" s="13" t="s">
        <v>16</v>
      </c>
      <c r="H773" s="13" t="s">
        <v>17</v>
      </c>
      <c r="I773" s="14">
        <v>4002827</v>
      </c>
      <c r="J773" s="13" t="s">
        <v>0</v>
      </c>
      <c r="K773" s="13">
        <v>99</v>
      </c>
      <c r="L773" s="13" t="s">
        <v>15</v>
      </c>
      <c r="M773" s="13">
        <v>1</v>
      </c>
      <c r="N773" s="13" t="s">
        <v>2</v>
      </c>
      <c r="O773" s="16">
        <f t="shared" si="187"/>
        <v>1E-4</v>
      </c>
      <c r="P773" s="22">
        <f t="shared" si="188"/>
        <v>0.12000000000000001</v>
      </c>
    </row>
    <row r="774" spans="1:16" x14ac:dyDescent="0.25">
      <c r="A774" s="91"/>
      <c r="B774" s="13" t="s">
        <v>588</v>
      </c>
      <c r="C774" s="13" t="s">
        <v>589</v>
      </c>
      <c r="D774" s="13">
        <v>99</v>
      </c>
      <c r="E774" s="13" t="s">
        <v>15</v>
      </c>
      <c r="F774" s="13">
        <v>1</v>
      </c>
      <c r="G774" s="13" t="s">
        <v>16</v>
      </c>
      <c r="H774" s="13" t="s">
        <v>17</v>
      </c>
      <c r="I774" s="14">
        <v>4003640</v>
      </c>
      <c r="J774" s="13" t="s">
        <v>591</v>
      </c>
      <c r="K774" s="13">
        <v>99</v>
      </c>
      <c r="L774" s="13" t="s">
        <v>15</v>
      </c>
      <c r="M774" s="15">
        <v>10000</v>
      </c>
      <c r="N774" s="13" t="s">
        <v>1</v>
      </c>
      <c r="O774" s="16">
        <f t="shared" si="187"/>
        <v>1</v>
      </c>
      <c r="P774" s="22">
        <f t="shared" si="188"/>
        <v>1200</v>
      </c>
    </row>
    <row r="775" spans="1:16" ht="15.75" thickBot="1" x14ac:dyDescent="0.3">
      <c r="A775" s="90"/>
      <c r="B775" s="23" t="s">
        <v>588</v>
      </c>
      <c r="C775" s="23" t="s">
        <v>589</v>
      </c>
      <c r="D775" s="23">
        <v>99</v>
      </c>
      <c r="E775" s="23" t="s">
        <v>15</v>
      </c>
      <c r="F775" s="23">
        <v>1</v>
      </c>
      <c r="G775" s="23" t="s">
        <v>21</v>
      </c>
      <c r="H775" s="23" t="s">
        <v>17</v>
      </c>
      <c r="I775" s="24" t="s">
        <v>592</v>
      </c>
      <c r="J775" s="23" t="s">
        <v>593</v>
      </c>
      <c r="K775" s="23">
        <v>3</v>
      </c>
      <c r="L775" s="23" t="s">
        <v>24</v>
      </c>
      <c r="M775" s="25">
        <v>10000</v>
      </c>
      <c r="N775" s="23" t="s">
        <v>1</v>
      </c>
      <c r="O775" s="26">
        <f t="shared" si="187"/>
        <v>1</v>
      </c>
      <c r="P775" s="27">
        <f t="shared" si="188"/>
        <v>1200</v>
      </c>
    </row>
    <row r="776" spans="1:16" x14ac:dyDescent="0.25"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3"/>
      <c r="N776" s="1"/>
    </row>
    <row r="777" spans="1:16" ht="15.75" thickBot="1" x14ac:dyDescent="0.3"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3"/>
      <c r="N777" s="1"/>
      <c r="P777" s="11">
        <f>IFERROR(VLOOKUP($A778,'PROGRAMA MES '!$A:$B,2,0),0)</f>
        <v>0</v>
      </c>
    </row>
    <row r="778" spans="1:16" x14ac:dyDescent="0.25">
      <c r="A778" s="89" t="str">
        <f>B778</f>
        <v>9116P</v>
      </c>
      <c r="B778" s="17" t="s">
        <v>594</v>
      </c>
      <c r="C778" s="17" t="s">
        <v>595</v>
      </c>
      <c r="D778" s="17">
        <v>99</v>
      </c>
      <c r="E778" s="17" t="s">
        <v>15</v>
      </c>
      <c r="F778" s="17">
        <v>1</v>
      </c>
      <c r="G778" s="17" t="s">
        <v>16</v>
      </c>
      <c r="H778" s="17" t="s">
        <v>17</v>
      </c>
      <c r="I778" s="18">
        <v>4002546</v>
      </c>
      <c r="J778" s="17" t="s">
        <v>179</v>
      </c>
      <c r="K778" s="17">
        <v>99</v>
      </c>
      <c r="L778" s="17" t="s">
        <v>15</v>
      </c>
      <c r="M778" s="17">
        <v>834</v>
      </c>
      <c r="N778" s="17" t="s">
        <v>1</v>
      </c>
      <c r="O778" s="20">
        <f t="shared" ref="O778:O782" si="189">M778/10000</f>
        <v>8.3400000000000002E-2</v>
      </c>
      <c r="P778" s="21">
        <f>O778*$P$777</f>
        <v>0</v>
      </c>
    </row>
    <row r="779" spans="1:16" x14ac:dyDescent="0.25">
      <c r="A779" s="91"/>
      <c r="B779" s="13" t="s">
        <v>594</v>
      </c>
      <c r="C779" s="13" t="s">
        <v>595</v>
      </c>
      <c r="D779" s="13">
        <v>99</v>
      </c>
      <c r="E779" s="13" t="s">
        <v>15</v>
      </c>
      <c r="F779" s="13">
        <v>1</v>
      </c>
      <c r="G779" s="13" t="s">
        <v>16</v>
      </c>
      <c r="H779" s="13" t="s">
        <v>17</v>
      </c>
      <c r="I779" s="14">
        <v>4002827</v>
      </c>
      <c r="J779" s="13" t="s">
        <v>0</v>
      </c>
      <c r="K779" s="13">
        <v>99</v>
      </c>
      <c r="L779" s="13" t="s">
        <v>15</v>
      </c>
      <c r="M779" s="13">
        <v>1</v>
      </c>
      <c r="N779" s="13" t="s">
        <v>2</v>
      </c>
      <c r="O779" s="16">
        <f t="shared" si="189"/>
        <v>1E-4</v>
      </c>
      <c r="P779" s="22">
        <f t="shared" ref="P779:P782" si="190">O779*$P$777</f>
        <v>0</v>
      </c>
    </row>
    <row r="780" spans="1:16" x14ac:dyDescent="0.25">
      <c r="A780" s="91"/>
      <c r="B780" s="13" t="s">
        <v>594</v>
      </c>
      <c r="C780" s="13" t="s">
        <v>595</v>
      </c>
      <c r="D780" s="13">
        <v>99</v>
      </c>
      <c r="E780" s="13" t="s">
        <v>15</v>
      </c>
      <c r="F780" s="13">
        <v>1</v>
      </c>
      <c r="G780" s="13" t="s">
        <v>16</v>
      </c>
      <c r="H780" s="13" t="s">
        <v>17</v>
      </c>
      <c r="I780" s="14">
        <v>4003641</v>
      </c>
      <c r="J780" s="13" t="s">
        <v>596</v>
      </c>
      <c r="K780" s="13">
        <v>99</v>
      </c>
      <c r="L780" s="13" t="s">
        <v>15</v>
      </c>
      <c r="M780" s="15">
        <v>10000</v>
      </c>
      <c r="N780" s="13" t="s">
        <v>1</v>
      </c>
      <c r="O780" s="16">
        <f t="shared" si="189"/>
        <v>1</v>
      </c>
      <c r="P780" s="22">
        <f t="shared" si="190"/>
        <v>0</v>
      </c>
    </row>
    <row r="781" spans="1:16" x14ac:dyDescent="0.25">
      <c r="A781" s="91"/>
      <c r="B781" s="13" t="s">
        <v>594</v>
      </c>
      <c r="C781" s="13" t="s">
        <v>595</v>
      </c>
      <c r="D781" s="13">
        <v>99</v>
      </c>
      <c r="E781" s="13" t="s">
        <v>15</v>
      </c>
      <c r="F781" s="13">
        <v>1</v>
      </c>
      <c r="G781" s="13" t="s">
        <v>16</v>
      </c>
      <c r="H781" s="13" t="s">
        <v>17</v>
      </c>
      <c r="I781" s="14">
        <v>4007345</v>
      </c>
      <c r="J781" s="13" t="s">
        <v>597</v>
      </c>
      <c r="K781" s="13">
        <v>99</v>
      </c>
      <c r="L781" s="13" t="s">
        <v>15</v>
      </c>
      <c r="M781" s="13">
        <v>834</v>
      </c>
      <c r="N781" s="13" t="s">
        <v>1</v>
      </c>
      <c r="O781" s="16">
        <f t="shared" si="189"/>
        <v>8.3400000000000002E-2</v>
      </c>
      <c r="P781" s="22">
        <f t="shared" si="190"/>
        <v>0</v>
      </c>
    </row>
    <row r="782" spans="1:16" ht="15.75" thickBot="1" x14ac:dyDescent="0.3">
      <c r="A782" s="90"/>
      <c r="B782" s="23" t="s">
        <v>594</v>
      </c>
      <c r="C782" s="23" t="s">
        <v>595</v>
      </c>
      <c r="D782" s="23">
        <v>99</v>
      </c>
      <c r="E782" s="23" t="s">
        <v>15</v>
      </c>
      <c r="F782" s="23">
        <v>1</v>
      </c>
      <c r="G782" s="23" t="s">
        <v>21</v>
      </c>
      <c r="H782" s="23" t="s">
        <v>17</v>
      </c>
      <c r="I782" s="24" t="s">
        <v>598</v>
      </c>
      <c r="J782" s="23" t="s">
        <v>599</v>
      </c>
      <c r="K782" s="23">
        <v>3</v>
      </c>
      <c r="L782" s="23" t="s">
        <v>24</v>
      </c>
      <c r="M782" s="25">
        <v>10000</v>
      </c>
      <c r="N782" s="23" t="s">
        <v>1</v>
      </c>
      <c r="O782" s="26">
        <f t="shared" si="189"/>
        <v>1</v>
      </c>
      <c r="P782" s="27">
        <f t="shared" si="190"/>
        <v>0</v>
      </c>
    </row>
    <row r="783" spans="1:16" x14ac:dyDescent="0.25"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3"/>
      <c r="N783" s="1"/>
    </row>
    <row r="784" spans="1:16" ht="15.75" thickBot="1" x14ac:dyDescent="0.3"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3"/>
      <c r="N784" s="1"/>
      <c r="P784" s="11">
        <f>IFERROR(VLOOKUP($A785,'PROGRAMA MES '!$A:$B,2,0),0)</f>
        <v>43200</v>
      </c>
    </row>
    <row r="785" spans="1:16" x14ac:dyDescent="0.25">
      <c r="A785" s="89" t="str">
        <f>B785</f>
        <v>9117P</v>
      </c>
      <c r="B785" s="17" t="s">
        <v>600</v>
      </c>
      <c r="C785" s="17" t="s">
        <v>601</v>
      </c>
      <c r="D785" s="17">
        <v>99</v>
      </c>
      <c r="E785" s="17" t="s">
        <v>15</v>
      </c>
      <c r="F785" s="17">
        <v>1</v>
      </c>
      <c r="G785" s="17" t="s">
        <v>16</v>
      </c>
      <c r="H785" s="17" t="s">
        <v>17</v>
      </c>
      <c r="I785" s="18">
        <v>4001283</v>
      </c>
      <c r="J785" s="17" t="s">
        <v>602</v>
      </c>
      <c r="K785" s="17">
        <v>99</v>
      </c>
      <c r="L785" s="17" t="s">
        <v>15</v>
      </c>
      <c r="M785" s="17">
        <v>834</v>
      </c>
      <c r="N785" s="17" t="s">
        <v>1</v>
      </c>
      <c r="O785" s="20">
        <f t="shared" ref="O785:O788" si="191">M785/10000</f>
        <v>8.3400000000000002E-2</v>
      </c>
      <c r="P785" s="21">
        <f>O785*$P$784</f>
        <v>3602.88</v>
      </c>
    </row>
    <row r="786" spans="1:16" x14ac:dyDescent="0.25">
      <c r="A786" s="91"/>
      <c r="B786" s="13" t="s">
        <v>600</v>
      </c>
      <c r="C786" s="13" t="s">
        <v>601</v>
      </c>
      <c r="D786" s="13">
        <v>99</v>
      </c>
      <c r="E786" s="13" t="s">
        <v>15</v>
      </c>
      <c r="F786" s="13">
        <v>1</v>
      </c>
      <c r="G786" s="13" t="s">
        <v>16</v>
      </c>
      <c r="H786" s="13" t="s">
        <v>17</v>
      </c>
      <c r="I786" s="14">
        <v>4002827</v>
      </c>
      <c r="J786" s="13" t="s">
        <v>0</v>
      </c>
      <c r="K786" s="13">
        <v>99</v>
      </c>
      <c r="L786" s="13" t="s">
        <v>15</v>
      </c>
      <c r="M786" s="13">
        <v>875</v>
      </c>
      <c r="N786" s="13" t="s">
        <v>2</v>
      </c>
      <c r="O786" s="16">
        <f t="shared" si="191"/>
        <v>8.7499999999999994E-2</v>
      </c>
      <c r="P786" s="22">
        <f t="shared" ref="P786:P788" si="192">O786*$P$784</f>
        <v>3779.9999999999995</v>
      </c>
    </row>
    <row r="787" spans="1:16" x14ac:dyDescent="0.25">
      <c r="A787" s="91"/>
      <c r="B787" s="13" t="s">
        <v>600</v>
      </c>
      <c r="C787" s="13" t="s">
        <v>601</v>
      </c>
      <c r="D787" s="13">
        <v>99</v>
      </c>
      <c r="E787" s="13" t="s">
        <v>15</v>
      </c>
      <c r="F787" s="13">
        <v>1</v>
      </c>
      <c r="G787" s="13" t="s">
        <v>16</v>
      </c>
      <c r="H787" s="13" t="s">
        <v>17</v>
      </c>
      <c r="I787" s="14">
        <v>4003643</v>
      </c>
      <c r="J787" s="13" t="s">
        <v>603</v>
      </c>
      <c r="K787" s="13">
        <v>99</v>
      </c>
      <c r="L787" s="13" t="s">
        <v>15</v>
      </c>
      <c r="M787" s="15">
        <v>10000</v>
      </c>
      <c r="N787" s="13" t="s">
        <v>1</v>
      </c>
      <c r="O787" s="16">
        <f t="shared" si="191"/>
        <v>1</v>
      </c>
      <c r="P787" s="22">
        <f t="shared" si="192"/>
        <v>43200</v>
      </c>
    </row>
    <row r="788" spans="1:16" ht="15.75" thickBot="1" x14ac:dyDescent="0.3">
      <c r="A788" s="90"/>
      <c r="B788" s="23" t="s">
        <v>600</v>
      </c>
      <c r="C788" s="23" t="s">
        <v>601</v>
      </c>
      <c r="D788" s="23">
        <v>99</v>
      </c>
      <c r="E788" s="23" t="s">
        <v>15</v>
      </c>
      <c r="F788" s="23">
        <v>1</v>
      </c>
      <c r="G788" s="23" t="s">
        <v>21</v>
      </c>
      <c r="H788" s="23" t="s">
        <v>17</v>
      </c>
      <c r="I788" s="24" t="s">
        <v>604</v>
      </c>
      <c r="J788" s="23" t="s">
        <v>605</v>
      </c>
      <c r="K788" s="23">
        <v>3</v>
      </c>
      <c r="L788" s="23" t="s">
        <v>24</v>
      </c>
      <c r="M788" s="25">
        <v>10000</v>
      </c>
      <c r="N788" s="23" t="s">
        <v>1</v>
      </c>
      <c r="O788" s="26">
        <f t="shared" si="191"/>
        <v>1</v>
      </c>
      <c r="P788" s="27">
        <f t="shared" si="192"/>
        <v>43200</v>
      </c>
    </row>
    <row r="789" spans="1:16" x14ac:dyDescent="0.25"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3"/>
      <c r="N789" s="1"/>
    </row>
    <row r="790" spans="1:16" ht="15.75" thickBot="1" x14ac:dyDescent="0.3"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3"/>
      <c r="N790" s="1"/>
      <c r="P790" s="11">
        <f>IFERROR(VLOOKUP($A791,'PROGRAMA MES '!$A:$B,2,0),0)</f>
        <v>3600</v>
      </c>
    </row>
    <row r="791" spans="1:16" x14ac:dyDescent="0.25">
      <c r="A791" s="89" t="str">
        <f>B791</f>
        <v>9137T</v>
      </c>
      <c r="B791" s="17" t="s">
        <v>606</v>
      </c>
      <c r="C791" s="17" t="s">
        <v>607</v>
      </c>
      <c r="D791" s="17">
        <v>99</v>
      </c>
      <c r="E791" s="17" t="s">
        <v>15</v>
      </c>
      <c r="F791" s="17">
        <v>1</v>
      </c>
      <c r="G791" s="17" t="s">
        <v>16</v>
      </c>
      <c r="H791" s="17" t="s">
        <v>17</v>
      </c>
      <c r="I791" s="18">
        <v>4001201</v>
      </c>
      <c r="J791" s="17" t="s">
        <v>608</v>
      </c>
      <c r="K791" s="17">
        <v>99</v>
      </c>
      <c r="L791" s="17" t="s">
        <v>15</v>
      </c>
      <c r="M791" s="17">
        <v>278</v>
      </c>
      <c r="N791" s="17" t="s">
        <v>1</v>
      </c>
      <c r="O791" s="20">
        <f t="shared" ref="O791:O794" si="193">M791/10000</f>
        <v>2.7799999999999998E-2</v>
      </c>
      <c r="P791" s="21">
        <f>O791*$P$790</f>
        <v>100.08</v>
      </c>
    </row>
    <row r="792" spans="1:16" x14ac:dyDescent="0.25">
      <c r="A792" s="91"/>
      <c r="B792" s="13" t="s">
        <v>606</v>
      </c>
      <c r="C792" s="13" t="s">
        <v>607</v>
      </c>
      <c r="D792" s="13">
        <v>99</v>
      </c>
      <c r="E792" s="13" t="s">
        <v>15</v>
      </c>
      <c r="F792" s="13">
        <v>1</v>
      </c>
      <c r="G792" s="13" t="s">
        <v>16</v>
      </c>
      <c r="H792" s="13" t="s">
        <v>17</v>
      </c>
      <c r="I792" s="14">
        <v>4002405</v>
      </c>
      <c r="J792" s="13" t="s">
        <v>609</v>
      </c>
      <c r="K792" s="13">
        <v>99</v>
      </c>
      <c r="L792" s="13" t="s">
        <v>15</v>
      </c>
      <c r="M792" s="15">
        <v>10000</v>
      </c>
      <c r="N792" s="13" t="s">
        <v>1</v>
      </c>
      <c r="O792" s="16">
        <f t="shared" si="193"/>
        <v>1</v>
      </c>
      <c r="P792" s="22">
        <f t="shared" ref="P792:P794" si="194">O792*$P$790</f>
        <v>3600</v>
      </c>
    </row>
    <row r="793" spans="1:16" x14ac:dyDescent="0.25">
      <c r="A793" s="91"/>
      <c r="B793" s="13" t="s">
        <v>606</v>
      </c>
      <c r="C793" s="13" t="s">
        <v>607</v>
      </c>
      <c r="D793" s="13">
        <v>99</v>
      </c>
      <c r="E793" s="13" t="s">
        <v>15</v>
      </c>
      <c r="F793" s="13">
        <v>1</v>
      </c>
      <c r="G793" s="13" t="s">
        <v>16</v>
      </c>
      <c r="H793" s="13" t="s">
        <v>17</v>
      </c>
      <c r="I793" s="14">
        <v>4002826</v>
      </c>
      <c r="J793" s="13" t="s">
        <v>4</v>
      </c>
      <c r="K793" s="13">
        <v>99</v>
      </c>
      <c r="L793" s="13" t="s">
        <v>15</v>
      </c>
      <c r="M793" s="13">
        <v>10</v>
      </c>
      <c r="N793" s="13" t="s">
        <v>1</v>
      </c>
      <c r="O793" s="16">
        <f t="shared" si="193"/>
        <v>1E-3</v>
      </c>
      <c r="P793" s="22">
        <f t="shared" si="194"/>
        <v>3.6</v>
      </c>
    </row>
    <row r="794" spans="1:16" ht="15.75" thickBot="1" x14ac:dyDescent="0.3">
      <c r="A794" s="90"/>
      <c r="B794" s="23" t="s">
        <v>606</v>
      </c>
      <c r="C794" s="23" t="s">
        <v>607</v>
      </c>
      <c r="D794" s="23">
        <v>99</v>
      </c>
      <c r="E794" s="23" t="s">
        <v>15</v>
      </c>
      <c r="F794" s="23">
        <v>1</v>
      </c>
      <c r="G794" s="23" t="s">
        <v>21</v>
      </c>
      <c r="H794" s="23" t="s">
        <v>17</v>
      </c>
      <c r="I794" s="24" t="s">
        <v>610</v>
      </c>
      <c r="J794" s="23" t="s">
        <v>611</v>
      </c>
      <c r="K794" s="23">
        <v>3</v>
      </c>
      <c r="L794" s="23" t="s">
        <v>24</v>
      </c>
      <c r="M794" s="25">
        <v>10000</v>
      </c>
      <c r="N794" s="23" t="s">
        <v>1</v>
      </c>
      <c r="O794" s="26">
        <f t="shared" si="193"/>
        <v>1</v>
      </c>
      <c r="P794" s="27">
        <f t="shared" si="194"/>
        <v>3600</v>
      </c>
    </row>
    <row r="795" spans="1:16" x14ac:dyDescent="0.25"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3"/>
      <c r="N795" s="1"/>
    </row>
    <row r="796" spans="1:16" ht="15.75" thickBot="1" x14ac:dyDescent="0.3"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3"/>
      <c r="N796" s="1"/>
      <c r="P796" s="11">
        <f>IFERROR(VLOOKUP($A797,'PROGRAMA MES '!$A:$B,2,0),0)</f>
        <v>7200</v>
      </c>
    </row>
    <row r="797" spans="1:16" x14ac:dyDescent="0.25">
      <c r="A797" s="89" t="str">
        <f>B797</f>
        <v>9138T</v>
      </c>
      <c r="B797" s="17" t="s">
        <v>612</v>
      </c>
      <c r="C797" s="17" t="s">
        <v>613</v>
      </c>
      <c r="D797" s="17">
        <v>99</v>
      </c>
      <c r="E797" s="17" t="s">
        <v>15</v>
      </c>
      <c r="F797" s="17">
        <v>1</v>
      </c>
      <c r="G797" s="17" t="s">
        <v>16</v>
      </c>
      <c r="H797" s="17" t="s">
        <v>17</v>
      </c>
      <c r="I797" s="18">
        <v>4001219</v>
      </c>
      <c r="J797" s="17" t="s">
        <v>614</v>
      </c>
      <c r="K797" s="17">
        <v>99</v>
      </c>
      <c r="L797" s="17" t="s">
        <v>15</v>
      </c>
      <c r="M797" s="17">
        <v>278</v>
      </c>
      <c r="N797" s="17" t="s">
        <v>1</v>
      </c>
      <c r="O797" s="20">
        <f t="shared" ref="O797:O800" si="195">M797/10000</f>
        <v>2.7799999999999998E-2</v>
      </c>
      <c r="P797" s="21">
        <f>O797*$P$796</f>
        <v>200.16</v>
      </c>
    </row>
    <row r="798" spans="1:16" x14ac:dyDescent="0.25">
      <c r="A798" s="91"/>
      <c r="B798" s="13" t="s">
        <v>612</v>
      </c>
      <c r="C798" s="13" t="s">
        <v>613</v>
      </c>
      <c r="D798" s="13">
        <v>99</v>
      </c>
      <c r="E798" s="13" t="s">
        <v>15</v>
      </c>
      <c r="F798" s="13">
        <v>1</v>
      </c>
      <c r="G798" s="13" t="s">
        <v>16</v>
      </c>
      <c r="H798" s="13" t="s">
        <v>17</v>
      </c>
      <c r="I798" s="14">
        <v>4002406</v>
      </c>
      <c r="J798" s="13" t="s">
        <v>615</v>
      </c>
      <c r="K798" s="13">
        <v>99</v>
      </c>
      <c r="L798" s="13" t="s">
        <v>15</v>
      </c>
      <c r="M798" s="15">
        <v>10000</v>
      </c>
      <c r="N798" s="13" t="s">
        <v>1</v>
      </c>
      <c r="O798" s="16">
        <f t="shared" si="195"/>
        <v>1</v>
      </c>
      <c r="P798" s="22">
        <f t="shared" ref="P798:P800" si="196">O798*$P$796</f>
        <v>7200</v>
      </c>
    </row>
    <row r="799" spans="1:16" x14ac:dyDescent="0.25">
      <c r="A799" s="91"/>
      <c r="B799" s="13" t="s">
        <v>612</v>
      </c>
      <c r="C799" s="13" t="s">
        <v>613</v>
      </c>
      <c r="D799" s="13">
        <v>99</v>
      </c>
      <c r="E799" s="13" t="s">
        <v>15</v>
      </c>
      <c r="F799" s="13">
        <v>1</v>
      </c>
      <c r="G799" s="13" t="s">
        <v>16</v>
      </c>
      <c r="H799" s="13" t="s">
        <v>17</v>
      </c>
      <c r="I799" s="14">
        <v>4002826</v>
      </c>
      <c r="J799" s="13" t="s">
        <v>4</v>
      </c>
      <c r="K799" s="13">
        <v>99</v>
      </c>
      <c r="L799" s="13" t="s">
        <v>15</v>
      </c>
      <c r="M799" s="13">
        <v>5</v>
      </c>
      <c r="N799" s="13" t="s">
        <v>1</v>
      </c>
      <c r="O799" s="16">
        <f t="shared" si="195"/>
        <v>5.0000000000000001E-4</v>
      </c>
      <c r="P799" s="22">
        <f t="shared" si="196"/>
        <v>3.6</v>
      </c>
    </row>
    <row r="800" spans="1:16" ht="15.75" thickBot="1" x14ac:dyDescent="0.3">
      <c r="A800" s="90"/>
      <c r="B800" s="23" t="s">
        <v>612</v>
      </c>
      <c r="C800" s="23" t="s">
        <v>613</v>
      </c>
      <c r="D800" s="23">
        <v>99</v>
      </c>
      <c r="E800" s="23" t="s">
        <v>15</v>
      </c>
      <c r="F800" s="23">
        <v>1</v>
      </c>
      <c r="G800" s="23" t="s">
        <v>21</v>
      </c>
      <c r="H800" s="23" t="s">
        <v>17</v>
      </c>
      <c r="I800" s="24" t="s">
        <v>616</v>
      </c>
      <c r="J800" s="23" t="s">
        <v>617</v>
      </c>
      <c r="K800" s="23">
        <v>3</v>
      </c>
      <c r="L800" s="23" t="s">
        <v>24</v>
      </c>
      <c r="M800" s="25">
        <v>10000</v>
      </c>
      <c r="N800" s="23" t="s">
        <v>1</v>
      </c>
      <c r="O800" s="26">
        <f t="shared" si="195"/>
        <v>1</v>
      </c>
      <c r="P800" s="27">
        <f t="shared" si="196"/>
        <v>7200</v>
      </c>
    </row>
    <row r="801" spans="1:16" x14ac:dyDescent="0.25"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3"/>
      <c r="N801" s="1"/>
    </row>
    <row r="802" spans="1:16" ht="15.75" thickBot="1" x14ac:dyDescent="0.3"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3"/>
      <c r="N802" s="1"/>
      <c r="P802" s="11">
        <f>IFERROR(VLOOKUP($A803,'PROGRAMA MES '!$A:$B,2,0),0)</f>
        <v>0</v>
      </c>
    </row>
    <row r="803" spans="1:16" x14ac:dyDescent="0.25">
      <c r="A803" s="89" t="str">
        <f>B803</f>
        <v>9244B</v>
      </c>
      <c r="B803" s="17" t="s">
        <v>618</v>
      </c>
      <c r="C803" s="17" t="s">
        <v>619</v>
      </c>
      <c r="D803" s="17">
        <v>3</v>
      </c>
      <c r="E803" s="17" t="s">
        <v>24</v>
      </c>
      <c r="F803" s="17">
        <v>1</v>
      </c>
      <c r="G803" s="17" t="s">
        <v>360</v>
      </c>
      <c r="H803" s="17" t="s">
        <v>17</v>
      </c>
      <c r="I803" s="18">
        <v>2005465</v>
      </c>
      <c r="J803" s="17" t="s">
        <v>620</v>
      </c>
      <c r="K803" s="17">
        <v>99</v>
      </c>
      <c r="L803" s="17" t="s">
        <v>15</v>
      </c>
      <c r="M803" s="19">
        <v>20000</v>
      </c>
      <c r="N803" s="17" t="s">
        <v>1</v>
      </c>
      <c r="O803" s="20">
        <f t="shared" ref="O803:O809" si="197">M803/10000</f>
        <v>2</v>
      </c>
      <c r="P803" s="21">
        <f>O803*$P$802</f>
        <v>0</v>
      </c>
    </row>
    <row r="804" spans="1:16" x14ac:dyDescent="0.25">
      <c r="A804" s="91"/>
      <c r="B804" s="13" t="s">
        <v>618</v>
      </c>
      <c r="C804" s="13" t="s">
        <v>619</v>
      </c>
      <c r="D804" s="13">
        <v>3</v>
      </c>
      <c r="E804" s="13" t="s">
        <v>24</v>
      </c>
      <c r="F804" s="13">
        <v>1</v>
      </c>
      <c r="G804" s="13" t="s">
        <v>35</v>
      </c>
      <c r="H804" s="13" t="s">
        <v>17</v>
      </c>
      <c r="I804" s="14">
        <v>3000670</v>
      </c>
      <c r="J804" s="13" t="s">
        <v>621</v>
      </c>
      <c r="K804" s="13">
        <v>99</v>
      </c>
      <c r="L804" s="13" t="s">
        <v>15</v>
      </c>
      <c r="M804" s="13">
        <v>116.8</v>
      </c>
      <c r="N804" s="13" t="s">
        <v>3</v>
      </c>
      <c r="O804" s="16">
        <f t="shared" si="197"/>
        <v>1.1679999999999999E-2</v>
      </c>
      <c r="P804" s="22">
        <f t="shared" ref="P804:P809" si="198">O804*$P$802</f>
        <v>0</v>
      </c>
    </row>
    <row r="805" spans="1:16" x14ac:dyDescent="0.25">
      <c r="A805" s="91"/>
      <c r="B805" s="13" t="s">
        <v>618</v>
      </c>
      <c r="C805" s="13" t="s">
        <v>619</v>
      </c>
      <c r="D805" s="13">
        <v>3</v>
      </c>
      <c r="E805" s="13" t="s">
        <v>24</v>
      </c>
      <c r="F805" s="13">
        <v>1</v>
      </c>
      <c r="G805" s="13" t="s">
        <v>35</v>
      </c>
      <c r="H805" s="13" t="s">
        <v>17</v>
      </c>
      <c r="I805" s="14">
        <v>3000937</v>
      </c>
      <c r="J805" s="13" t="s">
        <v>362</v>
      </c>
      <c r="K805" s="13">
        <v>99</v>
      </c>
      <c r="L805" s="13" t="s">
        <v>15</v>
      </c>
      <c r="M805" s="15">
        <v>5723.2</v>
      </c>
      <c r="N805" s="13" t="s">
        <v>3</v>
      </c>
      <c r="O805" s="16">
        <f t="shared" si="197"/>
        <v>0.57231999999999994</v>
      </c>
      <c r="P805" s="22">
        <f t="shared" si="198"/>
        <v>0</v>
      </c>
    </row>
    <row r="806" spans="1:16" x14ac:dyDescent="0.25">
      <c r="A806" s="91"/>
      <c r="B806" s="13" t="s">
        <v>618</v>
      </c>
      <c r="C806" s="13" t="s">
        <v>619</v>
      </c>
      <c r="D806" s="13">
        <v>3</v>
      </c>
      <c r="E806" s="13" t="s">
        <v>24</v>
      </c>
      <c r="F806" s="13">
        <v>1</v>
      </c>
      <c r="G806" s="13" t="s">
        <v>16</v>
      </c>
      <c r="H806" s="13" t="s">
        <v>17</v>
      </c>
      <c r="I806" s="14">
        <v>4001195</v>
      </c>
      <c r="J806" s="13" t="s">
        <v>622</v>
      </c>
      <c r="K806" s="13">
        <v>99</v>
      </c>
      <c r="L806" s="13" t="s">
        <v>15</v>
      </c>
      <c r="M806" s="15">
        <v>3330</v>
      </c>
      <c r="N806" s="13" t="s">
        <v>1</v>
      </c>
      <c r="O806" s="16">
        <f t="shared" si="197"/>
        <v>0.33300000000000002</v>
      </c>
      <c r="P806" s="22">
        <f t="shared" si="198"/>
        <v>0</v>
      </c>
    </row>
    <row r="807" spans="1:16" x14ac:dyDescent="0.25">
      <c r="A807" s="91"/>
      <c r="B807" s="13" t="s">
        <v>618</v>
      </c>
      <c r="C807" s="13" t="s">
        <v>619</v>
      </c>
      <c r="D807" s="13">
        <v>3</v>
      </c>
      <c r="E807" s="13" t="s">
        <v>24</v>
      </c>
      <c r="F807" s="13">
        <v>1</v>
      </c>
      <c r="G807" s="13" t="s">
        <v>16</v>
      </c>
      <c r="H807" s="13" t="s">
        <v>17</v>
      </c>
      <c r="I807" s="14">
        <v>4002546</v>
      </c>
      <c r="J807" s="13" t="s">
        <v>179</v>
      </c>
      <c r="K807" s="13">
        <v>99</v>
      </c>
      <c r="L807" s="13" t="s">
        <v>15</v>
      </c>
      <c r="M807" s="15">
        <v>3330</v>
      </c>
      <c r="N807" s="13" t="s">
        <v>1</v>
      </c>
      <c r="O807" s="16">
        <f t="shared" si="197"/>
        <v>0.33300000000000002</v>
      </c>
      <c r="P807" s="22">
        <f t="shared" si="198"/>
        <v>0</v>
      </c>
    </row>
    <row r="808" spans="1:16" x14ac:dyDescent="0.25">
      <c r="A808" s="91"/>
      <c r="B808" s="13" t="s">
        <v>618</v>
      </c>
      <c r="C808" s="13" t="s">
        <v>619</v>
      </c>
      <c r="D808" s="13">
        <v>3</v>
      </c>
      <c r="E808" s="13" t="s">
        <v>24</v>
      </c>
      <c r="F808" s="13">
        <v>1</v>
      </c>
      <c r="G808" s="13" t="s">
        <v>16</v>
      </c>
      <c r="H808" s="13" t="s">
        <v>17</v>
      </c>
      <c r="I808" s="14">
        <v>4009849</v>
      </c>
      <c r="J808" s="13" t="s">
        <v>623</v>
      </c>
      <c r="K808" s="13">
        <v>99</v>
      </c>
      <c r="L808" s="13" t="s">
        <v>15</v>
      </c>
      <c r="M808" s="15">
        <v>20000</v>
      </c>
      <c r="N808" s="13" t="s">
        <v>1</v>
      </c>
      <c r="O808" s="16">
        <f t="shared" si="197"/>
        <v>2</v>
      </c>
      <c r="P808" s="22">
        <f t="shared" si="198"/>
        <v>0</v>
      </c>
    </row>
    <row r="809" spans="1:16" ht="15.75" thickBot="1" x14ac:dyDescent="0.3">
      <c r="A809" s="90"/>
      <c r="B809" s="23" t="s">
        <v>618</v>
      </c>
      <c r="C809" s="23" t="s">
        <v>619</v>
      </c>
      <c r="D809" s="23">
        <v>3</v>
      </c>
      <c r="E809" s="23" t="s">
        <v>24</v>
      </c>
      <c r="F809" s="23">
        <v>1</v>
      </c>
      <c r="G809" s="23" t="s">
        <v>16</v>
      </c>
      <c r="H809" s="23" t="s">
        <v>17</v>
      </c>
      <c r="I809" s="24">
        <v>4016160</v>
      </c>
      <c r="J809" s="23" t="s">
        <v>69</v>
      </c>
      <c r="K809" s="23">
        <v>99</v>
      </c>
      <c r="L809" s="23" t="s">
        <v>15</v>
      </c>
      <c r="M809" s="23">
        <v>15</v>
      </c>
      <c r="N809" s="23" t="s">
        <v>3</v>
      </c>
      <c r="O809" s="26">
        <f t="shared" si="197"/>
        <v>1.5E-3</v>
      </c>
      <c r="P809" s="27">
        <f t="shared" si="198"/>
        <v>0</v>
      </c>
    </row>
    <row r="810" spans="1:16" x14ac:dyDescent="0.25"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</row>
    <row r="811" spans="1:16" ht="15.75" thickBot="1" x14ac:dyDescent="0.3"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P811" s="11">
        <f>IFERROR(VLOOKUP($A812,'PROGRAMA MES '!$A:$B,2,0),0)</f>
        <v>0</v>
      </c>
    </row>
    <row r="812" spans="1:16" x14ac:dyDescent="0.25">
      <c r="A812" s="89" t="str">
        <f>B812</f>
        <v>9247B</v>
      </c>
      <c r="B812" s="17" t="s">
        <v>624</v>
      </c>
      <c r="C812" s="17" t="s">
        <v>625</v>
      </c>
      <c r="D812" s="17">
        <v>51</v>
      </c>
      <c r="E812" s="17" t="s">
        <v>101</v>
      </c>
      <c r="F812" s="17">
        <v>1</v>
      </c>
      <c r="G812" s="17" t="s">
        <v>360</v>
      </c>
      <c r="H812" s="17" t="s">
        <v>17</v>
      </c>
      <c r="I812" s="18">
        <v>2005465</v>
      </c>
      <c r="J812" s="17" t="s">
        <v>620</v>
      </c>
      <c r="K812" s="17">
        <v>99</v>
      </c>
      <c r="L812" s="17" t="s">
        <v>15</v>
      </c>
      <c r="M812" s="19">
        <v>20000</v>
      </c>
      <c r="N812" s="17" t="s">
        <v>1</v>
      </c>
      <c r="O812" s="20">
        <f t="shared" ref="O812:O818" si="199">M812/10000</f>
        <v>2</v>
      </c>
      <c r="P812" s="21">
        <f>O812*$P$811</f>
        <v>0</v>
      </c>
    </row>
    <row r="813" spans="1:16" x14ac:dyDescent="0.25">
      <c r="A813" s="91"/>
      <c r="B813" s="13" t="s">
        <v>624</v>
      </c>
      <c r="C813" s="13" t="s">
        <v>625</v>
      </c>
      <c r="D813" s="13">
        <v>51</v>
      </c>
      <c r="E813" s="13" t="s">
        <v>101</v>
      </c>
      <c r="F813" s="13">
        <v>1</v>
      </c>
      <c r="G813" s="13" t="s">
        <v>35</v>
      </c>
      <c r="H813" s="13" t="s">
        <v>17</v>
      </c>
      <c r="I813" s="14">
        <v>3000670</v>
      </c>
      <c r="J813" s="13" t="s">
        <v>621</v>
      </c>
      <c r="K813" s="13">
        <v>99</v>
      </c>
      <c r="L813" s="13" t="s">
        <v>15</v>
      </c>
      <c r="M813" s="13">
        <v>116.8</v>
      </c>
      <c r="N813" s="13" t="s">
        <v>3</v>
      </c>
      <c r="O813" s="16">
        <f t="shared" si="199"/>
        <v>1.1679999999999999E-2</v>
      </c>
      <c r="P813" s="22">
        <f t="shared" ref="P813:P818" si="200">O813*$P$811</f>
        <v>0</v>
      </c>
    </row>
    <row r="814" spans="1:16" x14ac:dyDescent="0.25">
      <c r="A814" s="91"/>
      <c r="B814" s="13" t="s">
        <v>624</v>
      </c>
      <c r="C814" s="13" t="s">
        <v>625</v>
      </c>
      <c r="D814" s="13">
        <v>51</v>
      </c>
      <c r="E814" s="13" t="s">
        <v>101</v>
      </c>
      <c r="F814" s="13">
        <v>1</v>
      </c>
      <c r="G814" s="13" t="s">
        <v>35</v>
      </c>
      <c r="H814" s="13" t="s">
        <v>17</v>
      </c>
      <c r="I814" s="14">
        <v>3000937</v>
      </c>
      <c r="J814" s="13" t="s">
        <v>362</v>
      </c>
      <c r="K814" s="13">
        <v>99</v>
      </c>
      <c r="L814" s="13" t="s">
        <v>15</v>
      </c>
      <c r="M814" s="15">
        <v>5723.2</v>
      </c>
      <c r="N814" s="13" t="s">
        <v>3</v>
      </c>
      <c r="O814" s="16">
        <f t="shared" si="199"/>
        <v>0.57231999999999994</v>
      </c>
      <c r="P814" s="22">
        <f t="shared" si="200"/>
        <v>0</v>
      </c>
    </row>
    <row r="815" spans="1:16" x14ac:dyDescent="0.25">
      <c r="A815" s="91"/>
      <c r="B815" s="13" t="s">
        <v>624</v>
      </c>
      <c r="C815" s="13" t="s">
        <v>625</v>
      </c>
      <c r="D815" s="13">
        <v>51</v>
      </c>
      <c r="E815" s="13" t="s">
        <v>101</v>
      </c>
      <c r="F815" s="13">
        <v>1</v>
      </c>
      <c r="G815" s="13" t="s">
        <v>16</v>
      </c>
      <c r="H815" s="13" t="s">
        <v>17</v>
      </c>
      <c r="I815" s="14">
        <v>4001195</v>
      </c>
      <c r="J815" s="13" t="s">
        <v>622</v>
      </c>
      <c r="K815" s="13">
        <v>99</v>
      </c>
      <c r="L815" s="13" t="s">
        <v>15</v>
      </c>
      <c r="M815" s="15">
        <v>3330</v>
      </c>
      <c r="N815" s="13" t="s">
        <v>1</v>
      </c>
      <c r="O815" s="16">
        <f t="shared" si="199"/>
        <v>0.33300000000000002</v>
      </c>
      <c r="P815" s="22">
        <f t="shared" si="200"/>
        <v>0</v>
      </c>
    </row>
    <row r="816" spans="1:16" x14ac:dyDescent="0.25">
      <c r="A816" s="91"/>
      <c r="B816" s="13" t="s">
        <v>624</v>
      </c>
      <c r="C816" s="13" t="s">
        <v>625</v>
      </c>
      <c r="D816" s="13">
        <v>51</v>
      </c>
      <c r="E816" s="13" t="s">
        <v>101</v>
      </c>
      <c r="F816" s="13">
        <v>1</v>
      </c>
      <c r="G816" s="13" t="s">
        <v>16</v>
      </c>
      <c r="H816" s="13" t="s">
        <v>17</v>
      </c>
      <c r="I816" s="14">
        <v>4002546</v>
      </c>
      <c r="J816" s="13" t="s">
        <v>179</v>
      </c>
      <c r="K816" s="13">
        <v>99</v>
      </c>
      <c r="L816" s="13" t="s">
        <v>15</v>
      </c>
      <c r="M816" s="15">
        <v>3330</v>
      </c>
      <c r="N816" s="13" t="s">
        <v>1</v>
      </c>
      <c r="O816" s="16">
        <f t="shared" si="199"/>
        <v>0.33300000000000002</v>
      </c>
      <c r="P816" s="22">
        <f t="shared" si="200"/>
        <v>0</v>
      </c>
    </row>
    <row r="817" spans="1:16" x14ac:dyDescent="0.25">
      <c r="A817" s="91"/>
      <c r="B817" s="13" t="s">
        <v>624</v>
      </c>
      <c r="C817" s="13" t="s">
        <v>625</v>
      </c>
      <c r="D817" s="13">
        <v>51</v>
      </c>
      <c r="E817" s="13" t="s">
        <v>101</v>
      </c>
      <c r="F817" s="13">
        <v>1</v>
      </c>
      <c r="G817" s="13" t="s">
        <v>16</v>
      </c>
      <c r="H817" s="13" t="s">
        <v>17</v>
      </c>
      <c r="I817" s="14">
        <v>4009849</v>
      </c>
      <c r="J817" s="13" t="s">
        <v>623</v>
      </c>
      <c r="K817" s="13">
        <v>99</v>
      </c>
      <c r="L817" s="13" t="s">
        <v>15</v>
      </c>
      <c r="M817" s="15">
        <v>20000</v>
      </c>
      <c r="N817" s="13" t="s">
        <v>1</v>
      </c>
      <c r="O817" s="16">
        <f t="shared" si="199"/>
        <v>2</v>
      </c>
      <c r="P817" s="22">
        <f t="shared" si="200"/>
        <v>0</v>
      </c>
    </row>
    <row r="818" spans="1:16" ht="15.75" thickBot="1" x14ac:dyDescent="0.3">
      <c r="A818" s="90"/>
      <c r="B818" s="23" t="s">
        <v>624</v>
      </c>
      <c r="C818" s="23" t="s">
        <v>625</v>
      </c>
      <c r="D818" s="23">
        <v>51</v>
      </c>
      <c r="E818" s="23" t="s">
        <v>101</v>
      </c>
      <c r="F818" s="23">
        <v>1</v>
      </c>
      <c r="G818" s="23" t="s">
        <v>16</v>
      </c>
      <c r="H818" s="23" t="s">
        <v>17</v>
      </c>
      <c r="I818" s="24">
        <v>4016160</v>
      </c>
      <c r="J818" s="23" t="s">
        <v>69</v>
      </c>
      <c r="K818" s="23">
        <v>99</v>
      </c>
      <c r="L818" s="23" t="s">
        <v>15</v>
      </c>
      <c r="M818" s="23">
        <v>15</v>
      </c>
      <c r="N818" s="23" t="s">
        <v>3</v>
      </c>
      <c r="O818" s="26">
        <f t="shared" si="199"/>
        <v>1.5E-3</v>
      </c>
      <c r="P818" s="27">
        <f t="shared" si="200"/>
        <v>0</v>
      </c>
    </row>
    <row r="819" spans="1:16" x14ac:dyDescent="0.25"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</row>
    <row r="820" spans="1:16" ht="15.75" thickBot="1" x14ac:dyDescent="0.3"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P820" s="11">
        <f>IFERROR(VLOOKUP($A821,'PROGRAMA MES '!$A:$B,2,0),0)</f>
        <v>1200</v>
      </c>
    </row>
    <row r="821" spans="1:16" x14ac:dyDescent="0.25">
      <c r="A821" s="89" t="str">
        <f>B821</f>
        <v>9248B</v>
      </c>
      <c r="B821" s="17" t="s">
        <v>626</v>
      </c>
      <c r="C821" s="17" t="s">
        <v>627</v>
      </c>
      <c r="D821" s="17">
        <v>99</v>
      </c>
      <c r="E821" s="17" t="s">
        <v>15</v>
      </c>
      <c r="F821" s="17">
        <v>1</v>
      </c>
      <c r="G821" s="17" t="s">
        <v>360</v>
      </c>
      <c r="H821" s="17" t="s">
        <v>17</v>
      </c>
      <c r="I821" s="18">
        <v>2005465</v>
      </c>
      <c r="J821" s="17" t="s">
        <v>620</v>
      </c>
      <c r="K821" s="17">
        <v>99</v>
      </c>
      <c r="L821" s="17" t="s">
        <v>15</v>
      </c>
      <c r="M821" s="19">
        <v>20000</v>
      </c>
      <c r="N821" s="17" t="s">
        <v>1</v>
      </c>
      <c r="O821" s="20">
        <f t="shared" ref="O821:O826" si="201">M821/10000</f>
        <v>2</v>
      </c>
      <c r="P821" s="21">
        <f>O821*$P$820</f>
        <v>2400</v>
      </c>
    </row>
    <row r="822" spans="1:16" x14ac:dyDescent="0.25">
      <c r="A822" s="91"/>
      <c r="B822" s="13" t="s">
        <v>626</v>
      </c>
      <c r="C822" s="13" t="s">
        <v>627</v>
      </c>
      <c r="D822" s="13">
        <v>99</v>
      </c>
      <c r="E822" s="13" t="s">
        <v>15</v>
      </c>
      <c r="F822" s="13">
        <v>1</v>
      </c>
      <c r="G822" s="13" t="s">
        <v>35</v>
      </c>
      <c r="H822" s="13" t="s">
        <v>17</v>
      </c>
      <c r="I822" s="14">
        <v>3000670</v>
      </c>
      <c r="J822" s="13" t="s">
        <v>621</v>
      </c>
      <c r="K822" s="13">
        <v>99</v>
      </c>
      <c r="L822" s="13" t="s">
        <v>15</v>
      </c>
      <c r="M822" s="13">
        <v>116.8</v>
      </c>
      <c r="N822" s="13" t="s">
        <v>3</v>
      </c>
      <c r="O822" s="16">
        <f t="shared" si="201"/>
        <v>1.1679999999999999E-2</v>
      </c>
      <c r="P822" s="22">
        <f t="shared" ref="P822:P826" si="202">O822*$P$820</f>
        <v>14.016</v>
      </c>
    </row>
    <row r="823" spans="1:16" x14ac:dyDescent="0.25">
      <c r="A823" s="91"/>
      <c r="B823" s="13" t="s">
        <v>626</v>
      </c>
      <c r="C823" s="13" t="s">
        <v>627</v>
      </c>
      <c r="D823" s="13">
        <v>99</v>
      </c>
      <c r="E823" s="13" t="s">
        <v>15</v>
      </c>
      <c r="F823" s="13">
        <v>1</v>
      </c>
      <c r="G823" s="13" t="s">
        <v>35</v>
      </c>
      <c r="H823" s="13" t="s">
        <v>17</v>
      </c>
      <c r="I823" s="14">
        <v>3000937</v>
      </c>
      <c r="J823" s="13" t="s">
        <v>362</v>
      </c>
      <c r="K823" s="13">
        <v>99</v>
      </c>
      <c r="L823" s="13" t="s">
        <v>15</v>
      </c>
      <c r="M823" s="15">
        <v>5723.2</v>
      </c>
      <c r="N823" s="13" t="s">
        <v>3</v>
      </c>
      <c r="O823" s="16">
        <f t="shared" si="201"/>
        <v>0.57231999999999994</v>
      </c>
      <c r="P823" s="22">
        <f t="shared" si="202"/>
        <v>686.78399999999988</v>
      </c>
    </row>
    <row r="824" spans="1:16" x14ac:dyDescent="0.25">
      <c r="A824" s="91"/>
      <c r="B824" s="13" t="s">
        <v>626</v>
      </c>
      <c r="C824" s="13" t="s">
        <v>627</v>
      </c>
      <c r="D824" s="13">
        <v>99</v>
      </c>
      <c r="E824" s="13" t="s">
        <v>15</v>
      </c>
      <c r="F824" s="13">
        <v>1</v>
      </c>
      <c r="G824" s="13" t="s">
        <v>16</v>
      </c>
      <c r="H824" s="13" t="s">
        <v>17</v>
      </c>
      <c r="I824" s="14">
        <v>4001195</v>
      </c>
      <c r="J824" s="13" t="s">
        <v>622</v>
      </c>
      <c r="K824" s="13">
        <v>99</v>
      </c>
      <c r="L824" s="13" t="s">
        <v>15</v>
      </c>
      <c r="M824" s="15">
        <v>3330</v>
      </c>
      <c r="N824" s="13" t="s">
        <v>1</v>
      </c>
      <c r="O824" s="16">
        <f t="shared" si="201"/>
        <v>0.33300000000000002</v>
      </c>
      <c r="P824" s="22">
        <f t="shared" si="202"/>
        <v>399.6</v>
      </c>
    </row>
    <row r="825" spans="1:16" x14ac:dyDescent="0.25">
      <c r="A825" s="91"/>
      <c r="B825" s="13" t="s">
        <v>626</v>
      </c>
      <c r="C825" s="13" t="s">
        <v>627</v>
      </c>
      <c r="D825" s="13">
        <v>99</v>
      </c>
      <c r="E825" s="13" t="s">
        <v>15</v>
      </c>
      <c r="F825" s="13">
        <v>1</v>
      </c>
      <c r="G825" s="13" t="s">
        <v>16</v>
      </c>
      <c r="H825" s="13" t="s">
        <v>17</v>
      </c>
      <c r="I825" s="14">
        <v>4009849</v>
      </c>
      <c r="J825" s="13" t="s">
        <v>623</v>
      </c>
      <c r="K825" s="13">
        <v>99</v>
      </c>
      <c r="L825" s="13" t="s">
        <v>15</v>
      </c>
      <c r="M825" s="15">
        <v>20000</v>
      </c>
      <c r="N825" s="13" t="s">
        <v>1</v>
      </c>
      <c r="O825" s="16">
        <f t="shared" si="201"/>
        <v>2</v>
      </c>
      <c r="P825" s="22">
        <f t="shared" si="202"/>
        <v>2400</v>
      </c>
    </row>
    <row r="826" spans="1:16" ht="15.75" thickBot="1" x14ac:dyDescent="0.3">
      <c r="A826" s="90"/>
      <c r="B826" s="23" t="s">
        <v>626</v>
      </c>
      <c r="C826" s="23" t="s">
        <v>627</v>
      </c>
      <c r="D826" s="23">
        <v>99</v>
      </c>
      <c r="E826" s="23" t="s">
        <v>15</v>
      </c>
      <c r="F826" s="23">
        <v>1</v>
      </c>
      <c r="G826" s="23" t="s">
        <v>16</v>
      </c>
      <c r="H826" s="23" t="s">
        <v>17</v>
      </c>
      <c r="I826" s="24">
        <v>4016160</v>
      </c>
      <c r="J826" s="23" t="s">
        <v>69</v>
      </c>
      <c r="K826" s="23">
        <v>99</v>
      </c>
      <c r="L826" s="23" t="s">
        <v>15</v>
      </c>
      <c r="M826" s="23">
        <v>15</v>
      </c>
      <c r="N826" s="23" t="s">
        <v>3</v>
      </c>
      <c r="O826" s="26">
        <f t="shared" si="201"/>
        <v>1.5E-3</v>
      </c>
      <c r="P826" s="27">
        <f t="shared" si="202"/>
        <v>1.8</v>
      </c>
    </row>
    <row r="827" spans="1:16" x14ac:dyDescent="0.25"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</row>
    <row r="828" spans="1:16" ht="15.75" thickBot="1" x14ac:dyDescent="0.3"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P828" s="11">
        <f>IFERROR(VLOOKUP($A829,'PROGRAMA MES '!$A:$B,2,0),0)</f>
        <v>0</v>
      </c>
    </row>
    <row r="829" spans="1:16" x14ac:dyDescent="0.25">
      <c r="A829" s="89" t="str">
        <f>B829</f>
        <v>9249B</v>
      </c>
      <c r="B829" s="17" t="s">
        <v>628</v>
      </c>
      <c r="C829" s="17" t="s">
        <v>629</v>
      </c>
      <c r="D829" s="17">
        <v>51</v>
      </c>
      <c r="E829" s="17" t="s">
        <v>101</v>
      </c>
      <c r="F829" s="17">
        <v>1</v>
      </c>
      <c r="G829" s="17" t="s">
        <v>360</v>
      </c>
      <c r="H829" s="17" t="s">
        <v>17</v>
      </c>
      <c r="I829" s="18">
        <v>2005465</v>
      </c>
      <c r="J829" s="17" t="s">
        <v>620</v>
      </c>
      <c r="K829" s="17">
        <v>99</v>
      </c>
      <c r="L829" s="17" t="s">
        <v>15</v>
      </c>
      <c r="M829" s="19">
        <v>20000</v>
      </c>
      <c r="N829" s="17" t="s">
        <v>1</v>
      </c>
      <c r="O829" s="20">
        <f t="shared" ref="O829:O834" si="203">M829/10000</f>
        <v>2</v>
      </c>
      <c r="P829" s="21">
        <f>O829*$P$828</f>
        <v>0</v>
      </c>
    </row>
    <row r="830" spans="1:16" x14ac:dyDescent="0.25">
      <c r="A830" s="91"/>
      <c r="B830" s="13" t="s">
        <v>628</v>
      </c>
      <c r="C830" s="13" t="s">
        <v>629</v>
      </c>
      <c r="D830" s="13">
        <v>51</v>
      </c>
      <c r="E830" s="13" t="s">
        <v>101</v>
      </c>
      <c r="F830" s="13">
        <v>1</v>
      </c>
      <c r="G830" s="13" t="s">
        <v>35</v>
      </c>
      <c r="H830" s="13" t="s">
        <v>17</v>
      </c>
      <c r="I830" s="14">
        <v>3000670</v>
      </c>
      <c r="J830" s="13" t="s">
        <v>621</v>
      </c>
      <c r="K830" s="13">
        <v>99</v>
      </c>
      <c r="L830" s="13" t="s">
        <v>15</v>
      </c>
      <c r="M830" s="13">
        <v>116.8</v>
      </c>
      <c r="N830" s="13" t="s">
        <v>3</v>
      </c>
      <c r="O830" s="16">
        <f t="shared" si="203"/>
        <v>1.1679999999999999E-2</v>
      </c>
      <c r="P830" s="22">
        <f t="shared" ref="P830:P834" si="204">O830*$P$828</f>
        <v>0</v>
      </c>
    </row>
    <row r="831" spans="1:16" x14ac:dyDescent="0.25">
      <c r="A831" s="91"/>
      <c r="B831" s="13" t="s">
        <v>628</v>
      </c>
      <c r="C831" s="13" t="s">
        <v>629</v>
      </c>
      <c r="D831" s="13">
        <v>51</v>
      </c>
      <c r="E831" s="13" t="s">
        <v>101</v>
      </c>
      <c r="F831" s="13">
        <v>1</v>
      </c>
      <c r="G831" s="13" t="s">
        <v>35</v>
      </c>
      <c r="H831" s="13" t="s">
        <v>17</v>
      </c>
      <c r="I831" s="14">
        <v>3000937</v>
      </c>
      <c r="J831" s="13" t="s">
        <v>362</v>
      </c>
      <c r="K831" s="13">
        <v>99</v>
      </c>
      <c r="L831" s="13" t="s">
        <v>15</v>
      </c>
      <c r="M831" s="15">
        <v>5723.2</v>
      </c>
      <c r="N831" s="13" t="s">
        <v>3</v>
      </c>
      <c r="O831" s="16">
        <f t="shared" si="203"/>
        <v>0.57231999999999994</v>
      </c>
      <c r="P831" s="22">
        <f t="shared" si="204"/>
        <v>0</v>
      </c>
    </row>
    <row r="832" spans="1:16" x14ac:dyDescent="0.25">
      <c r="A832" s="91"/>
      <c r="B832" s="13" t="s">
        <v>628</v>
      </c>
      <c r="C832" s="13" t="s">
        <v>629</v>
      </c>
      <c r="D832" s="13">
        <v>51</v>
      </c>
      <c r="E832" s="13" t="s">
        <v>101</v>
      </c>
      <c r="F832" s="13">
        <v>1</v>
      </c>
      <c r="G832" s="13" t="s">
        <v>16</v>
      </c>
      <c r="H832" s="13" t="s">
        <v>17</v>
      </c>
      <c r="I832" s="14">
        <v>4001195</v>
      </c>
      <c r="J832" s="13" t="s">
        <v>622</v>
      </c>
      <c r="K832" s="13">
        <v>99</v>
      </c>
      <c r="L832" s="13" t="s">
        <v>15</v>
      </c>
      <c r="M832" s="15">
        <v>3330</v>
      </c>
      <c r="N832" s="13" t="s">
        <v>1</v>
      </c>
      <c r="O832" s="16">
        <f t="shared" si="203"/>
        <v>0.33300000000000002</v>
      </c>
      <c r="P832" s="22">
        <f t="shared" si="204"/>
        <v>0</v>
      </c>
    </row>
    <row r="833" spans="1:16" x14ac:dyDescent="0.25">
      <c r="A833" s="91"/>
      <c r="B833" s="13" t="s">
        <v>628</v>
      </c>
      <c r="C833" s="13" t="s">
        <v>629</v>
      </c>
      <c r="D833" s="13">
        <v>51</v>
      </c>
      <c r="E833" s="13" t="s">
        <v>101</v>
      </c>
      <c r="F833" s="13">
        <v>1</v>
      </c>
      <c r="G833" s="13" t="s">
        <v>16</v>
      </c>
      <c r="H833" s="13" t="s">
        <v>17</v>
      </c>
      <c r="I833" s="14">
        <v>4002546</v>
      </c>
      <c r="J833" s="13" t="s">
        <v>179</v>
      </c>
      <c r="K833" s="13">
        <v>99</v>
      </c>
      <c r="L833" s="13" t="s">
        <v>15</v>
      </c>
      <c r="M833" s="15">
        <v>3330</v>
      </c>
      <c r="N833" s="13" t="s">
        <v>1</v>
      </c>
      <c r="O833" s="16">
        <f t="shared" si="203"/>
        <v>0.33300000000000002</v>
      </c>
      <c r="P833" s="22">
        <f t="shared" si="204"/>
        <v>0</v>
      </c>
    </row>
    <row r="834" spans="1:16" ht="15.75" thickBot="1" x14ac:dyDescent="0.3">
      <c r="A834" s="90"/>
      <c r="B834" s="23" t="s">
        <v>628</v>
      </c>
      <c r="C834" s="23" t="s">
        <v>629</v>
      </c>
      <c r="D834" s="23">
        <v>51</v>
      </c>
      <c r="E834" s="23" t="s">
        <v>101</v>
      </c>
      <c r="F834" s="23">
        <v>1</v>
      </c>
      <c r="G834" s="23" t="s">
        <v>16</v>
      </c>
      <c r="H834" s="23" t="s">
        <v>17</v>
      </c>
      <c r="I834" s="24">
        <v>4016160</v>
      </c>
      <c r="J834" s="23" t="s">
        <v>69</v>
      </c>
      <c r="K834" s="23">
        <v>99</v>
      </c>
      <c r="L834" s="23" t="s">
        <v>15</v>
      </c>
      <c r="M834" s="23">
        <v>15</v>
      </c>
      <c r="N834" s="23" t="s">
        <v>3</v>
      </c>
      <c r="O834" s="26">
        <f t="shared" si="203"/>
        <v>1.5E-3</v>
      </c>
      <c r="P834" s="27">
        <f t="shared" si="204"/>
        <v>0</v>
      </c>
    </row>
    <row r="835" spans="1:16" x14ac:dyDescent="0.25"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</row>
    <row r="836" spans="1:16" ht="15.75" thickBot="1" x14ac:dyDescent="0.3"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P836" s="11">
        <f>IFERROR(VLOOKUP($A837,'PROGRAMA MES '!$A:$B,2,0),0)</f>
        <v>13200</v>
      </c>
    </row>
    <row r="837" spans="1:16" x14ac:dyDescent="0.25">
      <c r="A837" s="89" t="str">
        <f>B837</f>
        <v>9253C</v>
      </c>
      <c r="B837" s="17" t="s">
        <v>630</v>
      </c>
      <c r="C837" s="17" t="s">
        <v>631</v>
      </c>
      <c r="D837" s="17">
        <v>99</v>
      </c>
      <c r="E837" s="17" t="s">
        <v>15</v>
      </c>
      <c r="F837" s="17">
        <v>1</v>
      </c>
      <c r="G837" s="17" t="s">
        <v>16</v>
      </c>
      <c r="H837" s="17" t="s">
        <v>17</v>
      </c>
      <c r="I837" s="18">
        <v>4000070</v>
      </c>
      <c r="J837" s="17" t="s">
        <v>632</v>
      </c>
      <c r="K837" s="17">
        <v>99</v>
      </c>
      <c r="L837" s="17" t="s">
        <v>15</v>
      </c>
      <c r="M837" s="17">
        <v>834</v>
      </c>
      <c r="N837" s="17" t="s">
        <v>1</v>
      </c>
      <c r="O837" s="20">
        <f t="shared" ref="O837:O842" si="205">M837/10000</f>
        <v>8.3400000000000002E-2</v>
      </c>
      <c r="P837" s="21">
        <f>O837*$P$836</f>
        <v>1100.8800000000001</v>
      </c>
    </row>
    <row r="838" spans="1:16" x14ac:dyDescent="0.25">
      <c r="A838" s="91"/>
      <c r="B838" s="13" t="s">
        <v>630</v>
      </c>
      <c r="C838" s="13" t="s">
        <v>631</v>
      </c>
      <c r="D838" s="13">
        <v>99</v>
      </c>
      <c r="E838" s="13" t="s">
        <v>15</v>
      </c>
      <c r="F838" s="13">
        <v>1</v>
      </c>
      <c r="G838" s="13" t="s">
        <v>16</v>
      </c>
      <c r="H838" s="13" t="s">
        <v>17</v>
      </c>
      <c r="I838" s="14">
        <v>4000071</v>
      </c>
      <c r="J838" s="13" t="s">
        <v>633</v>
      </c>
      <c r="K838" s="13">
        <v>99</v>
      </c>
      <c r="L838" s="13" t="s">
        <v>15</v>
      </c>
      <c r="M838" s="15">
        <v>1667</v>
      </c>
      <c r="N838" s="13" t="s">
        <v>1</v>
      </c>
      <c r="O838" s="16">
        <f t="shared" si="205"/>
        <v>0.16669999999999999</v>
      </c>
      <c r="P838" s="22">
        <f t="shared" ref="P838:P842" si="206">O838*$P$836</f>
        <v>2200.44</v>
      </c>
    </row>
    <row r="839" spans="1:16" x14ac:dyDescent="0.25">
      <c r="A839" s="91"/>
      <c r="B839" s="13" t="s">
        <v>630</v>
      </c>
      <c r="C839" s="13" t="s">
        <v>631</v>
      </c>
      <c r="D839" s="13">
        <v>99</v>
      </c>
      <c r="E839" s="13" t="s">
        <v>15</v>
      </c>
      <c r="F839" s="13">
        <v>1</v>
      </c>
      <c r="G839" s="13" t="s">
        <v>16</v>
      </c>
      <c r="H839" s="13" t="s">
        <v>17</v>
      </c>
      <c r="I839" s="14">
        <v>4001232</v>
      </c>
      <c r="J839" s="13" t="s">
        <v>634</v>
      </c>
      <c r="K839" s="13">
        <v>99</v>
      </c>
      <c r="L839" s="13" t="s">
        <v>15</v>
      </c>
      <c r="M839" s="13">
        <v>834</v>
      </c>
      <c r="N839" s="13" t="s">
        <v>1</v>
      </c>
      <c r="O839" s="16">
        <f t="shared" si="205"/>
        <v>8.3400000000000002E-2</v>
      </c>
      <c r="P839" s="22">
        <f t="shared" si="206"/>
        <v>1100.8800000000001</v>
      </c>
    </row>
    <row r="840" spans="1:16" x14ac:dyDescent="0.25">
      <c r="A840" s="91"/>
      <c r="B840" s="13" t="s">
        <v>630</v>
      </c>
      <c r="C840" s="13" t="s">
        <v>631</v>
      </c>
      <c r="D840" s="13">
        <v>99</v>
      </c>
      <c r="E840" s="13" t="s">
        <v>15</v>
      </c>
      <c r="F840" s="13">
        <v>1</v>
      </c>
      <c r="G840" s="13" t="s">
        <v>16</v>
      </c>
      <c r="H840" s="13" t="s">
        <v>17</v>
      </c>
      <c r="I840" s="14">
        <v>4002441</v>
      </c>
      <c r="J840" s="13" t="s">
        <v>635</v>
      </c>
      <c r="K840" s="13">
        <v>99</v>
      </c>
      <c r="L840" s="13" t="s">
        <v>15</v>
      </c>
      <c r="M840" s="15">
        <v>10000</v>
      </c>
      <c r="N840" s="13" t="s">
        <v>1</v>
      </c>
      <c r="O840" s="16">
        <f t="shared" si="205"/>
        <v>1</v>
      </c>
      <c r="P840" s="22">
        <f t="shared" si="206"/>
        <v>13200</v>
      </c>
    </row>
    <row r="841" spans="1:16" x14ac:dyDescent="0.25">
      <c r="A841" s="91"/>
      <c r="B841" s="13" t="s">
        <v>630</v>
      </c>
      <c r="C841" s="13" t="s">
        <v>631</v>
      </c>
      <c r="D841" s="13">
        <v>99</v>
      </c>
      <c r="E841" s="13" t="s">
        <v>15</v>
      </c>
      <c r="F841" s="13">
        <v>1</v>
      </c>
      <c r="G841" s="13" t="s">
        <v>16</v>
      </c>
      <c r="H841" s="13" t="s">
        <v>17</v>
      </c>
      <c r="I841" s="14">
        <v>4002826</v>
      </c>
      <c r="J841" s="13" t="s">
        <v>4</v>
      </c>
      <c r="K841" s="13">
        <v>99</v>
      </c>
      <c r="L841" s="13" t="s">
        <v>15</v>
      </c>
      <c r="M841" s="13">
        <v>18</v>
      </c>
      <c r="N841" s="13" t="s">
        <v>1</v>
      </c>
      <c r="O841" s="16">
        <f t="shared" si="205"/>
        <v>1.8E-3</v>
      </c>
      <c r="P841" s="22">
        <f t="shared" si="206"/>
        <v>23.759999999999998</v>
      </c>
    </row>
    <row r="842" spans="1:16" ht="15.75" thickBot="1" x14ac:dyDescent="0.3">
      <c r="A842" s="90"/>
      <c r="B842" s="23" t="s">
        <v>630</v>
      </c>
      <c r="C842" s="23" t="s">
        <v>631</v>
      </c>
      <c r="D842" s="23">
        <v>99</v>
      </c>
      <c r="E842" s="23" t="s">
        <v>15</v>
      </c>
      <c r="F842" s="23">
        <v>1</v>
      </c>
      <c r="G842" s="23" t="s">
        <v>21</v>
      </c>
      <c r="H842" s="23" t="s">
        <v>17</v>
      </c>
      <c r="I842" s="24" t="s">
        <v>636</v>
      </c>
      <c r="J842" s="23" t="s">
        <v>637</v>
      </c>
      <c r="K842" s="23">
        <v>3</v>
      </c>
      <c r="L842" s="23" t="s">
        <v>24</v>
      </c>
      <c r="M842" s="25">
        <v>10000</v>
      </c>
      <c r="N842" s="23" t="s">
        <v>1</v>
      </c>
      <c r="O842" s="26">
        <f t="shared" si="205"/>
        <v>1</v>
      </c>
      <c r="P842" s="27">
        <f t="shared" si="206"/>
        <v>13200</v>
      </c>
    </row>
    <row r="843" spans="1:16" x14ac:dyDescent="0.25"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3"/>
      <c r="N843" s="1"/>
    </row>
    <row r="844" spans="1:16" ht="15.75" thickBot="1" x14ac:dyDescent="0.3"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3"/>
      <c r="N844" s="1"/>
      <c r="P844" s="11">
        <f>IFERROR(VLOOKUP($A845,'PROGRAMA MES '!$A:$B,2,0),0)</f>
        <v>1200</v>
      </c>
    </row>
    <row r="845" spans="1:16" x14ac:dyDescent="0.25">
      <c r="A845" s="89" t="str">
        <f>B845</f>
        <v>9255D</v>
      </c>
      <c r="B845" s="17" t="s">
        <v>638</v>
      </c>
      <c r="C845" s="17" t="s">
        <v>639</v>
      </c>
      <c r="D845" s="17">
        <v>99</v>
      </c>
      <c r="E845" s="17" t="s">
        <v>15</v>
      </c>
      <c r="F845" s="17">
        <v>1</v>
      </c>
      <c r="G845" s="17" t="s">
        <v>16</v>
      </c>
      <c r="H845" s="17" t="s">
        <v>17</v>
      </c>
      <c r="I845" s="18">
        <v>4001200</v>
      </c>
      <c r="J845" s="17" t="s">
        <v>640</v>
      </c>
      <c r="K845" s="17">
        <v>99</v>
      </c>
      <c r="L845" s="17" t="s">
        <v>15</v>
      </c>
      <c r="M845" s="17">
        <v>834</v>
      </c>
      <c r="N845" s="17" t="s">
        <v>1</v>
      </c>
      <c r="O845" s="20">
        <f t="shared" ref="O845:O848" si="207">M845/10000</f>
        <v>8.3400000000000002E-2</v>
      </c>
      <c r="P845" s="21">
        <f>O845*$P$844</f>
        <v>100.08</v>
      </c>
    </row>
    <row r="846" spans="1:16" x14ac:dyDescent="0.25">
      <c r="A846" s="91"/>
      <c r="B846" s="13" t="s">
        <v>638</v>
      </c>
      <c r="C846" s="13" t="s">
        <v>639</v>
      </c>
      <c r="D846" s="13">
        <v>99</v>
      </c>
      <c r="E846" s="13" t="s">
        <v>15</v>
      </c>
      <c r="F846" s="13">
        <v>1</v>
      </c>
      <c r="G846" s="13" t="s">
        <v>16</v>
      </c>
      <c r="H846" s="13" t="s">
        <v>17</v>
      </c>
      <c r="I846" s="14">
        <v>4002443</v>
      </c>
      <c r="J846" s="13" t="s">
        <v>641</v>
      </c>
      <c r="K846" s="13">
        <v>99</v>
      </c>
      <c r="L846" s="13" t="s">
        <v>15</v>
      </c>
      <c r="M846" s="15">
        <v>10000</v>
      </c>
      <c r="N846" s="13" t="s">
        <v>1</v>
      </c>
      <c r="O846" s="16">
        <f t="shared" si="207"/>
        <v>1</v>
      </c>
      <c r="P846" s="22">
        <f t="shared" ref="P846:P848" si="208">O846*$P$844</f>
        <v>1200</v>
      </c>
    </row>
    <row r="847" spans="1:16" x14ac:dyDescent="0.25">
      <c r="A847" s="91"/>
      <c r="B847" s="13" t="s">
        <v>638</v>
      </c>
      <c r="C847" s="13" t="s">
        <v>639</v>
      </c>
      <c r="D847" s="13">
        <v>99</v>
      </c>
      <c r="E847" s="13" t="s">
        <v>15</v>
      </c>
      <c r="F847" s="13">
        <v>1</v>
      </c>
      <c r="G847" s="13" t="s">
        <v>16</v>
      </c>
      <c r="H847" s="13" t="s">
        <v>17</v>
      </c>
      <c r="I847" s="14">
        <v>4002826</v>
      </c>
      <c r="J847" s="13" t="s">
        <v>4</v>
      </c>
      <c r="K847" s="13">
        <v>99</v>
      </c>
      <c r="L847" s="13" t="s">
        <v>15</v>
      </c>
      <c r="M847" s="13">
        <v>11</v>
      </c>
      <c r="N847" s="13" t="s">
        <v>1</v>
      </c>
      <c r="O847" s="16">
        <f t="shared" si="207"/>
        <v>1.1000000000000001E-3</v>
      </c>
      <c r="P847" s="22">
        <f t="shared" si="208"/>
        <v>1.32</v>
      </c>
    </row>
    <row r="848" spans="1:16" ht="15.75" thickBot="1" x14ac:dyDescent="0.3">
      <c r="A848" s="90"/>
      <c r="B848" s="23" t="s">
        <v>638</v>
      </c>
      <c r="C848" s="23" t="s">
        <v>639</v>
      </c>
      <c r="D848" s="23">
        <v>99</v>
      </c>
      <c r="E848" s="23" t="s">
        <v>15</v>
      </c>
      <c r="F848" s="23">
        <v>1</v>
      </c>
      <c r="G848" s="23" t="s">
        <v>21</v>
      </c>
      <c r="H848" s="23" t="s">
        <v>17</v>
      </c>
      <c r="I848" s="24" t="s">
        <v>642</v>
      </c>
      <c r="J848" s="23" t="s">
        <v>643</v>
      </c>
      <c r="K848" s="23">
        <v>3</v>
      </c>
      <c r="L848" s="23" t="s">
        <v>24</v>
      </c>
      <c r="M848" s="25">
        <v>10000</v>
      </c>
      <c r="N848" s="23" t="s">
        <v>1</v>
      </c>
      <c r="O848" s="26">
        <f t="shared" si="207"/>
        <v>1</v>
      </c>
      <c r="P848" s="27">
        <f t="shared" si="208"/>
        <v>1200</v>
      </c>
    </row>
    <row r="849" spans="1:16" x14ac:dyDescent="0.25"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3"/>
      <c r="N849" s="1"/>
    </row>
    <row r="850" spans="1:16" ht="15.75" thickBot="1" x14ac:dyDescent="0.3"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3"/>
      <c r="N850" s="1"/>
      <c r="P850" s="11">
        <f>IFERROR(VLOOKUP($A851,'PROGRAMA MES '!$A:$B,2,0),0)</f>
        <v>0</v>
      </c>
    </row>
    <row r="851" spans="1:16" x14ac:dyDescent="0.25">
      <c r="A851" s="89" t="str">
        <f>B851</f>
        <v>9300F</v>
      </c>
      <c r="B851" s="17" t="s">
        <v>644</v>
      </c>
      <c r="C851" s="17" t="s">
        <v>645</v>
      </c>
      <c r="D851" s="17">
        <v>99</v>
      </c>
      <c r="E851" s="17" t="s">
        <v>15</v>
      </c>
      <c r="F851" s="17">
        <v>1</v>
      </c>
      <c r="G851" s="17" t="s">
        <v>16</v>
      </c>
      <c r="H851" s="17" t="s">
        <v>17</v>
      </c>
      <c r="I851" s="18">
        <v>4002827</v>
      </c>
      <c r="J851" s="17" t="s">
        <v>0</v>
      </c>
      <c r="K851" s="17">
        <v>99</v>
      </c>
      <c r="L851" s="17" t="s">
        <v>15</v>
      </c>
      <c r="M851" s="19">
        <v>3500</v>
      </c>
      <c r="N851" s="17" t="s">
        <v>2</v>
      </c>
      <c r="O851" s="20">
        <f t="shared" ref="O851:O852" si="209">M851/10000</f>
        <v>0.35</v>
      </c>
      <c r="P851" s="21">
        <f>O851*$P$850</f>
        <v>0</v>
      </c>
    </row>
    <row r="852" spans="1:16" ht="15.75" thickBot="1" x14ac:dyDescent="0.3">
      <c r="A852" s="90"/>
      <c r="B852" s="23" t="s">
        <v>644</v>
      </c>
      <c r="C852" s="23" t="s">
        <v>645</v>
      </c>
      <c r="D852" s="23">
        <v>99</v>
      </c>
      <c r="E852" s="23" t="s">
        <v>15</v>
      </c>
      <c r="F852" s="23">
        <v>1</v>
      </c>
      <c r="G852" s="23" t="s">
        <v>16</v>
      </c>
      <c r="H852" s="23" t="s">
        <v>17</v>
      </c>
      <c r="I852" s="24">
        <v>4004113</v>
      </c>
      <c r="J852" s="23" t="s">
        <v>646</v>
      </c>
      <c r="K852" s="23">
        <v>99</v>
      </c>
      <c r="L852" s="23" t="s">
        <v>15</v>
      </c>
      <c r="M852" s="25">
        <v>1670</v>
      </c>
      <c r="N852" s="23" t="s">
        <v>1</v>
      </c>
      <c r="O852" s="26">
        <f t="shared" si="209"/>
        <v>0.16700000000000001</v>
      </c>
      <c r="P852" s="27">
        <f>O852*$P$850</f>
        <v>0</v>
      </c>
    </row>
    <row r="853" spans="1:16" x14ac:dyDescent="0.25"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3"/>
      <c r="N853" s="1"/>
    </row>
    <row r="854" spans="1:16" ht="15.75" thickBot="1" x14ac:dyDescent="0.3"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3"/>
      <c r="N854" s="1"/>
      <c r="P854" s="11">
        <f>IFERROR(VLOOKUP($A855,'PROGRAMA MES '!$A:$B,2,0),0)</f>
        <v>0</v>
      </c>
    </row>
    <row r="855" spans="1:16" x14ac:dyDescent="0.25">
      <c r="A855" s="89" t="str">
        <f>B855</f>
        <v>9356B</v>
      </c>
      <c r="B855" s="17" t="s">
        <v>647</v>
      </c>
      <c r="C855" s="17" t="s">
        <v>648</v>
      </c>
      <c r="D855" s="17">
        <v>99</v>
      </c>
      <c r="E855" s="17" t="s">
        <v>15</v>
      </c>
      <c r="F855" s="17">
        <v>1</v>
      </c>
      <c r="G855" s="17" t="s">
        <v>35</v>
      </c>
      <c r="H855" s="17" t="s">
        <v>17</v>
      </c>
      <c r="I855" s="18">
        <v>3002118</v>
      </c>
      <c r="J855" s="17" t="s">
        <v>649</v>
      </c>
      <c r="K855" s="17">
        <v>99</v>
      </c>
      <c r="L855" s="17" t="s">
        <v>15</v>
      </c>
      <c r="M855" s="19">
        <v>10000</v>
      </c>
      <c r="N855" s="17" t="s">
        <v>1</v>
      </c>
      <c r="O855" s="20">
        <f t="shared" ref="O855:O858" si="210">M855/10000</f>
        <v>1</v>
      </c>
      <c r="P855" s="21">
        <f>O855*$P$854</f>
        <v>0</v>
      </c>
    </row>
    <row r="856" spans="1:16" x14ac:dyDescent="0.25">
      <c r="A856" s="91"/>
      <c r="B856" s="13" t="s">
        <v>647</v>
      </c>
      <c r="C856" s="13" t="s">
        <v>648</v>
      </c>
      <c r="D856" s="13">
        <v>99</v>
      </c>
      <c r="E856" s="13" t="s">
        <v>15</v>
      </c>
      <c r="F856" s="13">
        <v>1</v>
      </c>
      <c r="G856" s="13" t="s">
        <v>16</v>
      </c>
      <c r="H856" s="13" t="s">
        <v>17</v>
      </c>
      <c r="I856" s="14">
        <v>4002546</v>
      </c>
      <c r="J856" s="13" t="s">
        <v>179</v>
      </c>
      <c r="K856" s="13">
        <v>99</v>
      </c>
      <c r="L856" s="13" t="s">
        <v>15</v>
      </c>
      <c r="M856" s="15">
        <v>10000</v>
      </c>
      <c r="N856" s="13" t="s">
        <v>1</v>
      </c>
      <c r="O856" s="16">
        <f t="shared" si="210"/>
        <v>1</v>
      </c>
      <c r="P856" s="22">
        <f t="shared" ref="P856:P858" si="211">O856*$P$854</f>
        <v>0</v>
      </c>
    </row>
    <row r="857" spans="1:16" x14ac:dyDescent="0.25">
      <c r="A857" s="91"/>
      <c r="B857" s="13" t="s">
        <v>647</v>
      </c>
      <c r="C857" s="13" t="s">
        <v>648</v>
      </c>
      <c r="D857" s="13">
        <v>99</v>
      </c>
      <c r="E857" s="13" t="s">
        <v>15</v>
      </c>
      <c r="F857" s="13">
        <v>1</v>
      </c>
      <c r="G857" s="13" t="s">
        <v>16</v>
      </c>
      <c r="H857" s="13" t="s">
        <v>17</v>
      </c>
      <c r="I857" s="14">
        <v>4002826</v>
      </c>
      <c r="J857" s="13" t="s">
        <v>4</v>
      </c>
      <c r="K857" s="13">
        <v>99</v>
      </c>
      <c r="L857" s="13" t="s">
        <v>15</v>
      </c>
      <c r="M857" s="13">
        <v>200</v>
      </c>
      <c r="N857" s="13" t="s">
        <v>1</v>
      </c>
      <c r="O857" s="16">
        <f t="shared" si="210"/>
        <v>0.02</v>
      </c>
      <c r="P857" s="22">
        <f t="shared" si="211"/>
        <v>0</v>
      </c>
    </row>
    <row r="858" spans="1:16" ht="15.75" thickBot="1" x14ac:dyDescent="0.3">
      <c r="A858" s="90"/>
      <c r="B858" s="23" t="s">
        <v>647</v>
      </c>
      <c r="C858" s="23" t="s">
        <v>648</v>
      </c>
      <c r="D858" s="23">
        <v>99</v>
      </c>
      <c r="E858" s="23" t="s">
        <v>15</v>
      </c>
      <c r="F858" s="23">
        <v>1</v>
      </c>
      <c r="G858" s="23" t="s">
        <v>16</v>
      </c>
      <c r="H858" s="23" t="s">
        <v>17</v>
      </c>
      <c r="I858" s="24">
        <v>4016160</v>
      </c>
      <c r="J858" s="23" t="s">
        <v>69</v>
      </c>
      <c r="K858" s="23">
        <v>99</v>
      </c>
      <c r="L858" s="23" t="s">
        <v>15</v>
      </c>
      <c r="M858" s="23">
        <v>20</v>
      </c>
      <c r="N858" s="23" t="s">
        <v>3</v>
      </c>
      <c r="O858" s="26">
        <f t="shared" si="210"/>
        <v>2E-3</v>
      </c>
      <c r="P858" s="27">
        <f t="shared" si="211"/>
        <v>0</v>
      </c>
    </row>
    <row r="859" spans="1:16" x14ac:dyDescent="0.25"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</row>
    <row r="860" spans="1:16" ht="15.75" thickBot="1" x14ac:dyDescent="0.3"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P860" s="11">
        <f>IFERROR(VLOOKUP($A861,'PROGRAMA MES '!$A:$B,2,0),0)</f>
        <v>0</v>
      </c>
    </row>
    <row r="861" spans="1:16" x14ac:dyDescent="0.25">
      <c r="A861" s="89" t="str">
        <f>B861</f>
        <v>9357B</v>
      </c>
      <c r="B861" s="17" t="s">
        <v>650</v>
      </c>
      <c r="C861" s="17" t="s">
        <v>651</v>
      </c>
      <c r="D861" s="17">
        <v>99</v>
      </c>
      <c r="E861" s="17" t="s">
        <v>15</v>
      </c>
      <c r="F861" s="17">
        <v>1</v>
      </c>
      <c r="G861" s="17" t="s">
        <v>35</v>
      </c>
      <c r="H861" s="17" t="s">
        <v>17</v>
      </c>
      <c r="I861" s="18">
        <v>3002119</v>
      </c>
      <c r="J861" s="17" t="s">
        <v>652</v>
      </c>
      <c r="K861" s="17">
        <v>99</v>
      </c>
      <c r="L861" s="17" t="s">
        <v>15</v>
      </c>
      <c r="M861" s="19">
        <v>10000</v>
      </c>
      <c r="N861" s="17" t="s">
        <v>1</v>
      </c>
      <c r="O861" s="20">
        <f t="shared" ref="O861:O864" si="212">M861/10000</f>
        <v>1</v>
      </c>
      <c r="P861" s="21">
        <f>O861*$P$860</f>
        <v>0</v>
      </c>
    </row>
    <row r="862" spans="1:16" x14ac:dyDescent="0.25">
      <c r="A862" s="91"/>
      <c r="B862" s="13" t="s">
        <v>650</v>
      </c>
      <c r="C862" s="13" t="s">
        <v>651</v>
      </c>
      <c r="D862" s="13">
        <v>99</v>
      </c>
      <c r="E862" s="13" t="s">
        <v>15</v>
      </c>
      <c r="F862" s="13">
        <v>1</v>
      </c>
      <c r="G862" s="13" t="s">
        <v>16</v>
      </c>
      <c r="H862" s="13" t="s">
        <v>17</v>
      </c>
      <c r="I862" s="14">
        <v>4002546</v>
      </c>
      <c r="J862" s="13" t="s">
        <v>179</v>
      </c>
      <c r="K862" s="13">
        <v>99</v>
      </c>
      <c r="L862" s="13" t="s">
        <v>15</v>
      </c>
      <c r="M862" s="15">
        <v>10000</v>
      </c>
      <c r="N862" s="13" t="s">
        <v>1</v>
      </c>
      <c r="O862" s="16">
        <f t="shared" si="212"/>
        <v>1</v>
      </c>
      <c r="P862" s="22">
        <f t="shared" ref="P862:P864" si="213">O862*$P$860</f>
        <v>0</v>
      </c>
    </row>
    <row r="863" spans="1:16" x14ac:dyDescent="0.25">
      <c r="A863" s="91"/>
      <c r="B863" s="13" t="s">
        <v>650</v>
      </c>
      <c r="C863" s="13" t="s">
        <v>651</v>
      </c>
      <c r="D863" s="13">
        <v>99</v>
      </c>
      <c r="E863" s="13" t="s">
        <v>15</v>
      </c>
      <c r="F863" s="13">
        <v>1</v>
      </c>
      <c r="G863" s="13" t="s">
        <v>16</v>
      </c>
      <c r="H863" s="13" t="s">
        <v>17</v>
      </c>
      <c r="I863" s="14">
        <v>4002826</v>
      </c>
      <c r="J863" s="13" t="s">
        <v>4</v>
      </c>
      <c r="K863" s="13">
        <v>99</v>
      </c>
      <c r="L863" s="13" t="s">
        <v>15</v>
      </c>
      <c r="M863" s="13">
        <v>200</v>
      </c>
      <c r="N863" s="13" t="s">
        <v>1</v>
      </c>
      <c r="O863" s="16">
        <f t="shared" si="212"/>
        <v>0.02</v>
      </c>
      <c r="P863" s="22">
        <f t="shared" si="213"/>
        <v>0</v>
      </c>
    </row>
    <row r="864" spans="1:16" ht="15.75" thickBot="1" x14ac:dyDescent="0.3">
      <c r="A864" s="90"/>
      <c r="B864" s="23" t="s">
        <v>650</v>
      </c>
      <c r="C864" s="23" t="s">
        <v>651</v>
      </c>
      <c r="D864" s="23">
        <v>99</v>
      </c>
      <c r="E864" s="23" t="s">
        <v>15</v>
      </c>
      <c r="F864" s="23">
        <v>1</v>
      </c>
      <c r="G864" s="23" t="s">
        <v>16</v>
      </c>
      <c r="H864" s="23" t="s">
        <v>17</v>
      </c>
      <c r="I864" s="24">
        <v>4016160</v>
      </c>
      <c r="J864" s="23" t="s">
        <v>69</v>
      </c>
      <c r="K864" s="23">
        <v>99</v>
      </c>
      <c r="L864" s="23" t="s">
        <v>15</v>
      </c>
      <c r="M864" s="23">
        <v>20</v>
      </c>
      <c r="N864" s="23" t="s">
        <v>3</v>
      </c>
      <c r="O864" s="26">
        <f t="shared" si="212"/>
        <v>2E-3</v>
      </c>
      <c r="P864" s="27">
        <f t="shared" si="213"/>
        <v>0</v>
      </c>
    </row>
    <row r="865" spans="1:16" x14ac:dyDescent="0.25"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</row>
    <row r="866" spans="1:16" ht="15.75" thickBot="1" x14ac:dyDescent="0.3"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P866" s="11">
        <f>IFERROR(VLOOKUP($A867,'PROGRAMA MES '!$A:$B,2,0),0)</f>
        <v>0</v>
      </c>
    </row>
    <row r="867" spans="1:16" x14ac:dyDescent="0.25">
      <c r="A867" s="89" t="str">
        <f>B867</f>
        <v>9358AM</v>
      </c>
      <c r="B867" s="17" t="s">
        <v>653</v>
      </c>
      <c r="C867" s="17" t="s">
        <v>654</v>
      </c>
      <c r="D867" s="17">
        <v>99</v>
      </c>
      <c r="E867" s="17" t="s">
        <v>15</v>
      </c>
      <c r="F867" s="17">
        <v>1</v>
      </c>
      <c r="G867" s="17" t="s">
        <v>35</v>
      </c>
      <c r="H867" s="17" t="s">
        <v>17</v>
      </c>
      <c r="I867" s="18">
        <v>3000400</v>
      </c>
      <c r="J867" s="17" t="s">
        <v>655</v>
      </c>
      <c r="K867" s="17">
        <v>99</v>
      </c>
      <c r="L867" s="17" t="s">
        <v>15</v>
      </c>
      <c r="M867" s="19">
        <v>10000</v>
      </c>
      <c r="N867" s="17" t="s">
        <v>1</v>
      </c>
      <c r="O867" s="20">
        <f t="shared" ref="O867:O870" si="214">M867/10000</f>
        <v>1</v>
      </c>
      <c r="P867" s="21">
        <f>O867*$P$866</f>
        <v>0</v>
      </c>
    </row>
    <row r="868" spans="1:16" x14ac:dyDescent="0.25">
      <c r="A868" s="91"/>
      <c r="B868" s="13" t="s">
        <v>653</v>
      </c>
      <c r="C868" s="13" t="s">
        <v>654</v>
      </c>
      <c r="D868" s="13">
        <v>99</v>
      </c>
      <c r="E868" s="13" t="s">
        <v>15</v>
      </c>
      <c r="F868" s="13">
        <v>1</v>
      </c>
      <c r="G868" s="13" t="s">
        <v>16</v>
      </c>
      <c r="H868" s="13" t="s">
        <v>17</v>
      </c>
      <c r="I868" s="14">
        <v>4002546</v>
      </c>
      <c r="J868" s="13" t="s">
        <v>179</v>
      </c>
      <c r="K868" s="13">
        <v>99</v>
      </c>
      <c r="L868" s="13" t="s">
        <v>15</v>
      </c>
      <c r="M868" s="15">
        <v>10000</v>
      </c>
      <c r="N868" s="13" t="s">
        <v>1</v>
      </c>
      <c r="O868" s="16">
        <f t="shared" si="214"/>
        <v>1</v>
      </c>
      <c r="P868" s="22">
        <f t="shared" ref="P868:P870" si="215">O868*$P$866</f>
        <v>0</v>
      </c>
    </row>
    <row r="869" spans="1:16" x14ac:dyDescent="0.25">
      <c r="A869" s="91"/>
      <c r="B869" s="13" t="s">
        <v>653</v>
      </c>
      <c r="C869" s="13" t="s">
        <v>654</v>
      </c>
      <c r="D869" s="13">
        <v>99</v>
      </c>
      <c r="E869" s="13" t="s">
        <v>15</v>
      </c>
      <c r="F869" s="13">
        <v>1</v>
      </c>
      <c r="G869" s="13" t="s">
        <v>16</v>
      </c>
      <c r="H869" s="13" t="s">
        <v>17</v>
      </c>
      <c r="I869" s="14">
        <v>4003568</v>
      </c>
      <c r="J869" s="13" t="s">
        <v>656</v>
      </c>
      <c r="K869" s="13">
        <v>99</v>
      </c>
      <c r="L869" s="13" t="s">
        <v>15</v>
      </c>
      <c r="M869" s="15">
        <v>10000</v>
      </c>
      <c r="N869" s="13" t="s">
        <v>1</v>
      </c>
      <c r="O869" s="16">
        <f t="shared" si="214"/>
        <v>1</v>
      </c>
      <c r="P869" s="22">
        <f t="shared" si="215"/>
        <v>0</v>
      </c>
    </row>
    <row r="870" spans="1:16" ht="15.75" thickBot="1" x14ac:dyDescent="0.3">
      <c r="A870" s="90"/>
      <c r="B870" s="23" t="s">
        <v>653</v>
      </c>
      <c r="C870" s="23" t="s">
        <v>654</v>
      </c>
      <c r="D870" s="23">
        <v>99</v>
      </c>
      <c r="E870" s="23" t="s">
        <v>15</v>
      </c>
      <c r="F870" s="23">
        <v>1</v>
      </c>
      <c r="G870" s="23" t="s">
        <v>16</v>
      </c>
      <c r="H870" s="23" t="s">
        <v>17</v>
      </c>
      <c r="I870" s="24">
        <v>4016160</v>
      </c>
      <c r="J870" s="23" t="s">
        <v>69</v>
      </c>
      <c r="K870" s="23">
        <v>99</v>
      </c>
      <c r="L870" s="23" t="s">
        <v>15</v>
      </c>
      <c r="M870" s="23">
        <v>150</v>
      </c>
      <c r="N870" s="23" t="s">
        <v>3</v>
      </c>
      <c r="O870" s="26">
        <f t="shared" si="214"/>
        <v>1.4999999999999999E-2</v>
      </c>
      <c r="P870" s="27">
        <f t="shared" si="215"/>
        <v>0</v>
      </c>
    </row>
    <row r="871" spans="1:16" x14ac:dyDescent="0.25"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</row>
    <row r="872" spans="1:16" ht="15.75" thickBot="1" x14ac:dyDescent="0.3"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P872" s="11">
        <f>IFERROR(VLOOKUP($A873,'PROGRAMA MES '!$A:$B,2,0),0)</f>
        <v>0</v>
      </c>
    </row>
    <row r="873" spans="1:16" x14ac:dyDescent="0.25">
      <c r="A873" s="89" t="str">
        <f>B873</f>
        <v>9358AZ</v>
      </c>
      <c r="B873" s="17" t="s">
        <v>657</v>
      </c>
      <c r="C873" s="17" t="s">
        <v>658</v>
      </c>
      <c r="D873" s="17">
        <v>99</v>
      </c>
      <c r="E873" s="17" t="s">
        <v>15</v>
      </c>
      <c r="F873" s="17">
        <v>1</v>
      </c>
      <c r="G873" s="17" t="s">
        <v>35</v>
      </c>
      <c r="H873" s="17" t="s">
        <v>17</v>
      </c>
      <c r="I873" s="18">
        <v>3000402</v>
      </c>
      <c r="J873" s="17" t="s">
        <v>659</v>
      </c>
      <c r="K873" s="17">
        <v>99</v>
      </c>
      <c r="L873" s="17" t="s">
        <v>15</v>
      </c>
      <c r="M873" s="19">
        <v>10000</v>
      </c>
      <c r="N873" s="17" t="s">
        <v>1</v>
      </c>
      <c r="O873" s="20">
        <f t="shared" ref="O873:O876" si="216">M873/10000</f>
        <v>1</v>
      </c>
      <c r="P873" s="21">
        <f>O873*$P$872</f>
        <v>0</v>
      </c>
    </row>
    <row r="874" spans="1:16" x14ac:dyDescent="0.25">
      <c r="A874" s="91"/>
      <c r="B874" s="13" t="s">
        <v>657</v>
      </c>
      <c r="C874" s="13" t="s">
        <v>658</v>
      </c>
      <c r="D874" s="13">
        <v>99</v>
      </c>
      <c r="E874" s="13" t="s">
        <v>15</v>
      </c>
      <c r="F874" s="13">
        <v>1</v>
      </c>
      <c r="G874" s="13" t="s">
        <v>16</v>
      </c>
      <c r="H874" s="13" t="s">
        <v>17</v>
      </c>
      <c r="I874" s="14">
        <v>4002546</v>
      </c>
      <c r="J874" s="13" t="s">
        <v>179</v>
      </c>
      <c r="K874" s="13">
        <v>99</v>
      </c>
      <c r="L874" s="13" t="s">
        <v>15</v>
      </c>
      <c r="M874" s="15">
        <v>10000</v>
      </c>
      <c r="N874" s="13" t="s">
        <v>1</v>
      </c>
      <c r="O874" s="16">
        <f t="shared" si="216"/>
        <v>1</v>
      </c>
      <c r="P874" s="22">
        <f t="shared" ref="P874:P876" si="217">O874*$P$872</f>
        <v>0</v>
      </c>
    </row>
    <row r="875" spans="1:16" x14ac:dyDescent="0.25">
      <c r="A875" s="91"/>
      <c r="B875" s="13" t="s">
        <v>657</v>
      </c>
      <c r="C875" s="13" t="s">
        <v>658</v>
      </c>
      <c r="D875" s="13">
        <v>99</v>
      </c>
      <c r="E875" s="13" t="s">
        <v>15</v>
      </c>
      <c r="F875" s="13">
        <v>1</v>
      </c>
      <c r="G875" s="13" t="s">
        <v>16</v>
      </c>
      <c r="H875" s="13" t="s">
        <v>17</v>
      </c>
      <c r="I875" s="14">
        <v>4003568</v>
      </c>
      <c r="J875" s="13" t="s">
        <v>656</v>
      </c>
      <c r="K875" s="13">
        <v>99</v>
      </c>
      <c r="L875" s="13" t="s">
        <v>15</v>
      </c>
      <c r="M875" s="15">
        <v>10000</v>
      </c>
      <c r="N875" s="13" t="s">
        <v>1</v>
      </c>
      <c r="O875" s="16">
        <f t="shared" si="216"/>
        <v>1</v>
      </c>
      <c r="P875" s="22">
        <f t="shared" si="217"/>
        <v>0</v>
      </c>
    </row>
    <row r="876" spans="1:16" ht="15.75" thickBot="1" x14ac:dyDescent="0.3">
      <c r="A876" s="90"/>
      <c r="B876" s="23" t="s">
        <v>657</v>
      </c>
      <c r="C876" s="23" t="s">
        <v>658</v>
      </c>
      <c r="D876" s="23">
        <v>99</v>
      </c>
      <c r="E876" s="23" t="s">
        <v>15</v>
      </c>
      <c r="F876" s="23">
        <v>1</v>
      </c>
      <c r="G876" s="23" t="s">
        <v>16</v>
      </c>
      <c r="H876" s="23" t="s">
        <v>17</v>
      </c>
      <c r="I876" s="24">
        <v>4016160</v>
      </c>
      <c r="J876" s="23" t="s">
        <v>69</v>
      </c>
      <c r="K876" s="23">
        <v>99</v>
      </c>
      <c r="L876" s="23" t="s">
        <v>15</v>
      </c>
      <c r="M876" s="23">
        <v>150</v>
      </c>
      <c r="N876" s="23" t="s">
        <v>3</v>
      </c>
      <c r="O876" s="26">
        <f t="shared" si="216"/>
        <v>1.4999999999999999E-2</v>
      </c>
      <c r="P876" s="27">
        <f t="shared" si="217"/>
        <v>0</v>
      </c>
    </row>
    <row r="877" spans="1:16" x14ac:dyDescent="0.25"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</row>
    <row r="878" spans="1:16" ht="15.75" thickBot="1" x14ac:dyDescent="0.3"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P878" s="11">
        <f>IFERROR(VLOOKUP($A879,'PROGRAMA MES '!$A:$B,2,0),0)</f>
        <v>0</v>
      </c>
    </row>
    <row r="879" spans="1:16" x14ac:dyDescent="0.25">
      <c r="A879" s="89" t="str">
        <f>B879</f>
        <v>9358BR</v>
      </c>
      <c r="B879" s="17" t="s">
        <v>660</v>
      </c>
      <c r="C879" s="17" t="s">
        <v>661</v>
      </c>
      <c r="D879" s="17">
        <v>99</v>
      </c>
      <c r="E879" s="17" t="s">
        <v>15</v>
      </c>
      <c r="F879" s="17">
        <v>1</v>
      </c>
      <c r="G879" s="17" t="s">
        <v>35</v>
      </c>
      <c r="H879" s="17" t="s">
        <v>17</v>
      </c>
      <c r="I879" s="18">
        <v>3000411</v>
      </c>
      <c r="J879" s="17" t="s">
        <v>662</v>
      </c>
      <c r="K879" s="17">
        <v>99</v>
      </c>
      <c r="L879" s="17" t="s">
        <v>15</v>
      </c>
      <c r="M879" s="19">
        <v>10000</v>
      </c>
      <c r="N879" s="17" t="s">
        <v>1</v>
      </c>
      <c r="O879" s="20">
        <f t="shared" ref="O879:O882" si="218">M879/10000</f>
        <v>1</v>
      </c>
      <c r="P879" s="21">
        <f>O879*$P$878</f>
        <v>0</v>
      </c>
    </row>
    <row r="880" spans="1:16" x14ac:dyDescent="0.25">
      <c r="A880" s="91"/>
      <c r="B880" s="13" t="s">
        <v>660</v>
      </c>
      <c r="C880" s="13" t="s">
        <v>661</v>
      </c>
      <c r="D880" s="13">
        <v>99</v>
      </c>
      <c r="E880" s="13" t="s">
        <v>15</v>
      </c>
      <c r="F880" s="13">
        <v>1</v>
      </c>
      <c r="G880" s="13" t="s">
        <v>16</v>
      </c>
      <c r="H880" s="13" t="s">
        <v>17</v>
      </c>
      <c r="I880" s="14">
        <v>4002546</v>
      </c>
      <c r="J880" s="13" t="s">
        <v>179</v>
      </c>
      <c r="K880" s="13">
        <v>99</v>
      </c>
      <c r="L880" s="13" t="s">
        <v>15</v>
      </c>
      <c r="M880" s="15">
        <v>10000</v>
      </c>
      <c r="N880" s="13" t="s">
        <v>1</v>
      </c>
      <c r="O880" s="16">
        <f t="shared" si="218"/>
        <v>1</v>
      </c>
      <c r="P880" s="22">
        <f t="shared" ref="P880:P882" si="219">O880*$P$878</f>
        <v>0</v>
      </c>
    </row>
    <row r="881" spans="1:16" x14ac:dyDescent="0.25">
      <c r="A881" s="91"/>
      <c r="B881" s="13" t="s">
        <v>660</v>
      </c>
      <c r="C881" s="13" t="s">
        <v>661</v>
      </c>
      <c r="D881" s="13">
        <v>99</v>
      </c>
      <c r="E881" s="13" t="s">
        <v>15</v>
      </c>
      <c r="F881" s="13">
        <v>1</v>
      </c>
      <c r="G881" s="13" t="s">
        <v>16</v>
      </c>
      <c r="H881" s="13" t="s">
        <v>17</v>
      </c>
      <c r="I881" s="14">
        <v>4003568</v>
      </c>
      <c r="J881" s="13" t="s">
        <v>656</v>
      </c>
      <c r="K881" s="13">
        <v>99</v>
      </c>
      <c r="L881" s="13" t="s">
        <v>15</v>
      </c>
      <c r="M881" s="15">
        <v>10000</v>
      </c>
      <c r="N881" s="13" t="s">
        <v>1</v>
      </c>
      <c r="O881" s="16">
        <f t="shared" si="218"/>
        <v>1</v>
      </c>
      <c r="P881" s="22">
        <f t="shared" si="219"/>
        <v>0</v>
      </c>
    </row>
    <row r="882" spans="1:16" ht="15.75" thickBot="1" x14ac:dyDescent="0.3">
      <c r="A882" s="90"/>
      <c r="B882" s="23" t="s">
        <v>660</v>
      </c>
      <c r="C882" s="23" t="s">
        <v>661</v>
      </c>
      <c r="D882" s="23">
        <v>99</v>
      </c>
      <c r="E882" s="23" t="s">
        <v>15</v>
      </c>
      <c r="F882" s="23">
        <v>1</v>
      </c>
      <c r="G882" s="23" t="s">
        <v>16</v>
      </c>
      <c r="H882" s="23" t="s">
        <v>17</v>
      </c>
      <c r="I882" s="24">
        <v>4016160</v>
      </c>
      <c r="J882" s="23" t="s">
        <v>69</v>
      </c>
      <c r="K882" s="23">
        <v>99</v>
      </c>
      <c r="L882" s="23" t="s">
        <v>15</v>
      </c>
      <c r="M882" s="23">
        <v>150</v>
      </c>
      <c r="N882" s="23" t="s">
        <v>3</v>
      </c>
      <c r="O882" s="26">
        <f t="shared" si="218"/>
        <v>1.4999999999999999E-2</v>
      </c>
      <c r="P882" s="27">
        <f t="shared" si="219"/>
        <v>0</v>
      </c>
    </row>
    <row r="883" spans="1:16" x14ac:dyDescent="0.25"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</row>
    <row r="884" spans="1:16" ht="15.75" thickBot="1" x14ac:dyDescent="0.3"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P884" s="11">
        <f>IFERROR(VLOOKUP($A885,'PROGRAMA MES '!$A:$B,2,0),0)</f>
        <v>0</v>
      </c>
    </row>
    <row r="885" spans="1:16" x14ac:dyDescent="0.25">
      <c r="A885" s="89" t="str">
        <f>B885</f>
        <v>9358CZ</v>
      </c>
      <c r="B885" s="17" t="s">
        <v>663</v>
      </c>
      <c r="C885" s="17" t="s">
        <v>664</v>
      </c>
      <c r="D885" s="17">
        <v>99</v>
      </c>
      <c r="E885" s="17" t="s">
        <v>15</v>
      </c>
      <c r="F885" s="17">
        <v>1</v>
      </c>
      <c r="G885" s="17" t="s">
        <v>35</v>
      </c>
      <c r="H885" s="17" t="s">
        <v>17</v>
      </c>
      <c r="I885" s="18">
        <v>3000404</v>
      </c>
      <c r="J885" s="17" t="s">
        <v>665</v>
      </c>
      <c r="K885" s="17">
        <v>99</v>
      </c>
      <c r="L885" s="17" t="s">
        <v>15</v>
      </c>
      <c r="M885" s="19">
        <v>10000</v>
      </c>
      <c r="N885" s="17" t="s">
        <v>1</v>
      </c>
      <c r="O885" s="20">
        <f t="shared" ref="O885:O888" si="220">M885/10000</f>
        <v>1</v>
      </c>
      <c r="P885" s="21">
        <f>O885*$P$884</f>
        <v>0</v>
      </c>
    </row>
    <row r="886" spans="1:16" x14ac:dyDescent="0.25">
      <c r="A886" s="91"/>
      <c r="B886" s="13" t="s">
        <v>663</v>
      </c>
      <c r="C886" s="13" t="s">
        <v>664</v>
      </c>
      <c r="D886" s="13">
        <v>99</v>
      </c>
      <c r="E886" s="13" t="s">
        <v>15</v>
      </c>
      <c r="F886" s="13">
        <v>1</v>
      </c>
      <c r="G886" s="13" t="s">
        <v>16</v>
      </c>
      <c r="H886" s="13" t="s">
        <v>17</v>
      </c>
      <c r="I886" s="14">
        <v>4002546</v>
      </c>
      <c r="J886" s="13" t="s">
        <v>179</v>
      </c>
      <c r="K886" s="13">
        <v>99</v>
      </c>
      <c r="L886" s="13" t="s">
        <v>15</v>
      </c>
      <c r="M886" s="15">
        <v>10000</v>
      </c>
      <c r="N886" s="13" t="s">
        <v>1</v>
      </c>
      <c r="O886" s="16">
        <f t="shared" si="220"/>
        <v>1</v>
      </c>
      <c r="P886" s="22">
        <f t="shared" ref="P886:P888" si="221">O886*$P$884</f>
        <v>0</v>
      </c>
    </row>
    <row r="887" spans="1:16" x14ac:dyDescent="0.25">
      <c r="A887" s="91"/>
      <c r="B887" s="13" t="s">
        <v>663</v>
      </c>
      <c r="C887" s="13" t="s">
        <v>664</v>
      </c>
      <c r="D887" s="13">
        <v>99</v>
      </c>
      <c r="E887" s="13" t="s">
        <v>15</v>
      </c>
      <c r="F887" s="13">
        <v>1</v>
      </c>
      <c r="G887" s="13" t="s">
        <v>16</v>
      </c>
      <c r="H887" s="13" t="s">
        <v>17</v>
      </c>
      <c r="I887" s="14">
        <v>4003568</v>
      </c>
      <c r="J887" s="13" t="s">
        <v>656</v>
      </c>
      <c r="K887" s="13">
        <v>99</v>
      </c>
      <c r="L887" s="13" t="s">
        <v>15</v>
      </c>
      <c r="M887" s="15">
        <v>10000</v>
      </c>
      <c r="N887" s="13" t="s">
        <v>1</v>
      </c>
      <c r="O887" s="16">
        <f t="shared" si="220"/>
        <v>1</v>
      </c>
      <c r="P887" s="22">
        <f t="shared" si="221"/>
        <v>0</v>
      </c>
    </row>
    <row r="888" spans="1:16" ht="15.75" thickBot="1" x14ac:dyDescent="0.3">
      <c r="A888" s="90"/>
      <c r="B888" s="23" t="s">
        <v>663</v>
      </c>
      <c r="C888" s="23" t="s">
        <v>664</v>
      </c>
      <c r="D888" s="23">
        <v>99</v>
      </c>
      <c r="E888" s="23" t="s">
        <v>15</v>
      </c>
      <c r="F888" s="23">
        <v>1</v>
      </c>
      <c r="G888" s="23" t="s">
        <v>16</v>
      </c>
      <c r="H888" s="23" t="s">
        <v>17</v>
      </c>
      <c r="I888" s="24">
        <v>4016160</v>
      </c>
      <c r="J888" s="23" t="s">
        <v>69</v>
      </c>
      <c r="K888" s="23">
        <v>99</v>
      </c>
      <c r="L888" s="23" t="s">
        <v>15</v>
      </c>
      <c r="M888" s="23">
        <v>150</v>
      </c>
      <c r="N888" s="23" t="s">
        <v>3</v>
      </c>
      <c r="O888" s="26">
        <f t="shared" si="220"/>
        <v>1.4999999999999999E-2</v>
      </c>
      <c r="P888" s="27">
        <f t="shared" si="221"/>
        <v>0</v>
      </c>
    </row>
    <row r="889" spans="1:16" x14ac:dyDescent="0.25"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</row>
    <row r="890" spans="1:16" ht="15.75" thickBot="1" x14ac:dyDescent="0.3"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P890" s="11">
        <f>IFERROR(VLOOKUP($A891,'PROGRAMA MES '!$A:$B,2,0),0)</f>
        <v>0</v>
      </c>
    </row>
    <row r="891" spans="1:16" x14ac:dyDescent="0.25">
      <c r="A891" s="89" t="str">
        <f>B891</f>
        <v>9358VD</v>
      </c>
      <c r="B891" s="17" t="s">
        <v>666</v>
      </c>
      <c r="C891" s="17" t="s">
        <v>667</v>
      </c>
      <c r="D891" s="17">
        <v>99</v>
      </c>
      <c r="E891" s="17" t="s">
        <v>15</v>
      </c>
      <c r="F891" s="17">
        <v>1</v>
      </c>
      <c r="G891" s="17" t="s">
        <v>35</v>
      </c>
      <c r="H891" s="17" t="s">
        <v>17</v>
      </c>
      <c r="I891" s="18">
        <v>3000406</v>
      </c>
      <c r="J891" s="17" t="s">
        <v>668</v>
      </c>
      <c r="K891" s="17">
        <v>99</v>
      </c>
      <c r="L891" s="17" t="s">
        <v>15</v>
      </c>
      <c r="M891" s="19">
        <v>10000</v>
      </c>
      <c r="N891" s="17" t="s">
        <v>1</v>
      </c>
      <c r="O891" s="20">
        <f t="shared" ref="O891:O894" si="222">M891/10000</f>
        <v>1</v>
      </c>
      <c r="P891" s="21">
        <f>O891*$P$890</f>
        <v>0</v>
      </c>
    </row>
    <row r="892" spans="1:16" x14ac:dyDescent="0.25">
      <c r="A892" s="91"/>
      <c r="B892" s="13" t="s">
        <v>666</v>
      </c>
      <c r="C892" s="13" t="s">
        <v>667</v>
      </c>
      <c r="D892" s="13">
        <v>99</v>
      </c>
      <c r="E892" s="13" t="s">
        <v>15</v>
      </c>
      <c r="F892" s="13">
        <v>1</v>
      </c>
      <c r="G892" s="13" t="s">
        <v>16</v>
      </c>
      <c r="H892" s="13" t="s">
        <v>17</v>
      </c>
      <c r="I892" s="14">
        <v>4002546</v>
      </c>
      <c r="J892" s="13" t="s">
        <v>179</v>
      </c>
      <c r="K892" s="13">
        <v>99</v>
      </c>
      <c r="L892" s="13" t="s">
        <v>15</v>
      </c>
      <c r="M892" s="15">
        <v>10000</v>
      </c>
      <c r="N892" s="13" t="s">
        <v>1</v>
      </c>
      <c r="O892" s="16">
        <f t="shared" si="222"/>
        <v>1</v>
      </c>
      <c r="P892" s="22">
        <f t="shared" ref="P892:P894" si="223">O892*$P$890</f>
        <v>0</v>
      </c>
    </row>
    <row r="893" spans="1:16" x14ac:dyDescent="0.25">
      <c r="A893" s="91"/>
      <c r="B893" s="13" t="s">
        <v>666</v>
      </c>
      <c r="C893" s="13" t="s">
        <v>667</v>
      </c>
      <c r="D893" s="13">
        <v>99</v>
      </c>
      <c r="E893" s="13" t="s">
        <v>15</v>
      </c>
      <c r="F893" s="13">
        <v>1</v>
      </c>
      <c r="G893" s="13" t="s">
        <v>16</v>
      </c>
      <c r="H893" s="13" t="s">
        <v>17</v>
      </c>
      <c r="I893" s="14">
        <v>4003568</v>
      </c>
      <c r="J893" s="13" t="s">
        <v>656</v>
      </c>
      <c r="K893" s="13">
        <v>99</v>
      </c>
      <c r="L893" s="13" t="s">
        <v>15</v>
      </c>
      <c r="M893" s="15">
        <v>10000</v>
      </c>
      <c r="N893" s="13" t="s">
        <v>1</v>
      </c>
      <c r="O893" s="16">
        <f t="shared" si="222"/>
        <v>1</v>
      </c>
      <c r="P893" s="22">
        <f t="shared" si="223"/>
        <v>0</v>
      </c>
    </row>
    <row r="894" spans="1:16" ht="15.75" thickBot="1" x14ac:dyDescent="0.3">
      <c r="A894" s="90"/>
      <c r="B894" s="23" t="s">
        <v>666</v>
      </c>
      <c r="C894" s="23" t="s">
        <v>667</v>
      </c>
      <c r="D894" s="23">
        <v>99</v>
      </c>
      <c r="E894" s="23" t="s">
        <v>15</v>
      </c>
      <c r="F894" s="23">
        <v>1</v>
      </c>
      <c r="G894" s="23" t="s">
        <v>16</v>
      </c>
      <c r="H894" s="23" t="s">
        <v>17</v>
      </c>
      <c r="I894" s="24">
        <v>4016160</v>
      </c>
      <c r="J894" s="23" t="s">
        <v>69</v>
      </c>
      <c r="K894" s="23">
        <v>99</v>
      </c>
      <c r="L894" s="23" t="s">
        <v>15</v>
      </c>
      <c r="M894" s="23">
        <v>150</v>
      </c>
      <c r="N894" s="23" t="s">
        <v>3</v>
      </c>
      <c r="O894" s="26">
        <f t="shared" si="222"/>
        <v>1.4999999999999999E-2</v>
      </c>
      <c r="P894" s="27">
        <f t="shared" si="223"/>
        <v>0</v>
      </c>
    </row>
    <row r="895" spans="1:16" x14ac:dyDescent="0.25"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</row>
    <row r="896" spans="1:16" ht="15.75" thickBot="1" x14ac:dyDescent="0.3"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P896" s="11">
        <f>IFERROR(VLOOKUP($A897,'PROGRAMA MES '!$A:$B,2,0),0)</f>
        <v>0</v>
      </c>
    </row>
    <row r="897" spans="1:16" x14ac:dyDescent="0.25">
      <c r="A897" s="89" t="str">
        <f>B897</f>
        <v>9358VR</v>
      </c>
      <c r="B897" s="17" t="s">
        <v>669</v>
      </c>
      <c r="C897" s="17" t="s">
        <v>670</v>
      </c>
      <c r="D897" s="17">
        <v>99</v>
      </c>
      <c r="E897" s="17" t="s">
        <v>15</v>
      </c>
      <c r="F897" s="17">
        <v>1</v>
      </c>
      <c r="G897" s="17" t="s">
        <v>35</v>
      </c>
      <c r="H897" s="17" t="s">
        <v>17</v>
      </c>
      <c r="I897" s="18">
        <v>3000408</v>
      </c>
      <c r="J897" s="17" t="s">
        <v>671</v>
      </c>
      <c r="K897" s="17">
        <v>99</v>
      </c>
      <c r="L897" s="17" t="s">
        <v>15</v>
      </c>
      <c r="M897" s="19">
        <v>10000</v>
      </c>
      <c r="N897" s="17" t="s">
        <v>1</v>
      </c>
      <c r="O897" s="20">
        <f t="shared" ref="O897:O900" si="224">M897/10000</f>
        <v>1</v>
      </c>
      <c r="P897" s="21">
        <f>O897*$P$896</f>
        <v>0</v>
      </c>
    </row>
    <row r="898" spans="1:16" x14ac:dyDescent="0.25">
      <c r="A898" s="91"/>
      <c r="B898" s="13" t="s">
        <v>669</v>
      </c>
      <c r="C898" s="13" t="s">
        <v>670</v>
      </c>
      <c r="D898" s="13">
        <v>99</v>
      </c>
      <c r="E898" s="13" t="s">
        <v>15</v>
      </c>
      <c r="F898" s="13">
        <v>1</v>
      </c>
      <c r="G898" s="13" t="s">
        <v>16</v>
      </c>
      <c r="H898" s="13" t="s">
        <v>17</v>
      </c>
      <c r="I898" s="14">
        <v>4002546</v>
      </c>
      <c r="J898" s="13" t="s">
        <v>179</v>
      </c>
      <c r="K898" s="13">
        <v>99</v>
      </c>
      <c r="L898" s="13" t="s">
        <v>15</v>
      </c>
      <c r="M898" s="15">
        <v>10000</v>
      </c>
      <c r="N898" s="13" t="s">
        <v>1</v>
      </c>
      <c r="O898" s="16">
        <f t="shared" si="224"/>
        <v>1</v>
      </c>
      <c r="P898" s="22">
        <f t="shared" ref="P898:P900" si="225">O898*$P$896</f>
        <v>0</v>
      </c>
    </row>
    <row r="899" spans="1:16" x14ac:dyDescent="0.25">
      <c r="A899" s="91"/>
      <c r="B899" s="13" t="s">
        <v>669</v>
      </c>
      <c r="C899" s="13" t="s">
        <v>670</v>
      </c>
      <c r="D899" s="13">
        <v>99</v>
      </c>
      <c r="E899" s="13" t="s">
        <v>15</v>
      </c>
      <c r="F899" s="13">
        <v>1</v>
      </c>
      <c r="G899" s="13" t="s">
        <v>16</v>
      </c>
      <c r="H899" s="13" t="s">
        <v>17</v>
      </c>
      <c r="I899" s="14">
        <v>4003568</v>
      </c>
      <c r="J899" s="13" t="s">
        <v>656</v>
      </c>
      <c r="K899" s="13">
        <v>99</v>
      </c>
      <c r="L899" s="13" t="s">
        <v>15</v>
      </c>
      <c r="M899" s="15">
        <v>10000</v>
      </c>
      <c r="N899" s="13" t="s">
        <v>1</v>
      </c>
      <c r="O899" s="16">
        <f t="shared" si="224"/>
        <v>1</v>
      </c>
      <c r="P899" s="22">
        <f t="shared" si="225"/>
        <v>0</v>
      </c>
    </row>
    <row r="900" spans="1:16" ht="15.75" thickBot="1" x14ac:dyDescent="0.3">
      <c r="A900" s="90"/>
      <c r="B900" s="23" t="s">
        <v>669</v>
      </c>
      <c r="C900" s="23" t="s">
        <v>670</v>
      </c>
      <c r="D900" s="23">
        <v>99</v>
      </c>
      <c r="E900" s="23" t="s">
        <v>15</v>
      </c>
      <c r="F900" s="23">
        <v>1</v>
      </c>
      <c r="G900" s="23" t="s">
        <v>16</v>
      </c>
      <c r="H900" s="23" t="s">
        <v>17</v>
      </c>
      <c r="I900" s="24">
        <v>4016160</v>
      </c>
      <c r="J900" s="23" t="s">
        <v>69</v>
      </c>
      <c r="K900" s="23">
        <v>99</v>
      </c>
      <c r="L900" s="23" t="s">
        <v>15</v>
      </c>
      <c r="M900" s="23">
        <v>150</v>
      </c>
      <c r="N900" s="23" t="s">
        <v>3</v>
      </c>
      <c r="O900" s="26">
        <f t="shared" si="224"/>
        <v>1.4999999999999999E-2</v>
      </c>
      <c r="P900" s="27">
        <f t="shared" si="225"/>
        <v>0</v>
      </c>
    </row>
    <row r="901" spans="1:16" x14ac:dyDescent="0.25"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</row>
    <row r="902" spans="1:16" ht="15.75" thickBot="1" x14ac:dyDescent="0.3"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P902" s="11">
        <f>IFERROR(VLOOKUP($A903,'PROGRAMA MES '!$A:$B,2,0),0)</f>
        <v>0</v>
      </c>
    </row>
    <row r="903" spans="1:16" x14ac:dyDescent="0.25">
      <c r="A903" s="89" t="str">
        <f>B903</f>
        <v>9359AM</v>
      </c>
      <c r="B903" s="17" t="s">
        <v>672</v>
      </c>
      <c r="C903" s="17" t="s">
        <v>673</v>
      </c>
      <c r="D903" s="17">
        <v>99</v>
      </c>
      <c r="E903" s="17" t="s">
        <v>15</v>
      </c>
      <c r="F903" s="17">
        <v>1</v>
      </c>
      <c r="G903" s="17" t="s">
        <v>35</v>
      </c>
      <c r="H903" s="17" t="s">
        <v>17</v>
      </c>
      <c r="I903" s="18">
        <v>3000401</v>
      </c>
      <c r="J903" s="17" t="s">
        <v>674</v>
      </c>
      <c r="K903" s="17">
        <v>99</v>
      </c>
      <c r="L903" s="17" t="s">
        <v>15</v>
      </c>
      <c r="M903" s="19">
        <v>10000</v>
      </c>
      <c r="N903" s="17" t="s">
        <v>1</v>
      </c>
      <c r="O903" s="20">
        <f t="shared" ref="O903:O906" si="226">M903/10000</f>
        <v>1</v>
      </c>
      <c r="P903" s="21">
        <f>O903*$P$902</f>
        <v>0</v>
      </c>
    </row>
    <row r="904" spans="1:16" x14ac:dyDescent="0.25">
      <c r="A904" s="91"/>
      <c r="B904" s="13" t="s">
        <v>672</v>
      </c>
      <c r="C904" s="13" t="s">
        <v>673</v>
      </c>
      <c r="D904" s="13">
        <v>99</v>
      </c>
      <c r="E904" s="13" t="s">
        <v>15</v>
      </c>
      <c r="F904" s="13">
        <v>1</v>
      </c>
      <c r="G904" s="13" t="s">
        <v>16</v>
      </c>
      <c r="H904" s="13" t="s">
        <v>17</v>
      </c>
      <c r="I904" s="14">
        <v>4002546</v>
      </c>
      <c r="J904" s="13" t="s">
        <v>179</v>
      </c>
      <c r="K904" s="13">
        <v>99</v>
      </c>
      <c r="L904" s="13" t="s">
        <v>15</v>
      </c>
      <c r="M904" s="15">
        <v>10000</v>
      </c>
      <c r="N904" s="13" t="s">
        <v>1</v>
      </c>
      <c r="O904" s="16">
        <f t="shared" si="226"/>
        <v>1</v>
      </c>
      <c r="P904" s="22">
        <f t="shared" ref="P904:P906" si="227">O904*$P$902</f>
        <v>0</v>
      </c>
    </row>
    <row r="905" spans="1:16" x14ac:dyDescent="0.25">
      <c r="A905" s="91"/>
      <c r="B905" s="13" t="s">
        <v>672</v>
      </c>
      <c r="C905" s="13" t="s">
        <v>673</v>
      </c>
      <c r="D905" s="13">
        <v>99</v>
      </c>
      <c r="E905" s="13" t="s">
        <v>15</v>
      </c>
      <c r="F905" s="13">
        <v>1</v>
      </c>
      <c r="G905" s="13" t="s">
        <v>16</v>
      </c>
      <c r="H905" s="13" t="s">
        <v>17</v>
      </c>
      <c r="I905" s="14">
        <v>4003568</v>
      </c>
      <c r="J905" s="13" t="s">
        <v>656</v>
      </c>
      <c r="K905" s="13">
        <v>99</v>
      </c>
      <c r="L905" s="13" t="s">
        <v>15</v>
      </c>
      <c r="M905" s="15">
        <v>10000</v>
      </c>
      <c r="N905" s="13" t="s">
        <v>1</v>
      </c>
      <c r="O905" s="16">
        <f t="shared" si="226"/>
        <v>1</v>
      </c>
      <c r="P905" s="22">
        <f t="shared" si="227"/>
        <v>0</v>
      </c>
    </row>
    <row r="906" spans="1:16" ht="15.75" thickBot="1" x14ac:dyDescent="0.3">
      <c r="A906" s="90"/>
      <c r="B906" s="23" t="s">
        <v>672</v>
      </c>
      <c r="C906" s="23" t="s">
        <v>673</v>
      </c>
      <c r="D906" s="23">
        <v>99</v>
      </c>
      <c r="E906" s="23" t="s">
        <v>15</v>
      </c>
      <c r="F906" s="23">
        <v>1</v>
      </c>
      <c r="G906" s="23" t="s">
        <v>16</v>
      </c>
      <c r="H906" s="23" t="s">
        <v>17</v>
      </c>
      <c r="I906" s="24">
        <v>4016160</v>
      </c>
      <c r="J906" s="23" t="s">
        <v>69</v>
      </c>
      <c r="K906" s="23">
        <v>99</v>
      </c>
      <c r="L906" s="23" t="s">
        <v>15</v>
      </c>
      <c r="M906" s="23">
        <v>200</v>
      </c>
      <c r="N906" s="23" t="s">
        <v>3</v>
      </c>
      <c r="O906" s="26">
        <f t="shared" si="226"/>
        <v>0.02</v>
      </c>
      <c r="P906" s="27">
        <f t="shared" si="227"/>
        <v>0</v>
      </c>
    </row>
    <row r="907" spans="1:16" x14ac:dyDescent="0.25"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</row>
    <row r="908" spans="1:16" ht="15.75" thickBot="1" x14ac:dyDescent="0.3"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P908" s="11">
        <f>IFERROR(VLOOKUP($A909,'PROGRAMA MES '!$A:$B,2,0),0)</f>
        <v>0</v>
      </c>
    </row>
    <row r="909" spans="1:16" x14ac:dyDescent="0.25">
      <c r="A909" s="89" t="str">
        <f>B909</f>
        <v>9359AZ</v>
      </c>
      <c r="B909" s="17" t="s">
        <v>675</v>
      </c>
      <c r="C909" s="17" t="s">
        <v>676</v>
      </c>
      <c r="D909" s="17">
        <v>99</v>
      </c>
      <c r="E909" s="17" t="s">
        <v>15</v>
      </c>
      <c r="F909" s="17">
        <v>1</v>
      </c>
      <c r="G909" s="17" t="s">
        <v>35</v>
      </c>
      <c r="H909" s="17" t="s">
        <v>17</v>
      </c>
      <c r="I909" s="18">
        <v>3000403</v>
      </c>
      <c r="J909" s="17" t="s">
        <v>677</v>
      </c>
      <c r="K909" s="17">
        <v>99</v>
      </c>
      <c r="L909" s="17" t="s">
        <v>15</v>
      </c>
      <c r="M909" s="19">
        <v>10000</v>
      </c>
      <c r="N909" s="17" t="s">
        <v>1</v>
      </c>
      <c r="O909" s="20">
        <f t="shared" ref="O909:O912" si="228">M909/10000</f>
        <v>1</v>
      </c>
      <c r="P909" s="21">
        <f>O909*$P$908</f>
        <v>0</v>
      </c>
    </row>
    <row r="910" spans="1:16" x14ac:dyDescent="0.25">
      <c r="A910" s="91"/>
      <c r="B910" s="13" t="s">
        <v>675</v>
      </c>
      <c r="C910" s="13" t="s">
        <v>676</v>
      </c>
      <c r="D910" s="13">
        <v>99</v>
      </c>
      <c r="E910" s="13" t="s">
        <v>15</v>
      </c>
      <c r="F910" s="13">
        <v>1</v>
      </c>
      <c r="G910" s="13" t="s">
        <v>16</v>
      </c>
      <c r="H910" s="13" t="s">
        <v>17</v>
      </c>
      <c r="I910" s="14">
        <v>4002546</v>
      </c>
      <c r="J910" s="13" t="s">
        <v>179</v>
      </c>
      <c r="K910" s="13">
        <v>99</v>
      </c>
      <c r="L910" s="13" t="s">
        <v>15</v>
      </c>
      <c r="M910" s="15">
        <v>10000</v>
      </c>
      <c r="N910" s="13" t="s">
        <v>1</v>
      </c>
      <c r="O910" s="16">
        <f t="shared" si="228"/>
        <v>1</v>
      </c>
      <c r="P910" s="22">
        <f t="shared" ref="P910:P912" si="229">O910*$P$908</f>
        <v>0</v>
      </c>
    </row>
    <row r="911" spans="1:16" x14ac:dyDescent="0.25">
      <c r="A911" s="91"/>
      <c r="B911" s="13" t="s">
        <v>675</v>
      </c>
      <c r="C911" s="13" t="s">
        <v>676</v>
      </c>
      <c r="D911" s="13">
        <v>99</v>
      </c>
      <c r="E911" s="13" t="s">
        <v>15</v>
      </c>
      <c r="F911" s="13">
        <v>1</v>
      </c>
      <c r="G911" s="13" t="s">
        <v>16</v>
      </c>
      <c r="H911" s="13" t="s">
        <v>17</v>
      </c>
      <c r="I911" s="14">
        <v>4003568</v>
      </c>
      <c r="J911" s="13" t="s">
        <v>656</v>
      </c>
      <c r="K911" s="13">
        <v>99</v>
      </c>
      <c r="L911" s="13" t="s">
        <v>15</v>
      </c>
      <c r="M911" s="15">
        <v>10000</v>
      </c>
      <c r="N911" s="13" t="s">
        <v>1</v>
      </c>
      <c r="O911" s="16">
        <f t="shared" si="228"/>
        <v>1</v>
      </c>
      <c r="P911" s="22">
        <f t="shared" si="229"/>
        <v>0</v>
      </c>
    </row>
    <row r="912" spans="1:16" ht="15.75" thickBot="1" x14ac:dyDescent="0.3">
      <c r="A912" s="90"/>
      <c r="B912" s="23" t="s">
        <v>675</v>
      </c>
      <c r="C912" s="23" t="s">
        <v>676</v>
      </c>
      <c r="D912" s="23">
        <v>99</v>
      </c>
      <c r="E912" s="23" t="s">
        <v>15</v>
      </c>
      <c r="F912" s="23">
        <v>1</v>
      </c>
      <c r="G912" s="23" t="s">
        <v>16</v>
      </c>
      <c r="H912" s="23" t="s">
        <v>17</v>
      </c>
      <c r="I912" s="24">
        <v>4016160</v>
      </c>
      <c r="J912" s="23" t="s">
        <v>69</v>
      </c>
      <c r="K912" s="23">
        <v>99</v>
      </c>
      <c r="L912" s="23" t="s">
        <v>15</v>
      </c>
      <c r="M912" s="23">
        <v>200</v>
      </c>
      <c r="N912" s="23" t="s">
        <v>3</v>
      </c>
      <c r="O912" s="26">
        <f t="shared" si="228"/>
        <v>0.02</v>
      </c>
      <c r="P912" s="27">
        <f t="shared" si="229"/>
        <v>0</v>
      </c>
    </row>
    <row r="913" spans="1:16" x14ac:dyDescent="0.25"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</row>
    <row r="914" spans="1:16" ht="15.75" thickBot="1" x14ac:dyDescent="0.3"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P914" s="11">
        <f>IFERROR(VLOOKUP($A915,'PROGRAMA MES '!$A:$B,2,0),0)</f>
        <v>0</v>
      </c>
    </row>
    <row r="915" spans="1:16" x14ac:dyDescent="0.25">
      <c r="A915" s="89" t="str">
        <f>B915</f>
        <v>9359BR</v>
      </c>
      <c r="B915" s="17" t="s">
        <v>678</v>
      </c>
      <c r="C915" s="17" t="s">
        <v>679</v>
      </c>
      <c r="D915" s="17">
        <v>99</v>
      </c>
      <c r="E915" s="17" t="s">
        <v>15</v>
      </c>
      <c r="F915" s="17">
        <v>1</v>
      </c>
      <c r="G915" s="17" t="s">
        <v>35</v>
      </c>
      <c r="H915" s="17" t="s">
        <v>17</v>
      </c>
      <c r="I915" s="18">
        <v>3000412</v>
      </c>
      <c r="J915" s="17" t="s">
        <v>680</v>
      </c>
      <c r="K915" s="17">
        <v>99</v>
      </c>
      <c r="L915" s="17" t="s">
        <v>15</v>
      </c>
      <c r="M915" s="19">
        <v>10000</v>
      </c>
      <c r="N915" s="17" t="s">
        <v>1</v>
      </c>
      <c r="O915" s="20">
        <f t="shared" ref="O915:O918" si="230">M915/10000</f>
        <v>1</v>
      </c>
      <c r="P915" s="21">
        <f>O915*$P$914</f>
        <v>0</v>
      </c>
    </row>
    <row r="916" spans="1:16" x14ac:dyDescent="0.25">
      <c r="A916" s="91"/>
      <c r="B916" s="13" t="s">
        <v>678</v>
      </c>
      <c r="C916" s="13" t="s">
        <v>679</v>
      </c>
      <c r="D916" s="13">
        <v>99</v>
      </c>
      <c r="E916" s="13" t="s">
        <v>15</v>
      </c>
      <c r="F916" s="13">
        <v>1</v>
      </c>
      <c r="G916" s="13" t="s">
        <v>16</v>
      </c>
      <c r="H916" s="13" t="s">
        <v>17</v>
      </c>
      <c r="I916" s="14">
        <v>4002546</v>
      </c>
      <c r="J916" s="13" t="s">
        <v>179</v>
      </c>
      <c r="K916" s="13">
        <v>99</v>
      </c>
      <c r="L916" s="13" t="s">
        <v>15</v>
      </c>
      <c r="M916" s="15">
        <v>10000</v>
      </c>
      <c r="N916" s="13" t="s">
        <v>1</v>
      </c>
      <c r="O916" s="16">
        <f t="shared" si="230"/>
        <v>1</v>
      </c>
      <c r="P916" s="22">
        <f t="shared" ref="P916:P918" si="231">O916*$P$914</f>
        <v>0</v>
      </c>
    </row>
    <row r="917" spans="1:16" x14ac:dyDescent="0.25">
      <c r="A917" s="91"/>
      <c r="B917" s="13" t="s">
        <v>678</v>
      </c>
      <c r="C917" s="13" t="s">
        <v>679</v>
      </c>
      <c r="D917" s="13">
        <v>99</v>
      </c>
      <c r="E917" s="13" t="s">
        <v>15</v>
      </c>
      <c r="F917" s="13">
        <v>1</v>
      </c>
      <c r="G917" s="13" t="s">
        <v>16</v>
      </c>
      <c r="H917" s="13" t="s">
        <v>17</v>
      </c>
      <c r="I917" s="14">
        <v>4003568</v>
      </c>
      <c r="J917" s="13" t="s">
        <v>656</v>
      </c>
      <c r="K917" s="13">
        <v>99</v>
      </c>
      <c r="L917" s="13" t="s">
        <v>15</v>
      </c>
      <c r="M917" s="15">
        <v>10000</v>
      </c>
      <c r="N917" s="13" t="s">
        <v>1</v>
      </c>
      <c r="O917" s="16">
        <f t="shared" si="230"/>
        <v>1</v>
      </c>
      <c r="P917" s="22">
        <f t="shared" si="231"/>
        <v>0</v>
      </c>
    </row>
    <row r="918" spans="1:16" ht="15.75" thickBot="1" x14ac:dyDescent="0.3">
      <c r="A918" s="90"/>
      <c r="B918" s="23" t="s">
        <v>678</v>
      </c>
      <c r="C918" s="23" t="s">
        <v>679</v>
      </c>
      <c r="D918" s="23">
        <v>99</v>
      </c>
      <c r="E918" s="23" t="s">
        <v>15</v>
      </c>
      <c r="F918" s="23">
        <v>1</v>
      </c>
      <c r="G918" s="23" t="s">
        <v>16</v>
      </c>
      <c r="H918" s="23" t="s">
        <v>17</v>
      </c>
      <c r="I918" s="24">
        <v>4016160</v>
      </c>
      <c r="J918" s="23" t="s">
        <v>69</v>
      </c>
      <c r="K918" s="23">
        <v>99</v>
      </c>
      <c r="L918" s="23" t="s">
        <v>15</v>
      </c>
      <c r="M918" s="23">
        <v>200</v>
      </c>
      <c r="N918" s="23" t="s">
        <v>3</v>
      </c>
      <c r="O918" s="26">
        <f t="shared" si="230"/>
        <v>0.02</v>
      </c>
      <c r="P918" s="27">
        <f t="shared" si="231"/>
        <v>0</v>
      </c>
    </row>
    <row r="919" spans="1:16" x14ac:dyDescent="0.25"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</row>
    <row r="920" spans="1:16" ht="15.75" thickBot="1" x14ac:dyDescent="0.3"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P920" s="11">
        <f>IFERROR(VLOOKUP($A921,'PROGRAMA MES '!$A:$B,2,0),0)</f>
        <v>0</v>
      </c>
    </row>
    <row r="921" spans="1:16" x14ac:dyDescent="0.25">
      <c r="A921" s="89" t="str">
        <f>B921</f>
        <v>9359CZ</v>
      </c>
      <c r="B921" s="17" t="s">
        <v>681</v>
      </c>
      <c r="C921" s="17" t="s">
        <v>682</v>
      </c>
      <c r="D921" s="17">
        <v>99</v>
      </c>
      <c r="E921" s="17" t="s">
        <v>15</v>
      </c>
      <c r="F921" s="17">
        <v>1</v>
      </c>
      <c r="G921" s="17" t="s">
        <v>35</v>
      </c>
      <c r="H921" s="17" t="s">
        <v>17</v>
      </c>
      <c r="I921" s="18">
        <v>3000405</v>
      </c>
      <c r="J921" s="17" t="s">
        <v>683</v>
      </c>
      <c r="K921" s="17">
        <v>99</v>
      </c>
      <c r="L921" s="17" t="s">
        <v>15</v>
      </c>
      <c r="M921" s="19">
        <v>10000</v>
      </c>
      <c r="N921" s="17" t="s">
        <v>1</v>
      </c>
      <c r="O921" s="20">
        <f t="shared" ref="O921:O924" si="232">M921/10000</f>
        <v>1</v>
      </c>
      <c r="P921" s="21">
        <f>O921*$P$920</f>
        <v>0</v>
      </c>
    </row>
    <row r="922" spans="1:16" x14ac:dyDescent="0.25">
      <c r="A922" s="91"/>
      <c r="B922" s="13" t="s">
        <v>681</v>
      </c>
      <c r="C922" s="13" t="s">
        <v>682</v>
      </c>
      <c r="D922" s="13">
        <v>99</v>
      </c>
      <c r="E922" s="13" t="s">
        <v>15</v>
      </c>
      <c r="F922" s="13">
        <v>1</v>
      </c>
      <c r="G922" s="13" t="s">
        <v>16</v>
      </c>
      <c r="H922" s="13" t="s">
        <v>17</v>
      </c>
      <c r="I922" s="14">
        <v>4002546</v>
      </c>
      <c r="J922" s="13" t="s">
        <v>179</v>
      </c>
      <c r="K922" s="13">
        <v>99</v>
      </c>
      <c r="L922" s="13" t="s">
        <v>15</v>
      </c>
      <c r="M922" s="15">
        <v>10000</v>
      </c>
      <c r="N922" s="13" t="s">
        <v>1</v>
      </c>
      <c r="O922" s="16">
        <f t="shared" si="232"/>
        <v>1</v>
      </c>
      <c r="P922" s="22">
        <f t="shared" ref="P922:P924" si="233">O922*$P$920</f>
        <v>0</v>
      </c>
    </row>
    <row r="923" spans="1:16" x14ac:dyDescent="0.25">
      <c r="A923" s="91"/>
      <c r="B923" s="13" t="s">
        <v>681</v>
      </c>
      <c r="C923" s="13" t="s">
        <v>682</v>
      </c>
      <c r="D923" s="13">
        <v>99</v>
      </c>
      <c r="E923" s="13" t="s">
        <v>15</v>
      </c>
      <c r="F923" s="13">
        <v>1</v>
      </c>
      <c r="G923" s="13" t="s">
        <v>16</v>
      </c>
      <c r="H923" s="13" t="s">
        <v>17</v>
      </c>
      <c r="I923" s="14">
        <v>4003568</v>
      </c>
      <c r="J923" s="13" t="s">
        <v>656</v>
      </c>
      <c r="K923" s="13">
        <v>99</v>
      </c>
      <c r="L923" s="13" t="s">
        <v>15</v>
      </c>
      <c r="M923" s="15">
        <v>10000</v>
      </c>
      <c r="N923" s="13" t="s">
        <v>1</v>
      </c>
      <c r="O923" s="16">
        <f t="shared" si="232"/>
        <v>1</v>
      </c>
      <c r="P923" s="22">
        <f t="shared" si="233"/>
        <v>0</v>
      </c>
    </row>
    <row r="924" spans="1:16" ht="15.75" thickBot="1" x14ac:dyDescent="0.3">
      <c r="A924" s="90"/>
      <c r="B924" s="23" t="s">
        <v>681</v>
      </c>
      <c r="C924" s="23" t="s">
        <v>682</v>
      </c>
      <c r="D924" s="23">
        <v>99</v>
      </c>
      <c r="E924" s="23" t="s">
        <v>15</v>
      </c>
      <c r="F924" s="23">
        <v>1</v>
      </c>
      <c r="G924" s="23" t="s">
        <v>16</v>
      </c>
      <c r="H924" s="23" t="s">
        <v>17</v>
      </c>
      <c r="I924" s="24">
        <v>4016160</v>
      </c>
      <c r="J924" s="23" t="s">
        <v>69</v>
      </c>
      <c r="K924" s="23">
        <v>99</v>
      </c>
      <c r="L924" s="23" t="s">
        <v>15</v>
      </c>
      <c r="M924" s="23">
        <v>200</v>
      </c>
      <c r="N924" s="23" t="s">
        <v>3</v>
      </c>
      <c r="O924" s="26">
        <f t="shared" si="232"/>
        <v>0.02</v>
      </c>
      <c r="P924" s="27">
        <f t="shared" si="233"/>
        <v>0</v>
      </c>
    </row>
    <row r="925" spans="1:16" x14ac:dyDescent="0.25"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</row>
    <row r="926" spans="1:16" ht="15.75" thickBot="1" x14ac:dyDescent="0.3"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P926" s="11">
        <f>IFERROR(VLOOKUP($A927,'PROGRAMA MES '!$A:$B,2,0),0)</f>
        <v>0</v>
      </c>
    </row>
    <row r="927" spans="1:16" x14ac:dyDescent="0.25">
      <c r="A927" s="89" t="str">
        <f>B927</f>
        <v>9359VD</v>
      </c>
      <c r="B927" s="17" t="s">
        <v>684</v>
      </c>
      <c r="C927" s="17" t="s">
        <v>685</v>
      </c>
      <c r="D927" s="17">
        <v>99</v>
      </c>
      <c r="E927" s="17" t="s">
        <v>15</v>
      </c>
      <c r="F927" s="17">
        <v>1</v>
      </c>
      <c r="G927" s="17" t="s">
        <v>35</v>
      </c>
      <c r="H927" s="17" t="s">
        <v>17</v>
      </c>
      <c r="I927" s="18">
        <v>3000407</v>
      </c>
      <c r="J927" s="17" t="s">
        <v>686</v>
      </c>
      <c r="K927" s="17">
        <v>99</v>
      </c>
      <c r="L927" s="17" t="s">
        <v>15</v>
      </c>
      <c r="M927" s="19">
        <v>10000</v>
      </c>
      <c r="N927" s="17" t="s">
        <v>1</v>
      </c>
      <c r="O927" s="20">
        <f t="shared" ref="O927:O930" si="234">M927/10000</f>
        <v>1</v>
      </c>
      <c r="P927" s="21">
        <f>O927*$P$926</f>
        <v>0</v>
      </c>
    </row>
    <row r="928" spans="1:16" x14ac:dyDescent="0.25">
      <c r="A928" s="91"/>
      <c r="B928" s="13" t="s">
        <v>684</v>
      </c>
      <c r="C928" s="13" t="s">
        <v>685</v>
      </c>
      <c r="D928" s="13">
        <v>99</v>
      </c>
      <c r="E928" s="13" t="s">
        <v>15</v>
      </c>
      <c r="F928" s="13">
        <v>1</v>
      </c>
      <c r="G928" s="13" t="s">
        <v>16</v>
      </c>
      <c r="H928" s="13" t="s">
        <v>17</v>
      </c>
      <c r="I928" s="14">
        <v>4002546</v>
      </c>
      <c r="J928" s="13" t="s">
        <v>179</v>
      </c>
      <c r="K928" s="13">
        <v>99</v>
      </c>
      <c r="L928" s="13" t="s">
        <v>15</v>
      </c>
      <c r="M928" s="15">
        <v>10000</v>
      </c>
      <c r="N928" s="13" t="s">
        <v>1</v>
      </c>
      <c r="O928" s="16">
        <f t="shared" si="234"/>
        <v>1</v>
      </c>
      <c r="P928" s="22">
        <f t="shared" ref="P928:P930" si="235">O928*$P$926</f>
        <v>0</v>
      </c>
    </row>
    <row r="929" spans="1:16" x14ac:dyDescent="0.25">
      <c r="A929" s="91"/>
      <c r="B929" s="13" t="s">
        <v>684</v>
      </c>
      <c r="C929" s="13" t="s">
        <v>685</v>
      </c>
      <c r="D929" s="13">
        <v>99</v>
      </c>
      <c r="E929" s="13" t="s">
        <v>15</v>
      </c>
      <c r="F929" s="13">
        <v>1</v>
      </c>
      <c r="G929" s="13" t="s">
        <v>16</v>
      </c>
      <c r="H929" s="13" t="s">
        <v>17</v>
      </c>
      <c r="I929" s="14">
        <v>4003568</v>
      </c>
      <c r="J929" s="13" t="s">
        <v>656</v>
      </c>
      <c r="K929" s="13">
        <v>99</v>
      </c>
      <c r="L929" s="13" t="s">
        <v>15</v>
      </c>
      <c r="M929" s="15">
        <v>10000</v>
      </c>
      <c r="N929" s="13" t="s">
        <v>1</v>
      </c>
      <c r="O929" s="16">
        <f t="shared" si="234"/>
        <v>1</v>
      </c>
      <c r="P929" s="22">
        <f t="shared" si="235"/>
        <v>0</v>
      </c>
    </row>
    <row r="930" spans="1:16" ht="15.75" thickBot="1" x14ac:dyDescent="0.3">
      <c r="A930" s="90"/>
      <c r="B930" s="23" t="s">
        <v>684</v>
      </c>
      <c r="C930" s="23" t="s">
        <v>685</v>
      </c>
      <c r="D930" s="23">
        <v>99</v>
      </c>
      <c r="E930" s="23" t="s">
        <v>15</v>
      </c>
      <c r="F930" s="23">
        <v>1</v>
      </c>
      <c r="G930" s="23" t="s">
        <v>16</v>
      </c>
      <c r="H930" s="23" t="s">
        <v>17</v>
      </c>
      <c r="I930" s="24">
        <v>4016160</v>
      </c>
      <c r="J930" s="23" t="s">
        <v>69</v>
      </c>
      <c r="K930" s="23">
        <v>99</v>
      </c>
      <c r="L930" s="23" t="s">
        <v>15</v>
      </c>
      <c r="M930" s="23">
        <v>200</v>
      </c>
      <c r="N930" s="23" t="s">
        <v>3</v>
      </c>
      <c r="O930" s="26">
        <f t="shared" si="234"/>
        <v>0.02</v>
      </c>
      <c r="P930" s="27">
        <f t="shared" si="235"/>
        <v>0</v>
      </c>
    </row>
    <row r="931" spans="1:16" x14ac:dyDescent="0.25"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</row>
    <row r="932" spans="1:16" ht="15.75" thickBot="1" x14ac:dyDescent="0.3"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P932" s="11">
        <f>IFERROR(VLOOKUP($A933,'PROGRAMA MES '!$A:$B,2,0),0)</f>
        <v>0</v>
      </c>
    </row>
    <row r="933" spans="1:16" x14ac:dyDescent="0.25">
      <c r="A933" s="89" t="str">
        <f>B933</f>
        <v>9359VR</v>
      </c>
      <c r="B933" s="17" t="s">
        <v>687</v>
      </c>
      <c r="C933" s="17" t="s">
        <v>688</v>
      </c>
      <c r="D933" s="17">
        <v>99</v>
      </c>
      <c r="E933" s="17" t="s">
        <v>15</v>
      </c>
      <c r="F933" s="17">
        <v>1</v>
      </c>
      <c r="G933" s="17" t="s">
        <v>35</v>
      </c>
      <c r="H933" s="17" t="s">
        <v>17</v>
      </c>
      <c r="I933" s="18">
        <v>3000409</v>
      </c>
      <c r="J933" s="17" t="s">
        <v>689</v>
      </c>
      <c r="K933" s="17">
        <v>99</v>
      </c>
      <c r="L933" s="17" t="s">
        <v>15</v>
      </c>
      <c r="M933" s="19">
        <v>10000</v>
      </c>
      <c r="N933" s="17" t="s">
        <v>1</v>
      </c>
      <c r="O933" s="20">
        <f t="shared" ref="O933:O936" si="236">M933/10000</f>
        <v>1</v>
      </c>
      <c r="P933" s="21">
        <f>O933*$P$932</f>
        <v>0</v>
      </c>
    </row>
    <row r="934" spans="1:16" x14ac:dyDescent="0.25">
      <c r="A934" s="91"/>
      <c r="B934" s="13" t="s">
        <v>687</v>
      </c>
      <c r="C934" s="13" t="s">
        <v>688</v>
      </c>
      <c r="D934" s="13">
        <v>99</v>
      </c>
      <c r="E934" s="13" t="s">
        <v>15</v>
      </c>
      <c r="F934" s="13">
        <v>1</v>
      </c>
      <c r="G934" s="13" t="s">
        <v>16</v>
      </c>
      <c r="H934" s="13" t="s">
        <v>17</v>
      </c>
      <c r="I934" s="14">
        <v>4002546</v>
      </c>
      <c r="J934" s="13" t="s">
        <v>179</v>
      </c>
      <c r="K934" s="13">
        <v>99</v>
      </c>
      <c r="L934" s="13" t="s">
        <v>15</v>
      </c>
      <c r="M934" s="15">
        <v>10000</v>
      </c>
      <c r="N934" s="13" t="s">
        <v>1</v>
      </c>
      <c r="O934" s="16">
        <f t="shared" si="236"/>
        <v>1</v>
      </c>
      <c r="P934" s="22">
        <f t="shared" ref="P934:P936" si="237">O934*$P$932</f>
        <v>0</v>
      </c>
    </row>
    <row r="935" spans="1:16" x14ac:dyDescent="0.25">
      <c r="A935" s="91"/>
      <c r="B935" s="13" t="s">
        <v>687</v>
      </c>
      <c r="C935" s="13" t="s">
        <v>688</v>
      </c>
      <c r="D935" s="13">
        <v>99</v>
      </c>
      <c r="E935" s="13" t="s">
        <v>15</v>
      </c>
      <c r="F935" s="13">
        <v>1</v>
      </c>
      <c r="G935" s="13" t="s">
        <v>16</v>
      </c>
      <c r="H935" s="13" t="s">
        <v>17</v>
      </c>
      <c r="I935" s="14">
        <v>4003568</v>
      </c>
      <c r="J935" s="13" t="s">
        <v>656</v>
      </c>
      <c r="K935" s="13">
        <v>99</v>
      </c>
      <c r="L935" s="13" t="s">
        <v>15</v>
      </c>
      <c r="M935" s="15">
        <v>10000</v>
      </c>
      <c r="N935" s="13" t="s">
        <v>1</v>
      </c>
      <c r="O935" s="16">
        <f t="shared" si="236"/>
        <v>1</v>
      </c>
      <c r="P935" s="22">
        <f t="shared" si="237"/>
        <v>0</v>
      </c>
    </row>
    <row r="936" spans="1:16" ht="15.75" thickBot="1" x14ac:dyDescent="0.3">
      <c r="A936" s="90"/>
      <c r="B936" s="23" t="s">
        <v>687</v>
      </c>
      <c r="C936" s="23" t="s">
        <v>688</v>
      </c>
      <c r="D936" s="23">
        <v>99</v>
      </c>
      <c r="E936" s="23" t="s">
        <v>15</v>
      </c>
      <c r="F936" s="23">
        <v>1</v>
      </c>
      <c r="G936" s="23" t="s">
        <v>16</v>
      </c>
      <c r="H936" s="23" t="s">
        <v>17</v>
      </c>
      <c r="I936" s="24">
        <v>4016160</v>
      </c>
      <c r="J936" s="23" t="s">
        <v>69</v>
      </c>
      <c r="K936" s="23">
        <v>99</v>
      </c>
      <c r="L936" s="23" t="s">
        <v>15</v>
      </c>
      <c r="M936" s="23">
        <v>200</v>
      </c>
      <c r="N936" s="23" t="s">
        <v>3</v>
      </c>
      <c r="O936" s="26">
        <f t="shared" si="236"/>
        <v>0.02</v>
      </c>
      <c r="P936" s="27">
        <f t="shared" si="237"/>
        <v>0</v>
      </c>
    </row>
    <row r="937" spans="1:16" x14ac:dyDescent="0.25"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</row>
    <row r="938" spans="1:16" ht="15.75" thickBot="1" x14ac:dyDescent="0.3"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P938" s="11">
        <f>IFERROR(VLOOKUP($A939,'PROGRAMA MES '!$A:$B,2,0),0)</f>
        <v>456000</v>
      </c>
    </row>
    <row r="939" spans="1:16" x14ac:dyDescent="0.25">
      <c r="A939" s="89" t="str">
        <f>B939</f>
        <v>9406F</v>
      </c>
      <c r="B939" s="17" t="s">
        <v>690</v>
      </c>
      <c r="C939" s="17" t="s">
        <v>691</v>
      </c>
      <c r="D939" s="17">
        <v>99</v>
      </c>
      <c r="E939" s="17" t="s">
        <v>15</v>
      </c>
      <c r="F939" s="17">
        <v>1</v>
      </c>
      <c r="G939" s="17" t="s">
        <v>16</v>
      </c>
      <c r="H939" s="17" t="s">
        <v>17</v>
      </c>
      <c r="I939" s="18">
        <v>4001233</v>
      </c>
      <c r="J939" s="17" t="s">
        <v>692</v>
      </c>
      <c r="K939" s="17">
        <v>99</v>
      </c>
      <c r="L939" s="17" t="s">
        <v>15</v>
      </c>
      <c r="M939" s="17">
        <v>84</v>
      </c>
      <c r="N939" s="17" t="s">
        <v>1</v>
      </c>
      <c r="O939" s="20">
        <f t="shared" ref="O939:O945" si="238">M939/10000</f>
        <v>8.3999999999999995E-3</v>
      </c>
      <c r="P939" s="21">
        <f>O939*$P$938</f>
        <v>3830.3999999999996</v>
      </c>
    </row>
    <row r="940" spans="1:16" x14ac:dyDescent="0.25">
      <c r="A940" s="91"/>
      <c r="B940" s="13" t="s">
        <v>690</v>
      </c>
      <c r="C940" s="13" t="s">
        <v>691</v>
      </c>
      <c r="D940" s="13">
        <v>99</v>
      </c>
      <c r="E940" s="13" t="s">
        <v>15</v>
      </c>
      <c r="F940" s="13">
        <v>1</v>
      </c>
      <c r="G940" s="13" t="s">
        <v>16</v>
      </c>
      <c r="H940" s="13" t="s">
        <v>17</v>
      </c>
      <c r="I940" s="14">
        <v>4002463</v>
      </c>
      <c r="J940" s="13" t="s">
        <v>693</v>
      </c>
      <c r="K940" s="13">
        <v>99</v>
      </c>
      <c r="L940" s="13" t="s">
        <v>15</v>
      </c>
      <c r="M940" s="15">
        <v>1000</v>
      </c>
      <c r="N940" s="13" t="s">
        <v>1</v>
      </c>
      <c r="O940" s="16">
        <f t="shared" si="238"/>
        <v>0.1</v>
      </c>
      <c r="P940" s="22">
        <f t="shared" ref="P940:P945" si="239">O940*$P$938</f>
        <v>45600</v>
      </c>
    </row>
    <row r="941" spans="1:16" x14ac:dyDescent="0.25">
      <c r="A941" s="91"/>
      <c r="B941" s="13" t="s">
        <v>690</v>
      </c>
      <c r="C941" s="13" t="s">
        <v>691</v>
      </c>
      <c r="D941" s="13">
        <v>99</v>
      </c>
      <c r="E941" s="13" t="s">
        <v>15</v>
      </c>
      <c r="F941" s="13">
        <v>1</v>
      </c>
      <c r="G941" s="13" t="s">
        <v>16</v>
      </c>
      <c r="H941" s="13" t="s">
        <v>17</v>
      </c>
      <c r="I941" s="14">
        <v>4002546</v>
      </c>
      <c r="J941" s="13" t="s">
        <v>179</v>
      </c>
      <c r="K941" s="13">
        <v>99</v>
      </c>
      <c r="L941" s="13" t="s">
        <v>15</v>
      </c>
      <c r="M941" s="13">
        <v>84</v>
      </c>
      <c r="N941" s="13" t="s">
        <v>1</v>
      </c>
      <c r="O941" s="16">
        <f t="shared" si="238"/>
        <v>8.3999999999999995E-3</v>
      </c>
      <c r="P941" s="22">
        <f t="shared" si="239"/>
        <v>3830.3999999999996</v>
      </c>
    </row>
    <row r="942" spans="1:16" x14ac:dyDescent="0.25">
      <c r="A942" s="91"/>
      <c r="B942" s="13" t="s">
        <v>690</v>
      </c>
      <c r="C942" s="13" t="s">
        <v>691</v>
      </c>
      <c r="D942" s="13">
        <v>99</v>
      </c>
      <c r="E942" s="13" t="s">
        <v>15</v>
      </c>
      <c r="F942" s="13">
        <v>1</v>
      </c>
      <c r="G942" s="13" t="s">
        <v>16</v>
      </c>
      <c r="H942" s="13" t="s">
        <v>17</v>
      </c>
      <c r="I942" s="14">
        <v>4002731</v>
      </c>
      <c r="J942" s="13" t="s">
        <v>694</v>
      </c>
      <c r="K942" s="13">
        <v>99</v>
      </c>
      <c r="L942" s="13" t="s">
        <v>15</v>
      </c>
      <c r="M942" s="13">
        <v>6.3</v>
      </c>
      <c r="N942" s="13" t="s">
        <v>3</v>
      </c>
      <c r="O942" s="16">
        <f t="shared" si="238"/>
        <v>6.3000000000000003E-4</v>
      </c>
      <c r="P942" s="22">
        <f t="shared" si="239"/>
        <v>287.28000000000003</v>
      </c>
    </row>
    <row r="943" spans="1:16" x14ac:dyDescent="0.25">
      <c r="A943" s="91"/>
      <c r="B943" s="13" t="s">
        <v>690</v>
      </c>
      <c r="C943" s="13" t="s">
        <v>691</v>
      </c>
      <c r="D943" s="13">
        <v>99</v>
      </c>
      <c r="E943" s="13" t="s">
        <v>15</v>
      </c>
      <c r="F943" s="13">
        <v>1</v>
      </c>
      <c r="G943" s="13" t="s">
        <v>16</v>
      </c>
      <c r="H943" s="13" t="s">
        <v>17</v>
      </c>
      <c r="I943" s="14">
        <v>4002748</v>
      </c>
      <c r="J943" s="13" t="s">
        <v>695</v>
      </c>
      <c r="K943" s="13">
        <v>99</v>
      </c>
      <c r="L943" s="13" t="s">
        <v>15</v>
      </c>
      <c r="M943" s="13">
        <v>3.9</v>
      </c>
      <c r="N943" s="13" t="s">
        <v>3</v>
      </c>
      <c r="O943" s="16">
        <f t="shared" si="238"/>
        <v>3.8999999999999999E-4</v>
      </c>
      <c r="P943" s="22">
        <f t="shared" si="239"/>
        <v>177.84</v>
      </c>
    </row>
    <row r="944" spans="1:16" x14ac:dyDescent="0.25">
      <c r="A944" s="91"/>
      <c r="B944" s="13" t="s">
        <v>690</v>
      </c>
      <c r="C944" s="13" t="s">
        <v>691</v>
      </c>
      <c r="D944" s="13">
        <v>99</v>
      </c>
      <c r="E944" s="13" t="s">
        <v>15</v>
      </c>
      <c r="F944" s="13">
        <v>1</v>
      </c>
      <c r="G944" s="13" t="s">
        <v>16</v>
      </c>
      <c r="H944" s="13" t="s">
        <v>17</v>
      </c>
      <c r="I944" s="14">
        <v>4002827</v>
      </c>
      <c r="J944" s="13" t="s">
        <v>0</v>
      </c>
      <c r="K944" s="13">
        <v>99</v>
      </c>
      <c r="L944" s="13" t="s">
        <v>15</v>
      </c>
      <c r="M944" s="13">
        <v>118.25</v>
      </c>
      <c r="N944" s="13" t="s">
        <v>2</v>
      </c>
      <c r="O944" s="16">
        <f t="shared" si="238"/>
        <v>1.1825E-2</v>
      </c>
      <c r="P944" s="22">
        <f t="shared" si="239"/>
        <v>5392.2</v>
      </c>
    </row>
    <row r="945" spans="1:16" ht="15.75" thickBot="1" x14ac:dyDescent="0.3">
      <c r="A945" s="90"/>
      <c r="B945" s="23" t="s">
        <v>690</v>
      </c>
      <c r="C945" s="23" t="s">
        <v>691</v>
      </c>
      <c r="D945" s="23">
        <v>99</v>
      </c>
      <c r="E945" s="23" t="s">
        <v>15</v>
      </c>
      <c r="F945" s="23">
        <v>1</v>
      </c>
      <c r="G945" s="23" t="s">
        <v>21</v>
      </c>
      <c r="H945" s="23" t="s">
        <v>17</v>
      </c>
      <c r="I945" s="24" t="s">
        <v>696</v>
      </c>
      <c r="J945" s="23" t="s">
        <v>697</v>
      </c>
      <c r="K945" s="23">
        <v>3</v>
      </c>
      <c r="L945" s="23" t="s">
        <v>24</v>
      </c>
      <c r="M945" s="25">
        <v>10000</v>
      </c>
      <c r="N945" s="23" t="s">
        <v>1</v>
      </c>
      <c r="O945" s="26">
        <f t="shared" si="238"/>
        <v>1</v>
      </c>
      <c r="P945" s="27">
        <f t="shared" si="239"/>
        <v>456000</v>
      </c>
    </row>
    <row r="946" spans="1:16" x14ac:dyDescent="0.25"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3"/>
      <c r="N946" s="1"/>
    </row>
    <row r="947" spans="1:16" ht="15.75" thickBot="1" x14ac:dyDescent="0.3"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3"/>
      <c r="N947" s="1"/>
      <c r="P947" s="11">
        <f>IFERROR(VLOOKUP($A948,'PROGRAMA MES '!$A:$B,2,0),0)</f>
        <v>216000</v>
      </c>
    </row>
    <row r="948" spans="1:16" x14ac:dyDescent="0.25">
      <c r="A948" s="89" t="str">
        <f>B948</f>
        <v>9410SP</v>
      </c>
      <c r="B948" s="17" t="s">
        <v>698</v>
      </c>
      <c r="C948" s="17" t="s">
        <v>699</v>
      </c>
      <c r="D948" s="17">
        <v>99</v>
      </c>
      <c r="E948" s="17" t="s">
        <v>15</v>
      </c>
      <c r="F948" s="17">
        <v>1</v>
      </c>
      <c r="G948" s="17" t="s">
        <v>16</v>
      </c>
      <c r="H948" s="17" t="s">
        <v>17</v>
      </c>
      <c r="I948" s="18">
        <v>4001161</v>
      </c>
      <c r="J948" s="17" t="s">
        <v>700</v>
      </c>
      <c r="K948" s="17">
        <v>99</v>
      </c>
      <c r="L948" s="17" t="s">
        <v>15</v>
      </c>
      <c r="M948" s="17">
        <v>42</v>
      </c>
      <c r="N948" s="17" t="s">
        <v>1</v>
      </c>
      <c r="O948" s="20">
        <f t="shared" ref="O948:O950" si="240">M948/10000</f>
        <v>4.1999999999999997E-3</v>
      </c>
      <c r="P948" s="21">
        <f>O948*$P$947</f>
        <v>907.19999999999993</v>
      </c>
    </row>
    <row r="949" spans="1:16" x14ac:dyDescent="0.25">
      <c r="A949" s="91"/>
      <c r="B949" s="13" t="s">
        <v>698</v>
      </c>
      <c r="C949" s="13" t="s">
        <v>699</v>
      </c>
      <c r="D949" s="13">
        <v>99</v>
      </c>
      <c r="E949" s="13" t="s">
        <v>15</v>
      </c>
      <c r="F949" s="13">
        <v>1</v>
      </c>
      <c r="G949" s="13" t="s">
        <v>16</v>
      </c>
      <c r="H949" s="13" t="s">
        <v>17</v>
      </c>
      <c r="I949" s="14">
        <v>4002827</v>
      </c>
      <c r="J949" s="13" t="s">
        <v>0</v>
      </c>
      <c r="K949" s="13">
        <v>99</v>
      </c>
      <c r="L949" s="13" t="s">
        <v>15</v>
      </c>
      <c r="M949" s="13">
        <v>1</v>
      </c>
      <c r="N949" s="13" t="s">
        <v>2</v>
      </c>
      <c r="O949" s="16">
        <f t="shared" si="240"/>
        <v>1E-4</v>
      </c>
      <c r="P949" s="22">
        <f t="shared" ref="P949:P950" si="241">O949*$P$947</f>
        <v>21.6</v>
      </c>
    </row>
    <row r="950" spans="1:16" ht="15.75" thickBot="1" x14ac:dyDescent="0.3">
      <c r="A950" s="90"/>
      <c r="B950" s="23" t="s">
        <v>698</v>
      </c>
      <c r="C950" s="23" t="s">
        <v>699</v>
      </c>
      <c r="D950" s="23">
        <v>99</v>
      </c>
      <c r="E950" s="23" t="s">
        <v>15</v>
      </c>
      <c r="F950" s="23">
        <v>1</v>
      </c>
      <c r="G950" s="23" t="s">
        <v>21</v>
      </c>
      <c r="H950" s="23" t="s">
        <v>17</v>
      </c>
      <c r="I950" s="24" t="s">
        <v>701</v>
      </c>
      <c r="J950" s="23" t="s">
        <v>702</v>
      </c>
      <c r="K950" s="23">
        <v>3</v>
      </c>
      <c r="L950" s="23" t="s">
        <v>24</v>
      </c>
      <c r="M950" s="25">
        <v>10000</v>
      </c>
      <c r="N950" s="23" t="s">
        <v>1</v>
      </c>
      <c r="O950" s="26">
        <f t="shared" si="240"/>
        <v>1</v>
      </c>
      <c r="P950" s="27">
        <f t="shared" si="241"/>
        <v>216000</v>
      </c>
    </row>
    <row r="951" spans="1:16" x14ac:dyDescent="0.25"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3"/>
      <c r="N951" s="1"/>
    </row>
    <row r="952" spans="1:16" ht="15.75" thickBot="1" x14ac:dyDescent="0.3"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3"/>
      <c r="N952" s="1"/>
      <c r="P952" s="11">
        <f>IFERROR(VLOOKUP($A953,'PROGRAMA MES '!$A:$B,2,0),0)</f>
        <v>264000</v>
      </c>
    </row>
    <row r="953" spans="1:16" x14ac:dyDescent="0.25">
      <c r="A953" s="89" t="str">
        <f>B953</f>
        <v>9522FR</v>
      </c>
      <c r="B953" s="17" t="s">
        <v>703</v>
      </c>
      <c r="C953" s="17" t="s">
        <v>704</v>
      </c>
      <c r="D953" s="17">
        <v>99</v>
      </c>
      <c r="E953" s="17" t="s">
        <v>15</v>
      </c>
      <c r="F953" s="17">
        <v>1</v>
      </c>
      <c r="G953" s="17" t="s">
        <v>16</v>
      </c>
      <c r="H953" s="17" t="s">
        <v>17</v>
      </c>
      <c r="I953" s="18">
        <v>4001170</v>
      </c>
      <c r="J953" s="17" t="s">
        <v>705</v>
      </c>
      <c r="K953" s="17">
        <v>99</v>
      </c>
      <c r="L953" s="17" t="s">
        <v>15</v>
      </c>
      <c r="M953" s="17">
        <v>84</v>
      </c>
      <c r="N953" s="17" t="s">
        <v>1</v>
      </c>
      <c r="O953" s="20">
        <f t="shared" ref="O953:O956" si="242">M953/10000</f>
        <v>8.3999999999999995E-3</v>
      </c>
      <c r="P953" s="21">
        <f>O953*$P$952</f>
        <v>2217.6</v>
      </c>
    </row>
    <row r="954" spans="1:16" x14ac:dyDescent="0.25">
      <c r="A954" s="91"/>
      <c r="B954" s="13" t="s">
        <v>703</v>
      </c>
      <c r="C954" s="13" t="s">
        <v>704</v>
      </c>
      <c r="D954" s="13">
        <v>99</v>
      </c>
      <c r="E954" s="13" t="s">
        <v>15</v>
      </c>
      <c r="F954" s="13">
        <v>1</v>
      </c>
      <c r="G954" s="13" t="s">
        <v>16</v>
      </c>
      <c r="H954" s="13" t="s">
        <v>17</v>
      </c>
      <c r="I954" s="14">
        <v>4002827</v>
      </c>
      <c r="J954" s="13" t="s">
        <v>0</v>
      </c>
      <c r="K954" s="13">
        <v>99</v>
      </c>
      <c r="L954" s="13" t="s">
        <v>15</v>
      </c>
      <c r="M954" s="13">
        <v>150</v>
      </c>
      <c r="N954" s="13" t="s">
        <v>2</v>
      </c>
      <c r="O954" s="16">
        <f t="shared" si="242"/>
        <v>1.4999999999999999E-2</v>
      </c>
      <c r="P954" s="22">
        <f t="shared" ref="P954:P956" si="243">O954*$P$952</f>
        <v>3960</v>
      </c>
    </row>
    <row r="955" spans="1:16" x14ac:dyDescent="0.25">
      <c r="A955" s="91"/>
      <c r="B955" s="13" t="s">
        <v>703</v>
      </c>
      <c r="C955" s="13" t="s">
        <v>704</v>
      </c>
      <c r="D955" s="13">
        <v>99</v>
      </c>
      <c r="E955" s="13" t="s">
        <v>15</v>
      </c>
      <c r="F955" s="13">
        <v>1</v>
      </c>
      <c r="G955" s="13" t="s">
        <v>16</v>
      </c>
      <c r="H955" s="13" t="s">
        <v>17</v>
      </c>
      <c r="I955" s="14">
        <v>4004917</v>
      </c>
      <c r="J955" s="13" t="s">
        <v>706</v>
      </c>
      <c r="K955" s="13">
        <v>99</v>
      </c>
      <c r="L955" s="13" t="s">
        <v>15</v>
      </c>
      <c r="M955" s="15">
        <v>1000</v>
      </c>
      <c r="N955" s="13" t="s">
        <v>1</v>
      </c>
      <c r="O955" s="16">
        <f t="shared" si="242"/>
        <v>0.1</v>
      </c>
      <c r="P955" s="22">
        <f t="shared" si="243"/>
        <v>26400</v>
      </c>
    </row>
    <row r="956" spans="1:16" ht="15.75" thickBot="1" x14ac:dyDescent="0.3">
      <c r="A956" s="90"/>
      <c r="B956" s="23" t="s">
        <v>703</v>
      </c>
      <c r="C956" s="23" t="s">
        <v>704</v>
      </c>
      <c r="D956" s="23">
        <v>99</v>
      </c>
      <c r="E956" s="23" t="s">
        <v>15</v>
      </c>
      <c r="F956" s="23">
        <v>1</v>
      </c>
      <c r="G956" s="23" t="s">
        <v>21</v>
      </c>
      <c r="H956" s="23" t="s">
        <v>17</v>
      </c>
      <c r="I956" s="24" t="s">
        <v>707</v>
      </c>
      <c r="J956" s="23" t="s">
        <v>708</v>
      </c>
      <c r="K956" s="23">
        <v>3</v>
      </c>
      <c r="L956" s="23" t="s">
        <v>24</v>
      </c>
      <c r="M956" s="25">
        <v>10000</v>
      </c>
      <c r="N956" s="23" t="s">
        <v>1</v>
      </c>
      <c r="O956" s="26">
        <f t="shared" si="242"/>
        <v>1</v>
      </c>
      <c r="P956" s="27">
        <f t="shared" si="243"/>
        <v>264000</v>
      </c>
    </row>
    <row r="957" spans="1:16" x14ac:dyDescent="0.25"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3"/>
      <c r="N957" s="1"/>
    </row>
    <row r="958" spans="1:16" ht="15.75" thickBot="1" x14ac:dyDescent="0.3"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3"/>
      <c r="N958" s="1"/>
      <c r="P958" s="11">
        <f>IFERROR(VLOOKUP($A959,'PROGRAMA MES '!$A:$B,2,0),0)</f>
        <v>1680</v>
      </c>
    </row>
    <row r="959" spans="1:16" x14ac:dyDescent="0.25">
      <c r="A959" s="89" t="str">
        <f>B959</f>
        <v>9522FRBA/2</v>
      </c>
      <c r="B959" s="17" t="s">
        <v>709</v>
      </c>
      <c r="C959" s="17" t="s">
        <v>710</v>
      </c>
      <c r="D959" s="17">
        <v>99</v>
      </c>
      <c r="E959" s="17" t="s">
        <v>15</v>
      </c>
      <c r="F959" s="17">
        <v>1</v>
      </c>
      <c r="G959" s="17" t="s">
        <v>16</v>
      </c>
      <c r="H959" s="17" t="s">
        <v>17</v>
      </c>
      <c r="I959" s="18">
        <v>4010022</v>
      </c>
      <c r="J959" s="17" t="s">
        <v>711</v>
      </c>
      <c r="K959" s="17">
        <v>99</v>
      </c>
      <c r="L959" s="17" t="s">
        <v>15</v>
      </c>
      <c r="M959" s="17">
        <v>84</v>
      </c>
      <c r="N959" s="17" t="s">
        <v>1</v>
      </c>
      <c r="O959" s="20">
        <f t="shared" ref="O959:O960" si="244">M959/10000</f>
        <v>8.3999999999999995E-3</v>
      </c>
      <c r="P959" s="21">
        <f>O959*$P$958</f>
        <v>14.111999999999998</v>
      </c>
    </row>
    <row r="960" spans="1:16" ht="15.75" thickBot="1" x14ac:dyDescent="0.3">
      <c r="A960" s="90"/>
      <c r="B960" s="23" t="s">
        <v>709</v>
      </c>
      <c r="C960" s="23" t="s">
        <v>710</v>
      </c>
      <c r="D960" s="23">
        <v>99</v>
      </c>
      <c r="E960" s="23" t="s">
        <v>15</v>
      </c>
      <c r="F960" s="23">
        <v>1</v>
      </c>
      <c r="G960" s="23" t="s">
        <v>21</v>
      </c>
      <c r="H960" s="23" t="s">
        <v>17</v>
      </c>
      <c r="I960" s="24" t="s">
        <v>712</v>
      </c>
      <c r="J960" s="23" t="s">
        <v>713</v>
      </c>
      <c r="K960" s="23">
        <v>3</v>
      </c>
      <c r="L960" s="23" t="s">
        <v>24</v>
      </c>
      <c r="M960" s="25">
        <v>10000</v>
      </c>
      <c r="N960" s="23" t="s">
        <v>1</v>
      </c>
      <c r="O960" s="26">
        <f t="shared" si="244"/>
        <v>1</v>
      </c>
      <c r="P960" s="27">
        <f>O960*$P$958</f>
        <v>1680</v>
      </c>
    </row>
    <row r="961" spans="1:16" x14ac:dyDescent="0.25"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3"/>
      <c r="N961" s="1"/>
    </row>
    <row r="962" spans="1:16" ht="15.75" thickBot="1" x14ac:dyDescent="0.3"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3"/>
      <c r="N962" s="1"/>
      <c r="P962" s="11">
        <f>IFERROR(VLOOKUP($A963,'PROGRAMA MES '!$A:$B,2,0),0)</f>
        <v>10500</v>
      </c>
    </row>
    <row r="963" spans="1:16" x14ac:dyDescent="0.25">
      <c r="A963" s="89" t="str">
        <f>B963</f>
        <v>9672C</v>
      </c>
      <c r="B963" s="17" t="s">
        <v>714</v>
      </c>
      <c r="C963" s="17" t="s">
        <v>715</v>
      </c>
      <c r="D963" s="17">
        <v>99</v>
      </c>
      <c r="E963" s="17" t="s">
        <v>15</v>
      </c>
      <c r="F963" s="17">
        <v>1</v>
      </c>
      <c r="G963" s="17" t="s">
        <v>16</v>
      </c>
      <c r="H963" s="17" t="s">
        <v>17</v>
      </c>
      <c r="I963" s="18">
        <v>4001221</v>
      </c>
      <c r="J963" s="17" t="s">
        <v>716</v>
      </c>
      <c r="K963" s="17">
        <v>99</v>
      </c>
      <c r="L963" s="17" t="s">
        <v>15</v>
      </c>
      <c r="M963" s="17">
        <v>715</v>
      </c>
      <c r="N963" s="17" t="s">
        <v>1</v>
      </c>
      <c r="O963" s="20">
        <f t="shared" ref="O963:O967" si="245">M963/10000</f>
        <v>7.1499999999999994E-2</v>
      </c>
      <c r="P963" s="21">
        <f>O963*$P$962</f>
        <v>750.74999999999989</v>
      </c>
    </row>
    <row r="964" spans="1:16" x14ac:dyDescent="0.25">
      <c r="A964" s="91"/>
      <c r="B964" s="13" t="s">
        <v>714</v>
      </c>
      <c r="C964" s="13" t="s">
        <v>715</v>
      </c>
      <c r="D964" s="13">
        <v>99</v>
      </c>
      <c r="E964" s="13" t="s">
        <v>15</v>
      </c>
      <c r="F964" s="13">
        <v>1</v>
      </c>
      <c r="G964" s="13" t="s">
        <v>16</v>
      </c>
      <c r="H964" s="13" t="s">
        <v>17</v>
      </c>
      <c r="I964" s="14">
        <v>4002827</v>
      </c>
      <c r="J964" s="13" t="s">
        <v>0</v>
      </c>
      <c r="K964" s="13">
        <v>99</v>
      </c>
      <c r="L964" s="13" t="s">
        <v>15</v>
      </c>
      <c r="M964" s="15">
        <v>1283.33</v>
      </c>
      <c r="N964" s="13" t="s">
        <v>2</v>
      </c>
      <c r="O964" s="16">
        <f t="shared" si="245"/>
        <v>0.128333</v>
      </c>
      <c r="P964" s="22">
        <f t="shared" ref="P964:P967" si="246">O964*$P$962</f>
        <v>1347.4965</v>
      </c>
    </row>
    <row r="965" spans="1:16" x14ac:dyDescent="0.25">
      <c r="A965" s="91"/>
      <c r="B965" s="13" t="s">
        <v>714</v>
      </c>
      <c r="C965" s="13" t="s">
        <v>715</v>
      </c>
      <c r="D965" s="13">
        <v>99</v>
      </c>
      <c r="E965" s="13" t="s">
        <v>15</v>
      </c>
      <c r="F965" s="13">
        <v>1</v>
      </c>
      <c r="G965" s="13" t="s">
        <v>16</v>
      </c>
      <c r="H965" s="13" t="s">
        <v>17</v>
      </c>
      <c r="I965" s="14">
        <v>4007021</v>
      </c>
      <c r="J965" s="13" t="s">
        <v>717</v>
      </c>
      <c r="K965" s="13">
        <v>99</v>
      </c>
      <c r="L965" s="13" t="s">
        <v>15</v>
      </c>
      <c r="M965" s="15">
        <v>10000</v>
      </c>
      <c r="N965" s="13" t="s">
        <v>1</v>
      </c>
      <c r="O965" s="16">
        <f t="shared" si="245"/>
        <v>1</v>
      </c>
      <c r="P965" s="22">
        <f t="shared" si="246"/>
        <v>10500</v>
      </c>
    </row>
    <row r="966" spans="1:16" x14ac:dyDescent="0.25">
      <c r="A966" s="91"/>
      <c r="B966" s="13" t="s">
        <v>714</v>
      </c>
      <c r="C966" s="13" t="s">
        <v>715</v>
      </c>
      <c r="D966" s="13">
        <v>99</v>
      </c>
      <c r="E966" s="13" t="s">
        <v>15</v>
      </c>
      <c r="F966" s="13">
        <v>1</v>
      </c>
      <c r="G966" s="13" t="s">
        <v>16</v>
      </c>
      <c r="H966" s="13" t="s">
        <v>17</v>
      </c>
      <c r="I966" s="14">
        <v>4013164</v>
      </c>
      <c r="J966" s="13" t="s">
        <v>718</v>
      </c>
      <c r="K966" s="13">
        <v>99</v>
      </c>
      <c r="L966" s="13" t="s">
        <v>15</v>
      </c>
      <c r="M966" s="13">
        <v>715</v>
      </c>
      <c r="N966" s="13" t="s">
        <v>1</v>
      </c>
      <c r="O966" s="16">
        <f t="shared" si="245"/>
        <v>7.1499999999999994E-2</v>
      </c>
      <c r="P966" s="22">
        <f t="shared" si="246"/>
        <v>750.74999999999989</v>
      </c>
    </row>
    <row r="967" spans="1:16" ht="15.75" thickBot="1" x14ac:dyDescent="0.3">
      <c r="A967" s="90"/>
      <c r="B967" s="23" t="s">
        <v>714</v>
      </c>
      <c r="C967" s="23" t="s">
        <v>715</v>
      </c>
      <c r="D967" s="23">
        <v>99</v>
      </c>
      <c r="E967" s="23" t="s">
        <v>15</v>
      </c>
      <c r="F967" s="23">
        <v>1</v>
      </c>
      <c r="G967" s="23" t="s">
        <v>21</v>
      </c>
      <c r="H967" s="23" t="s">
        <v>17</v>
      </c>
      <c r="I967" s="24" t="s">
        <v>719</v>
      </c>
      <c r="J967" s="23" t="s">
        <v>720</v>
      </c>
      <c r="K967" s="23">
        <v>3</v>
      </c>
      <c r="L967" s="23" t="s">
        <v>24</v>
      </c>
      <c r="M967" s="25">
        <v>10000</v>
      </c>
      <c r="N967" s="23" t="s">
        <v>1</v>
      </c>
      <c r="O967" s="26">
        <f t="shared" si="245"/>
        <v>1</v>
      </c>
      <c r="P967" s="27">
        <f t="shared" si="246"/>
        <v>10500</v>
      </c>
    </row>
    <row r="968" spans="1:16" x14ac:dyDescent="0.25"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3"/>
      <c r="N968" s="1"/>
    </row>
    <row r="969" spans="1:16" ht="15.75" thickBot="1" x14ac:dyDescent="0.3"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3"/>
      <c r="N969" s="1"/>
      <c r="P969" s="11">
        <f>IFERROR(VLOOKUP($A970,'PROGRAMA MES '!$A:$B,2,0),0)</f>
        <v>32200</v>
      </c>
    </row>
    <row r="970" spans="1:16" x14ac:dyDescent="0.25">
      <c r="A970" s="89" t="str">
        <f>B970</f>
        <v>9673C</v>
      </c>
      <c r="B970" s="17" t="s">
        <v>721</v>
      </c>
      <c r="C970" s="17" t="s">
        <v>722</v>
      </c>
      <c r="D970" s="17">
        <v>99</v>
      </c>
      <c r="E970" s="17" t="s">
        <v>15</v>
      </c>
      <c r="F970" s="17">
        <v>1</v>
      </c>
      <c r="G970" s="17" t="s">
        <v>16</v>
      </c>
      <c r="H970" s="17" t="s">
        <v>17</v>
      </c>
      <c r="I970" s="18">
        <v>4001221</v>
      </c>
      <c r="J970" s="17" t="s">
        <v>716</v>
      </c>
      <c r="K970" s="17">
        <v>99</v>
      </c>
      <c r="L970" s="17" t="s">
        <v>15</v>
      </c>
      <c r="M970" s="17">
        <v>715</v>
      </c>
      <c r="N970" s="17" t="s">
        <v>1</v>
      </c>
      <c r="O970" s="20">
        <f t="shared" ref="O970:O974" si="247">M970/10000</f>
        <v>7.1499999999999994E-2</v>
      </c>
      <c r="P970" s="21">
        <f>O970*$P$969</f>
        <v>2302.2999999999997</v>
      </c>
    </row>
    <row r="971" spans="1:16" x14ac:dyDescent="0.25">
      <c r="A971" s="91"/>
      <c r="B971" s="13" t="s">
        <v>721</v>
      </c>
      <c r="C971" s="13" t="s">
        <v>722</v>
      </c>
      <c r="D971" s="13">
        <v>99</v>
      </c>
      <c r="E971" s="13" t="s">
        <v>15</v>
      </c>
      <c r="F971" s="13">
        <v>1</v>
      </c>
      <c r="G971" s="13" t="s">
        <v>16</v>
      </c>
      <c r="H971" s="13" t="s">
        <v>17</v>
      </c>
      <c r="I971" s="14">
        <v>4002827</v>
      </c>
      <c r="J971" s="13" t="s">
        <v>0</v>
      </c>
      <c r="K971" s="13">
        <v>99</v>
      </c>
      <c r="L971" s="13" t="s">
        <v>15</v>
      </c>
      <c r="M971" s="15">
        <v>1283.33</v>
      </c>
      <c r="N971" s="13" t="s">
        <v>2</v>
      </c>
      <c r="O971" s="16">
        <f t="shared" si="247"/>
        <v>0.128333</v>
      </c>
      <c r="P971" s="22">
        <f t="shared" ref="P971:P974" si="248">O971*$P$969</f>
        <v>4132.3226000000004</v>
      </c>
    </row>
    <row r="972" spans="1:16" x14ac:dyDescent="0.25">
      <c r="A972" s="91"/>
      <c r="B972" s="13" t="s">
        <v>721</v>
      </c>
      <c r="C972" s="13" t="s">
        <v>722</v>
      </c>
      <c r="D972" s="13">
        <v>99</v>
      </c>
      <c r="E972" s="13" t="s">
        <v>15</v>
      </c>
      <c r="F972" s="13">
        <v>1</v>
      </c>
      <c r="G972" s="13" t="s">
        <v>16</v>
      </c>
      <c r="H972" s="13" t="s">
        <v>17</v>
      </c>
      <c r="I972" s="14">
        <v>4007022</v>
      </c>
      <c r="J972" s="13" t="s">
        <v>723</v>
      </c>
      <c r="K972" s="13">
        <v>99</v>
      </c>
      <c r="L972" s="13" t="s">
        <v>15</v>
      </c>
      <c r="M972" s="15">
        <v>10000</v>
      </c>
      <c r="N972" s="13" t="s">
        <v>1</v>
      </c>
      <c r="O972" s="16">
        <f t="shared" si="247"/>
        <v>1</v>
      </c>
      <c r="P972" s="22">
        <f t="shared" si="248"/>
        <v>32200</v>
      </c>
    </row>
    <row r="973" spans="1:16" x14ac:dyDescent="0.25">
      <c r="A973" s="91"/>
      <c r="B973" s="13" t="s">
        <v>721</v>
      </c>
      <c r="C973" s="13" t="s">
        <v>722</v>
      </c>
      <c r="D973" s="13">
        <v>99</v>
      </c>
      <c r="E973" s="13" t="s">
        <v>15</v>
      </c>
      <c r="F973" s="13">
        <v>1</v>
      </c>
      <c r="G973" s="13" t="s">
        <v>16</v>
      </c>
      <c r="H973" s="13" t="s">
        <v>17</v>
      </c>
      <c r="I973" s="14">
        <v>4013164</v>
      </c>
      <c r="J973" s="13" t="s">
        <v>718</v>
      </c>
      <c r="K973" s="13">
        <v>99</v>
      </c>
      <c r="L973" s="13" t="s">
        <v>15</v>
      </c>
      <c r="M973" s="13">
        <v>715</v>
      </c>
      <c r="N973" s="13" t="s">
        <v>1</v>
      </c>
      <c r="O973" s="16">
        <f t="shared" si="247"/>
        <v>7.1499999999999994E-2</v>
      </c>
      <c r="P973" s="22">
        <f t="shared" si="248"/>
        <v>2302.2999999999997</v>
      </c>
    </row>
    <row r="974" spans="1:16" ht="15.75" thickBot="1" x14ac:dyDescent="0.3">
      <c r="A974" s="90"/>
      <c r="B974" s="23" t="s">
        <v>721</v>
      </c>
      <c r="C974" s="23" t="s">
        <v>722</v>
      </c>
      <c r="D974" s="23">
        <v>99</v>
      </c>
      <c r="E974" s="23" t="s">
        <v>15</v>
      </c>
      <c r="F974" s="23">
        <v>1</v>
      </c>
      <c r="G974" s="23" t="s">
        <v>21</v>
      </c>
      <c r="H974" s="23" t="s">
        <v>17</v>
      </c>
      <c r="I974" s="24" t="s">
        <v>724</v>
      </c>
      <c r="J974" s="23" t="s">
        <v>725</v>
      </c>
      <c r="K974" s="23">
        <v>3</v>
      </c>
      <c r="L974" s="23" t="s">
        <v>24</v>
      </c>
      <c r="M974" s="25">
        <v>10000</v>
      </c>
      <c r="N974" s="23" t="s">
        <v>1</v>
      </c>
      <c r="O974" s="26">
        <f t="shared" si="247"/>
        <v>1</v>
      </c>
      <c r="P974" s="27">
        <f t="shared" si="248"/>
        <v>32200</v>
      </c>
    </row>
    <row r="975" spans="1:16" x14ac:dyDescent="0.25"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3"/>
      <c r="N975" s="1"/>
    </row>
    <row r="976" spans="1:16" ht="15.75" thickBot="1" x14ac:dyDescent="0.3"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3"/>
      <c r="N976" s="1"/>
      <c r="P976" s="11">
        <f>IFERROR(VLOOKUP($A977,'PROGRAMA MES '!$A:$B,2,0),0)</f>
        <v>21000</v>
      </c>
    </row>
    <row r="977" spans="1:16" x14ac:dyDescent="0.25">
      <c r="A977" s="89" t="str">
        <f>B977</f>
        <v>9674C</v>
      </c>
      <c r="B977" s="17" t="s">
        <v>726</v>
      </c>
      <c r="C977" s="17" t="s">
        <v>727</v>
      </c>
      <c r="D977" s="17">
        <v>99</v>
      </c>
      <c r="E977" s="17" t="s">
        <v>15</v>
      </c>
      <c r="F977" s="17">
        <v>1</v>
      </c>
      <c r="G977" s="17" t="s">
        <v>16</v>
      </c>
      <c r="H977" s="17" t="s">
        <v>17</v>
      </c>
      <c r="I977" s="18">
        <v>4001221</v>
      </c>
      <c r="J977" s="17" t="s">
        <v>716</v>
      </c>
      <c r="K977" s="17">
        <v>99</v>
      </c>
      <c r="L977" s="17" t="s">
        <v>15</v>
      </c>
      <c r="M977" s="17">
        <v>715</v>
      </c>
      <c r="N977" s="17" t="s">
        <v>1</v>
      </c>
      <c r="O977" s="20">
        <f t="shared" ref="O977:O981" si="249">M977/10000</f>
        <v>7.1499999999999994E-2</v>
      </c>
      <c r="P977" s="21">
        <f>O977*$P$976</f>
        <v>1501.4999999999998</v>
      </c>
    </row>
    <row r="978" spans="1:16" x14ac:dyDescent="0.25">
      <c r="A978" s="91"/>
      <c r="B978" s="13" t="s">
        <v>726</v>
      </c>
      <c r="C978" s="13" t="s">
        <v>727</v>
      </c>
      <c r="D978" s="13">
        <v>99</v>
      </c>
      <c r="E978" s="13" t="s">
        <v>15</v>
      </c>
      <c r="F978" s="13">
        <v>1</v>
      </c>
      <c r="G978" s="13" t="s">
        <v>16</v>
      </c>
      <c r="H978" s="13" t="s">
        <v>17</v>
      </c>
      <c r="I978" s="14">
        <v>4002827</v>
      </c>
      <c r="J978" s="13" t="s">
        <v>0</v>
      </c>
      <c r="K978" s="13">
        <v>99</v>
      </c>
      <c r="L978" s="13" t="s">
        <v>15</v>
      </c>
      <c r="M978" s="15">
        <v>1283.33</v>
      </c>
      <c r="N978" s="13" t="s">
        <v>2</v>
      </c>
      <c r="O978" s="16">
        <f t="shared" si="249"/>
        <v>0.128333</v>
      </c>
      <c r="P978" s="22">
        <f t="shared" ref="P978:P981" si="250">O978*$P$976</f>
        <v>2694.9929999999999</v>
      </c>
    </row>
    <row r="979" spans="1:16" x14ac:dyDescent="0.25">
      <c r="A979" s="91"/>
      <c r="B979" s="13" t="s">
        <v>726</v>
      </c>
      <c r="C979" s="13" t="s">
        <v>727</v>
      </c>
      <c r="D979" s="13">
        <v>99</v>
      </c>
      <c r="E979" s="13" t="s">
        <v>15</v>
      </c>
      <c r="F979" s="13">
        <v>1</v>
      </c>
      <c r="G979" s="13" t="s">
        <v>16</v>
      </c>
      <c r="H979" s="13" t="s">
        <v>17</v>
      </c>
      <c r="I979" s="14">
        <v>4007023</v>
      </c>
      <c r="J979" s="13" t="s">
        <v>728</v>
      </c>
      <c r="K979" s="13">
        <v>99</v>
      </c>
      <c r="L979" s="13" t="s">
        <v>15</v>
      </c>
      <c r="M979" s="15">
        <v>10000</v>
      </c>
      <c r="N979" s="13" t="s">
        <v>1</v>
      </c>
      <c r="O979" s="16">
        <f t="shared" si="249"/>
        <v>1</v>
      </c>
      <c r="P979" s="22">
        <f t="shared" si="250"/>
        <v>21000</v>
      </c>
    </row>
    <row r="980" spans="1:16" x14ac:dyDescent="0.25">
      <c r="A980" s="91"/>
      <c r="B980" s="13" t="s">
        <v>726</v>
      </c>
      <c r="C980" s="13" t="s">
        <v>727</v>
      </c>
      <c r="D980" s="13">
        <v>99</v>
      </c>
      <c r="E980" s="13" t="s">
        <v>15</v>
      </c>
      <c r="F980" s="13">
        <v>1</v>
      </c>
      <c r="G980" s="13" t="s">
        <v>16</v>
      </c>
      <c r="H980" s="13" t="s">
        <v>17</v>
      </c>
      <c r="I980" s="14">
        <v>4013164</v>
      </c>
      <c r="J980" s="13" t="s">
        <v>718</v>
      </c>
      <c r="K980" s="13">
        <v>99</v>
      </c>
      <c r="L980" s="13" t="s">
        <v>15</v>
      </c>
      <c r="M980" s="13">
        <v>715</v>
      </c>
      <c r="N980" s="13" t="s">
        <v>1</v>
      </c>
      <c r="O980" s="16">
        <f t="shared" si="249"/>
        <v>7.1499999999999994E-2</v>
      </c>
      <c r="P980" s="22">
        <f t="shared" si="250"/>
        <v>1501.4999999999998</v>
      </c>
    </row>
    <row r="981" spans="1:16" ht="15.75" thickBot="1" x14ac:dyDescent="0.3">
      <c r="A981" s="90"/>
      <c r="B981" s="23" t="s">
        <v>726</v>
      </c>
      <c r="C981" s="23" t="s">
        <v>727</v>
      </c>
      <c r="D981" s="23">
        <v>99</v>
      </c>
      <c r="E981" s="23" t="s">
        <v>15</v>
      </c>
      <c r="F981" s="23">
        <v>1</v>
      </c>
      <c r="G981" s="23" t="s">
        <v>21</v>
      </c>
      <c r="H981" s="23" t="s">
        <v>17</v>
      </c>
      <c r="I981" s="24" t="s">
        <v>729</v>
      </c>
      <c r="J981" s="23" t="s">
        <v>730</v>
      </c>
      <c r="K981" s="23">
        <v>3</v>
      </c>
      <c r="L981" s="23" t="s">
        <v>24</v>
      </c>
      <c r="M981" s="25">
        <v>10000</v>
      </c>
      <c r="N981" s="23" t="s">
        <v>1</v>
      </c>
      <c r="O981" s="26">
        <f t="shared" si="249"/>
        <v>1</v>
      </c>
      <c r="P981" s="27">
        <f t="shared" si="250"/>
        <v>21000</v>
      </c>
    </row>
    <row r="982" spans="1:16" x14ac:dyDescent="0.25"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3"/>
      <c r="N982" s="1"/>
    </row>
    <row r="983" spans="1:16" ht="15.75" thickBot="1" x14ac:dyDescent="0.3"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3"/>
      <c r="N983" s="1"/>
      <c r="P983" s="11">
        <f>IFERROR(VLOOKUP($A984,'PROGRAMA MES '!$A:$B,2,0),0)</f>
        <v>19600</v>
      </c>
    </row>
    <row r="984" spans="1:16" x14ac:dyDescent="0.25">
      <c r="A984" s="89" t="str">
        <f>B984</f>
        <v>9675C</v>
      </c>
      <c r="B984" s="17" t="s">
        <v>731</v>
      </c>
      <c r="C984" s="17" t="s">
        <v>732</v>
      </c>
      <c r="D984" s="17">
        <v>99</v>
      </c>
      <c r="E984" s="17" t="s">
        <v>15</v>
      </c>
      <c r="F984" s="17">
        <v>1</v>
      </c>
      <c r="G984" s="17" t="s">
        <v>16</v>
      </c>
      <c r="H984" s="17" t="s">
        <v>17</v>
      </c>
      <c r="I984" s="18">
        <v>4001221</v>
      </c>
      <c r="J984" s="17" t="s">
        <v>716</v>
      </c>
      <c r="K984" s="17">
        <v>99</v>
      </c>
      <c r="L984" s="17" t="s">
        <v>15</v>
      </c>
      <c r="M984" s="17">
        <v>715</v>
      </c>
      <c r="N984" s="17" t="s">
        <v>1</v>
      </c>
      <c r="O984" s="20">
        <f t="shared" ref="O984:O988" si="251">M984/10000</f>
        <v>7.1499999999999994E-2</v>
      </c>
      <c r="P984" s="21">
        <f>O984*$P$983</f>
        <v>1401.3999999999999</v>
      </c>
    </row>
    <row r="985" spans="1:16" x14ac:dyDescent="0.25">
      <c r="A985" s="91"/>
      <c r="B985" s="13" t="s">
        <v>731</v>
      </c>
      <c r="C985" s="13" t="s">
        <v>732</v>
      </c>
      <c r="D985" s="13">
        <v>99</v>
      </c>
      <c r="E985" s="13" t="s">
        <v>15</v>
      </c>
      <c r="F985" s="13">
        <v>1</v>
      </c>
      <c r="G985" s="13" t="s">
        <v>16</v>
      </c>
      <c r="H985" s="13" t="s">
        <v>17</v>
      </c>
      <c r="I985" s="14">
        <v>4002827</v>
      </c>
      <c r="J985" s="13" t="s">
        <v>0</v>
      </c>
      <c r="K985" s="13">
        <v>99</v>
      </c>
      <c r="L985" s="13" t="s">
        <v>15</v>
      </c>
      <c r="M985" s="15">
        <v>1283.33</v>
      </c>
      <c r="N985" s="13" t="s">
        <v>2</v>
      </c>
      <c r="O985" s="16">
        <f t="shared" si="251"/>
        <v>0.128333</v>
      </c>
      <c r="P985" s="22">
        <f t="shared" ref="P985:P988" si="252">O985*$P$983</f>
        <v>2515.3268000000003</v>
      </c>
    </row>
    <row r="986" spans="1:16" x14ac:dyDescent="0.25">
      <c r="A986" s="91"/>
      <c r="B986" s="13" t="s">
        <v>731</v>
      </c>
      <c r="C986" s="13" t="s">
        <v>732</v>
      </c>
      <c r="D986" s="13">
        <v>99</v>
      </c>
      <c r="E986" s="13" t="s">
        <v>15</v>
      </c>
      <c r="F986" s="13">
        <v>1</v>
      </c>
      <c r="G986" s="13" t="s">
        <v>16</v>
      </c>
      <c r="H986" s="13" t="s">
        <v>17</v>
      </c>
      <c r="I986" s="14">
        <v>4007020</v>
      </c>
      <c r="J986" s="13" t="s">
        <v>733</v>
      </c>
      <c r="K986" s="13">
        <v>99</v>
      </c>
      <c r="L986" s="13" t="s">
        <v>15</v>
      </c>
      <c r="M986" s="15">
        <v>10000</v>
      </c>
      <c r="N986" s="13" t="s">
        <v>1</v>
      </c>
      <c r="O986" s="16">
        <f t="shared" si="251"/>
        <v>1</v>
      </c>
      <c r="P986" s="22">
        <f t="shared" si="252"/>
        <v>19600</v>
      </c>
    </row>
    <row r="987" spans="1:16" x14ac:dyDescent="0.25">
      <c r="A987" s="91"/>
      <c r="B987" s="13" t="s">
        <v>731</v>
      </c>
      <c r="C987" s="13" t="s">
        <v>732</v>
      </c>
      <c r="D987" s="13">
        <v>99</v>
      </c>
      <c r="E987" s="13" t="s">
        <v>15</v>
      </c>
      <c r="F987" s="13">
        <v>1</v>
      </c>
      <c r="G987" s="13" t="s">
        <v>16</v>
      </c>
      <c r="H987" s="13" t="s">
        <v>17</v>
      </c>
      <c r="I987" s="14">
        <v>4013164</v>
      </c>
      <c r="J987" s="13" t="s">
        <v>718</v>
      </c>
      <c r="K987" s="13">
        <v>99</v>
      </c>
      <c r="L987" s="13" t="s">
        <v>15</v>
      </c>
      <c r="M987" s="13">
        <v>715</v>
      </c>
      <c r="N987" s="13" t="s">
        <v>1</v>
      </c>
      <c r="O987" s="16">
        <f t="shared" si="251"/>
        <v>7.1499999999999994E-2</v>
      </c>
      <c r="P987" s="22">
        <f t="shared" si="252"/>
        <v>1401.3999999999999</v>
      </c>
    </row>
    <row r="988" spans="1:16" ht="15.75" thickBot="1" x14ac:dyDescent="0.3">
      <c r="A988" s="90"/>
      <c r="B988" s="23" t="s">
        <v>731</v>
      </c>
      <c r="C988" s="23" t="s">
        <v>732</v>
      </c>
      <c r="D988" s="23">
        <v>99</v>
      </c>
      <c r="E988" s="23" t="s">
        <v>15</v>
      </c>
      <c r="F988" s="23">
        <v>1</v>
      </c>
      <c r="G988" s="23" t="s">
        <v>21</v>
      </c>
      <c r="H988" s="23" t="s">
        <v>17</v>
      </c>
      <c r="I988" s="24" t="s">
        <v>734</v>
      </c>
      <c r="J988" s="23" t="s">
        <v>735</v>
      </c>
      <c r="K988" s="23">
        <v>3</v>
      </c>
      <c r="L988" s="23" t="s">
        <v>24</v>
      </c>
      <c r="M988" s="25">
        <v>10000</v>
      </c>
      <c r="N988" s="23" t="s">
        <v>1</v>
      </c>
      <c r="O988" s="26">
        <f t="shared" si="251"/>
        <v>1</v>
      </c>
      <c r="P988" s="27">
        <f t="shared" si="252"/>
        <v>19600</v>
      </c>
    </row>
    <row r="989" spans="1:16" x14ac:dyDescent="0.25"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3"/>
      <c r="N989" s="1"/>
    </row>
    <row r="990" spans="1:16" ht="15.75" thickBot="1" x14ac:dyDescent="0.3"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3"/>
      <c r="N990" s="1"/>
      <c r="P990" s="11">
        <f>IFERROR(VLOOKUP($A991,'PROGRAMA MES '!$A:$B,2,0),0)</f>
        <v>0</v>
      </c>
    </row>
    <row r="991" spans="1:16" x14ac:dyDescent="0.25">
      <c r="A991" s="89" t="str">
        <f>B991</f>
        <v>9702R</v>
      </c>
      <c r="B991" s="17" t="s">
        <v>736</v>
      </c>
      <c r="C991" s="17" t="s">
        <v>737</v>
      </c>
      <c r="D991" s="17">
        <v>99</v>
      </c>
      <c r="E991" s="17" t="s">
        <v>15</v>
      </c>
      <c r="F991" s="17">
        <v>1</v>
      </c>
      <c r="G991" s="17" t="s">
        <v>35</v>
      </c>
      <c r="H991" s="17" t="s">
        <v>17</v>
      </c>
      <c r="I991" s="18">
        <v>3001643</v>
      </c>
      <c r="J991" s="17" t="s">
        <v>378</v>
      </c>
      <c r="K991" s="17">
        <v>99</v>
      </c>
      <c r="L991" s="17" t="s">
        <v>15</v>
      </c>
      <c r="M991" s="19">
        <v>10000</v>
      </c>
      <c r="N991" s="17" t="s">
        <v>1</v>
      </c>
      <c r="O991" s="20">
        <f t="shared" ref="O991:O997" si="253">M991/10000</f>
        <v>1</v>
      </c>
      <c r="P991" s="21">
        <f>O991*$P$990</f>
        <v>0</v>
      </c>
    </row>
    <row r="992" spans="1:16" x14ac:dyDescent="0.25">
      <c r="A992" s="91"/>
      <c r="B992" s="13" t="s">
        <v>736</v>
      </c>
      <c r="C992" s="13" t="s">
        <v>737</v>
      </c>
      <c r="D992" s="13">
        <v>99</v>
      </c>
      <c r="E992" s="13" t="s">
        <v>15</v>
      </c>
      <c r="F992" s="13">
        <v>1</v>
      </c>
      <c r="G992" s="13" t="s">
        <v>35</v>
      </c>
      <c r="H992" s="13" t="s">
        <v>17</v>
      </c>
      <c r="I992" s="14">
        <v>3004630</v>
      </c>
      <c r="J992" s="13" t="s">
        <v>382</v>
      </c>
      <c r="K992" s="13">
        <v>99</v>
      </c>
      <c r="L992" s="13" t="s">
        <v>15</v>
      </c>
      <c r="M992" s="15">
        <v>10000</v>
      </c>
      <c r="N992" s="13" t="s">
        <v>1</v>
      </c>
      <c r="O992" s="16">
        <f t="shared" si="253"/>
        <v>1</v>
      </c>
      <c r="P992" s="22">
        <f t="shared" ref="P992:P997" si="254">O992*$P$990</f>
        <v>0</v>
      </c>
    </row>
    <row r="993" spans="1:16" x14ac:dyDescent="0.25">
      <c r="A993" s="91"/>
      <c r="B993" s="13" t="s">
        <v>736</v>
      </c>
      <c r="C993" s="13" t="s">
        <v>737</v>
      </c>
      <c r="D993" s="13">
        <v>99</v>
      </c>
      <c r="E993" s="13" t="s">
        <v>15</v>
      </c>
      <c r="F993" s="13">
        <v>1</v>
      </c>
      <c r="G993" s="13" t="s">
        <v>16</v>
      </c>
      <c r="H993" s="13" t="s">
        <v>17</v>
      </c>
      <c r="I993" s="14">
        <v>4002546</v>
      </c>
      <c r="J993" s="13" t="s">
        <v>179</v>
      </c>
      <c r="K993" s="13">
        <v>99</v>
      </c>
      <c r="L993" s="13" t="s">
        <v>15</v>
      </c>
      <c r="M993" s="13">
        <v>100</v>
      </c>
      <c r="N993" s="13" t="s">
        <v>1</v>
      </c>
      <c r="O993" s="16">
        <f t="shared" si="253"/>
        <v>0.01</v>
      </c>
      <c r="P993" s="22">
        <f t="shared" si="254"/>
        <v>0</v>
      </c>
    </row>
    <row r="994" spans="1:16" x14ac:dyDescent="0.25">
      <c r="A994" s="91"/>
      <c r="B994" s="13" t="s">
        <v>736</v>
      </c>
      <c r="C994" s="13" t="s">
        <v>737</v>
      </c>
      <c r="D994" s="13">
        <v>99</v>
      </c>
      <c r="E994" s="13" t="s">
        <v>15</v>
      </c>
      <c r="F994" s="13">
        <v>1</v>
      </c>
      <c r="G994" s="13" t="s">
        <v>16</v>
      </c>
      <c r="H994" s="13" t="s">
        <v>17</v>
      </c>
      <c r="I994" s="14">
        <v>4004780</v>
      </c>
      <c r="J994" s="13" t="s">
        <v>384</v>
      </c>
      <c r="K994" s="13">
        <v>99</v>
      </c>
      <c r="L994" s="13" t="s">
        <v>15</v>
      </c>
      <c r="M994" s="15">
        <v>10000</v>
      </c>
      <c r="N994" s="13" t="s">
        <v>1</v>
      </c>
      <c r="O994" s="16">
        <f t="shared" si="253"/>
        <v>1</v>
      </c>
      <c r="P994" s="22">
        <f t="shared" si="254"/>
        <v>0</v>
      </c>
    </row>
    <row r="995" spans="1:16" x14ac:dyDescent="0.25">
      <c r="A995" s="91"/>
      <c r="B995" s="13" t="s">
        <v>736</v>
      </c>
      <c r="C995" s="13" t="s">
        <v>737</v>
      </c>
      <c r="D995" s="13">
        <v>99</v>
      </c>
      <c r="E995" s="13" t="s">
        <v>15</v>
      </c>
      <c r="F995" s="13">
        <v>1</v>
      </c>
      <c r="G995" s="13" t="s">
        <v>16</v>
      </c>
      <c r="H995" s="13" t="s">
        <v>17</v>
      </c>
      <c r="I995" s="14">
        <v>4005245</v>
      </c>
      <c r="J995" s="13" t="s">
        <v>738</v>
      </c>
      <c r="K995" s="13">
        <v>99</v>
      </c>
      <c r="L995" s="13" t="s">
        <v>15</v>
      </c>
      <c r="M995" s="13">
        <v>715</v>
      </c>
      <c r="N995" s="13" t="s">
        <v>1</v>
      </c>
      <c r="O995" s="16">
        <f t="shared" si="253"/>
        <v>7.1499999999999994E-2</v>
      </c>
      <c r="P995" s="22">
        <f t="shared" si="254"/>
        <v>0</v>
      </c>
    </row>
    <row r="996" spans="1:16" x14ac:dyDescent="0.25">
      <c r="A996" s="91"/>
      <c r="B996" s="13" t="s">
        <v>736</v>
      </c>
      <c r="C996" s="13" t="s">
        <v>737</v>
      </c>
      <c r="D996" s="13">
        <v>99</v>
      </c>
      <c r="E996" s="13" t="s">
        <v>15</v>
      </c>
      <c r="F996" s="13">
        <v>1</v>
      </c>
      <c r="G996" s="13" t="s">
        <v>16</v>
      </c>
      <c r="H996" s="13" t="s">
        <v>17</v>
      </c>
      <c r="I996" s="14">
        <v>4005287</v>
      </c>
      <c r="J996" s="13" t="s">
        <v>739</v>
      </c>
      <c r="K996" s="13">
        <v>99</v>
      </c>
      <c r="L996" s="13" t="s">
        <v>15</v>
      </c>
      <c r="M996" s="15">
        <v>10000</v>
      </c>
      <c r="N996" s="13" t="s">
        <v>1</v>
      </c>
      <c r="O996" s="16">
        <f t="shared" si="253"/>
        <v>1</v>
      </c>
      <c r="P996" s="22">
        <f t="shared" si="254"/>
        <v>0</v>
      </c>
    </row>
    <row r="997" spans="1:16" ht="15.75" thickBot="1" x14ac:dyDescent="0.3">
      <c r="A997" s="90"/>
      <c r="B997" s="23" t="s">
        <v>736</v>
      </c>
      <c r="C997" s="23" t="s">
        <v>737</v>
      </c>
      <c r="D997" s="23">
        <v>99</v>
      </c>
      <c r="E997" s="23" t="s">
        <v>15</v>
      </c>
      <c r="F997" s="23">
        <v>1</v>
      </c>
      <c r="G997" s="23" t="s">
        <v>16</v>
      </c>
      <c r="H997" s="23" t="s">
        <v>17</v>
      </c>
      <c r="I997" s="24">
        <v>4016160</v>
      </c>
      <c r="J997" s="23" t="s">
        <v>69</v>
      </c>
      <c r="K997" s="23">
        <v>99</v>
      </c>
      <c r="L997" s="23" t="s">
        <v>15</v>
      </c>
      <c r="M997" s="23">
        <v>10</v>
      </c>
      <c r="N997" s="23" t="s">
        <v>3</v>
      </c>
      <c r="O997" s="26">
        <f t="shared" si="253"/>
        <v>1E-3</v>
      </c>
      <c r="P997" s="27">
        <f t="shared" si="254"/>
        <v>0</v>
      </c>
    </row>
    <row r="998" spans="1:16" x14ac:dyDescent="0.25">
      <c r="B998" s="1"/>
      <c r="C998" s="1"/>
      <c r="D998" s="1"/>
      <c r="E998" s="1"/>
      <c r="F998" s="1"/>
      <c r="G998" s="1"/>
      <c r="H998" s="1"/>
      <c r="I998" s="2"/>
      <c r="J998" s="1"/>
      <c r="K998" s="1"/>
      <c r="L998" s="1"/>
      <c r="M998" s="1"/>
      <c r="N998" s="1"/>
    </row>
    <row r="999" spans="1:16" ht="15.75" thickBot="1" x14ac:dyDescent="0.3">
      <c r="B999" s="1"/>
      <c r="C999" s="1"/>
      <c r="D999" s="1"/>
      <c r="E999" s="1"/>
      <c r="F999" s="1"/>
      <c r="G999" s="1"/>
      <c r="H999" s="1"/>
      <c r="I999" s="2"/>
      <c r="J999" s="1"/>
      <c r="K999" s="1"/>
      <c r="L999" s="1"/>
      <c r="M999" s="1"/>
      <c r="N999" s="1"/>
      <c r="P999" s="11">
        <f>IFERROR(VLOOKUP($A1000,'PROGRAMA MES '!$A:$B,2,0),0)</f>
        <v>0</v>
      </c>
    </row>
    <row r="1000" spans="1:16" x14ac:dyDescent="0.25">
      <c r="A1000" s="89" t="str">
        <f>B1000</f>
        <v>SP1022BR</v>
      </c>
      <c r="B1000" s="17" t="s">
        <v>740</v>
      </c>
      <c r="C1000" s="17" t="s">
        <v>741</v>
      </c>
      <c r="D1000" s="17">
        <v>3</v>
      </c>
      <c r="E1000" s="17" t="s">
        <v>24</v>
      </c>
      <c r="F1000" s="17">
        <v>1</v>
      </c>
      <c r="G1000" s="17" t="s">
        <v>16</v>
      </c>
      <c r="H1000" s="17" t="s">
        <v>17</v>
      </c>
      <c r="I1000" s="18">
        <v>4013770</v>
      </c>
      <c r="J1000" s="17" t="s">
        <v>742</v>
      </c>
      <c r="K1000" s="17">
        <v>99</v>
      </c>
      <c r="L1000" s="17" t="s">
        <v>15</v>
      </c>
      <c r="M1000" s="17">
        <v>84</v>
      </c>
      <c r="N1000" s="17" t="s">
        <v>1</v>
      </c>
      <c r="O1000" s="20">
        <f t="shared" ref="O1000:O1002" si="255">M1000/10000</f>
        <v>8.3999999999999995E-3</v>
      </c>
      <c r="P1000" s="21">
        <f>O1000*$P$999</f>
        <v>0</v>
      </c>
    </row>
    <row r="1001" spans="1:16" x14ac:dyDescent="0.25">
      <c r="A1001" s="91"/>
      <c r="B1001" s="13" t="s">
        <v>740</v>
      </c>
      <c r="C1001" s="13" t="s">
        <v>741</v>
      </c>
      <c r="D1001" s="13">
        <v>3</v>
      </c>
      <c r="E1001" s="13" t="s">
        <v>24</v>
      </c>
      <c r="F1001" s="13">
        <v>1</v>
      </c>
      <c r="G1001" s="13" t="s">
        <v>16</v>
      </c>
      <c r="H1001" s="13" t="s">
        <v>17</v>
      </c>
      <c r="I1001" s="14">
        <v>4016160</v>
      </c>
      <c r="J1001" s="13" t="s">
        <v>69</v>
      </c>
      <c r="K1001" s="13">
        <v>99</v>
      </c>
      <c r="L1001" s="13" t="s">
        <v>15</v>
      </c>
      <c r="M1001" s="13">
        <v>20</v>
      </c>
      <c r="N1001" s="13" t="s">
        <v>3</v>
      </c>
      <c r="O1001" s="16">
        <f t="shared" si="255"/>
        <v>2E-3</v>
      </c>
      <c r="P1001" s="22">
        <f>O1001*$P$999</f>
        <v>0</v>
      </c>
    </row>
    <row r="1002" spans="1:16" ht="15.75" thickBot="1" x14ac:dyDescent="0.3">
      <c r="A1002" s="90"/>
      <c r="B1002" s="23" t="s">
        <v>740</v>
      </c>
      <c r="C1002" s="23" t="s">
        <v>741</v>
      </c>
      <c r="D1002" s="23">
        <v>3</v>
      </c>
      <c r="E1002" s="23" t="s">
        <v>24</v>
      </c>
      <c r="F1002" s="23">
        <v>1</v>
      </c>
      <c r="G1002" s="23" t="s">
        <v>21</v>
      </c>
      <c r="H1002" s="23" t="s">
        <v>17</v>
      </c>
      <c r="I1002" s="24" t="s">
        <v>743</v>
      </c>
      <c r="J1002" s="23" t="s">
        <v>744</v>
      </c>
      <c r="K1002" s="23">
        <v>3</v>
      </c>
      <c r="L1002" s="23" t="s">
        <v>24</v>
      </c>
      <c r="M1002" s="25">
        <v>10000</v>
      </c>
      <c r="N1002" s="23" t="s">
        <v>1</v>
      </c>
      <c r="O1002" s="26">
        <f t="shared" si="255"/>
        <v>1</v>
      </c>
      <c r="P1002" s="27">
        <f>O1002*$P$999</f>
        <v>0</v>
      </c>
    </row>
    <row r="1003" spans="1:16" x14ac:dyDescent="0.25">
      <c r="B1003" s="1"/>
      <c r="C1003" s="1"/>
      <c r="D1003" s="1"/>
      <c r="E1003" s="1"/>
      <c r="F1003" s="1"/>
      <c r="G1003" s="1"/>
      <c r="H1003" s="1"/>
      <c r="I1003" s="2"/>
      <c r="J1003" s="1"/>
      <c r="K1003" s="1"/>
      <c r="L1003" s="1"/>
      <c r="M1003" s="3"/>
      <c r="N1003" s="1"/>
    </row>
    <row r="1004" spans="1:16" ht="15.75" thickBot="1" x14ac:dyDescent="0.3">
      <c r="B1004" s="1"/>
      <c r="C1004" s="1"/>
      <c r="D1004" s="1"/>
      <c r="E1004" s="1"/>
      <c r="F1004" s="1"/>
      <c r="G1004" s="1"/>
      <c r="H1004" s="1"/>
      <c r="I1004" s="2"/>
      <c r="J1004" s="1"/>
      <c r="K1004" s="1"/>
      <c r="L1004" s="1"/>
      <c r="M1004" s="3"/>
      <c r="N1004" s="1"/>
      <c r="P1004" s="11">
        <f>IFERROR(VLOOKUP($A1005,'PROGRAMA MES '!$A:$B,2,0),0)</f>
        <v>12000</v>
      </c>
    </row>
    <row r="1005" spans="1:16" x14ac:dyDescent="0.25">
      <c r="A1005" s="89" t="str">
        <f>B1005</f>
        <v>SP1022F</v>
      </c>
      <c r="B1005" s="17" t="s">
        <v>745</v>
      </c>
      <c r="C1005" s="17" t="s">
        <v>746</v>
      </c>
      <c r="D1005" s="17">
        <v>99</v>
      </c>
      <c r="E1005" s="17" t="s">
        <v>15</v>
      </c>
      <c r="F1005" s="17">
        <v>1</v>
      </c>
      <c r="G1005" s="17" t="s">
        <v>16</v>
      </c>
      <c r="H1005" s="17" t="s">
        <v>17</v>
      </c>
      <c r="I1005" s="18">
        <v>4013770</v>
      </c>
      <c r="J1005" s="17" t="s">
        <v>742</v>
      </c>
      <c r="K1005" s="17">
        <v>99</v>
      </c>
      <c r="L1005" s="17" t="s">
        <v>15</v>
      </c>
      <c r="M1005" s="17">
        <v>84</v>
      </c>
      <c r="N1005" s="17" t="s">
        <v>1</v>
      </c>
      <c r="O1005" s="20">
        <f t="shared" ref="O1005:O1007" si="256">M1005/10000</f>
        <v>8.3999999999999995E-3</v>
      </c>
      <c r="P1005" s="21">
        <f>O1005*$P$1004</f>
        <v>100.8</v>
      </c>
    </row>
    <row r="1006" spans="1:16" x14ac:dyDescent="0.25">
      <c r="A1006" s="91"/>
      <c r="B1006" s="13" t="s">
        <v>745</v>
      </c>
      <c r="C1006" s="13" t="s">
        <v>746</v>
      </c>
      <c r="D1006" s="13">
        <v>99</v>
      </c>
      <c r="E1006" s="13" t="s">
        <v>15</v>
      </c>
      <c r="F1006" s="13">
        <v>1</v>
      </c>
      <c r="G1006" s="13" t="s">
        <v>16</v>
      </c>
      <c r="H1006" s="13" t="s">
        <v>17</v>
      </c>
      <c r="I1006" s="14">
        <v>4016160</v>
      </c>
      <c r="J1006" s="13" t="s">
        <v>69</v>
      </c>
      <c r="K1006" s="13">
        <v>99</v>
      </c>
      <c r="L1006" s="13" t="s">
        <v>15</v>
      </c>
      <c r="M1006" s="13">
        <v>20</v>
      </c>
      <c r="N1006" s="13" t="s">
        <v>3</v>
      </c>
      <c r="O1006" s="16">
        <f t="shared" si="256"/>
        <v>2E-3</v>
      </c>
      <c r="P1006" s="22">
        <f t="shared" ref="P1006:P1007" si="257">O1006*$P$1004</f>
        <v>24</v>
      </c>
    </row>
    <row r="1007" spans="1:16" ht="15.75" thickBot="1" x14ac:dyDescent="0.3">
      <c r="A1007" s="90"/>
      <c r="B1007" s="23" t="s">
        <v>745</v>
      </c>
      <c r="C1007" s="23" t="s">
        <v>746</v>
      </c>
      <c r="D1007" s="23">
        <v>99</v>
      </c>
      <c r="E1007" s="23" t="s">
        <v>15</v>
      </c>
      <c r="F1007" s="23">
        <v>1</v>
      </c>
      <c r="G1007" s="23" t="s">
        <v>21</v>
      </c>
      <c r="H1007" s="23" t="s">
        <v>17</v>
      </c>
      <c r="I1007" s="24" t="s">
        <v>747</v>
      </c>
      <c r="J1007" s="23" t="s">
        <v>748</v>
      </c>
      <c r="K1007" s="23">
        <v>3</v>
      </c>
      <c r="L1007" s="23" t="s">
        <v>24</v>
      </c>
      <c r="M1007" s="25">
        <v>10000</v>
      </c>
      <c r="N1007" s="23" t="s">
        <v>1</v>
      </c>
      <c r="O1007" s="26">
        <f t="shared" si="256"/>
        <v>1</v>
      </c>
      <c r="P1007" s="27">
        <f t="shared" si="257"/>
        <v>12000</v>
      </c>
    </row>
    <row r="1008" spans="1:16" x14ac:dyDescent="0.25">
      <c r="B1008" s="1"/>
      <c r="C1008" s="1"/>
      <c r="D1008" s="1"/>
      <c r="E1008" s="1"/>
      <c r="F1008" s="1"/>
      <c r="G1008" s="1"/>
      <c r="H1008" s="1"/>
      <c r="I1008" s="2"/>
      <c r="J1008" s="1"/>
      <c r="K1008" s="1"/>
      <c r="L1008" s="1"/>
      <c r="M1008" s="3"/>
      <c r="N1008" s="1"/>
    </row>
    <row r="1009" spans="1:16" ht="15.75" thickBot="1" x14ac:dyDescent="0.3">
      <c r="B1009" s="1"/>
      <c r="C1009" s="1"/>
      <c r="D1009" s="1"/>
      <c r="E1009" s="1"/>
      <c r="F1009" s="1"/>
      <c r="G1009" s="1"/>
      <c r="H1009" s="1"/>
      <c r="I1009" s="2"/>
      <c r="J1009" s="1"/>
      <c r="K1009" s="1"/>
      <c r="L1009" s="1"/>
      <c r="M1009" s="3"/>
      <c r="N1009" s="1"/>
      <c r="P1009" s="11">
        <f>IFERROR(VLOOKUP($A1010,'PROGRAMA MES '!$A:$B,2,0),0)</f>
        <v>40000</v>
      </c>
    </row>
    <row r="1010" spans="1:16" x14ac:dyDescent="0.25">
      <c r="A1010" s="89" t="str">
        <f>B1010</f>
        <v>SP1026BR</v>
      </c>
      <c r="B1010" s="17" t="s">
        <v>749</v>
      </c>
      <c r="C1010" s="17" t="s">
        <v>750</v>
      </c>
      <c r="D1010" s="17">
        <v>99</v>
      </c>
      <c r="E1010" s="17" t="s">
        <v>15</v>
      </c>
      <c r="F1010" s="17">
        <v>1</v>
      </c>
      <c r="G1010" s="17" t="s">
        <v>16</v>
      </c>
      <c r="H1010" s="17" t="s">
        <v>17</v>
      </c>
      <c r="I1010" s="18">
        <v>4003642</v>
      </c>
      <c r="J1010" s="17" t="s">
        <v>751</v>
      </c>
      <c r="K1010" s="17">
        <v>99</v>
      </c>
      <c r="L1010" s="17" t="s">
        <v>15</v>
      </c>
      <c r="M1010" s="17">
        <v>100</v>
      </c>
      <c r="N1010" s="17" t="s">
        <v>1</v>
      </c>
      <c r="O1010" s="20">
        <f t="shared" ref="O1010:O1012" si="258">M1010/10000</f>
        <v>0.01</v>
      </c>
      <c r="P1010" s="21">
        <f>O1010*$P$1009</f>
        <v>400</v>
      </c>
    </row>
    <row r="1011" spans="1:16" x14ac:dyDescent="0.25">
      <c r="A1011" s="91"/>
      <c r="B1011" s="13" t="s">
        <v>749</v>
      </c>
      <c r="C1011" s="13" t="s">
        <v>750</v>
      </c>
      <c r="D1011" s="13">
        <v>99</v>
      </c>
      <c r="E1011" s="13" t="s">
        <v>15</v>
      </c>
      <c r="F1011" s="13">
        <v>1</v>
      </c>
      <c r="G1011" s="13" t="s">
        <v>16</v>
      </c>
      <c r="H1011" s="13" t="s">
        <v>17</v>
      </c>
      <c r="I1011" s="14">
        <v>4016160</v>
      </c>
      <c r="J1011" s="13" t="s">
        <v>69</v>
      </c>
      <c r="K1011" s="13">
        <v>99</v>
      </c>
      <c r="L1011" s="13" t="s">
        <v>15</v>
      </c>
      <c r="M1011" s="13">
        <v>20</v>
      </c>
      <c r="N1011" s="13" t="s">
        <v>3</v>
      </c>
      <c r="O1011" s="16">
        <f t="shared" si="258"/>
        <v>2E-3</v>
      </c>
      <c r="P1011" s="22">
        <f t="shared" ref="P1011:P1012" si="259">O1011*$P$1009</f>
        <v>80</v>
      </c>
    </row>
    <row r="1012" spans="1:16" ht="15.75" thickBot="1" x14ac:dyDescent="0.3">
      <c r="A1012" s="90"/>
      <c r="B1012" s="23" t="s">
        <v>749</v>
      </c>
      <c r="C1012" s="23" t="s">
        <v>750</v>
      </c>
      <c r="D1012" s="23">
        <v>99</v>
      </c>
      <c r="E1012" s="23" t="s">
        <v>15</v>
      </c>
      <c r="F1012" s="23">
        <v>1</v>
      </c>
      <c r="G1012" s="23" t="s">
        <v>21</v>
      </c>
      <c r="H1012" s="23" t="s">
        <v>17</v>
      </c>
      <c r="I1012" s="24" t="s">
        <v>752</v>
      </c>
      <c r="J1012" s="23" t="s">
        <v>753</v>
      </c>
      <c r="K1012" s="23">
        <v>3</v>
      </c>
      <c r="L1012" s="23" t="s">
        <v>24</v>
      </c>
      <c r="M1012" s="25">
        <v>10000</v>
      </c>
      <c r="N1012" s="23" t="s">
        <v>1</v>
      </c>
      <c r="O1012" s="26">
        <f t="shared" si="258"/>
        <v>1</v>
      </c>
      <c r="P1012" s="27">
        <f t="shared" si="259"/>
        <v>40000</v>
      </c>
    </row>
    <row r="1013" spans="1:16" x14ac:dyDescent="0.25">
      <c r="B1013" s="1"/>
      <c r="C1013" s="1"/>
      <c r="D1013" s="1"/>
      <c r="E1013" s="1"/>
      <c r="F1013" s="1"/>
      <c r="G1013" s="1"/>
      <c r="H1013" s="1"/>
      <c r="I1013" s="2"/>
      <c r="J1013" s="1"/>
      <c r="K1013" s="1"/>
      <c r="L1013" s="1"/>
      <c r="M1013" s="3"/>
      <c r="N1013" s="1"/>
    </row>
    <row r="1014" spans="1:16" ht="15.75" thickBot="1" x14ac:dyDescent="0.3">
      <c r="B1014" s="1"/>
      <c r="C1014" s="1"/>
      <c r="D1014" s="1"/>
      <c r="E1014" s="1"/>
      <c r="F1014" s="1"/>
      <c r="G1014" s="1"/>
      <c r="H1014" s="1"/>
      <c r="I1014" s="2"/>
      <c r="J1014" s="1"/>
      <c r="K1014" s="1"/>
      <c r="L1014" s="1"/>
      <c r="M1014" s="3"/>
      <c r="N1014" s="1"/>
      <c r="P1014" s="11">
        <f>IFERROR(VLOOKUP($A1015,'PROGRAMA MES '!$A:$B,2,0),0)</f>
        <v>15000</v>
      </c>
    </row>
    <row r="1015" spans="1:16" x14ac:dyDescent="0.25">
      <c r="A1015" s="89" t="str">
        <f>B1015</f>
        <v>SP1026G</v>
      </c>
      <c r="B1015" s="17" t="s">
        <v>754</v>
      </c>
      <c r="C1015" s="17" t="s">
        <v>755</v>
      </c>
      <c r="D1015" s="17">
        <v>99</v>
      </c>
      <c r="E1015" s="17" t="s">
        <v>15</v>
      </c>
      <c r="F1015" s="17">
        <v>1</v>
      </c>
      <c r="G1015" s="17" t="s">
        <v>16</v>
      </c>
      <c r="H1015" s="17" t="s">
        <v>17</v>
      </c>
      <c r="I1015" s="18">
        <v>4013770</v>
      </c>
      <c r="J1015" s="17" t="s">
        <v>742</v>
      </c>
      <c r="K1015" s="17">
        <v>99</v>
      </c>
      <c r="L1015" s="17" t="s">
        <v>15</v>
      </c>
      <c r="M1015" s="17">
        <v>100</v>
      </c>
      <c r="N1015" s="17" t="s">
        <v>1</v>
      </c>
      <c r="O1015" s="20">
        <f t="shared" ref="O1015:O1020" si="260">M1015/10000</f>
        <v>0.01</v>
      </c>
      <c r="P1015" s="21">
        <f>O1015*$P$1014</f>
        <v>150</v>
      </c>
    </row>
    <row r="1016" spans="1:16" x14ac:dyDescent="0.25">
      <c r="A1016" s="91"/>
      <c r="B1016" s="13" t="s">
        <v>754</v>
      </c>
      <c r="C1016" s="13" t="s">
        <v>755</v>
      </c>
      <c r="D1016" s="13">
        <v>99</v>
      </c>
      <c r="E1016" s="13" t="s">
        <v>15</v>
      </c>
      <c r="F1016" s="13">
        <v>1</v>
      </c>
      <c r="G1016" s="13" t="s">
        <v>16</v>
      </c>
      <c r="H1016" s="13" t="s">
        <v>17</v>
      </c>
      <c r="I1016" s="14">
        <v>4016160</v>
      </c>
      <c r="J1016" s="13" t="s">
        <v>69</v>
      </c>
      <c r="K1016" s="13">
        <v>99</v>
      </c>
      <c r="L1016" s="13" t="s">
        <v>15</v>
      </c>
      <c r="M1016" s="13">
        <v>20</v>
      </c>
      <c r="N1016" s="13" t="s">
        <v>3</v>
      </c>
      <c r="O1016" s="16">
        <f t="shared" si="260"/>
        <v>2E-3</v>
      </c>
      <c r="P1016" s="22">
        <f t="shared" ref="P1016:P1020" si="261">O1016*$P$1014</f>
        <v>30</v>
      </c>
    </row>
    <row r="1017" spans="1:16" x14ac:dyDescent="0.25">
      <c r="A1017" s="91"/>
      <c r="B1017" s="13" t="s">
        <v>754</v>
      </c>
      <c r="C1017" s="13" t="s">
        <v>755</v>
      </c>
      <c r="D1017" s="13">
        <v>99</v>
      </c>
      <c r="E1017" s="13" t="s">
        <v>15</v>
      </c>
      <c r="F1017" s="13">
        <v>1</v>
      </c>
      <c r="G1017" s="13" t="s">
        <v>21</v>
      </c>
      <c r="H1017" s="13" t="s">
        <v>17</v>
      </c>
      <c r="I1017" s="14" t="s">
        <v>756</v>
      </c>
      <c r="J1017" s="13" t="s">
        <v>757</v>
      </c>
      <c r="K1017" s="13">
        <v>3</v>
      </c>
      <c r="L1017" s="13" t="s">
        <v>24</v>
      </c>
      <c r="M1017" s="15">
        <v>10000</v>
      </c>
      <c r="N1017" s="13" t="s">
        <v>1</v>
      </c>
      <c r="O1017" s="16">
        <f t="shared" si="260"/>
        <v>1</v>
      </c>
      <c r="P1017" s="22">
        <f t="shared" si="261"/>
        <v>15000</v>
      </c>
    </row>
    <row r="1018" spans="1:16" x14ac:dyDescent="0.25">
      <c r="A1018" s="91"/>
      <c r="B1018" s="13" t="s">
        <v>758</v>
      </c>
      <c r="C1018" s="13" t="s">
        <v>759</v>
      </c>
      <c r="D1018" s="13">
        <v>99</v>
      </c>
      <c r="E1018" s="13" t="s">
        <v>15</v>
      </c>
      <c r="F1018" s="13">
        <v>1</v>
      </c>
      <c r="G1018" s="13" t="s">
        <v>16</v>
      </c>
      <c r="H1018" s="13" t="s">
        <v>17</v>
      </c>
      <c r="I1018" s="14">
        <v>4013770</v>
      </c>
      <c r="J1018" s="13" t="s">
        <v>742</v>
      </c>
      <c r="K1018" s="13">
        <v>99</v>
      </c>
      <c r="L1018" s="13" t="s">
        <v>15</v>
      </c>
      <c r="M1018" s="13">
        <v>100</v>
      </c>
      <c r="N1018" s="13" t="s">
        <v>1</v>
      </c>
      <c r="O1018" s="16">
        <f t="shared" si="260"/>
        <v>0.01</v>
      </c>
      <c r="P1018" s="22">
        <f t="shared" si="261"/>
        <v>150</v>
      </c>
    </row>
    <row r="1019" spans="1:16" x14ac:dyDescent="0.25">
      <c r="A1019" s="91"/>
      <c r="B1019" s="13" t="s">
        <v>758</v>
      </c>
      <c r="C1019" s="13" t="s">
        <v>759</v>
      </c>
      <c r="D1019" s="13">
        <v>99</v>
      </c>
      <c r="E1019" s="13" t="s">
        <v>15</v>
      </c>
      <c r="F1019" s="13">
        <v>1</v>
      </c>
      <c r="G1019" s="13" t="s">
        <v>16</v>
      </c>
      <c r="H1019" s="13" t="s">
        <v>17</v>
      </c>
      <c r="I1019" s="14">
        <v>4016160</v>
      </c>
      <c r="J1019" s="13" t="s">
        <v>69</v>
      </c>
      <c r="K1019" s="13">
        <v>99</v>
      </c>
      <c r="L1019" s="13" t="s">
        <v>15</v>
      </c>
      <c r="M1019" s="13">
        <v>20</v>
      </c>
      <c r="N1019" s="13" t="s">
        <v>3</v>
      </c>
      <c r="O1019" s="16">
        <f t="shared" si="260"/>
        <v>2E-3</v>
      </c>
      <c r="P1019" s="22">
        <f t="shared" si="261"/>
        <v>30</v>
      </c>
    </row>
    <row r="1020" spans="1:16" ht="15.75" thickBot="1" x14ac:dyDescent="0.3">
      <c r="A1020" s="90"/>
      <c r="B1020" s="23" t="s">
        <v>758</v>
      </c>
      <c r="C1020" s="23" t="s">
        <v>759</v>
      </c>
      <c r="D1020" s="23">
        <v>99</v>
      </c>
      <c r="E1020" s="23" t="s">
        <v>15</v>
      </c>
      <c r="F1020" s="23">
        <v>1</v>
      </c>
      <c r="G1020" s="23" t="s">
        <v>21</v>
      </c>
      <c r="H1020" s="23" t="s">
        <v>17</v>
      </c>
      <c r="I1020" s="24" t="s">
        <v>760</v>
      </c>
      <c r="J1020" s="23" t="s">
        <v>761</v>
      </c>
      <c r="K1020" s="23">
        <v>3</v>
      </c>
      <c r="L1020" s="23" t="s">
        <v>24</v>
      </c>
      <c r="M1020" s="25">
        <v>10000</v>
      </c>
      <c r="N1020" s="23" t="s">
        <v>1</v>
      </c>
      <c r="O1020" s="26">
        <f t="shared" si="260"/>
        <v>1</v>
      </c>
      <c r="P1020" s="27">
        <f t="shared" si="261"/>
        <v>15000</v>
      </c>
    </row>
    <row r="1021" spans="1:16" x14ac:dyDescent="0.25">
      <c r="B1021" s="1"/>
      <c r="C1021" s="1"/>
      <c r="D1021" s="1"/>
      <c r="E1021" s="1"/>
      <c r="F1021" s="1"/>
      <c r="G1021" s="1"/>
      <c r="H1021" s="1"/>
      <c r="I1021" s="2"/>
      <c r="J1021" s="1"/>
      <c r="K1021" s="1"/>
      <c r="L1021" s="1"/>
      <c r="M1021" s="3"/>
      <c r="N1021" s="1"/>
    </row>
    <row r="1022" spans="1:16" ht="15.75" thickBot="1" x14ac:dyDescent="0.3">
      <c r="B1022" s="1"/>
      <c r="C1022" s="1"/>
      <c r="D1022" s="1"/>
      <c r="E1022" s="1"/>
      <c r="F1022" s="1"/>
      <c r="G1022" s="1"/>
      <c r="H1022" s="1"/>
      <c r="I1022" s="2"/>
      <c r="J1022" s="1"/>
      <c r="K1022" s="1"/>
      <c r="L1022" s="1"/>
      <c r="M1022" s="3"/>
      <c r="N1022" s="1"/>
      <c r="P1022" s="11">
        <f>IFERROR(VLOOKUP($A1023,'PROGRAMA MES '!$A:$B,2,0),0)</f>
        <v>40000</v>
      </c>
    </row>
    <row r="1023" spans="1:16" x14ac:dyDescent="0.25">
      <c r="A1023" s="89" t="str">
        <f>B1023</f>
        <v>SP1071B</v>
      </c>
      <c r="B1023" s="17" t="s">
        <v>762</v>
      </c>
      <c r="C1023" s="17" t="s">
        <v>763</v>
      </c>
      <c r="D1023" s="17">
        <v>99</v>
      </c>
      <c r="E1023" s="17" t="s">
        <v>15</v>
      </c>
      <c r="F1023" s="17">
        <v>1</v>
      </c>
      <c r="G1023" s="17" t="s">
        <v>16</v>
      </c>
      <c r="H1023" s="17" t="s">
        <v>17</v>
      </c>
      <c r="I1023" s="18">
        <v>4010722</v>
      </c>
      <c r="J1023" s="17" t="s">
        <v>764</v>
      </c>
      <c r="K1023" s="17">
        <v>99</v>
      </c>
      <c r="L1023" s="17" t="s">
        <v>15</v>
      </c>
      <c r="M1023" s="17">
        <v>50</v>
      </c>
      <c r="N1023" s="17" t="s">
        <v>1</v>
      </c>
      <c r="O1023" s="20">
        <f t="shared" ref="O1023:O1025" si="262">M1023/10000</f>
        <v>5.0000000000000001E-3</v>
      </c>
      <c r="P1023" s="21">
        <f>O1023*$P$1022</f>
        <v>200</v>
      </c>
    </row>
    <row r="1024" spans="1:16" x14ac:dyDescent="0.25">
      <c r="A1024" s="91"/>
      <c r="B1024" s="13" t="s">
        <v>762</v>
      </c>
      <c r="C1024" s="13" t="s">
        <v>763</v>
      </c>
      <c r="D1024" s="13">
        <v>99</v>
      </c>
      <c r="E1024" s="13" t="s">
        <v>15</v>
      </c>
      <c r="F1024" s="13">
        <v>1</v>
      </c>
      <c r="G1024" s="13" t="s">
        <v>16</v>
      </c>
      <c r="H1024" s="13" t="s">
        <v>17</v>
      </c>
      <c r="I1024" s="14">
        <v>4016160</v>
      </c>
      <c r="J1024" s="13" t="s">
        <v>69</v>
      </c>
      <c r="K1024" s="13">
        <v>99</v>
      </c>
      <c r="L1024" s="13" t="s">
        <v>15</v>
      </c>
      <c r="M1024" s="13">
        <v>20</v>
      </c>
      <c r="N1024" s="13" t="s">
        <v>3</v>
      </c>
      <c r="O1024" s="16">
        <f t="shared" si="262"/>
        <v>2E-3</v>
      </c>
      <c r="P1024" s="22">
        <f t="shared" ref="P1024:P1025" si="263">O1024*$P$1022</f>
        <v>80</v>
      </c>
    </row>
    <row r="1025" spans="1:16" ht="15.75" thickBot="1" x14ac:dyDescent="0.3">
      <c r="A1025" s="90"/>
      <c r="B1025" s="23" t="s">
        <v>762</v>
      </c>
      <c r="C1025" s="23" t="s">
        <v>763</v>
      </c>
      <c r="D1025" s="23">
        <v>99</v>
      </c>
      <c r="E1025" s="23" t="s">
        <v>15</v>
      </c>
      <c r="F1025" s="23">
        <v>1</v>
      </c>
      <c r="G1025" s="23" t="s">
        <v>21</v>
      </c>
      <c r="H1025" s="23" t="s">
        <v>17</v>
      </c>
      <c r="I1025" s="24" t="s">
        <v>765</v>
      </c>
      <c r="J1025" s="23" t="s">
        <v>766</v>
      </c>
      <c r="K1025" s="23">
        <v>3</v>
      </c>
      <c r="L1025" s="23" t="s">
        <v>24</v>
      </c>
      <c r="M1025" s="25">
        <v>10000</v>
      </c>
      <c r="N1025" s="23" t="s">
        <v>1</v>
      </c>
      <c r="O1025" s="26">
        <f t="shared" si="262"/>
        <v>1</v>
      </c>
      <c r="P1025" s="27">
        <f t="shared" si="263"/>
        <v>40000</v>
      </c>
    </row>
    <row r="1026" spans="1:16" x14ac:dyDescent="0.25">
      <c r="B1026" s="1"/>
      <c r="C1026" s="1"/>
      <c r="D1026" s="1"/>
      <c r="E1026" s="1"/>
      <c r="F1026" s="1"/>
      <c r="G1026" s="1"/>
      <c r="H1026" s="1"/>
      <c r="I1026" s="2"/>
      <c r="J1026" s="1"/>
      <c r="K1026" s="1"/>
      <c r="L1026" s="1"/>
      <c r="M1026" s="3"/>
      <c r="N1026" s="1"/>
    </row>
    <row r="1027" spans="1:16" ht="15.75" thickBot="1" x14ac:dyDescent="0.3">
      <c r="B1027" s="1"/>
      <c r="C1027" s="1"/>
      <c r="D1027" s="1"/>
      <c r="E1027" s="1"/>
      <c r="F1027" s="1"/>
      <c r="G1027" s="1"/>
      <c r="H1027" s="1"/>
      <c r="I1027" s="2"/>
      <c r="J1027" s="1"/>
      <c r="K1027" s="1"/>
      <c r="L1027" s="1"/>
      <c r="M1027" s="3"/>
      <c r="N1027" s="1"/>
      <c r="P1027" s="11">
        <f>IFERROR(VLOOKUP($A1028,'PROGRAMA MES '!$A:$B,2,0),0)</f>
        <v>21200</v>
      </c>
    </row>
    <row r="1028" spans="1:16" x14ac:dyDescent="0.25">
      <c r="A1028" s="89" t="str">
        <f>B1028</f>
        <v>SP110170</v>
      </c>
      <c r="B1028" s="17" t="s">
        <v>767</v>
      </c>
      <c r="C1028" s="17" t="s">
        <v>768</v>
      </c>
      <c r="D1028" s="17">
        <v>54</v>
      </c>
      <c r="E1028" s="17" t="s">
        <v>769</v>
      </c>
      <c r="F1028" s="17">
        <v>1</v>
      </c>
      <c r="G1028" s="17" t="s">
        <v>16</v>
      </c>
      <c r="H1028" s="17" t="s">
        <v>17</v>
      </c>
      <c r="I1028" s="18">
        <v>4013770</v>
      </c>
      <c r="J1028" s="17" t="s">
        <v>742</v>
      </c>
      <c r="K1028" s="17">
        <v>99</v>
      </c>
      <c r="L1028" s="17" t="s">
        <v>15</v>
      </c>
      <c r="M1028" s="17">
        <v>67</v>
      </c>
      <c r="N1028" s="17" t="s">
        <v>1</v>
      </c>
      <c r="O1028" s="20">
        <f t="shared" ref="O1028:O1029" si="264">M1028/10000</f>
        <v>6.7000000000000002E-3</v>
      </c>
      <c r="P1028" s="21">
        <f>O1028*$P$1027</f>
        <v>142.04</v>
      </c>
    </row>
    <row r="1029" spans="1:16" ht="15.75" thickBot="1" x14ac:dyDescent="0.3">
      <c r="A1029" s="90"/>
      <c r="B1029" s="23" t="s">
        <v>767</v>
      </c>
      <c r="C1029" s="23" t="s">
        <v>768</v>
      </c>
      <c r="D1029" s="23">
        <v>54</v>
      </c>
      <c r="E1029" s="23" t="s">
        <v>769</v>
      </c>
      <c r="F1029" s="23">
        <v>1</v>
      </c>
      <c r="G1029" s="23" t="s">
        <v>21</v>
      </c>
      <c r="H1029" s="23" t="s">
        <v>17</v>
      </c>
      <c r="I1029" s="24" t="s">
        <v>770</v>
      </c>
      <c r="J1029" s="23" t="s">
        <v>771</v>
      </c>
      <c r="K1029" s="23">
        <v>56</v>
      </c>
      <c r="L1029" s="23" t="s">
        <v>772</v>
      </c>
      <c r="M1029" s="25">
        <v>10000</v>
      </c>
      <c r="N1029" s="23" t="s">
        <v>1</v>
      </c>
      <c r="O1029" s="26">
        <f t="shared" si="264"/>
        <v>1</v>
      </c>
      <c r="P1029" s="27">
        <f>O1029*$P$1027</f>
        <v>21200</v>
      </c>
    </row>
    <row r="1030" spans="1:16" x14ac:dyDescent="0.25">
      <c r="B1030" s="1"/>
      <c r="C1030" s="1"/>
      <c r="D1030" s="1"/>
      <c r="E1030" s="1"/>
      <c r="F1030" s="1"/>
      <c r="G1030" s="1"/>
      <c r="H1030" s="1"/>
      <c r="I1030" s="2"/>
      <c r="J1030" s="1"/>
      <c r="K1030" s="1"/>
      <c r="L1030" s="1"/>
      <c r="M1030" s="3"/>
      <c r="N1030" s="1"/>
    </row>
    <row r="1031" spans="1:16" ht="15.75" thickBot="1" x14ac:dyDescent="0.3">
      <c r="B1031" s="1"/>
      <c r="C1031" s="1"/>
      <c r="D1031" s="1"/>
      <c r="E1031" s="1"/>
      <c r="F1031" s="1"/>
      <c r="G1031" s="1"/>
      <c r="H1031" s="1"/>
      <c r="I1031" s="2"/>
      <c r="J1031" s="1"/>
      <c r="K1031" s="1"/>
      <c r="L1031" s="1"/>
      <c r="M1031" s="3"/>
      <c r="N1031" s="1"/>
      <c r="P1031" s="11">
        <f>IFERROR(VLOOKUP($A1032,'PROGRAMA MES '!$A:$B,2,0),0)</f>
        <v>60</v>
      </c>
    </row>
    <row r="1032" spans="1:16" x14ac:dyDescent="0.25">
      <c r="A1032" s="89" t="str">
        <f>B1032</f>
        <v>SP11044BA</v>
      </c>
      <c r="B1032" s="17" t="s">
        <v>773</v>
      </c>
      <c r="C1032" s="17" t="s">
        <v>774</v>
      </c>
      <c r="D1032" s="17">
        <v>99</v>
      </c>
      <c r="E1032" s="17" t="s">
        <v>15</v>
      </c>
      <c r="F1032" s="17">
        <v>1</v>
      </c>
      <c r="G1032" s="17" t="s">
        <v>16</v>
      </c>
      <c r="H1032" s="17" t="s">
        <v>17</v>
      </c>
      <c r="I1032" s="18">
        <v>4002826</v>
      </c>
      <c r="J1032" s="17" t="s">
        <v>4</v>
      </c>
      <c r="K1032" s="17">
        <v>99</v>
      </c>
      <c r="L1032" s="17" t="s">
        <v>15</v>
      </c>
      <c r="M1032" s="17">
        <v>10</v>
      </c>
      <c r="N1032" s="17" t="s">
        <v>1</v>
      </c>
      <c r="O1032" s="20">
        <f t="shared" ref="O1032:O1107" si="265">M1032/10000</f>
        <v>1E-3</v>
      </c>
      <c r="P1032" s="21">
        <f>O1032*$P$1031</f>
        <v>0.06</v>
      </c>
    </row>
    <row r="1033" spans="1:16" x14ac:dyDescent="0.25">
      <c r="A1033" s="91"/>
      <c r="B1033" s="13" t="s">
        <v>773</v>
      </c>
      <c r="C1033" s="13" t="s">
        <v>774</v>
      </c>
      <c r="D1033" s="13">
        <v>99</v>
      </c>
      <c r="E1033" s="13" t="s">
        <v>15</v>
      </c>
      <c r="F1033" s="13">
        <v>1</v>
      </c>
      <c r="G1033" s="13" t="s">
        <v>16</v>
      </c>
      <c r="H1033" s="13" t="s">
        <v>17</v>
      </c>
      <c r="I1033" s="14">
        <v>4010025</v>
      </c>
      <c r="J1033" s="13" t="s">
        <v>775</v>
      </c>
      <c r="K1033" s="13">
        <v>99</v>
      </c>
      <c r="L1033" s="13" t="s">
        <v>15</v>
      </c>
      <c r="M1033" s="13">
        <v>500</v>
      </c>
      <c r="N1033" s="13" t="s">
        <v>1</v>
      </c>
      <c r="O1033" s="16">
        <f t="shared" si="265"/>
        <v>0.05</v>
      </c>
      <c r="P1033" s="22">
        <f>O1033*$P$1031</f>
        <v>3</v>
      </c>
    </row>
    <row r="1034" spans="1:16" ht="15.75" thickBot="1" x14ac:dyDescent="0.3">
      <c r="A1034" s="90"/>
      <c r="B1034" s="23" t="s">
        <v>773</v>
      </c>
      <c r="C1034" s="23" t="s">
        <v>774</v>
      </c>
      <c r="D1034" s="23">
        <v>99</v>
      </c>
      <c r="E1034" s="23" t="s">
        <v>15</v>
      </c>
      <c r="F1034" s="23">
        <v>1</v>
      </c>
      <c r="G1034" s="23" t="s">
        <v>21</v>
      </c>
      <c r="H1034" s="23" t="s">
        <v>17</v>
      </c>
      <c r="I1034" s="24" t="s">
        <v>776</v>
      </c>
      <c r="J1034" s="23" t="s">
        <v>774</v>
      </c>
      <c r="K1034" s="23">
        <v>3</v>
      </c>
      <c r="L1034" s="23" t="s">
        <v>24</v>
      </c>
      <c r="M1034" s="25">
        <v>10000</v>
      </c>
      <c r="N1034" s="23" t="s">
        <v>1</v>
      </c>
      <c r="O1034" s="26">
        <f t="shared" si="265"/>
        <v>1</v>
      </c>
      <c r="P1034" s="27">
        <f>O1034*$P$1031</f>
        <v>60</v>
      </c>
    </row>
    <row r="1035" spans="1:16" x14ac:dyDescent="0.25">
      <c r="B1035" s="1"/>
      <c r="C1035" s="1"/>
      <c r="D1035" s="1"/>
      <c r="E1035" s="1"/>
      <c r="F1035" s="1"/>
      <c r="G1035" s="1"/>
      <c r="H1035" s="1"/>
      <c r="I1035" s="2"/>
      <c r="J1035" s="1"/>
      <c r="K1035" s="1"/>
      <c r="L1035" s="1"/>
      <c r="M1035" s="3"/>
      <c r="N1035" s="1"/>
    </row>
    <row r="1036" spans="1:16" ht="15.75" thickBot="1" x14ac:dyDescent="0.3">
      <c r="B1036" s="1"/>
      <c r="C1036" s="1"/>
      <c r="D1036" s="1"/>
      <c r="E1036" s="1"/>
      <c r="F1036" s="1"/>
      <c r="G1036" s="1"/>
      <c r="H1036" s="1"/>
      <c r="I1036" s="2"/>
      <c r="J1036" s="1"/>
      <c r="K1036" s="1"/>
      <c r="L1036" s="1"/>
      <c r="M1036" s="3"/>
      <c r="N1036" s="1"/>
      <c r="P1036" s="11">
        <f>IFERROR(VLOOKUP($A1037,'PROGRAMA MES '!$A:$B,2,0),0)</f>
        <v>0</v>
      </c>
    </row>
    <row r="1037" spans="1:16" x14ac:dyDescent="0.25">
      <c r="A1037" s="89" t="str">
        <f>B1037</f>
        <v>SP11051BA</v>
      </c>
      <c r="B1037" s="17" t="s">
        <v>777</v>
      </c>
      <c r="C1037" s="17" t="s">
        <v>778</v>
      </c>
      <c r="D1037" s="17">
        <v>99</v>
      </c>
      <c r="E1037" s="17" t="s">
        <v>15</v>
      </c>
      <c r="F1037" s="17">
        <v>1</v>
      </c>
      <c r="G1037" s="17" t="s">
        <v>16</v>
      </c>
      <c r="H1037" s="17" t="s">
        <v>17</v>
      </c>
      <c r="I1037" s="18">
        <v>4002546</v>
      </c>
      <c r="J1037" s="17" t="s">
        <v>179</v>
      </c>
      <c r="K1037" s="17">
        <v>99</v>
      </c>
      <c r="L1037" s="17" t="s">
        <v>15</v>
      </c>
      <c r="M1037" s="17">
        <v>500</v>
      </c>
      <c r="N1037" s="17" t="s">
        <v>1</v>
      </c>
      <c r="O1037" s="20">
        <f t="shared" si="265"/>
        <v>0.05</v>
      </c>
      <c r="P1037" s="21">
        <f>O1037*$P$1036</f>
        <v>0</v>
      </c>
    </row>
    <row r="1038" spans="1:16" x14ac:dyDescent="0.25">
      <c r="A1038" s="91"/>
      <c r="B1038" s="13" t="s">
        <v>777</v>
      </c>
      <c r="C1038" s="13" t="s">
        <v>778</v>
      </c>
      <c r="D1038" s="13">
        <v>99</v>
      </c>
      <c r="E1038" s="13" t="s">
        <v>15</v>
      </c>
      <c r="F1038" s="13">
        <v>1</v>
      </c>
      <c r="G1038" s="13" t="s">
        <v>16</v>
      </c>
      <c r="H1038" s="13" t="s">
        <v>17</v>
      </c>
      <c r="I1038" s="14">
        <v>4002826</v>
      </c>
      <c r="J1038" s="13" t="s">
        <v>4</v>
      </c>
      <c r="K1038" s="13">
        <v>99</v>
      </c>
      <c r="L1038" s="13" t="s">
        <v>15</v>
      </c>
      <c r="M1038" s="13">
        <v>11</v>
      </c>
      <c r="N1038" s="13" t="s">
        <v>1</v>
      </c>
      <c r="O1038" s="16">
        <f t="shared" si="265"/>
        <v>1.1000000000000001E-3</v>
      </c>
      <c r="P1038" s="22">
        <f t="shared" ref="P1038:P1040" si="266">O1038*$P$1036</f>
        <v>0</v>
      </c>
    </row>
    <row r="1039" spans="1:16" x14ac:dyDescent="0.25">
      <c r="A1039" s="91"/>
      <c r="B1039" s="13" t="s">
        <v>777</v>
      </c>
      <c r="C1039" s="13" t="s">
        <v>778</v>
      </c>
      <c r="D1039" s="13">
        <v>99</v>
      </c>
      <c r="E1039" s="13" t="s">
        <v>15</v>
      </c>
      <c r="F1039" s="13">
        <v>1</v>
      </c>
      <c r="G1039" s="13" t="s">
        <v>16</v>
      </c>
      <c r="H1039" s="13" t="s">
        <v>17</v>
      </c>
      <c r="I1039" s="14">
        <v>4010773</v>
      </c>
      <c r="J1039" s="13" t="s">
        <v>779</v>
      </c>
      <c r="K1039" s="13">
        <v>99</v>
      </c>
      <c r="L1039" s="13" t="s">
        <v>15</v>
      </c>
      <c r="M1039" s="13">
        <v>500</v>
      </c>
      <c r="N1039" s="13" t="s">
        <v>1</v>
      </c>
      <c r="O1039" s="16">
        <f t="shared" si="265"/>
        <v>0.05</v>
      </c>
      <c r="P1039" s="22">
        <f t="shared" si="266"/>
        <v>0</v>
      </c>
    </row>
    <row r="1040" spans="1:16" ht="15.75" thickBot="1" x14ac:dyDescent="0.3">
      <c r="A1040" s="90"/>
      <c r="B1040" s="23" t="s">
        <v>777</v>
      </c>
      <c r="C1040" s="23" t="s">
        <v>778</v>
      </c>
      <c r="D1040" s="23">
        <v>99</v>
      </c>
      <c r="E1040" s="23" t="s">
        <v>15</v>
      </c>
      <c r="F1040" s="23">
        <v>1</v>
      </c>
      <c r="G1040" s="23" t="s">
        <v>21</v>
      </c>
      <c r="H1040" s="23" t="s">
        <v>17</v>
      </c>
      <c r="I1040" s="24" t="s">
        <v>780</v>
      </c>
      <c r="J1040" s="23" t="s">
        <v>778</v>
      </c>
      <c r="K1040" s="23">
        <v>3</v>
      </c>
      <c r="L1040" s="23" t="s">
        <v>24</v>
      </c>
      <c r="M1040" s="25">
        <v>10000</v>
      </c>
      <c r="N1040" s="23" t="s">
        <v>1</v>
      </c>
      <c r="O1040" s="26">
        <f t="shared" si="265"/>
        <v>1</v>
      </c>
      <c r="P1040" s="27">
        <f t="shared" si="266"/>
        <v>0</v>
      </c>
    </row>
    <row r="1041" spans="1:16" x14ac:dyDescent="0.25">
      <c r="B1041" s="1"/>
      <c r="C1041" s="1"/>
      <c r="D1041" s="1"/>
      <c r="E1041" s="1"/>
      <c r="F1041" s="1"/>
      <c r="G1041" s="1"/>
      <c r="H1041" s="1"/>
      <c r="I1041" s="2"/>
      <c r="J1041" s="1"/>
      <c r="K1041" s="1"/>
      <c r="L1041" s="1"/>
      <c r="M1041" s="3"/>
      <c r="N1041" s="1"/>
    </row>
    <row r="1042" spans="1:16" ht="15.75" thickBot="1" x14ac:dyDescent="0.3">
      <c r="B1042" s="1"/>
      <c r="C1042" s="1"/>
      <c r="D1042" s="1"/>
      <c r="E1042" s="1"/>
      <c r="F1042" s="1"/>
      <c r="G1042" s="1"/>
      <c r="H1042" s="1"/>
      <c r="I1042" s="2"/>
      <c r="J1042" s="1"/>
      <c r="K1042" s="1"/>
      <c r="L1042" s="1"/>
      <c r="M1042" s="3"/>
      <c r="N1042" s="1"/>
      <c r="P1042" s="11">
        <f>IFERROR(VLOOKUP($A1043,'PROGRAMA MES '!$A:$B,2,0),0)</f>
        <v>0</v>
      </c>
    </row>
    <row r="1043" spans="1:16" x14ac:dyDescent="0.25">
      <c r="A1043" s="89" t="str">
        <f>B1043</f>
        <v>SP12000100</v>
      </c>
      <c r="B1043" s="17" t="s">
        <v>781</v>
      </c>
      <c r="C1043" s="17" t="s">
        <v>782</v>
      </c>
      <c r="D1043" s="17">
        <v>99</v>
      </c>
      <c r="E1043" s="17" t="s">
        <v>15</v>
      </c>
      <c r="F1043" s="17">
        <v>1</v>
      </c>
      <c r="G1043" s="17" t="s">
        <v>16</v>
      </c>
      <c r="H1043" s="17" t="s">
        <v>17</v>
      </c>
      <c r="I1043" s="18">
        <v>4016923</v>
      </c>
      <c r="J1043" s="17" t="s">
        <v>783</v>
      </c>
      <c r="K1043" s="17">
        <v>99</v>
      </c>
      <c r="L1043" s="17" t="s">
        <v>15</v>
      </c>
      <c r="M1043" s="19">
        <v>10000</v>
      </c>
      <c r="N1043" s="17" t="s">
        <v>1</v>
      </c>
      <c r="O1043" s="20">
        <f t="shared" si="265"/>
        <v>1</v>
      </c>
      <c r="P1043" s="21">
        <f>O1043*$P$1042</f>
        <v>0</v>
      </c>
    </row>
    <row r="1044" spans="1:16" x14ac:dyDescent="0.25">
      <c r="A1044" s="91"/>
      <c r="B1044" s="13" t="s">
        <v>781</v>
      </c>
      <c r="C1044" s="13" t="s">
        <v>782</v>
      </c>
      <c r="D1044" s="13">
        <v>99</v>
      </c>
      <c r="E1044" s="13" t="s">
        <v>15</v>
      </c>
      <c r="F1044" s="13">
        <v>1</v>
      </c>
      <c r="G1044" s="13" t="s">
        <v>16</v>
      </c>
      <c r="H1044" s="13" t="s">
        <v>17</v>
      </c>
      <c r="I1044" s="14">
        <v>4016984</v>
      </c>
      <c r="J1044" s="13" t="s">
        <v>784</v>
      </c>
      <c r="K1044" s="13">
        <v>99</v>
      </c>
      <c r="L1044" s="13" t="s">
        <v>15</v>
      </c>
      <c r="M1044" s="15">
        <v>10000</v>
      </c>
      <c r="N1044" s="13" t="s">
        <v>1</v>
      </c>
      <c r="O1044" s="16">
        <f t="shared" si="265"/>
        <v>1</v>
      </c>
      <c r="P1044" s="22">
        <f t="shared" ref="P1044:P1045" si="267">O1044*$P$1042</f>
        <v>0</v>
      </c>
    </row>
    <row r="1045" spans="1:16" ht="15.75" thickBot="1" x14ac:dyDescent="0.3">
      <c r="A1045" s="90"/>
      <c r="B1045" s="23" t="s">
        <v>781</v>
      </c>
      <c r="C1045" s="23" t="s">
        <v>782</v>
      </c>
      <c r="D1045" s="23">
        <v>99</v>
      </c>
      <c r="E1045" s="23" t="s">
        <v>15</v>
      </c>
      <c r="F1045" s="23">
        <v>1</v>
      </c>
      <c r="G1045" s="23" t="s">
        <v>21</v>
      </c>
      <c r="H1045" s="23" t="s">
        <v>17</v>
      </c>
      <c r="I1045" s="24" t="s">
        <v>785</v>
      </c>
      <c r="J1045" s="23" t="s">
        <v>782</v>
      </c>
      <c r="K1045" s="23">
        <v>56</v>
      </c>
      <c r="L1045" s="23" t="s">
        <v>772</v>
      </c>
      <c r="M1045" s="25">
        <v>10000</v>
      </c>
      <c r="N1045" s="23" t="s">
        <v>1</v>
      </c>
      <c r="O1045" s="26">
        <f t="shared" si="265"/>
        <v>1</v>
      </c>
      <c r="P1045" s="27">
        <f t="shared" si="267"/>
        <v>0</v>
      </c>
    </row>
    <row r="1046" spans="1:16" x14ac:dyDescent="0.25">
      <c r="B1046" s="1"/>
      <c r="C1046" s="1"/>
      <c r="D1046" s="1"/>
      <c r="E1046" s="1"/>
      <c r="F1046" s="1"/>
      <c r="G1046" s="1"/>
      <c r="H1046" s="1"/>
      <c r="I1046" s="2"/>
      <c r="J1046" s="1"/>
      <c r="K1046" s="1"/>
      <c r="L1046" s="1"/>
      <c r="M1046" s="3"/>
      <c r="N1046" s="1"/>
    </row>
    <row r="1047" spans="1:16" ht="15.75" thickBot="1" x14ac:dyDescent="0.3">
      <c r="B1047" s="1"/>
      <c r="C1047" s="1"/>
      <c r="D1047" s="1"/>
      <c r="E1047" s="1"/>
      <c r="F1047" s="1"/>
      <c r="G1047" s="1"/>
      <c r="H1047" s="1"/>
      <c r="I1047" s="2"/>
      <c r="J1047" s="1"/>
      <c r="K1047" s="1"/>
      <c r="L1047" s="1"/>
      <c r="M1047" s="3"/>
      <c r="N1047" s="1"/>
      <c r="P1047" s="11">
        <f>IFERROR(VLOOKUP($A1048,'PROGRAMA MES '!$A:$B,2,0),0)</f>
        <v>0</v>
      </c>
    </row>
    <row r="1048" spans="1:16" x14ac:dyDescent="0.25">
      <c r="A1048" s="89" t="str">
        <f>B1048</f>
        <v>SP134UG</v>
      </c>
      <c r="B1048" s="17" t="s">
        <v>786</v>
      </c>
      <c r="C1048" s="17" t="s">
        <v>787</v>
      </c>
      <c r="D1048" s="17">
        <v>51</v>
      </c>
      <c r="E1048" s="17" t="s">
        <v>101</v>
      </c>
      <c r="F1048" s="17">
        <v>1</v>
      </c>
      <c r="G1048" s="17" t="s">
        <v>16</v>
      </c>
      <c r="H1048" s="17" t="s">
        <v>17</v>
      </c>
      <c r="I1048" s="18">
        <v>4012308</v>
      </c>
      <c r="J1048" s="17" t="s">
        <v>788</v>
      </c>
      <c r="K1048" s="17">
        <v>99</v>
      </c>
      <c r="L1048" s="17" t="s">
        <v>15</v>
      </c>
      <c r="M1048" s="19">
        <v>7463</v>
      </c>
      <c r="N1048" s="17" t="s">
        <v>1</v>
      </c>
      <c r="O1048" s="20">
        <f t="shared" si="265"/>
        <v>0.74629999999999996</v>
      </c>
      <c r="P1048" s="21">
        <f>O1048*$P$1047</f>
        <v>0</v>
      </c>
    </row>
    <row r="1049" spans="1:16" x14ac:dyDescent="0.25">
      <c r="A1049" s="91"/>
      <c r="B1049" s="13" t="s">
        <v>786</v>
      </c>
      <c r="C1049" s="13" t="s">
        <v>787</v>
      </c>
      <c r="D1049" s="13">
        <v>51</v>
      </c>
      <c r="E1049" s="13" t="s">
        <v>101</v>
      </c>
      <c r="F1049" s="13">
        <v>1</v>
      </c>
      <c r="G1049" s="13" t="s">
        <v>16</v>
      </c>
      <c r="H1049" s="13" t="s">
        <v>17</v>
      </c>
      <c r="I1049" s="14">
        <v>4016160</v>
      </c>
      <c r="J1049" s="13" t="s">
        <v>69</v>
      </c>
      <c r="K1049" s="13">
        <v>99</v>
      </c>
      <c r="L1049" s="13" t="s">
        <v>15</v>
      </c>
      <c r="M1049" s="13">
        <v>40</v>
      </c>
      <c r="N1049" s="13" t="s">
        <v>3</v>
      </c>
      <c r="O1049" s="16">
        <f t="shared" si="265"/>
        <v>4.0000000000000001E-3</v>
      </c>
      <c r="P1049" s="22">
        <f t="shared" ref="P1049:P1050" si="268">O1049*$P$1047</f>
        <v>0</v>
      </c>
    </row>
    <row r="1050" spans="1:16" ht="15.75" thickBot="1" x14ac:dyDescent="0.3">
      <c r="A1050" s="90"/>
      <c r="B1050" s="23" t="s">
        <v>786</v>
      </c>
      <c r="C1050" s="23" t="s">
        <v>787</v>
      </c>
      <c r="D1050" s="23">
        <v>51</v>
      </c>
      <c r="E1050" s="23" t="s">
        <v>101</v>
      </c>
      <c r="F1050" s="23">
        <v>1</v>
      </c>
      <c r="G1050" s="23" t="s">
        <v>21</v>
      </c>
      <c r="H1050" s="23" t="s">
        <v>17</v>
      </c>
      <c r="I1050" s="24" t="s">
        <v>789</v>
      </c>
      <c r="J1050" s="23" t="s">
        <v>790</v>
      </c>
      <c r="K1050" s="23">
        <v>3</v>
      </c>
      <c r="L1050" s="23" t="s">
        <v>24</v>
      </c>
      <c r="M1050" s="25">
        <v>10000</v>
      </c>
      <c r="N1050" s="23" t="s">
        <v>482</v>
      </c>
      <c r="O1050" s="26">
        <f t="shared" si="265"/>
        <v>1</v>
      </c>
      <c r="P1050" s="27">
        <f t="shared" si="268"/>
        <v>0</v>
      </c>
    </row>
    <row r="1051" spans="1:16" x14ac:dyDescent="0.25">
      <c r="B1051" s="1"/>
      <c r="C1051" s="1"/>
      <c r="D1051" s="1"/>
      <c r="E1051" s="1"/>
      <c r="F1051" s="1"/>
      <c r="G1051" s="1"/>
      <c r="H1051" s="1"/>
      <c r="I1051" s="2"/>
      <c r="J1051" s="1"/>
      <c r="K1051" s="1"/>
      <c r="L1051" s="1"/>
      <c r="M1051" s="3"/>
      <c r="N1051" s="1"/>
    </row>
    <row r="1052" spans="1:16" ht="15.75" thickBot="1" x14ac:dyDescent="0.3">
      <c r="B1052" s="1"/>
      <c r="C1052" s="1"/>
      <c r="D1052" s="1"/>
      <c r="E1052" s="1"/>
      <c r="F1052" s="1"/>
      <c r="G1052" s="1"/>
      <c r="H1052" s="1"/>
      <c r="I1052" s="2"/>
      <c r="J1052" s="1"/>
      <c r="K1052" s="1"/>
      <c r="L1052" s="1"/>
      <c r="M1052" s="3"/>
      <c r="N1052" s="1"/>
      <c r="P1052" s="11">
        <f>IFERROR(VLOOKUP($A1053,'PROGRAMA MES '!$A:$B,2,0),0)</f>
        <v>0</v>
      </c>
    </row>
    <row r="1053" spans="1:16" x14ac:dyDescent="0.25">
      <c r="A1053" s="89" t="str">
        <f>B1053</f>
        <v>SP18020PRL</v>
      </c>
      <c r="B1053" s="17" t="s">
        <v>791</v>
      </c>
      <c r="C1053" s="17" t="s">
        <v>792</v>
      </c>
      <c r="D1053" s="17">
        <v>99</v>
      </c>
      <c r="E1053" s="17" t="s">
        <v>15</v>
      </c>
      <c r="F1053" s="17">
        <v>1</v>
      </c>
      <c r="G1053" s="17" t="s">
        <v>16</v>
      </c>
      <c r="H1053" s="17" t="s">
        <v>17</v>
      </c>
      <c r="I1053" s="18">
        <v>4012600</v>
      </c>
      <c r="J1053" s="17" t="s">
        <v>793</v>
      </c>
      <c r="K1053" s="17">
        <v>99</v>
      </c>
      <c r="L1053" s="17" t="s">
        <v>15</v>
      </c>
      <c r="M1053" s="19">
        <v>10000</v>
      </c>
      <c r="N1053" s="17" t="s">
        <v>1</v>
      </c>
      <c r="O1053" s="20">
        <f t="shared" si="265"/>
        <v>1</v>
      </c>
      <c r="P1053" s="21">
        <f>O1053*$P$1052</f>
        <v>0</v>
      </c>
    </row>
    <row r="1054" spans="1:16" x14ac:dyDescent="0.25">
      <c r="A1054" s="91"/>
      <c r="B1054" s="13" t="s">
        <v>791</v>
      </c>
      <c r="C1054" s="13" t="s">
        <v>792</v>
      </c>
      <c r="D1054" s="13">
        <v>99</v>
      </c>
      <c r="E1054" s="13" t="s">
        <v>15</v>
      </c>
      <c r="F1054" s="13">
        <v>1</v>
      </c>
      <c r="G1054" s="13" t="s">
        <v>16</v>
      </c>
      <c r="H1054" s="13" t="s">
        <v>17</v>
      </c>
      <c r="I1054" s="14">
        <v>4012605</v>
      </c>
      <c r="J1054" s="13" t="s">
        <v>794</v>
      </c>
      <c r="K1054" s="13">
        <v>99</v>
      </c>
      <c r="L1054" s="13" t="s">
        <v>15</v>
      </c>
      <c r="M1054" s="15">
        <v>1000</v>
      </c>
      <c r="N1054" s="13" t="s">
        <v>1</v>
      </c>
      <c r="O1054" s="16">
        <f t="shared" si="265"/>
        <v>0.1</v>
      </c>
      <c r="P1054" s="22">
        <f t="shared" ref="P1054:P1056" si="269">O1054*$P$1052</f>
        <v>0</v>
      </c>
    </row>
    <row r="1055" spans="1:16" x14ac:dyDescent="0.25">
      <c r="A1055" s="91"/>
      <c r="B1055" s="13" t="s">
        <v>791</v>
      </c>
      <c r="C1055" s="13" t="s">
        <v>792</v>
      </c>
      <c r="D1055" s="13">
        <v>99</v>
      </c>
      <c r="E1055" s="13" t="s">
        <v>15</v>
      </c>
      <c r="F1055" s="13">
        <v>1</v>
      </c>
      <c r="G1055" s="13" t="s">
        <v>16</v>
      </c>
      <c r="H1055" s="13" t="s">
        <v>17</v>
      </c>
      <c r="I1055" s="14">
        <v>4012616</v>
      </c>
      <c r="J1055" s="13" t="s">
        <v>795</v>
      </c>
      <c r="K1055" s="13">
        <v>99</v>
      </c>
      <c r="L1055" s="13" t="s">
        <v>15</v>
      </c>
      <c r="M1055" s="15">
        <v>1000</v>
      </c>
      <c r="N1055" s="13" t="s">
        <v>1</v>
      </c>
      <c r="O1055" s="16">
        <f t="shared" si="265"/>
        <v>0.1</v>
      </c>
      <c r="P1055" s="22">
        <f t="shared" si="269"/>
        <v>0</v>
      </c>
    </row>
    <row r="1056" spans="1:16" ht="15.75" thickBot="1" x14ac:dyDescent="0.3">
      <c r="A1056" s="90"/>
      <c r="B1056" s="23" t="s">
        <v>791</v>
      </c>
      <c r="C1056" s="23" t="s">
        <v>792</v>
      </c>
      <c r="D1056" s="23">
        <v>99</v>
      </c>
      <c r="E1056" s="23" t="s">
        <v>15</v>
      </c>
      <c r="F1056" s="23">
        <v>1</v>
      </c>
      <c r="G1056" s="23" t="s">
        <v>21</v>
      </c>
      <c r="H1056" s="23" t="s">
        <v>17</v>
      </c>
      <c r="I1056" s="24" t="s">
        <v>796</v>
      </c>
      <c r="J1056" s="23" t="s">
        <v>797</v>
      </c>
      <c r="K1056" s="23">
        <v>56</v>
      </c>
      <c r="L1056" s="23" t="s">
        <v>772</v>
      </c>
      <c r="M1056" s="25">
        <v>10000</v>
      </c>
      <c r="N1056" s="23" t="s">
        <v>1</v>
      </c>
      <c r="O1056" s="26">
        <f t="shared" si="265"/>
        <v>1</v>
      </c>
      <c r="P1056" s="27">
        <f t="shared" si="269"/>
        <v>0</v>
      </c>
    </row>
    <row r="1057" spans="1:16" x14ac:dyDescent="0.25">
      <c r="B1057" s="1"/>
      <c r="C1057" s="1"/>
      <c r="D1057" s="1"/>
      <c r="E1057" s="1"/>
      <c r="F1057" s="1"/>
      <c r="G1057" s="1"/>
      <c r="H1057" s="1"/>
      <c r="I1057" s="2"/>
      <c r="J1057" s="1"/>
      <c r="K1057" s="1"/>
      <c r="L1057" s="1"/>
      <c r="M1057" s="3"/>
      <c r="N1057" s="1"/>
    </row>
    <row r="1058" spans="1:16" ht="15.75" thickBot="1" x14ac:dyDescent="0.3">
      <c r="B1058" s="1"/>
      <c r="C1058" s="1"/>
      <c r="D1058" s="1"/>
      <c r="E1058" s="1"/>
      <c r="F1058" s="1"/>
      <c r="G1058" s="1"/>
      <c r="H1058" s="1"/>
      <c r="I1058" s="2"/>
      <c r="J1058" s="1"/>
      <c r="K1058" s="1"/>
      <c r="L1058" s="1"/>
      <c r="M1058" s="3"/>
      <c r="N1058" s="1"/>
      <c r="P1058" s="11">
        <f>IFERROR(VLOOKUP($A1059,'PROGRAMA MES '!$A:$B,2,0),0)</f>
        <v>500</v>
      </c>
    </row>
    <row r="1059" spans="1:16" x14ac:dyDescent="0.25">
      <c r="A1059" s="89" t="str">
        <f>B1059</f>
        <v>SP18020PRM</v>
      </c>
      <c r="B1059" s="17" t="s">
        <v>798</v>
      </c>
      <c r="C1059" s="17" t="s">
        <v>799</v>
      </c>
      <c r="D1059" s="17">
        <v>99</v>
      </c>
      <c r="E1059" s="17" t="s">
        <v>15</v>
      </c>
      <c r="F1059" s="17">
        <v>1</v>
      </c>
      <c r="G1059" s="17" t="s">
        <v>16</v>
      </c>
      <c r="H1059" s="17" t="s">
        <v>17</v>
      </c>
      <c r="I1059" s="18">
        <v>4012605</v>
      </c>
      <c r="J1059" s="17" t="s">
        <v>794</v>
      </c>
      <c r="K1059" s="17">
        <v>99</v>
      </c>
      <c r="L1059" s="17" t="s">
        <v>15</v>
      </c>
      <c r="M1059" s="19">
        <v>1000</v>
      </c>
      <c r="N1059" s="17" t="s">
        <v>1</v>
      </c>
      <c r="O1059" s="20">
        <f t="shared" si="265"/>
        <v>0.1</v>
      </c>
      <c r="P1059" s="21">
        <f>O1059*$P$1058</f>
        <v>50</v>
      </c>
    </row>
    <row r="1060" spans="1:16" x14ac:dyDescent="0.25">
      <c r="A1060" s="91"/>
      <c r="B1060" s="13" t="s">
        <v>798</v>
      </c>
      <c r="C1060" s="13" t="s">
        <v>799</v>
      </c>
      <c r="D1060" s="13">
        <v>99</v>
      </c>
      <c r="E1060" s="13" t="s">
        <v>15</v>
      </c>
      <c r="F1060" s="13">
        <v>1</v>
      </c>
      <c r="G1060" s="13" t="s">
        <v>16</v>
      </c>
      <c r="H1060" s="13" t="s">
        <v>17</v>
      </c>
      <c r="I1060" s="14">
        <v>4012609</v>
      </c>
      <c r="J1060" s="13" t="s">
        <v>800</v>
      </c>
      <c r="K1060" s="13">
        <v>99</v>
      </c>
      <c r="L1060" s="13" t="s">
        <v>15</v>
      </c>
      <c r="M1060" s="15">
        <v>10000</v>
      </c>
      <c r="N1060" s="13" t="s">
        <v>1</v>
      </c>
      <c r="O1060" s="16">
        <f t="shared" si="265"/>
        <v>1</v>
      </c>
      <c r="P1060" s="22">
        <f t="shared" ref="P1060:P1062" si="270">O1060*$P$1058</f>
        <v>500</v>
      </c>
    </row>
    <row r="1061" spans="1:16" x14ac:dyDescent="0.25">
      <c r="A1061" s="91"/>
      <c r="B1061" s="13" t="s">
        <v>798</v>
      </c>
      <c r="C1061" s="13" t="s">
        <v>799</v>
      </c>
      <c r="D1061" s="13">
        <v>99</v>
      </c>
      <c r="E1061" s="13" t="s">
        <v>15</v>
      </c>
      <c r="F1061" s="13">
        <v>1</v>
      </c>
      <c r="G1061" s="13" t="s">
        <v>16</v>
      </c>
      <c r="H1061" s="13" t="s">
        <v>17</v>
      </c>
      <c r="I1061" s="14">
        <v>4012623</v>
      </c>
      <c r="J1061" s="13" t="s">
        <v>801</v>
      </c>
      <c r="K1061" s="13">
        <v>99</v>
      </c>
      <c r="L1061" s="13" t="s">
        <v>15</v>
      </c>
      <c r="M1061" s="15">
        <v>1000</v>
      </c>
      <c r="N1061" s="13" t="s">
        <v>1</v>
      </c>
      <c r="O1061" s="16">
        <f t="shared" si="265"/>
        <v>0.1</v>
      </c>
      <c r="P1061" s="22">
        <f t="shared" si="270"/>
        <v>50</v>
      </c>
    </row>
    <row r="1062" spans="1:16" ht="15.75" thickBot="1" x14ac:dyDescent="0.3">
      <c r="A1062" s="90"/>
      <c r="B1062" s="23" t="s">
        <v>798</v>
      </c>
      <c r="C1062" s="23" t="s">
        <v>799</v>
      </c>
      <c r="D1062" s="23">
        <v>99</v>
      </c>
      <c r="E1062" s="23" t="s">
        <v>15</v>
      </c>
      <c r="F1062" s="23">
        <v>1</v>
      </c>
      <c r="G1062" s="23" t="s">
        <v>21</v>
      </c>
      <c r="H1062" s="23" t="s">
        <v>17</v>
      </c>
      <c r="I1062" s="24" t="s">
        <v>802</v>
      </c>
      <c r="J1062" s="23" t="s">
        <v>803</v>
      </c>
      <c r="K1062" s="23">
        <v>3</v>
      </c>
      <c r="L1062" s="23" t="s">
        <v>24</v>
      </c>
      <c r="M1062" s="25">
        <v>10000</v>
      </c>
      <c r="N1062" s="23" t="s">
        <v>1</v>
      </c>
      <c r="O1062" s="26">
        <f t="shared" si="265"/>
        <v>1</v>
      </c>
      <c r="P1062" s="27">
        <f t="shared" si="270"/>
        <v>500</v>
      </c>
    </row>
    <row r="1063" spans="1:16" x14ac:dyDescent="0.25">
      <c r="B1063" s="1"/>
      <c r="C1063" s="1"/>
      <c r="D1063" s="1"/>
      <c r="E1063" s="1"/>
      <c r="F1063" s="1"/>
      <c r="G1063" s="1"/>
      <c r="H1063" s="1"/>
      <c r="I1063" s="2"/>
      <c r="J1063" s="1"/>
      <c r="K1063" s="1"/>
      <c r="L1063" s="1"/>
      <c r="M1063" s="3"/>
      <c r="N1063" s="1"/>
    </row>
    <row r="1064" spans="1:16" ht="15.75" thickBot="1" x14ac:dyDescent="0.3">
      <c r="B1064" s="1"/>
      <c r="C1064" s="1"/>
      <c r="D1064" s="1"/>
      <c r="E1064" s="1"/>
      <c r="F1064" s="1"/>
      <c r="G1064" s="1"/>
      <c r="H1064" s="1"/>
      <c r="I1064" s="2"/>
      <c r="J1064" s="1"/>
      <c r="K1064" s="1"/>
      <c r="L1064" s="1"/>
      <c r="M1064" s="3"/>
      <c r="N1064" s="1"/>
      <c r="P1064" s="11">
        <f>IFERROR(VLOOKUP($A1065,'PROGRAMA MES '!$A:$B,2,0),0)</f>
        <v>500</v>
      </c>
    </row>
    <row r="1065" spans="1:16" x14ac:dyDescent="0.25">
      <c r="A1065" s="89" t="str">
        <f>B1065</f>
        <v>SP18040PRL</v>
      </c>
      <c r="B1065" s="17" t="s">
        <v>804</v>
      </c>
      <c r="C1065" s="17" t="s">
        <v>805</v>
      </c>
      <c r="D1065" s="17">
        <v>99</v>
      </c>
      <c r="E1065" s="17" t="s">
        <v>15</v>
      </c>
      <c r="F1065" s="17">
        <v>1</v>
      </c>
      <c r="G1065" s="17" t="s">
        <v>16</v>
      </c>
      <c r="H1065" s="17" t="s">
        <v>17</v>
      </c>
      <c r="I1065" s="18">
        <v>4012569</v>
      </c>
      <c r="J1065" s="17" t="s">
        <v>806</v>
      </c>
      <c r="K1065" s="17">
        <v>99</v>
      </c>
      <c r="L1065" s="17" t="s">
        <v>15</v>
      </c>
      <c r="M1065" s="19">
        <v>10000</v>
      </c>
      <c r="N1065" s="17" t="s">
        <v>1</v>
      </c>
      <c r="O1065" s="20">
        <f t="shared" si="265"/>
        <v>1</v>
      </c>
      <c r="P1065" s="21">
        <f>O1065*$P$1064</f>
        <v>500</v>
      </c>
    </row>
    <row r="1066" spans="1:16" x14ac:dyDescent="0.25">
      <c r="A1066" s="91"/>
      <c r="B1066" s="13" t="s">
        <v>804</v>
      </c>
      <c r="C1066" s="13" t="s">
        <v>805</v>
      </c>
      <c r="D1066" s="13">
        <v>99</v>
      </c>
      <c r="E1066" s="13" t="s">
        <v>15</v>
      </c>
      <c r="F1066" s="13">
        <v>1</v>
      </c>
      <c r="G1066" s="13" t="s">
        <v>16</v>
      </c>
      <c r="H1066" s="13" t="s">
        <v>17</v>
      </c>
      <c r="I1066" s="14">
        <v>4012603</v>
      </c>
      <c r="J1066" s="13" t="s">
        <v>807</v>
      </c>
      <c r="K1066" s="13">
        <v>99</v>
      </c>
      <c r="L1066" s="13" t="s">
        <v>15</v>
      </c>
      <c r="M1066" s="15">
        <v>1000</v>
      </c>
      <c r="N1066" s="13" t="s">
        <v>1</v>
      </c>
      <c r="O1066" s="16">
        <f t="shared" si="265"/>
        <v>0.1</v>
      </c>
      <c r="P1066" s="22">
        <f t="shared" ref="P1066:P1069" si="271">O1066*$P$1064</f>
        <v>50</v>
      </c>
    </row>
    <row r="1067" spans="1:16" x14ac:dyDescent="0.25">
      <c r="A1067" s="91"/>
      <c r="B1067" s="13" t="s">
        <v>804</v>
      </c>
      <c r="C1067" s="13" t="s">
        <v>805</v>
      </c>
      <c r="D1067" s="13">
        <v>99</v>
      </c>
      <c r="E1067" s="13" t="s">
        <v>15</v>
      </c>
      <c r="F1067" s="13">
        <v>1</v>
      </c>
      <c r="G1067" s="13" t="s">
        <v>16</v>
      </c>
      <c r="H1067" s="13" t="s">
        <v>17</v>
      </c>
      <c r="I1067" s="14">
        <v>4012617</v>
      </c>
      <c r="J1067" s="13" t="s">
        <v>808</v>
      </c>
      <c r="K1067" s="13">
        <v>99</v>
      </c>
      <c r="L1067" s="13" t="s">
        <v>15</v>
      </c>
      <c r="M1067" s="15">
        <v>1000</v>
      </c>
      <c r="N1067" s="13" t="s">
        <v>1</v>
      </c>
      <c r="O1067" s="16">
        <f t="shared" si="265"/>
        <v>0.1</v>
      </c>
      <c r="P1067" s="22">
        <f t="shared" si="271"/>
        <v>50</v>
      </c>
    </row>
    <row r="1068" spans="1:16" x14ac:dyDescent="0.25">
      <c r="A1068" s="91"/>
      <c r="B1068" s="13" t="s">
        <v>804</v>
      </c>
      <c r="C1068" s="13" t="s">
        <v>805</v>
      </c>
      <c r="D1068" s="13">
        <v>99</v>
      </c>
      <c r="E1068" s="13" t="s">
        <v>15</v>
      </c>
      <c r="F1068" s="13">
        <v>1</v>
      </c>
      <c r="G1068" s="13" t="s">
        <v>16</v>
      </c>
      <c r="H1068" s="13" t="s">
        <v>17</v>
      </c>
      <c r="I1068" s="14">
        <v>4016901</v>
      </c>
      <c r="J1068" s="13" t="s">
        <v>809</v>
      </c>
      <c r="K1068" s="13">
        <v>99</v>
      </c>
      <c r="L1068" s="13" t="s">
        <v>15</v>
      </c>
      <c r="M1068" s="15">
        <v>10000</v>
      </c>
      <c r="N1068" s="13" t="s">
        <v>1</v>
      </c>
      <c r="O1068" s="16">
        <f t="shared" si="265"/>
        <v>1</v>
      </c>
      <c r="P1068" s="22">
        <f t="shared" si="271"/>
        <v>500</v>
      </c>
    </row>
    <row r="1069" spans="1:16" ht="15.75" thickBot="1" x14ac:dyDescent="0.3">
      <c r="A1069" s="90"/>
      <c r="B1069" s="23" t="s">
        <v>804</v>
      </c>
      <c r="C1069" s="23" t="s">
        <v>805</v>
      </c>
      <c r="D1069" s="23">
        <v>99</v>
      </c>
      <c r="E1069" s="23" t="s">
        <v>15</v>
      </c>
      <c r="F1069" s="23">
        <v>1</v>
      </c>
      <c r="G1069" s="23" t="s">
        <v>21</v>
      </c>
      <c r="H1069" s="23" t="s">
        <v>17</v>
      </c>
      <c r="I1069" s="24" t="s">
        <v>810</v>
      </c>
      <c r="J1069" s="23" t="s">
        <v>811</v>
      </c>
      <c r="K1069" s="23">
        <v>99</v>
      </c>
      <c r="L1069" s="23" t="s">
        <v>15</v>
      </c>
      <c r="M1069" s="25">
        <v>10000</v>
      </c>
      <c r="N1069" s="23" t="s">
        <v>1</v>
      </c>
      <c r="O1069" s="26">
        <f t="shared" si="265"/>
        <v>1</v>
      </c>
      <c r="P1069" s="27">
        <f t="shared" si="271"/>
        <v>500</v>
      </c>
    </row>
    <row r="1070" spans="1:16" x14ac:dyDescent="0.25">
      <c r="B1070" s="1"/>
      <c r="C1070" s="1"/>
      <c r="D1070" s="1"/>
      <c r="E1070" s="1"/>
      <c r="F1070" s="1"/>
      <c r="G1070" s="1"/>
      <c r="H1070" s="1"/>
      <c r="I1070" s="2"/>
      <c r="J1070" s="1"/>
      <c r="K1070" s="1"/>
      <c r="L1070" s="1"/>
      <c r="M1070" s="3"/>
      <c r="N1070" s="1"/>
    </row>
    <row r="1071" spans="1:16" ht="15.75" thickBot="1" x14ac:dyDescent="0.3">
      <c r="B1071" s="1"/>
      <c r="C1071" s="1"/>
      <c r="D1071" s="1"/>
      <c r="E1071" s="1"/>
      <c r="F1071" s="1"/>
      <c r="G1071" s="1"/>
      <c r="H1071" s="1"/>
      <c r="I1071" s="2"/>
      <c r="J1071" s="1"/>
      <c r="K1071" s="1"/>
      <c r="L1071" s="1"/>
      <c r="M1071" s="3"/>
      <c r="N1071" s="1"/>
      <c r="P1071" s="11">
        <f>IFERROR(VLOOKUP($A1072,'PROGRAMA MES '!$A:$B,2,0),0)</f>
        <v>1500</v>
      </c>
    </row>
    <row r="1072" spans="1:16" x14ac:dyDescent="0.25">
      <c r="A1072" s="89" t="str">
        <f>B1072</f>
        <v>SP18040PRM</v>
      </c>
      <c r="B1072" s="17" t="s">
        <v>812</v>
      </c>
      <c r="C1072" s="17" t="s">
        <v>813</v>
      </c>
      <c r="D1072" s="17">
        <v>99</v>
      </c>
      <c r="E1072" s="17" t="s">
        <v>15</v>
      </c>
      <c r="F1072" s="17">
        <v>1</v>
      </c>
      <c r="G1072" s="17" t="s">
        <v>16</v>
      </c>
      <c r="H1072" s="17" t="s">
        <v>17</v>
      </c>
      <c r="I1072" s="18">
        <v>4012603</v>
      </c>
      <c r="J1072" s="17" t="s">
        <v>807</v>
      </c>
      <c r="K1072" s="17">
        <v>99</v>
      </c>
      <c r="L1072" s="17" t="s">
        <v>15</v>
      </c>
      <c r="M1072" s="19">
        <v>1000</v>
      </c>
      <c r="N1072" s="17" t="s">
        <v>1</v>
      </c>
      <c r="O1072" s="20">
        <f t="shared" si="265"/>
        <v>0.1</v>
      </c>
      <c r="P1072" s="21">
        <f>O1072*$P$1071</f>
        <v>150</v>
      </c>
    </row>
    <row r="1073" spans="1:16" x14ac:dyDescent="0.25">
      <c r="A1073" s="91"/>
      <c r="B1073" s="13" t="s">
        <v>812</v>
      </c>
      <c r="C1073" s="13" t="s">
        <v>813</v>
      </c>
      <c r="D1073" s="13">
        <v>99</v>
      </c>
      <c r="E1073" s="13" t="s">
        <v>15</v>
      </c>
      <c r="F1073" s="13">
        <v>1</v>
      </c>
      <c r="G1073" s="13" t="s">
        <v>16</v>
      </c>
      <c r="H1073" s="13" t="s">
        <v>17</v>
      </c>
      <c r="I1073" s="14">
        <v>4012610</v>
      </c>
      <c r="J1073" s="13" t="s">
        <v>814</v>
      </c>
      <c r="K1073" s="13">
        <v>99</v>
      </c>
      <c r="L1073" s="13" t="s">
        <v>15</v>
      </c>
      <c r="M1073" s="15">
        <v>10000</v>
      </c>
      <c r="N1073" s="13" t="s">
        <v>1</v>
      </c>
      <c r="O1073" s="16">
        <f t="shared" si="265"/>
        <v>1</v>
      </c>
      <c r="P1073" s="22">
        <f t="shared" ref="P1073:P1076" si="272">O1073*$P$1071</f>
        <v>1500</v>
      </c>
    </row>
    <row r="1074" spans="1:16" x14ac:dyDescent="0.25">
      <c r="A1074" s="91"/>
      <c r="B1074" s="13" t="s">
        <v>812</v>
      </c>
      <c r="C1074" s="13" t="s">
        <v>813</v>
      </c>
      <c r="D1074" s="13">
        <v>99</v>
      </c>
      <c r="E1074" s="13" t="s">
        <v>15</v>
      </c>
      <c r="F1074" s="13">
        <v>1</v>
      </c>
      <c r="G1074" s="13" t="s">
        <v>16</v>
      </c>
      <c r="H1074" s="13" t="s">
        <v>17</v>
      </c>
      <c r="I1074" s="14">
        <v>4012674</v>
      </c>
      <c r="J1074" s="13" t="s">
        <v>815</v>
      </c>
      <c r="K1074" s="13">
        <v>99</v>
      </c>
      <c r="L1074" s="13" t="s">
        <v>15</v>
      </c>
      <c r="M1074" s="15">
        <v>1000</v>
      </c>
      <c r="N1074" s="13" t="s">
        <v>1</v>
      </c>
      <c r="O1074" s="16">
        <f t="shared" si="265"/>
        <v>0.1</v>
      </c>
      <c r="P1074" s="22">
        <f t="shared" si="272"/>
        <v>150</v>
      </c>
    </row>
    <row r="1075" spans="1:16" x14ac:dyDescent="0.25">
      <c r="A1075" s="91"/>
      <c r="B1075" s="13" t="s">
        <v>812</v>
      </c>
      <c r="C1075" s="13" t="s">
        <v>813</v>
      </c>
      <c r="D1075" s="13">
        <v>99</v>
      </c>
      <c r="E1075" s="13" t="s">
        <v>15</v>
      </c>
      <c r="F1075" s="13">
        <v>1</v>
      </c>
      <c r="G1075" s="13" t="s">
        <v>16</v>
      </c>
      <c r="H1075" s="13" t="s">
        <v>17</v>
      </c>
      <c r="I1075" s="14">
        <v>4016902</v>
      </c>
      <c r="J1075" s="13" t="s">
        <v>816</v>
      </c>
      <c r="K1075" s="13">
        <v>99</v>
      </c>
      <c r="L1075" s="13" t="s">
        <v>15</v>
      </c>
      <c r="M1075" s="15">
        <v>10000</v>
      </c>
      <c r="N1075" s="13" t="s">
        <v>1</v>
      </c>
      <c r="O1075" s="16">
        <f t="shared" si="265"/>
        <v>1</v>
      </c>
      <c r="P1075" s="22">
        <f t="shared" si="272"/>
        <v>1500</v>
      </c>
    </row>
    <row r="1076" spans="1:16" ht="15.75" thickBot="1" x14ac:dyDescent="0.3">
      <c r="A1076" s="90"/>
      <c r="B1076" s="23" t="s">
        <v>812</v>
      </c>
      <c r="C1076" s="23" t="s">
        <v>813</v>
      </c>
      <c r="D1076" s="23">
        <v>99</v>
      </c>
      <c r="E1076" s="23" t="s">
        <v>15</v>
      </c>
      <c r="F1076" s="23">
        <v>1</v>
      </c>
      <c r="G1076" s="23" t="s">
        <v>21</v>
      </c>
      <c r="H1076" s="23" t="s">
        <v>17</v>
      </c>
      <c r="I1076" s="24" t="s">
        <v>817</v>
      </c>
      <c r="J1076" s="23" t="s">
        <v>818</v>
      </c>
      <c r="K1076" s="23">
        <v>3</v>
      </c>
      <c r="L1076" s="23" t="s">
        <v>24</v>
      </c>
      <c r="M1076" s="25">
        <v>10000</v>
      </c>
      <c r="N1076" s="23" t="s">
        <v>1</v>
      </c>
      <c r="O1076" s="26">
        <f t="shared" si="265"/>
        <v>1</v>
      </c>
      <c r="P1076" s="27">
        <f t="shared" si="272"/>
        <v>1500</v>
      </c>
    </row>
    <row r="1077" spans="1:16" x14ac:dyDescent="0.25">
      <c r="B1077" s="1"/>
      <c r="C1077" s="1"/>
      <c r="D1077" s="1"/>
      <c r="E1077" s="1"/>
      <c r="F1077" s="1"/>
      <c r="G1077" s="1"/>
      <c r="H1077" s="1"/>
      <c r="I1077" s="2"/>
      <c r="J1077" s="1"/>
      <c r="K1077" s="1"/>
      <c r="L1077" s="1"/>
      <c r="M1077" s="3"/>
      <c r="N1077" s="1"/>
    </row>
    <row r="1078" spans="1:16" ht="15.75" thickBot="1" x14ac:dyDescent="0.3">
      <c r="B1078" s="1"/>
      <c r="C1078" s="1"/>
      <c r="D1078" s="1"/>
      <c r="E1078" s="1"/>
      <c r="F1078" s="1"/>
      <c r="G1078" s="1"/>
      <c r="H1078" s="1"/>
      <c r="I1078" s="2"/>
      <c r="J1078" s="1"/>
      <c r="K1078" s="1"/>
      <c r="L1078" s="1"/>
      <c r="M1078" s="3"/>
      <c r="N1078" s="1"/>
      <c r="P1078" s="11">
        <f>IFERROR(VLOOKUP($A1079,'PROGRAMA MES '!$A:$B,2,0),0)</f>
        <v>1500</v>
      </c>
    </row>
    <row r="1079" spans="1:16" x14ac:dyDescent="0.25">
      <c r="A1079" s="89" t="str">
        <f>B1079</f>
        <v>SP18060PRL</v>
      </c>
      <c r="B1079" s="17" t="s">
        <v>819</v>
      </c>
      <c r="C1079" s="17" t="s">
        <v>820</v>
      </c>
      <c r="D1079" s="17">
        <v>99</v>
      </c>
      <c r="E1079" s="17" t="s">
        <v>15</v>
      </c>
      <c r="F1079" s="17">
        <v>1</v>
      </c>
      <c r="G1079" s="17" t="s">
        <v>16</v>
      </c>
      <c r="H1079" s="17" t="s">
        <v>17</v>
      </c>
      <c r="I1079" s="18">
        <v>4012602</v>
      </c>
      <c r="J1079" s="17" t="s">
        <v>821</v>
      </c>
      <c r="K1079" s="17">
        <v>99</v>
      </c>
      <c r="L1079" s="17" t="s">
        <v>15</v>
      </c>
      <c r="M1079" s="19">
        <v>10000</v>
      </c>
      <c r="N1079" s="17" t="s">
        <v>1</v>
      </c>
      <c r="O1079" s="20">
        <f t="shared" si="265"/>
        <v>1</v>
      </c>
      <c r="P1079" s="21">
        <f>O1079*$P$1078</f>
        <v>1500</v>
      </c>
    </row>
    <row r="1080" spans="1:16" x14ac:dyDescent="0.25">
      <c r="A1080" s="91"/>
      <c r="B1080" s="13" t="s">
        <v>819</v>
      </c>
      <c r="C1080" s="13" t="s">
        <v>820</v>
      </c>
      <c r="D1080" s="13">
        <v>99</v>
      </c>
      <c r="E1080" s="13" t="s">
        <v>15</v>
      </c>
      <c r="F1080" s="13">
        <v>1</v>
      </c>
      <c r="G1080" s="13" t="s">
        <v>16</v>
      </c>
      <c r="H1080" s="13" t="s">
        <v>17</v>
      </c>
      <c r="I1080" s="14">
        <v>4012606</v>
      </c>
      <c r="J1080" s="13" t="s">
        <v>822</v>
      </c>
      <c r="K1080" s="13">
        <v>99</v>
      </c>
      <c r="L1080" s="13" t="s">
        <v>15</v>
      </c>
      <c r="M1080" s="15">
        <v>1000</v>
      </c>
      <c r="N1080" s="13" t="s">
        <v>1</v>
      </c>
      <c r="O1080" s="16">
        <f t="shared" si="265"/>
        <v>0.1</v>
      </c>
      <c r="P1080" s="22">
        <f t="shared" ref="P1080:P1083" si="273">O1080*$P$1078</f>
        <v>150</v>
      </c>
    </row>
    <row r="1081" spans="1:16" x14ac:dyDescent="0.25">
      <c r="A1081" s="91"/>
      <c r="B1081" s="13" t="s">
        <v>819</v>
      </c>
      <c r="C1081" s="13" t="s">
        <v>820</v>
      </c>
      <c r="D1081" s="13">
        <v>99</v>
      </c>
      <c r="E1081" s="13" t="s">
        <v>15</v>
      </c>
      <c r="F1081" s="13">
        <v>1</v>
      </c>
      <c r="G1081" s="13" t="s">
        <v>16</v>
      </c>
      <c r="H1081" s="13" t="s">
        <v>17</v>
      </c>
      <c r="I1081" s="14">
        <v>4012618</v>
      </c>
      <c r="J1081" s="13" t="s">
        <v>823</v>
      </c>
      <c r="K1081" s="13">
        <v>99</v>
      </c>
      <c r="L1081" s="13" t="s">
        <v>15</v>
      </c>
      <c r="M1081" s="15">
        <v>1000</v>
      </c>
      <c r="N1081" s="13" t="s">
        <v>1</v>
      </c>
      <c r="O1081" s="16">
        <f t="shared" si="265"/>
        <v>0.1</v>
      </c>
      <c r="P1081" s="22">
        <f t="shared" si="273"/>
        <v>150</v>
      </c>
    </row>
    <row r="1082" spans="1:16" x14ac:dyDescent="0.25">
      <c r="A1082" s="91"/>
      <c r="B1082" s="13" t="s">
        <v>819</v>
      </c>
      <c r="C1082" s="13" t="s">
        <v>820</v>
      </c>
      <c r="D1082" s="13">
        <v>99</v>
      </c>
      <c r="E1082" s="13" t="s">
        <v>15</v>
      </c>
      <c r="F1082" s="13">
        <v>1</v>
      </c>
      <c r="G1082" s="13" t="s">
        <v>16</v>
      </c>
      <c r="H1082" s="13" t="s">
        <v>17</v>
      </c>
      <c r="I1082" s="14">
        <v>4016903</v>
      </c>
      <c r="J1082" s="13" t="s">
        <v>824</v>
      </c>
      <c r="K1082" s="13">
        <v>99</v>
      </c>
      <c r="L1082" s="13" t="s">
        <v>15</v>
      </c>
      <c r="M1082" s="15">
        <v>10000</v>
      </c>
      <c r="N1082" s="13" t="s">
        <v>1</v>
      </c>
      <c r="O1082" s="16">
        <f t="shared" si="265"/>
        <v>1</v>
      </c>
      <c r="P1082" s="22">
        <f t="shared" si="273"/>
        <v>1500</v>
      </c>
    </row>
    <row r="1083" spans="1:16" ht="15.75" thickBot="1" x14ac:dyDescent="0.3">
      <c r="A1083" s="90"/>
      <c r="B1083" s="23" t="s">
        <v>819</v>
      </c>
      <c r="C1083" s="23" t="s">
        <v>820</v>
      </c>
      <c r="D1083" s="23">
        <v>99</v>
      </c>
      <c r="E1083" s="23" t="s">
        <v>15</v>
      </c>
      <c r="F1083" s="23">
        <v>1</v>
      </c>
      <c r="G1083" s="23" t="s">
        <v>21</v>
      </c>
      <c r="H1083" s="23" t="s">
        <v>17</v>
      </c>
      <c r="I1083" s="24" t="s">
        <v>825</v>
      </c>
      <c r="J1083" s="23" t="s">
        <v>826</v>
      </c>
      <c r="K1083" s="23">
        <v>56</v>
      </c>
      <c r="L1083" s="23" t="s">
        <v>772</v>
      </c>
      <c r="M1083" s="25">
        <v>10000</v>
      </c>
      <c r="N1083" s="23" t="s">
        <v>1</v>
      </c>
      <c r="O1083" s="26">
        <f t="shared" si="265"/>
        <v>1</v>
      </c>
      <c r="P1083" s="27">
        <f t="shared" si="273"/>
        <v>1500</v>
      </c>
    </row>
    <row r="1084" spans="1:16" x14ac:dyDescent="0.25">
      <c r="B1084" s="1"/>
      <c r="C1084" s="1"/>
      <c r="D1084" s="1"/>
      <c r="E1084" s="1"/>
      <c r="F1084" s="1"/>
      <c r="G1084" s="1"/>
      <c r="H1084" s="1"/>
      <c r="I1084" s="2"/>
      <c r="J1084" s="1"/>
      <c r="K1084" s="1"/>
      <c r="L1084" s="1"/>
      <c r="M1084" s="3"/>
      <c r="N1084" s="1"/>
    </row>
    <row r="1085" spans="1:16" ht="15.75" thickBot="1" x14ac:dyDescent="0.3">
      <c r="B1085" s="1"/>
      <c r="C1085" s="1"/>
      <c r="D1085" s="1"/>
      <c r="E1085" s="1"/>
      <c r="F1085" s="1"/>
      <c r="G1085" s="1"/>
      <c r="H1085" s="1"/>
      <c r="I1085" s="2"/>
      <c r="J1085" s="1"/>
      <c r="K1085" s="1"/>
      <c r="L1085" s="1"/>
      <c r="M1085" s="3"/>
      <c r="N1085" s="1"/>
      <c r="P1085" s="11">
        <f>IFERROR(VLOOKUP($A1086,'PROGRAMA MES '!$A:$B,2,0),0)</f>
        <v>2800</v>
      </c>
    </row>
    <row r="1086" spans="1:16" x14ac:dyDescent="0.25">
      <c r="A1086" s="89" t="str">
        <f>B1086</f>
        <v>SP18060PRM</v>
      </c>
      <c r="B1086" s="17" t="s">
        <v>827</v>
      </c>
      <c r="C1086" s="17" t="s">
        <v>828</v>
      </c>
      <c r="D1086" s="17">
        <v>99</v>
      </c>
      <c r="E1086" s="17" t="s">
        <v>15</v>
      </c>
      <c r="F1086" s="17">
        <v>1</v>
      </c>
      <c r="G1086" s="17" t="s">
        <v>16</v>
      </c>
      <c r="H1086" s="17" t="s">
        <v>17</v>
      </c>
      <c r="I1086" s="18">
        <v>4012606</v>
      </c>
      <c r="J1086" s="17" t="s">
        <v>822</v>
      </c>
      <c r="K1086" s="17">
        <v>99</v>
      </c>
      <c r="L1086" s="17" t="s">
        <v>15</v>
      </c>
      <c r="M1086" s="19">
        <v>1000</v>
      </c>
      <c r="N1086" s="17" t="s">
        <v>1</v>
      </c>
      <c r="O1086" s="20">
        <f t="shared" si="265"/>
        <v>0.1</v>
      </c>
      <c r="P1086" s="21">
        <f>O1086*$P$1085</f>
        <v>280</v>
      </c>
    </row>
    <row r="1087" spans="1:16" x14ac:dyDescent="0.25">
      <c r="A1087" s="91"/>
      <c r="B1087" s="13" t="s">
        <v>827</v>
      </c>
      <c r="C1087" s="13" t="s">
        <v>828</v>
      </c>
      <c r="D1087" s="13">
        <v>99</v>
      </c>
      <c r="E1087" s="13" t="s">
        <v>15</v>
      </c>
      <c r="F1087" s="13">
        <v>1</v>
      </c>
      <c r="G1087" s="13" t="s">
        <v>16</v>
      </c>
      <c r="H1087" s="13" t="s">
        <v>17</v>
      </c>
      <c r="I1087" s="14">
        <v>4012611</v>
      </c>
      <c r="J1087" s="13" t="s">
        <v>829</v>
      </c>
      <c r="K1087" s="13">
        <v>99</v>
      </c>
      <c r="L1087" s="13" t="s">
        <v>15</v>
      </c>
      <c r="M1087" s="15">
        <v>10000</v>
      </c>
      <c r="N1087" s="13" t="s">
        <v>1</v>
      </c>
      <c r="O1087" s="16">
        <f t="shared" si="265"/>
        <v>1</v>
      </c>
      <c r="P1087" s="22">
        <f t="shared" ref="P1087:P1090" si="274">O1087*$P$1085</f>
        <v>2800</v>
      </c>
    </row>
    <row r="1088" spans="1:16" x14ac:dyDescent="0.25">
      <c r="A1088" s="91"/>
      <c r="B1088" s="13" t="s">
        <v>827</v>
      </c>
      <c r="C1088" s="13" t="s">
        <v>828</v>
      </c>
      <c r="D1088" s="13">
        <v>99</v>
      </c>
      <c r="E1088" s="13" t="s">
        <v>15</v>
      </c>
      <c r="F1088" s="13">
        <v>1</v>
      </c>
      <c r="G1088" s="13" t="s">
        <v>16</v>
      </c>
      <c r="H1088" s="13" t="s">
        <v>17</v>
      </c>
      <c r="I1088" s="14">
        <v>4012624</v>
      </c>
      <c r="J1088" s="13" t="s">
        <v>830</v>
      </c>
      <c r="K1088" s="13">
        <v>99</v>
      </c>
      <c r="L1088" s="13" t="s">
        <v>15</v>
      </c>
      <c r="M1088" s="15">
        <v>1000</v>
      </c>
      <c r="N1088" s="13" t="s">
        <v>1</v>
      </c>
      <c r="O1088" s="16">
        <f t="shared" si="265"/>
        <v>0.1</v>
      </c>
      <c r="P1088" s="22">
        <f t="shared" si="274"/>
        <v>280</v>
      </c>
    </row>
    <row r="1089" spans="1:16" x14ac:dyDescent="0.25">
      <c r="A1089" s="91"/>
      <c r="B1089" s="13" t="s">
        <v>827</v>
      </c>
      <c r="C1089" s="13" t="s">
        <v>828</v>
      </c>
      <c r="D1089" s="13">
        <v>99</v>
      </c>
      <c r="E1089" s="13" t="s">
        <v>15</v>
      </c>
      <c r="F1089" s="13">
        <v>1</v>
      </c>
      <c r="G1089" s="13" t="s">
        <v>16</v>
      </c>
      <c r="H1089" s="13" t="s">
        <v>17</v>
      </c>
      <c r="I1089" s="14">
        <v>4016701</v>
      </c>
      <c r="J1089" s="13" t="s">
        <v>831</v>
      </c>
      <c r="K1089" s="13">
        <v>99</v>
      </c>
      <c r="L1089" s="13" t="s">
        <v>15</v>
      </c>
      <c r="M1089" s="15">
        <v>10000</v>
      </c>
      <c r="N1089" s="13" t="s">
        <v>1</v>
      </c>
      <c r="O1089" s="16">
        <f t="shared" si="265"/>
        <v>1</v>
      </c>
      <c r="P1089" s="22">
        <f t="shared" si="274"/>
        <v>2800</v>
      </c>
    </row>
    <row r="1090" spans="1:16" ht="15.75" thickBot="1" x14ac:dyDescent="0.3">
      <c r="A1090" s="90"/>
      <c r="B1090" s="23" t="s">
        <v>827</v>
      </c>
      <c r="C1090" s="23" t="s">
        <v>828</v>
      </c>
      <c r="D1090" s="23">
        <v>99</v>
      </c>
      <c r="E1090" s="23" t="s">
        <v>15</v>
      </c>
      <c r="F1090" s="23">
        <v>1</v>
      </c>
      <c r="G1090" s="23" t="s">
        <v>21</v>
      </c>
      <c r="H1090" s="23" t="s">
        <v>17</v>
      </c>
      <c r="I1090" s="24" t="s">
        <v>832</v>
      </c>
      <c r="J1090" s="23" t="s">
        <v>833</v>
      </c>
      <c r="K1090" s="23">
        <v>3</v>
      </c>
      <c r="L1090" s="23" t="s">
        <v>24</v>
      </c>
      <c r="M1090" s="25">
        <v>10000</v>
      </c>
      <c r="N1090" s="23" t="s">
        <v>1</v>
      </c>
      <c r="O1090" s="26">
        <f t="shared" si="265"/>
        <v>1</v>
      </c>
      <c r="P1090" s="27">
        <f t="shared" si="274"/>
        <v>2800</v>
      </c>
    </row>
    <row r="1091" spans="1:16" x14ac:dyDescent="0.25">
      <c r="B1091" s="1"/>
      <c r="C1091" s="1"/>
      <c r="D1091" s="1"/>
      <c r="E1091" s="1"/>
      <c r="F1091" s="1"/>
      <c r="G1091" s="1"/>
      <c r="H1091" s="1"/>
      <c r="I1091" s="2"/>
      <c r="J1091" s="1"/>
      <c r="K1091" s="1"/>
      <c r="L1091" s="1"/>
      <c r="M1091" s="3"/>
      <c r="N1091" s="1"/>
    </row>
    <row r="1092" spans="1:16" ht="15.75" thickBot="1" x14ac:dyDescent="0.3">
      <c r="B1092" s="1"/>
      <c r="C1092" s="1"/>
      <c r="D1092" s="1"/>
      <c r="E1092" s="1"/>
      <c r="F1092" s="1"/>
      <c r="G1092" s="1"/>
      <c r="H1092" s="1"/>
      <c r="I1092" s="2"/>
      <c r="J1092" s="1"/>
      <c r="K1092" s="1"/>
      <c r="L1092" s="1"/>
      <c r="M1092" s="3"/>
      <c r="N1092" s="1"/>
      <c r="P1092" s="11">
        <f>IFERROR(VLOOKUP($A1093,'PROGRAMA MES '!$A:$B,2,0),0)</f>
        <v>0</v>
      </c>
    </row>
    <row r="1093" spans="1:16" x14ac:dyDescent="0.25">
      <c r="A1093" s="89" t="str">
        <f>B1093</f>
        <v>SP18105PRL</v>
      </c>
      <c r="B1093" s="17" t="s">
        <v>834</v>
      </c>
      <c r="C1093" s="17" t="s">
        <v>835</v>
      </c>
      <c r="D1093" s="17">
        <v>99</v>
      </c>
      <c r="E1093" s="17" t="s">
        <v>15</v>
      </c>
      <c r="F1093" s="17">
        <v>1</v>
      </c>
      <c r="G1093" s="17" t="s">
        <v>16</v>
      </c>
      <c r="H1093" s="17" t="s">
        <v>17</v>
      </c>
      <c r="I1093" s="18">
        <v>4012601</v>
      </c>
      <c r="J1093" s="17" t="s">
        <v>836</v>
      </c>
      <c r="K1093" s="17">
        <v>99</v>
      </c>
      <c r="L1093" s="17" t="s">
        <v>15</v>
      </c>
      <c r="M1093" s="19">
        <v>10000</v>
      </c>
      <c r="N1093" s="17" t="s">
        <v>1</v>
      </c>
      <c r="O1093" s="20">
        <f t="shared" si="265"/>
        <v>1</v>
      </c>
      <c r="P1093" s="21">
        <f>O1093*$P$1092</f>
        <v>0</v>
      </c>
    </row>
    <row r="1094" spans="1:16" x14ac:dyDescent="0.25">
      <c r="A1094" s="91"/>
      <c r="B1094" s="13" t="s">
        <v>834</v>
      </c>
      <c r="C1094" s="13" t="s">
        <v>835</v>
      </c>
      <c r="D1094" s="13">
        <v>99</v>
      </c>
      <c r="E1094" s="13" t="s">
        <v>15</v>
      </c>
      <c r="F1094" s="13">
        <v>1</v>
      </c>
      <c r="G1094" s="13" t="s">
        <v>16</v>
      </c>
      <c r="H1094" s="13" t="s">
        <v>17</v>
      </c>
      <c r="I1094" s="14">
        <v>4012606</v>
      </c>
      <c r="J1094" s="13" t="s">
        <v>822</v>
      </c>
      <c r="K1094" s="13">
        <v>99</v>
      </c>
      <c r="L1094" s="13" t="s">
        <v>15</v>
      </c>
      <c r="M1094" s="15">
        <v>1000</v>
      </c>
      <c r="N1094" s="13" t="s">
        <v>1</v>
      </c>
      <c r="O1094" s="16">
        <f t="shared" si="265"/>
        <v>0.1</v>
      </c>
      <c r="P1094" s="22">
        <f t="shared" ref="P1094:P1096" si="275">O1094*$P$1092</f>
        <v>0</v>
      </c>
    </row>
    <row r="1095" spans="1:16" x14ac:dyDescent="0.25">
      <c r="A1095" s="91"/>
      <c r="B1095" s="13" t="s">
        <v>834</v>
      </c>
      <c r="C1095" s="13" t="s">
        <v>835</v>
      </c>
      <c r="D1095" s="13">
        <v>99</v>
      </c>
      <c r="E1095" s="13" t="s">
        <v>15</v>
      </c>
      <c r="F1095" s="13">
        <v>1</v>
      </c>
      <c r="G1095" s="13" t="s">
        <v>16</v>
      </c>
      <c r="H1095" s="13" t="s">
        <v>17</v>
      </c>
      <c r="I1095" s="14">
        <v>4012619</v>
      </c>
      <c r="J1095" s="13" t="s">
        <v>837</v>
      </c>
      <c r="K1095" s="13">
        <v>99</v>
      </c>
      <c r="L1095" s="13" t="s">
        <v>15</v>
      </c>
      <c r="M1095" s="15">
        <v>1000</v>
      </c>
      <c r="N1095" s="13" t="s">
        <v>1</v>
      </c>
      <c r="O1095" s="16">
        <f t="shared" si="265"/>
        <v>0.1</v>
      </c>
      <c r="P1095" s="22">
        <f t="shared" si="275"/>
        <v>0</v>
      </c>
    </row>
    <row r="1096" spans="1:16" ht="15.75" thickBot="1" x14ac:dyDescent="0.3">
      <c r="A1096" s="90"/>
      <c r="B1096" s="23" t="s">
        <v>834</v>
      </c>
      <c r="C1096" s="23" t="s">
        <v>835</v>
      </c>
      <c r="D1096" s="23">
        <v>99</v>
      </c>
      <c r="E1096" s="23" t="s">
        <v>15</v>
      </c>
      <c r="F1096" s="23">
        <v>1</v>
      </c>
      <c r="G1096" s="23" t="s">
        <v>21</v>
      </c>
      <c r="H1096" s="23" t="s">
        <v>17</v>
      </c>
      <c r="I1096" s="24" t="s">
        <v>838</v>
      </c>
      <c r="J1096" s="23" t="s">
        <v>839</v>
      </c>
      <c r="K1096" s="23">
        <v>56</v>
      </c>
      <c r="L1096" s="23" t="s">
        <v>772</v>
      </c>
      <c r="M1096" s="25">
        <v>10000</v>
      </c>
      <c r="N1096" s="23" t="s">
        <v>1</v>
      </c>
      <c r="O1096" s="26">
        <f t="shared" si="265"/>
        <v>1</v>
      </c>
      <c r="P1096" s="27">
        <f t="shared" si="275"/>
        <v>0</v>
      </c>
    </row>
    <row r="1097" spans="1:16" x14ac:dyDescent="0.25">
      <c r="B1097" s="1"/>
      <c r="C1097" s="1"/>
      <c r="D1097" s="1"/>
      <c r="E1097" s="1"/>
      <c r="F1097" s="1"/>
      <c r="G1097" s="1"/>
      <c r="H1097" s="1"/>
      <c r="I1097" s="2"/>
      <c r="J1097" s="1"/>
      <c r="K1097" s="1"/>
      <c r="L1097" s="1"/>
      <c r="M1097" s="3"/>
      <c r="N1097" s="1"/>
    </row>
    <row r="1098" spans="1:16" ht="15.75" thickBot="1" x14ac:dyDescent="0.3">
      <c r="B1098" s="1"/>
      <c r="C1098" s="1"/>
      <c r="D1098" s="1"/>
      <c r="E1098" s="1"/>
      <c r="F1098" s="1"/>
      <c r="G1098" s="1"/>
      <c r="H1098" s="1"/>
      <c r="I1098" s="2"/>
      <c r="J1098" s="1"/>
      <c r="K1098" s="1"/>
      <c r="L1098" s="1"/>
      <c r="M1098" s="3"/>
      <c r="N1098" s="1"/>
      <c r="P1098" s="11">
        <f>IFERROR(VLOOKUP($A1099,'PROGRAMA MES '!$A:$B,2,0),0)</f>
        <v>900</v>
      </c>
    </row>
    <row r="1099" spans="1:16" x14ac:dyDescent="0.25">
      <c r="A1099" s="89" t="str">
        <f>B1099</f>
        <v>SP18105PRM</v>
      </c>
      <c r="B1099" s="17" t="s">
        <v>840</v>
      </c>
      <c r="C1099" s="17" t="s">
        <v>841</v>
      </c>
      <c r="D1099" s="17">
        <v>99</v>
      </c>
      <c r="E1099" s="17" t="s">
        <v>15</v>
      </c>
      <c r="F1099" s="17">
        <v>1</v>
      </c>
      <c r="G1099" s="17" t="s">
        <v>16</v>
      </c>
      <c r="H1099" s="17" t="s">
        <v>17</v>
      </c>
      <c r="I1099" s="18">
        <v>4012606</v>
      </c>
      <c r="J1099" s="17" t="s">
        <v>822</v>
      </c>
      <c r="K1099" s="17">
        <v>99</v>
      </c>
      <c r="L1099" s="17" t="s">
        <v>15</v>
      </c>
      <c r="M1099" s="19">
        <v>1000</v>
      </c>
      <c r="N1099" s="17" t="s">
        <v>1</v>
      </c>
      <c r="O1099" s="20">
        <f t="shared" si="265"/>
        <v>0.1</v>
      </c>
      <c r="P1099" s="21">
        <f>O1099*$P$1098</f>
        <v>90</v>
      </c>
    </row>
    <row r="1100" spans="1:16" x14ac:dyDescent="0.25">
      <c r="A1100" s="91"/>
      <c r="B1100" s="13" t="s">
        <v>840</v>
      </c>
      <c r="C1100" s="13" t="s">
        <v>841</v>
      </c>
      <c r="D1100" s="13">
        <v>99</v>
      </c>
      <c r="E1100" s="13" t="s">
        <v>15</v>
      </c>
      <c r="F1100" s="13">
        <v>1</v>
      </c>
      <c r="G1100" s="13" t="s">
        <v>16</v>
      </c>
      <c r="H1100" s="13" t="s">
        <v>17</v>
      </c>
      <c r="I1100" s="14">
        <v>4012614</v>
      </c>
      <c r="J1100" s="13" t="s">
        <v>842</v>
      </c>
      <c r="K1100" s="13">
        <v>99</v>
      </c>
      <c r="L1100" s="13" t="s">
        <v>15</v>
      </c>
      <c r="M1100" s="15">
        <v>10000</v>
      </c>
      <c r="N1100" s="13" t="s">
        <v>1</v>
      </c>
      <c r="O1100" s="16">
        <f t="shared" si="265"/>
        <v>1</v>
      </c>
      <c r="P1100" s="22">
        <f t="shared" ref="P1100:P1102" si="276">O1100*$P$1098</f>
        <v>900</v>
      </c>
    </row>
    <row r="1101" spans="1:16" x14ac:dyDescent="0.25">
      <c r="A1101" s="91"/>
      <c r="B1101" s="13" t="s">
        <v>840</v>
      </c>
      <c r="C1101" s="13" t="s">
        <v>841</v>
      </c>
      <c r="D1101" s="13">
        <v>99</v>
      </c>
      <c r="E1101" s="13" t="s">
        <v>15</v>
      </c>
      <c r="F1101" s="13">
        <v>1</v>
      </c>
      <c r="G1101" s="13" t="s">
        <v>16</v>
      </c>
      <c r="H1101" s="13" t="s">
        <v>17</v>
      </c>
      <c r="I1101" s="14">
        <v>4012625</v>
      </c>
      <c r="J1101" s="13" t="s">
        <v>843</v>
      </c>
      <c r="K1101" s="13">
        <v>99</v>
      </c>
      <c r="L1101" s="13" t="s">
        <v>15</v>
      </c>
      <c r="M1101" s="15">
        <v>1000</v>
      </c>
      <c r="N1101" s="13" t="s">
        <v>1</v>
      </c>
      <c r="O1101" s="16">
        <f t="shared" si="265"/>
        <v>0.1</v>
      </c>
      <c r="P1101" s="22">
        <f t="shared" si="276"/>
        <v>90</v>
      </c>
    </row>
    <row r="1102" spans="1:16" ht="15.75" thickBot="1" x14ac:dyDescent="0.3">
      <c r="A1102" s="90"/>
      <c r="B1102" s="23" t="s">
        <v>840</v>
      </c>
      <c r="C1102" s="23" t="s">
        <v>841</v>
      </c>
      <c r="D1102" s="23">
        <v>99</v>
      </c>
      <c r="E1102" s="23" t="s">
        <v>15</v>
      </c>
      <c r="F1102" s="23">
        <v>1</v>
      </c>
      <c r="G1102" s="23" t="s">
        <v>21</v>
      </c>
      <c r="H1102" s="23" t="s">
        <v>17</v>
      </c>
      <c r="I1102" s="24" t="s">
        <v>844</v>
      </c>
      <c r="J1102" s="23" t="s">
        <v>845</v>
      </c>
      <c r="K1102" s="23">
        <v>3</v>
      </c>
      <c r="L1102" s="23" t="s">
        <v>24</v>
      </c>
      <c r="M1102" s="25">
        <v>10000</v>
      </c>
      <c r="N1102" s="23" t="s">
        <v>1</v>
      </c>
      <c r="O1102" s="26">
        <f t="shared" si="265"/>
        <v>1</v>
      </c>
      <c r="P1102" s="27">
        <f t="shared" si="276"/>
        <v>900</v>
      </c>
    </row>
    <row r="1103" spans="1:16" x14ac:dyDescent="0.25">
      <c r="B1103" s="1"/>
      <c r="C1103" s="1"/>
      <c r="D1103" s="1"/>
      <c r="E1103" s="1"/>
      <c r="F1103" s="1"/>
      <c r="G1103" s="1"/>
      <c r="H1103" s="1"/>
      <c r="I1103" s="2"/>
      <c r="J1103" s="1"/>
      <c r="K1103" s="1"/>
      <c r="L1103" s="1"/>
      <c r="M1103" s="3"/>
      <c r="N1103" s="1"/>
    </row>
    <row r="1104" spans="1:16" ht="15.75" thickBot="1" x14ac:dyDescent="0.3">
      <c r="B1104" s="1"/>
      <c r="C1104" s="1"/>
      <c r="D1104" s="1"/>
      <c r="E1104" s="1"/>
      <c r="F1104" s="1"/>
      <c r="G1104" s="1"/>
      <c r="H1104" s="1"/>
      <c r="I1104" s="2"/>
      <c r="J1104" s="1"/>
      <c r="K1104" s="1"/>
      <c r="L1104" s="1"/>
      <c r="M1104" s="3"/>
      <c r="N1104" s="1"/>
      <c r="P1104" s="11">
        <f>IFERROR(VLOOKUP($A1105,'PROGRAMA MES '!$A:$B,2,0),0)</f>
        <v>3000</v>
      </c>
    </row>
    <row r="1105" spans="1:16" x14ac:dyDescent="0.25">
      <c r="A1105" s="89" t="str">
        <f>B1105</f>
        <v>SP18105PRR</v>
      </c>
      <c r="B1105" s="17" t="s">
        <v>846</v>
      </c>
      <c r="C1105" s="17" t="s">
        <v>847</v>
      </c>
      <c r="D1105" s="17">
        <v>99</v>
      </c>
      <c r="E1105" s="17" t="s">
        <v>15</v>
      </c>
      <c r="F1105" s="17">
        <v>1</v>
      </c>
      <c r="G1105" s="17" t="s">
        <v>16</v>
      </c>
      <c r="H1105" s="17" t="s">
        <v>17</v>
      </c>
      <c r="I1105" s="18">
        <v>4012456</v>
      </c>
      <c r="J1105" s="17" t="s">
        <v>848</v>
      </c>
      <c r="K1105" s="17">
        <v>99</v>
      </c>
      <c r="L1105" s="17" t="s">
        <v>15</v>
      </c>
      <c r="M1105" s="19">
        <v>1000</v>
      </c>
      <c r="N1105" s="17" t="s">
        <v>1</v>
      </c>
      <c r="O1105" s="20">
        <f t="shared" si="265"/>
        <v>0.1</v>
      </c>
      <c r="P1105" s="21">
        <f>O1105*$P$1104</f>
        <v>300</v>
      </c>
    </row>
    <row r="1106" spans="1:16" x14ac:dyDescent="0.25">
      <c r="A1106" s="91"/>
      <c r="B1106" s="13" t="s">
        <v>846</v>
      </c>
      <c r="C1106" s="13" t="s">
        <v>847</v>
      </c>
      <c r="D1106" s="13">
        <v>99</v>
      </c>
      <c r="E1106" s="13" t="s">
        <v>15</v>
      </c>
      <c r="F1106" s="13">
        <v>1</v>
      </c>
      <c r="G1106" s="13" t="s">
        <v>16</v>
      </c>
      <c r="H1106" s="13" t="s">
        <v>17</v>
      </c>
      <c r="I1106" s="14">
        <v>4012606</v>
      </c>
      <c r="J1106" s="13" t="s">
        <v>822</v>
      </c>
      <c r="K1106" s="13">
        <v>99</v>
      </c>
      <c r="L1106" s="13" t="s">
        <v>15</v>
      </c>
      <c r="M1106" s="15">
        <v>1000</v>
      </c>
      <c r="N1106" s="13" t="s">
        <v>1</v>
      </c>
      <c r="O1106" s="16">
        <f t="shared" si="265"/>
        <v>0.1</v>
      </c>
      <c r="P1106" s="22">
        <f t="shared" ref="P1106:P1109" si="277">O1106*$P$1104</f>
        <v>300</v>
      </c>
    </row>
    <row r="1107" spans="1:16" x14ac:dyDescent="0.25">
      <c r="A1107" s="91"/>
      <c r="B1107" s="13" t="s">
        <v>846</v>
      </c>
      <c r="C1107" s="13" t="s">
        <v>847</v>
      </c>
      <c r="D1107" s="13">
        <v>99</v>
      </c>
      <c r="E1107" s="13" t="s">
        <v>15</v>
      </c>
      <c r="F1107" s="13">
        <v>1</v>
      </c>
      <c r="G1107" s="13" t="s">
        <v>16</v>
      </c>
      <c r="H1107" s="13" t="s">
        <v>17</v>
      </c>
      <c r="I1107" s="14">
        <v>4012613</v>
      </c>
      <c r="J1107" s="13" t="s">
        <v>849</v>
      </c>
      <c r="K1107" s="13">
        <v>99</v>
      </c>
      <c r="L1107" s="13" t="s">
        <v>15</v>
      </c>
      <c r="M1107" s="15">
        <v>10000</v>
      </c>
      <c r="N1107" s="13" t="s">
        <v>1</v>
      </c>
      <c r="O1107" s="16">
        <f t="shared" si="265"/>
        <v>1</v>
      </c>
      <c r="P1107" s="22">
        <f t="shared" si="277"/>
        <v>3000</v>
      </c>
    </row>
    <row r="1108" spans="1:16" x14ac:dyDescent="0.25">
      <c r="A1108" s="91"/>
      <c r="B1108" s="13" t="s">
        <v>846</v>
      </c>
      <c r="C1108" s="13" t="s">
        <v>847</v>
      </c>
      <c r="D1108" s="13">
        <v>99</v>
      </c>
      <c r="E1108" s="13" t="s">
        <v>15</v>
      </c>
      <c r="F1108" s="13">
        <v>1</v>
      </c>
      <c r="G1108" s="13" t="s">
        <v>16</v>
      </c>
      <c r="H1108" s="13" t="s">
        <v>17</v>
      </c>
      <c r="I1108" s="14">
        <v>4016700</v>
      </c>
      <c r="J1108" s="13" t="s">
        <v>850</v>
      </c>
      <c r="K1108" s="13">
        <v>99</v>
      </c>
      <c r="L1108" s="13" t="s">
        <v>15</v>
      </c>
      <c r="M1108" s="15">
        <v>10000</v>
      </c>
      <c r="N1108" s="13" t="s">
        <v>1</v>
      </c>
      <c r="O1108" s="16">
        <f t="shared" ref="O1108:O1109" si="278">M1108/10000</f>
        <v>1</v>
      </c>
      <c r="P1108" s="22">
        <f t="shared" si="277"/>
        <v>3000</v>
      </c>
    </row>
    <row r="1109" spans="1:16" ht="15.75" thickBot="1" x14ac:dyDescent="0.3">
      <c r="A1109" s="90"/>
      <c r="B1109" s="23" t="s">
        <v>846</v>
      </c>
      <c r="C1109" s="23" t="s">
        <v>847</v>
      </c>
      <c r="D1109" s="23">
        <v>99</v>
      </c>
      <c r="E1109" s="23" t="s">
        <v>15</v>
      </c>
      <c r="F1109" s="23">
        <v>1</v>
      </c>
      <c r="G1109" s="23" t="s">
        <v>21</v>
      </c>
      <c r="H1109" s="23" t="s">
        <v>17</v>
      </c>
      <c r="I1109" s="24" t="s">
        <v>851</v>
      </c>
      <c r="J1109" s="23" t="s">
        <v>852</v>
      </c>
      <c r="K1109" s="23">
        <v>3</v>
      </c>
      <c r="L1109" s="23" t="s">
        <v>24</v>
      </c>
      <c r="M1109" s="25">
        <v>10000</v>
      </c>
      <c r="N1109" s="23" t="s">
        <v>1</v>
      </c>
      <c r="O1109" s="26">
        <f t="shared" si="278"/>
        <v>1</v>
      </c>
      <c r="P1109" s="27">
        <f t="shared" si="277"/>
        <v>3000</v>
      </c>
    </row>
    <row r="1110" spans="1:16" x14ac:dyDescent="0.25">
      <c r="B1110" s="1"/>
      <c r="C1110" s="1"/>
      <c r="D1110" s="1"/>
      <c r="E1110" s="1"/>
      <c r="F1110" s="1"/>
      <c r="G1110" s="1"/>
      <c r="H1110" s="1"/>
      <c r="I1110" s="2"/>
      <c r="J1110" s="1"/>
      <c r="K1110" s="1"/>
      <c r="L1110" s="1"/>
      <c r="M1110" s="3"/>
      <c r="N1110" s="1"/>
    </row>
    <row r="1111" spans="1:16" ht="15.75" thickBot="1" x14ac:dyDescent="0.3">
      <c r="B1111" s="1"/>
      <c r="C1111" s="1"/>
      <c r="D1111" s="1"/>
      <c r="E1111" s="1"/>
      <c r="F1111" s="1"/>
      <c r="G1111" s="1"/>
      <c r="H1111" s="1"/>
      <c r="I1111" s="2"/>
      <c r="J1111" s="1"/>
      <c r="K1111" s="1"/>
      <c r="L1111" s="1"/>
      <c r="M1111" s="3"/>
      <c r="N1111" s="1"/>
      <c r="P1111" s="11">
        <f>IFERROR(VLOOKUP($A1112,'PROGRAMA MES '!$A:$B,2,0),0)</f>
        <v>200</v>
      </c>
    </row>
    <row r="1112" spans="1:16" x14ac:dyDescent="0.25">
      <c r="A1112" s="89" t="str">
        <f>B1112</f>
        <v>SP18150PRL</v>
      </c>
      <c r="B1112" s="17" t="s">
        <v>853</v>
      </c>
      <c r="C1112" s="17" t="s">
        <v>854</v>
      </c>
      <c r="D1112" s="17">
        <v>99</v>
      </c>
      <c r="E1112" s="17" t="s">
        <v>15</v>
      </c>
      <c r="F1112" s="17">
        <v>1</v>
      </c>
      <c r="G1112" s="17" t="s">
        <v>16</v>
      </c>
      <c r="H1112" s="17" t="s">
        <v>17</v>
      </c>
      <c r="I1112" s="18">
        <v>4012604</v>
      </c>
      <c r="J1112" s="17" t="s">
        <v>855</v>
      </c>
      <c r="K1112" s="17">
        <v>99</v>
      </c>
      <c r="L1112" s="17" t="s">
        <v>15</v>
      </c>
      <c r="M1112" s="19">
        <v>10000</v>
      </c>
      <c r="N1112" s="17" t="s">
        <v>1</v>
      </c>
      <c r="O1112" s="20">
        <f t="shared" ref="O1112:O1115" si="279">M1112/10000</f>
        <v>1</v>
      </c>
      <c r="P1112" s="21">
        <f>O1112*$P$1111</f>
        <v>200</v>
      </c>
    </row>
    <row r="1113" spans="1:16" x14ac:dyDescent="0.25">
      <c r="A1113" s="91"/>
      <c r="B1113" s="13" t="s">
        <v>853</v>
      </c>
      <c r="C1113" s="13" t="s">
        <v>854</v>
      </c>
      <c r="D1113" s="13">
        <v>99</v>
      </c>
      <c r="E1113" s="13" t="s">
        <v>15</v>
      </c>
      <c r="F1113" s="13">
        <v>1</v>
      </c>
      <c r="G1113" s="13" t="s">
        <v>16</v>
      </c>
      <c r="H1113" s="13" t="s">
        <v>17</v>
      </c>
      <c r="I1113" s="14">
        <v>4012607</v>
      </c>
      <c r="J1113" s="13" t="s">
        <v>856</v>
      </c>
      <c r="K1113" s="13">
        <v>99</v>
      </c>
      <c r="L1113" s="13" t="s">
        <v>15</v>
      </c>
      <c r="M1113" s="15">
        <v>2500</v>
      </c>
      <c r="N1113" s="13" t="s">
        <v>1</v>
      </c>
      <c r="O1113" s="16">
        <f t="shared" si="279"/>
        <v>0.25</v>
      </c>
      <c r="P1113" s="22">
        <f t="shared" ref="P1113:P1115" si="280">O1113*$P$1111</f>
        <v>50</v>
      </c>
    </row>
    <row r="1114" spans="1:16" x14ac:dyDescent="0.25">
      <c r="A1114" s="91"/>
      <c r="B1114" s="13" t="s">
        <v>853</v>
      </c>
      <c r="C1114" s="13" t="s">
        <v>854</v>
      </c>
      <c r="D1114" s="13">
        <v>99</v>
      </c>
      <c r="E1114" s="13" t="s">
        <v>15</v>
      </c>
      <c r="F1114" s="13">
        <v>1</v>
      </c>
      <c r="G1114" s="13" t="s">
        <v>16</v>
      </c>
      <c r="H1114" s="13" t="s">
        <v>17</v>
      </c>
      <c r="I1114" s="14">
        <v>4012620</v>
      </c>
      <c r="J1114" s="13" t="s">
        <v>857</v>
      </c>
      <c r="K1114" s="13">
        <v>99</v>
      </c>
      <c r="L1114" s="13" t="s">
        <v>15</v>
      </c>
      <c r="M1114" s="15">
        <v>2500</v>
      </c>
      <c r="N1114" s="13" t="s">
        <v>1</v>
      </c>
      <c r="O1114" s="16">
        <f t="shared" si="279"/>
        <v>0.25</v>
      </c>
      <c r="P1114" s="22">
        <f t="shared" si="280"/>
        <v>50</v>
      </c>
    </row>
    <row r="1115" spans="1:16" ht="15.75" thickBot="1" x14ac:dyDescent="0.3">
      <c r="A1115" s="90"/>
      <c r="B1115" s="23" t="s">
        <v>853</v>
      </c>
      <c r="C1115" s="23" t="s">
        <v>854</v>
      </c>
      <c r="D1115" s="23">
        <v>99</v>
      </c>
      <c r="E1115" s="23" t="s">
        <v>15</v>
      </c>
      <c r="F1115" s="23">
        <v>1</v>
      </c>
      <c r="G1115" s="23" t="s">
        <v>21</v>
      </c>
      <c r="H1115" s="23" t="s">
        <v>17</v>
      </c>
      <c r="I1115" s="24" t="s">
        <v>858</v>
      </c>
      <c r="J1115" s="23" t="s">
        <v>859</v>
      </c>
      <c r="K1115" s="23">
        <v>99</v>
      </c>
      <c r="L1115" s="23" t="s">
        <v>15</v>
      </c>
      <c r="M1115" s="25">
        <v>10000</v>
      </c>
      <c r="N1115" s="23" t="s">
        <v>1</v>
      </c>
      <c r="O1115" s="26">
        <f t="shared" si="279"/>
        <v>1</v>
      </c>
      <c r="P1115" s="27">
        <f t="shared" si="280"/>
        <v>200</v>
      </c>
    </row>
    <row r="1116" spans="1:16" x14ac:dyDescent="0.25">
      <c r="B1116" s="1"/>
      <c r="C1116" s="1"/>
      <c r="D1116" s="1"/>
      <c r="E1116" s="1"/>
      <c r="F1116" s="1"/>
      <c r="G1116" s="1"/>
      <c r="H1116" s="1"/>
      <c r="I1116" s="2"/>
      <c r="J1116" s="1"/>
      <c r="K1116" s="1"/>
      <c r="L1116" s="1"/>
      <c r="M1116" s="3"/>
      <c r="N1116" s="1"/>
    </row>
    <row r="1117" spans="1:16" ht="15.75" thickBot="1" x14ac:dyDescent="0.3">
      <c r="B1117" s="1"/>
      <c r="C1117" s="1"/>
      <c r="D1117" s="1"/>
      <c r="E1117" s="1"/>
      <c r="F1117" s="1"/>
      <c r="G1117" s="1"/>
      <c r="H1117" s="1"/>
      <c r="I1117" s="2"/>
      <c r="J1117" s="1"/>
      <c r="K1117" s="1"/>
      <c r="L1117" s="1"/>
      <c r="M1117" s="3"/>
      <c r="N1117" s="1"/>
      <c r="P1117" s="11">
        <f>IFERROR(VLOOKUP($A1118,'PROGRAMA MES '!$A:$B,2,0),0)</f>
        <v>6000</v>
      </c>
    </row>
    <row r="1118" spans="1:16" x14ac:dyDescent="0.25">
      <c r="A1118" s="89" t="str">
        <f>B1118</f>
        <v>SP2227AMF</v>
      </c>
      <c r="B1118" s="17" t="s">
        <v>860</v>
      </c>
      <c r="C1118" s="17" t="s">
        <v>861</v>
      </c>
      <c r="D1118" s="17">
        <v>99</v>
      </c>
      <c r="E1118" s="17" t="s">
        <v>15</v>
      </c>
      <c r="F1118" s="17">
        <v>1</v>
      </c>
      <c r="G1118" s="17" t="s">
        <v>16</v>
      </c>
      <c r="H1118" s="17" t="s">
        <v>17</v>
      </c>
      <c r="I1118" s="18">
        <v>4013770</v>
      </c>
      <c r="J1118" s="17" t="s">
        <v>742</v>
      </c>
      <c r="K1118" s="17">
        <v>99</v>
      </c>
      <c r="L1118" s="17" t="s">
        <v>15</v>
      </c>
      <c r="M1118" s="17">
        <v>167</v>
      </c>
      <c r="N1118" s="17" t="s">
        <v>1</v>
      </c>
      <c r="O1118" s="20">
        <f t="shared" ref="O1118:O1120" si="281">M1118/10000</f>
        <v>1.67E-2</v>
      </c>
      <c r="P1118" s="21">
        <f>O1118*$P$1117</f>
        <v>100.2</v>
      </c>
    </row>
    <row r="1119" spans="1:16" x14ac:dyDescent="0.25">
      <c r="A1119" s="91"/>
      <c r="B1119" s="13" t="s">
        <v>860</v>
      </c>
      <c r="C1119" s="13" t="s">
        <v>861</v>
      </c>
      <c r="D1119" s="13">
        <v>99</v>
      </c>
      <c r="E1119" s="13" t="s">
        <v>15</v>
      </c>
      <c r="F1119" s="13">
        <v>1</v>
      </c>
      <c r="G1119" s="13" t="s">
        <v>16</v>
      </c>
      <c r="H1119" s="13" t="s">
        <v>17</v>
      </c>
      <c r="I1119" s="14">
        <v>4016160</v>
      </c>
      <c r="J1119" s="13" t="s">
        <v>69</v>
      </c>
      <c r="K1119" s="13">
        <v>99</v>
      </c>
      <c r="L1119" s="13" t="s">
        <v>15</v>
      </c>
      <c r="M1119" s="13">
        <v>20</v>
      </c>
      <c r="N1119" s="13" t="s">
        <v>3</v>
      </c>
      <c r="O1119" s="16">
        <f t="shared" si="281"/>
        <v>2E-3</v>
      </c>
      <c r="P1119" s="22">
        <f t="shared" ref="P1119:P1120" si="282">O1119*$P$1117</f>
        <v>12</v>
      </c>
    </row>
    <row r="1120" spans="1:16" ht="15.75" thickBot="1" x14ac:dyDescent="0.3">
      <c r="A1120" s="90"/>
      <c r="B1120" s="23" t="s">
        <v>860</v>
      </c>
      <c r="C1120" s="23" t="s">
        <v>861</v>
      </c>
      <c r="D1120" s="23">
        <v>99</v>
      </c>
      <c r="E1120" s="23" t="s">
        <v>15</v>
      </c>
      <c r="F1120" s="23">
        <v>1</v>
      </c>
      <c r="G1120" s="23" t="s">
        <v>21</v>
      </c>
      <c r="H1120" s="23" t="s">
        <v>17</v>
      </c>
      <c r="I1120" s="24" t="s">
        <v>862</v>
      </c>
      <c r="J1120" s="23" t="s">
        <v>863</v>
      </c>
      <c r="K1120" s="23">
        <v>3</v>
      </c>
      <c r="L1120" s="23" t="s">
        <v>24</v>
      </c>
      <c r="M1120" s="25">
        <v>10000</v>
      </c>
      <c r="N1120" s="23" t="s">
        <v>1</v>
      </c>
      <c r="O1120" s="26">
        <f t="shared" si="281"/>
        <v>1</v>
      </c>
      <c r="P1120" s="27">
        <f t="shared" si="282"/>
        <v>6000</v>
      </c>
    </row>
    <row r="1121" spans="1:16" x14ac:dyDescent="0.25">
      <c r="B1121" s="1"/>
      <c r="C1121" s="1"/>
      <c r="D1121" s="1"/>
      <c r="E1121" s="1"/>
      <c r="F1121" s="1"/>
      <c r="G1121" s="1"/>
      <c r="H1121" s="1"/>
      <c r="I1121" s="2"/>
      <c r="J1121" s="1"/>
      <c r="K1121" s="1"/>
      <c r="L1121" s="1"/>
      <c r="M1121" s="3"/>
      <c r="N1121" s="1"/>
    </row>
    <row r="1122" spans="1:16" ht="15.75" thickBot="1" x14ac:dyDescent="0.3">
      <c r="B1122" s="1"/>
      <c r="C1122" s="1"/>
      <c r="D1122" s="1"/>
      <c r="E1122" s="1"/>
      <c r="F1122" s="1"/>
      <c r="G1122" s="1"/>
      <c r="H1122" s="1"/>
      <c r="I1122" s="2"/>
      <c r="J1122" s="1"/>
      <c r="K1122" s="1"/>
      <c r="L1122" s="1"/>
      <c r="M1122" s="3"/>
      <c r="N1122" s="1"/>
      <c r="P1122" s="11">
        <f>IFERROR(VLOOKUP($A1123,'PROGRAMA MES '!$A:$B,2,0),0)</f>
        <v>0</v>
      </c>
    </row>
    <row r="1123" spans="1:16" x14ac:dyDescent="0.25">
      <c r="A1123" s="89" t="str">
        <f>B1123</f>
        <v>SP27030AZ</v>
      </c>
      <c r="B1123" s="17" t="s">
        <v>864</v>
      </c>
      <c r="C1123" s="17" t="s">
        <v>865</v>
      </c>
      <c r="D1123" s="17">
        <v>3</v>
      </c>
      <c r="E1123" s="17" t="s">
        <v>24</v>
      </c>
      <c r="F1123" s="17">
        <v>1</v>
      </c>
      <c r="G1123" s="17" t="s">
        <v>35</v>
      </c>
      <c r="H1123" s="17" t="s">
        <v>17</v>
      </c>
      <c r="I1123" s="18">
        <v>3001930</v>
      </c>
      <c r="J1123" s="17" t="s">
        <v>866</v>
      </c>
      <c r="K1123" s="17">
        <v>99</v>
      </c>
      <c r="L1123" s="17" t="s">
        <v>15</v>
      </c>
      <c r="M1123" s="19">
        <v>2950</v>
      </c>
      <c r="N1123" s="17" t="s">
        <v>3</v>
      </c>
      <c r="O1123" s="20">
        <f t="shared" ref="O1123:O1129" si="283">M1123/10000</f>
        <v>0.29499999999999998</v>
      </c>
      <c r="P1123" s="21">
        <f>O1123*$P$1122</f>
        <v>0</v>
      </c>
    </row>
    <row r="1124" spans="1:16" x14ac:dyDescent="0.25">
      <c r="A1124" s="91"/>
      <c r="B1124" s="13" t="s">
        <v>864</v>
      </c>
      <c r="C1124" s="13" t="s">
        <v>865</v>
      </c>
      <c r="D1124" s="13">
        <v>3</v>
      </c>
      <c r="E1124" s="13" t="s">
        <v>24</v>
      </c>
      <c r="F1124" s="13">
        <v>1</v>
      </c>
      <c r="G1124" s="13" t="s">
        <v>16</v>
      </c>
      <c r="H1124" s="13" t="s">
        <v>17</v>
      </c>
      <c r="I1124" s="14">
        <v>4002826</v>
      </c>
      <c r="J1124" s="13" t="s">
        <v>4</v>
      </c>
      <c r="K1124" s="13">
        <v>99</v>
      </c>
      <c r="L1124" s="13" t="s">
        <v>15</v>
      </c>
      <c r="M1124" s="13">
        <v>50</v>
      </c>
      <c r="N1124" s="13" t="s">
        <v>1</v>
      </c>
      <c r="O1124" s="16">
        <f t="shared" si="283"/>
        <v>5.0000000000000001E-3</v>
      </c>
      <c r="P1124" s="22">
        <f t="shared" ref="P1124:P1129" si="284">O1124*$P$1122</f>
        <v>0</v>
      </c>
    </row>
    <row r="1125" spans="1:16" x14ac:dyDescent="0.25">
      <c r="A1125" s="91"/>
      <c r="B1125" s="13" t="s">
        <v>864</v>
      </c>
      <c r="C1125" s="13" t="s">
        <v>865</v>
      </c>
      <c r="D1125" s="13">
        <v>3</v>
      </c>
      <c r="E1125" s="13" t="s">
        <v>24</v>
      </c>
      <c r="F1125" s="13">
        <v>1</v>
      </c>
      <c r="G1125" s="13" t="s">
        <v>16</v>
      </c>
      <c r="H1125" s="13" t="s">
        <v>17</v>
      </c>
      <c r="I1125" s="14">
        <v>4004820</v>
      </c>
      <c r="J1125" s="13" t="s">
        <v>867</v>
      </c>
      <c r="K1125" s="13">
        <v>99</v>
      </c>
      <c r="L1125" s="13" t="s">
        <v>15</v>
      </c>
      <c r="M1125" s="13">
        <v>1</v>
      </c>
      <c r="N1125" s="13" t="s">
        <v>1</v>
      </c>
      <c r="O1125" s="16">
        <f t="shared" si="283"/>
        <v>1E-4</v>
      </c>
      <c r="P1125" s="22">
        <f t="shared" si="284"/>
        <v>0</v>
      </c>
    </row>
    <row r="1126" spans="1:16" x14ac:dyDescent="0.25">
      <c r="A1126" s="91"/>
      <c r="B1126" s="13" t="s">
        <v>864</v>
      </c>
      <c r="C1126" s="13" t="s">
        <v>865</v>
      </c>
      <c r="D1126" s="13">
        <v>3</v>
      </c>
      <c r="E1126" s="13" t="s">
        <v>24</v>
      </c>
      <c r="F1126" s="13">
        <v>1</v>
      </c>
      <c r="G1126" s="13" t="s">
        <v>16</v>
      </c>
      <c r="H1126" s="13" t="s">
        <v>17</v>
      </c>
      <c r="I1126" s="14">
        <v>4007480</v>
      </c>
      <c r="J1126" s="13" t="s">
        <v>868</v>
      </c>
      <c r="K1126" s="13">
        <v>99</v>
      </c>
      <c r="L1126" s="13" t="s">
        <v>15</v>
      </c>
      <c r="M1126" s="13">
        <v>834</v>
      </c>
      <c r="N1126" s="13" t="s">
        <v>1</v>
      </c>
      <c r="O1126" s="16">
        <f t="shared" si="283"/>
        <v>8.3400000000000002E-2</v>
      </c>
      <c r="P1126" s="22">
        <f t="shared" si="284"/>
        <v>0</v>
      </c>
    </row>
    <row r="1127" spans="1:16" x14ac:dyDescent="0.25">
      <c r="A1127" s="91"/>
      <c r="B1127" s="13" t="s">
        <v>864</v>
      </c>
      <c r="C1127" s="13" t="s">
        <v>865</v>
      </c>
      <c r="D1127" s="13">
        <v>3</v>
      </c>
      <c r="E1127" s="13" t="s">
        <v>24</v>
      </c>
      <c r="F1127" s="13">
        <v>1</v>
      </c>
      <c r="G1127" s="13" t="s">
        <v>16</v>
      </c>
      <c r="H1127" s="13" t="s">
        <v>17</v>
      </c>
      <c r="I1127" s="14">
        <v>4008681</v>
      </c>
      <c r="J1127" s="13" t="s">
        <v>869</v>
      </c>
      <c r="K1127" s="13">
        <v>99</v>
      </c>
      <c r="L1127" s="13" t="s">
        <v>15</v>
      </c>
      <c r="M1127" s="13">
        <v>60</v>
      </c>
      <c r="N1127" s="13" t="s">
        <v>3</v>
      </c>
      <c r="O1127" s="16">
        <f t="shared" si="283"/>
        <v>6.0000000000000001E-3</v>
      </c>
      <c r="P1127" s="22">
        <f t="shared" si="284"/>
        <v>0</v>
      </c>
    </row>
    <row r="1128" spans="1:16" x14ac:dyDescent="0.25">
      <c r="A1128" s="91"/>
      <c r="B1128" s="13" t="s">
        <v>864</v>
      </c>
      <c r="C1128" s="13" t="s">
        <v>865</v>
      </c>
      <c r="D1128" s="13">
        <v>3</v>
      </c>
      <c r="E1128" s="13" t="s">
        <v>24</v>
      </c>
      <c r="F1128" s="13">
        <v>1</v>
      </c>
      <c r="G1128" s="13" t="s">
        <v>16</v>
      </c>
      <c r="H1128" s="13" t="s">
        <v>17</v>
      </c>
      <c r="I1128" s="14">
        <v>4015043</v>
      </c>
      <c r="J1128" s="13" t="s">
        <v>870</v>
      </c>
      <c r="K1128" s="13">
        <v>99</v>
      </c>
      <c r="L1128" s="13" t="s">
        <v>15</v>
      </c>
      <c r="M1128" s="15">
        <v>10000</v>
      </c>
      <c r="N1128" s="13" t="s">
        <v>1</v>
      </c>
      <c r="O1128" s="16">
        <f t="shared" si="283"/>
        <v>1</v>
      </c>
      <c r="P1128" s="22">
        <f t="shared" si="284"/>
        <v>0</v>
      </c>
    </row>
    <row r="1129" spans="1:16" ht="15.75" thickBot="1" x14ac:dyDescent="0.3">
      <c r="A1129" s="90"/>
      <c r="B1129" s="23" t="s">
        <v>864</v>
      </c>
      <c r="C1129" s="23" t="s">
        <v>865</v>
      </c>
      <c r="D1129" s="23">
        <v>3</v>
      </c>
      <c r="E1129" s="23" t="s">
        <v>24</v>
      </c>
      <c r="F1129" s="23">
        <v>1</v>
      </c>
      <c r="G1129" s="23" t="s">
        <v>16</v>
      </c>
      <c r="H1129" s="23" t="s">
        <v>17</v>
      </c>
      <c r="I1129" s="24">
        <v>4015174</v>
      </c>
      <c r="J1129" s="23" t="s">
        <v>871</v>
      </c>
      <c r="K1129" s="23">
        <v>99</v>
      </c>
      <c r="L1129" s="23" t="s">
        <v>15</v>
      </c>
      <c r="M1129" s="25">
        <v>10000</v>
      </c>
      <c r="N1129" s="23" t="s">
        <v>1</v>
      </c>
      <c r="O1129" s="26">
        <f t="shared" si="283"/>
        <v>1</v>
      </c>
      <c r="P1129" s="27">
        <f t="shared" si="284"/>
        <v>0</v>
      </c>
    </row>
    <row r="1130" spans="1:16" x14ac:dyDescent="0.25">
      <c r="B1130" s="1"/>
      <c r="C1130" s="1"/>
      <c r="D1130" s="1"/>
      <c r="E1130" s="1"/>
      <c r="F1130" s="1"/>
      <c r="G1130" s="1"/>
      <c r="H1130" s="1"/>
      <c r="I1130" s="2"/>
      <c r="J1130" s="1"/>
      <c r="K1130" s="1"/>
      <c r="L1130" s="1"/>
      <c r="M1130" s="3"/>
      <c r="N1130" s="1"/>
    </row>
    <row r="1131" spans="1:16" ht="15.75" thickBot="1" x14ac:dyDescent="0.3">
      <c r="B1131" s="1"/>
      <c r="C1131" s="1"/>
      <c r="D1131" s="1"/>
      <c r="E1131" s="1"/>
      <c r="F1131" s="1"/>
      <c r="G1131" s="1"/>
      <c r="H1131" s="1"/>
      <c r="I1131" s="2"/>
      <c r="J1131" s="1"/>
      <c r="K1131" s="1"/>
      <c r="L1131" s="1"/>
      <c r="M1131" s="3"/>
      <c r="N1131" s="1"/>
      <c r="P1131" s="11">
        <f>IFERROR(VLOOKUP($A1132,'PROGRAMA MES '!$A:$B,2,0),0)</f>
        <v>0</v>
      </c>
    </row>
    <row r="1132" spans="1:16" x14ac:dyDescent="0.25">
      <c r="A1132" s="89" t="str">
        <f>B1132</f>
        <v>SP27030BR</v>
      </c>
      <c r="B1132" s="17" t="s">
        <v>872</v>
      </c>
      <c r="C1132" s="17" t="s">
        <v>873</v>
      </c>
      <c r="D1132" s="17">
        <v>3</v>
      </c>
      <c r="E1132" s="17" t="s">
        <v>24</v>
      </c>
      <c r="F1132" s="17">
        <v>1</v>
      </c>
      <c r="G1132" s="17" t="s">
        <v>35</v>
      </c>
      <c r="H1132" s="17" t="s">
        <v>17</v>
      </c>
      <c r="I1132" s="18">
        <v>3001933</v>
      </c>
      <c r="J1132" s="17" t="s">
        <v>874</v>
      </c>
      <c r="K1132" s="17">
        <v>99</v>
      </c>
      <c r="L1132" s="17" t="s">
        <v>15</v>
      </c>
      <c r="M1132" s="19">
        <v>2950</v>
      </c>
      <c r="N1132" s="17" t="s">
        <v>3</v>
      </c>
      <c r="O1132" s="20">
        <f t="shared" ref="O1132:O1138" si="285">M1132/10000</f>
        <v>0.29499999999999998</v>
      </c>
      <c r="P1132" s="21">
        <f>O1132*$P$1131</f>
        <v>0</v>
      </c>
    </row>
    <row r="1133" spans="1:16" x14ac:dyDescent="0.25">
      <c r="A1133" s="91"/>
      <c r="B1133" s="13" t="s">
        <v>872</v>
      </c>
      <c r="C1133" s="13" t="s">
        <v>873</v>
      </c>
      <c r="D1133" s="13">
        <v>3</v>
      </c>
      <c r="E1133" s="13" t="s">
        <v>24</v>
      </c>
      <c r="F1133" s="13">
        <v>1</v>
      </c>
      <c r="G1133" s="13" t="s">
        <v>16</v>
      </c>
      <c r="H1133" s="13" t="s">
        <v>17</v>
      </c>
      <c r="I1133" s="14">
        <v>4002826</v>
      </c>
      <c r="J1133" s="13" t="s">
        <v>4</v>
      </c>
      <c r="K1133" s="13">
        <v>99</v>
      </c>
      <c r="L1133" s="13" t="s">
        <v>15</v>
      </c>
      <c r="M1133" s="13">
        <v>50</v>
      </c>
      <c r="N1133" s="13" t="s">
        <v>1</v>
      </c>
      <c r="O1133" s="16">
        <f t="shared" si="285"/>
        <v>5.0000000000000001E-3</v>
      </c>
      <c r="P1133" s="22">
        <f t="shared" ref="P1133:P1138" si="286">O1133*$P$1131</f>
        <v>0</v>
      </c>
    </row>
    <row r="1134" spans="1:16" x14ac:dyDescent="0.25">
      <c r="A1134" s="91"/>
      <c r="B1134" s="13" t="s">
        <v>872</v>
      </c>
      <c r="C1134" s="13" t="s">
        <v>873</v>
      </c>
      <c r="D1134" s="13">
        <v>3</v>
      </c>
      <c r="E1134" s="13" t="s">
        <v>24</v>
      </c>
      <c r="F1134" s="13">
        <v>1</v>
      </c>
      <c r="G1134" s="13" t="s">
        <v>16</v>
      </c>
      <c r="H1134" s="13" t="s">
        <v>17</v>
      </c>
      <c r="I1134" s="14">
        <v>4004820</v>
      </c>
      <c r="J1134" s="13" t="s">
        <v>867</v>
      </c>
      <c r="K1134" s="13">
        <v>99</v>
      </c>
      <c r="L1134" s="13" t="s">
        <v>15</v>
      </c>
      <c r="M1134" s="13">
        <v>1</v>
      </c>
      <c r="N1134" s="13" t="s">
        <v>1</v>
      </c>
      <c r="O1134" s="16">
        <f t="shared" si="285"/>
        <v>1E-4</v>
      </c>
      <c r="P1134" s="22">
        <f t="shared" si="286"/>
        <v>0</v>
      </c>
    </row>
    <row r="1135" spans="1:16" x14ac:dyDescent="0.25">
      <c r="A1135" s="91"/>
      <c r="B1135" s="13" t="s">
        <v>872</v>
      </c>
      <c r="C1135" s="13" t="s">
        <v>873</v>
      </c>
      <c r="D1135" s="13">
        <v>3</v>
      </c>
      <c r="E1135" s="13" t="s">
        <v>24</v>
      </c>
      <c r="F1135" s="13">
        <v>1</v>
      </c>
      <c r="G1135" s="13" t="s">
        <v>16</v>
      </c>
      <c r="H1135" s="13" t="s">
        <v>17</v>
      </c>
      <c r="I1135" s="14">
        <v>4007480</v>
      </c>
      <c r="J1135" s="13" t="s">
        <v>868</v>
      </c>
      <c r="K1135" s="13">
        <v>99</v>
      </c>
      <c r="L1135" s="13" t="s">
        <v>15</v>
      </c>
      <c r="M1135" s="13">
        <v>834</v>
      </c>
      <c r="N1135" s="13" t="s">
        <v>1</v>
      </c>
      <c r="O1135" s="16">
        <f t="shared" si="285"/>
        <v>8.3400000000000002E-2</v>
      </c>
      <c r="P1135" s="22">
        <f t="shared" si="286"/>
        <v>0</v>
      </c>
    </row>
    <row r="1136" spans="1:16" x14ac:dyDescent="0.25">
      <c r="A1136" s="91"/>
      <c r="B1136" s="13" t="s">
        <v>872</v>
      </c>
      <c r="C1136" s="13" t="s">
        <v>873</v>
      </c>
      <c r="D1136" s="13">
        <v>3</v>
      </c>
      <c r="E1136" s="13" t="s">
        <v>24</v>
      </c>
      <c r="F1136" s="13">
        <v>1</v>
      </c>
      <c r="G1136" s="13" t="s">
        <v>16</v>
      </c>
      <c r="H1136" s="13" t="s">
        <v>17</v>
      </c>
      <c r="I1136" s="14">
        <v>4008681</v>
      </c>
      <c r="J1136" s="13" t="s">
        <v>869</v>
      </c>
      <c r="K1136" s="13">
        <v>99</v>
      </c>
      <c r="L1136" s="13" t="s">
        <v>15</v>
      </c>
      <c r="M1136" s="13">
        <v>60</v>
      </c>
      <c r="N1136" s="13" t="s">
        <v>3</v>
      </c>
      <c r="O1136" s="16">
        <f t="shared" si="285"/>
        <v>6.0000000000000001E-3</v>
      </c>
      <c r="P1136" s="22">
        <f t="shared" si="286"/>
        <v>0</v>
      </c>
    </row>
    <row r="1137" spans="1:16" x14ac:dyDescent="0.25">
      <c r="A1137" s="91"/>
      <c r="B1137" s="13" t="s">
        <v>872</v>
      </c>
      <c r="C1137" s="13" t="s">
        <v>873</v>
      </c>
      <c r="D1137" s="13">
        <v>3</v>
      </c>
      <c r="E1137" s="13" t="s">
        <v>24</v>
      </c>
      <c r="F1137" s="13">
        <v>1</v>
      </c>
      <c r="G1137" s="13" t="s">
        <v>16</v>
      </c>
      <c r="H1137" s="13" t="s">
        <v>17</v>
      </c>
      <c r="I1137" s="14">
        <v>4015044</v>
      </c>
      <c r="J1137" s="13" t="s">
        <v>875</v>
      </c>
      <c r="K1137" s="13">
        <v>99</v>
      </c>
      <c r="L1137" s="13" t="s">
        <v>15</v>
      </c>
      <c r="M1137" s="15">
        <v>10000</v>
      </c>
      <c r="N1137" s="13" t="s">
        <v>1</v>
      </c>
      <c r="O1137" s="16">
        <f t="shared" si="285"/>
        <v>1</v>
      </c>
      <c r="P1137" s="22">
        <f t="shared" si="286"/>
        <v>0</v>
      </c>
    </row>
    <row r="1138" spans="1:16" ht="15.75" thickBot="1" x14ac:dyDescent="0.3">
      <c r="A1138" s="90"/>
      <c r="B1138" s="23" t="s">
        <v>872</v>
      </c>
      <c r="C1138" s="23" t="s">
        <v>873</v>
      </c>
      <c r="D1138" s="23">
        <v>3</v>
      </c>
      <c r="E1138" s="23" t="s">
        <v>24</v>
      </c>
      <c r="F1138" s="23">
        <v>1</v>
      </c>
      <c r="G1138" s="23" t="s">
        <v>16</v>
      </c>
      <c r="H1138" s="23" t="s">
        <v>17</v>
      </c>
      <c r="I1138" s="24">
        <v>4015174</v>
      </c>
      <c r="J1138" s="23" t="s">
        <v>871</v>
      </c>
      <c r="K1138" s="23">
        <v>99</v>
      </c>
      <c r="L1138" s="23" t="s">
        <v>15</v>
      </c>
      <c r="M1138" s="25">
        <v>10000</v>
      </c>
      <c r="N1138" s="23" t="s">
        <v>1</v>
      </c>
      <c r="O1138" s="26">
        <f t="shared" si="285"/>
        <v>1</v>
      </c>
      <c r="P1138" s="27">
        <f t="shared" si="286"/>
        <v>0</v>
      </c>
    </row>
    <row r="1139" spans="1:16" x14ac:dyDescent="0.25">
      <c r="B1139" s="1"/>
      <c r="C1139" s="1"/>
      <c r="D1139" s="1"/>
      <c r="E1139" s="1"/>
      <c r="F1139" s="1"/>
      <c r="G1139" s="1"/>
      <c r="H1139" s="1"/>
      <c r="I1139" s="2"/>
      <c r="J1139" s="1"/>
      <c r="K1139" s="1"/>
      <c r="L1139" s="1"/>
      <c r="M1139" s="3"/>
      <c r="N1139" s="1"/>
    </row>
    <row r="1140" spans="1:16" ht="15.75" thickBot="1" x14ac:dyDescent="0.3">
      <c r="B1140" s="1"/>
      <c r="C1140" s="1"/>
      <c r="D1140" s="1"/>
      <c r="E1140" s="1"/>
      <c r="F1140" s="1"/>
      <c r="G1140" s="1"/>
      <c r="H1140" s="1"/>
      <c r="I1140" s="2"/>
      <c r="J1140" s="1"/>
      <c r="K1140" s="1"/>
      <c r="L1140" s="1"/>
      <c r="M1140" s="3"/>
      <c r="N1140" s="1"/>
      <c r="P1140" s="11">
        <f>IFERROR(VLOOKUP($A1141,'PROGRAMA MES '!$A:$B,2,0),0)</f>
        <v>0</v>
      </c>
    </row>
    <row r="1141" spans="1:16" x14ac:dyDescent="0.25">
      <c r="A1141" s="89" t="str">
        <f>B1141</f>
        <v>SP27030LR</v>
      </c>
      <c r="B1141" s="17" t="s">
        <v>876</v>
      </c>
      <c r="C1141" s="17" t="s">
        <v>877</v>
      </c>
      <c r="D1141" s="17">
        <v>3</v>
      </c>
      <c r="E1141" s="17" t="s">
        <v>24</v>
      </c>
      <c r="F1141" s="17">
        <v>1</v>
      </c>
      <c r="G1141" s="17" t="s">
        <v>35</v>
      </c>
      <c r="H1141" s="17" t="s">
        <v>17</v>
      </c>
      <c r="I1141" s="18">
        <v>3001932</v>
      </c>
      <c r="J1141" s="17" t="s">
        <v>878</v>
      </c>
      <c r="K1141" s="17">
        <v>99</v>
      </c>
      <c r="L1141" s="17" t="s">
        <v>15</v>
      </c>
      <c r="M1141" s="19">
        <v>2950</v>
      </c>
      <c r="N1141" s="17" t="s">
        <v>3</v>
      </c>
      <c r="O1141" s="20">
        <f t="shared" ref="O1141:O1147" si="287">M1141/10000</f>
        <v>0.29499999999999998</v>
      </c>
      <c r="P1141" s="21">
        <f>O1141*$P$1140</f>
        <v>0</v>
      </c>
    </row>
    <row r="1142" spans="1:16" x14ac:dyDescent="0.25">
      <c r="A1142" s="91"/>
      <c r="B1142" s="13" t="s">
        <v>876</v>
      </c>
      <c r="C1142" s="13" t="s">
        <v>877</v>
      </c>
      <c r="D1142" s="13">
        <v>3</v>
      </c>
      <c r="E1142" s="13" t="s">
        <v>24</v>
      </c>
      <c r="F1142" s="13">
        <v>1</v>
      </c>
      <c r="G1142" s="13" t="s">
        <v>16</v>
      </c>
      <c r="H1142" s="13" t="s">
        <v>17</v>
      </c>
      <c r="I1142" s="14">
        <v>4002826</v>
      </c>
      <c r="J1142" s="13" t="s">
        <v>4</v>
      </c>
      <c r="K1142" s="13">
        <v>99</v>
      </c>
      <c r="L1142" s="13" t="s">
        <v>15</v>
      </c>
      <c r="M1142" s="13">
        <v>50</v>
      </c>
      <c r="N1142" s="13" t="s">
        <v>1</v>
      </c>
      <c r="O1142" s="16">
        <f t="shared" si="287"/>
        <v>5.0000000000000001E-3</v>
      </c>
      <c r="P1142" s="22">
        <f t="shared" ref="P1142:P1147" si="288">O1142*$P$1140</f>
        <v>0</v>
      </c>
    </row>
    <row r="1143" spans="1:16" x14ac:dyDescent="0.25">
      <c r="A1143" s="91"/>
      <c r="B1143" s="13" t="s">
        <v>876</v>
      </c>
      <c r="C1143" s="13" t="s">
        <v>877</v>
      </c>
      <c r="D1143" s="13">
        <v>3</v>
      </c>
      <c r="E1143" s="13" t="s">
        <v>24</v>
      </c>
      <c r="F1143" s="13">
        <v>1</v>
      </c>
      <c r="G1143" s="13" t="s">
        <v>16</v>
      </c>
      <c r="H1143" s="13" t="s">
        <v>17</v>
      </c>
      <c r="I1143" s="14">
        <v>4004820</v>
      </c>
      <c r="J1143" s="13" t="s">
        <v>867</v>
      </c>
      <c r="K1143" s="13">
        <v>99</v>
      </c>
      <c r="L1143" s="13" t="s">
        <v>15</v>
      </c>
      <c r="M1143" s="13">
        <v>1</v>
      </c>
      <c r="N1143" s="13" t="s">
        <v>1</v>
      </c>
      <c r="O1143" s="16">
        <f t="shared" si="287"/>
        <v>1E-4</v>
      </c>
      <c r="P1143" s="22">
        <f t="shared" si="288"/>
        <v>0</v>
      </c>
    </row>
    <row r="1144" spans="1:16" x14ac:dyDescent="0.25">
      <c r="A1144" s="91"/>
      <c r="B1144" s="13" t="s">
        <v>876</v>
      </c>
      <c r="C1144" s="13" t="s">
        <v>877</v>
      </c>
      <c r="D1144" s="13">
        <v>3</v>
      </c>
      <c r="E1144" s="13" t="s">
        <v>24</v>
      </c>
      <c r="F1144" s="13">
        <v>1</v>
      </c>
      <c r="G1144" s="13" t="s">
        <v>16</v>
      </c>
      <c r="H1144" s="13" t="s">
        <v>17</v>
      </c>
      <c r="I1144" s="14">
        <v>4007480</v>
      </c>
      <c r="J1144" s="13" t="s">
        <v>868</v>
      </c>
      <c r="K1144" s="13">
        <v>99</v>
      </c>
      <c r="L1144" s="13" t="s">
        <v>15</v>
      </c>
      <c r="M1144" s="13">
        <v>834</v>
      </c>
      <c r="N1144" s="13" t="s">
        <v>1</v>
      </c>
      <c r="O1144" s="16">
        <f t="shared" si="287"/>
        <v>8.3400000000000002E-2</v>
      </c>
      <c r="P1144" s="22">
        <f t="shared" si="288"/>
        <v>0</v>
      </c>
    </row>
    <row r="1145" spans="1:16" x14ac:dyDescent="0.25">
      <c r="A1145" s="91"/>
      <c r="B1145" s="13" t="s">
        <v>876</v>
      </c>
      <c r="C1145" s="13" t="s">
        <v>877</v>
      </c>
      <c r="D1145" s="13">
        <v>3</v>
      </c>
      <c r="E1145" s="13" t="s">
        <v>24</v>
      </c>
      <c r="F1145" s="13">
        <v>1</v>
      </c>
      <c r="G1145" s="13" t="s">
        <v>16</v>
      </c>
      <c r="H1145" s="13" t="s">
        <v>17</v>
      </c>
      <c r="I1145" s="14">
        <v>4008681</v>
      </c>
      <c r="J1145" s="13" t="s">
        <v>869</v>
      </c>
      <c r="K1145" s="13">
        <v>99</v>
      </c>
      <c r="L1145" s="13" t="s">
        <v>15</v>
      </c>
      <c r="M1145" s="13">
        <v>60</v>
      </c>
      <c r="N1145" s="13" t="s">
        <v>3</v>
      </c>
      <c r="O1145" s="16">
        <f t="shared" si="287"/>
        <v>6.0000000000000001E-3</v>
      </c>
      <c r="P1145" s="22">
        <f t="shared" si="288"/>
        <v>0</v>
      </c>
    </row>
    <row r="1146" spans="1:16" x14ac:dyDescent="0.25">
      <c r="A1146" s="91"/>
      <c r="B1146" s="13" t="s">
        <v>876</v>
      </c>
      <c r="C1146" s="13" t="s">
        <v>877</v>
      </c>
      <c r="D1146" s="13">
        <v>3</v>
      </c>
      <c r="E1146" s="13" t="s">
        <v>24</v>
      </c>
      <c r="F1146" s="13">
        <v>1</v>
      </c>
      <c r="G1146" s="13" t="s">
        <v>16</v>
      </c>
      <c r="H1146" s="13" t="s">
        <v>17</v>
      </c>
      <c r="I1146" s="14">
        <v>4015045</v>
      </c>
      <c r="J1146" s="13" t="s">
        <v>879</v>
      </c>
      <c r="K1146" s="13">
        <v>99</v>
      </c>
      <c r="L1146" s="13" t="s">
        <v>15</v>
      </c>
      <c r="M1146" s="15">
        <v>10000</v>
      </c>
      <c r="N1146" s="13" t="s">
        <v>1</v>
      </c>
      <c r="O1146" s="16">
        <f t="shared" si="287"/>
        <v>1</v>
      </c>
      <c r="P1146" s="22">
        <f t="shared" si="288"/>
        <v>0</v>
      </c>
    </row>
    <row r="1147" spans="1:16" ht="15.75" thickBot="1" x14ac:dyDescent="0.3">
      <c r="A1147" s="90"/>
      <c r="B1147" s="23" t="s">
        <v>876</v>
      </c>
      <c r="C1147" s="23" t="s">
        <v>877</v>
      </c>
      <c r="D1147" s="23">
        <v>3</v>
      </c>
      <c r="E1147" s="23" t="s">
        <v>24</v>
      </c>
      <c r="F1147" s="23">
        <v>1</v>
      </c>
      <c r="G1147" s="23" t="s">
        <v>16</v>
      </c>
      <c r="H1147" s="23" t="s">
        <v>17</v>
      </c>
      <c r="I1147" s="24">
        <v>4015174</v>
      </c>
      <c r="J1147" s="23" t="s">
        <v>871</v>
      </c>
      <c r="K1147" s="23">
        <v>99</v>
      </c>
      <c r="L1147" s="23" t="s">
        <v>15</v>
      </c>
      <c r="M1147" s="25">
        <v>10000</v>
      </c>
      <c r="N1147" s="23" t="s">
        <v>1</v>
      </c>
      <c r="O1147" s="26">
        <f t="shared" si="287"/>
        <v>1</v>
      </c>
      <c r="P1147" s="27">
        <f t="shared" si="288"/>
        <v>0</v>
      </c>
    </row>
    <row r="1148" spans="1:16" x14ac:dyDescent="0.25">
      <c r="B1148" s="1"/>
      <c r="C1148" s="1"/>
      <c r="D1148" s="1"/>
      <c r="E1148" s="1"/>
      <c r="F1148" s="1"/>
      <c r="G1148" s="1"/>
      <c r="H1148" s="1"/>
      <c r="I1148" s="2"/>
      <c r="J1148" s="1"/>
      <c r="K1148" s="1"/>
      <c r="L1148" s="1"/>
      <c r="M1148" s="3"/>
      <c r="N1148" s="1"/>
    </row>
    <row r="1149" spans="1:16" ht="15.75" thickBot="1" x14ac:dyDescent="0.3">
      <c r="B1149" s="1"/>
      <c r="C1149" s="1"/>
      <c r="D1149" s="1"/>
      <c r="E1149" s="1"/>
      <c r="F1149" s="1"/>
      <c r="G1149" s="1"/>
      <c r="H1149" s="1"/>
      <c r="I1149" s="2"/>
      <c r="J1149" s="1"/>
      <c r="K1149" s="1"/>
      <c r="L1149" s="1"/>
      <c r="M1149" s="3"/>
      <c r="N1149" s="1"/>
      <c r="P1149" s="11">
        <f>IFERROR(VLOOKUP($A1150,'PROGRAMA MES '!$A:$B,2,0),0)</f>
        <v>0</v>
      </c>
    </row>
    <row r="1150" spans="1:16" x14ac:dyDescent="0.25">
      <c r="A1150" s="89" t="str">
        <f>B1150</f>
        <v>SP27030VD</v>
      </c>
      <c r="B1150" s="17" t="s">
        <v>880</v>
      </c>
      <c r="C1150" s="17" t="s">
        <v>881</v>
      </c>
      <c r="D1150" s="17">
        <v>3</v>
      </c>
      <c r="E1150" s="17" t="s">
        <v>24</v>
      </c>
      <c r="F1150" s="17">
        <v>1</v>
      </c>
      <c r="G1150" s="17" t="s">
        <v>35</v>
      </c>
      <c r="H1150" s="17" t="s">
        <v>17</v>
      </c>
      <c r="I1150" s="18">
        <v>3001931</v>
      </c>
      <c r="J1150" s="17" t="s">
        <v>882</v>
      </c>
      <c r="K1150" s="17">
        <v>99</v>
      </c>
      <c r="L1150" s="17" t="s">
        <v>15</v>
      </c>
      <c r="M1150" s="19">
        <v>2950</v>
      </c>
      <c r="N1150" s="17" t="s">
        <v>3</v>
      </c>
      <c r="O1150" s="20">
        <f t="shared" ref="O1150:O1156" si="289">M1150/10000</f>
        <v>0.29499999999999998</v>
      </c>
      <c r="P1150" s="21">
        <f>O1150*$P$1149</f>
        <v>0</v>
      </c>
    </row>
    <row r="1151" spans="1:16" x14ac:dyDescent="0.25">
      <c r="A1151" s="91"/>
      <c r="B1151" s="13" t="s">
        <v>880</v>
      </c>
      <c r="C1151" s="13" t="s">
        <v>881</v>
      </c>
      <c r="D1151" s="13">
        <v>3</v>
      </c>
      <c r="E1151" s="13" t="s">
        <v>24</v>
      </c>
      <c r="F1151" s="13">
        <v>1</v>
      </c>
      <c r="G1151" s="13" t="s">
        <v>16</v>
      </c>
      <c r="H1151" s="13" t="s">
        <v>17</v>
      </c>
      <c r="I1151" s="14">
        <v>4002826</v>
      </c>
      <c r="J1151" s="13" t="s">
        <v>4</v>
      </c>
      <c r="K1151" s="13">
        <v>99</v>
      </c>
      <c r="L1151" s="13" t="s">
        <v>15</v>
      </c>
      <c r="M1151" s="13">
        <v>50</v>
      </c>
      <c r="N1151" s="13" t="s">
        <v>1</v>
      </c>
      <c r="O1151" s="16">
        <f t="shared" si="289"/>
        <v>5.0000000000000001E-3</v>
      </c>
      <c r="P1151" s="22">
        <f t="shared" ref="P1151:P1156" si="290">O1151*$P$1149</f>
        <v>0</v>
      </c>
    </row>
    <row r="1152" spans="1:16" x14ac:dyDescent="0.25">
      <c r="A1152" s="91"/>
      <c r="B1152" s="13" t="s">
        <v>880</v>
      </c>
      <c r="C1152" s="13" t="s">
        <v>881</v>
      </c>
      <c r="D1152" s="13">
        <v>3</v>
      </c>
      <c r="E1152" s="13" t="s">
        <v>24</v>
      </c>
      <c r="F1152" s="13">
        <v>1</v>
      </c>
      <c r="G1152" s="13" t="s">
        <v>16</v>
      </c>
      <c r="H1152" s="13" t="s">
        <v>17</v>
      </c>
      <c r="I1152" s="14">
        <v>4004820</v>
      </c>
      <c r="J1152" s="13" t="s">
        <v>867</v>
      </c>
      <c r="K1152" s="13">
        <v>99</v>
      </c>
      <c r="L1152" s="13" t="s">
        <v>15</v>
      </c>
      <c r="M1152" s="13">
        <v>1</v>
      </c>
      <c r="N1152" s="13" t="s">
        <v>1</v>
      </c>
      <c r="O1152" s="16">
        <f t="shared" si="289"/>
        <v>1E-4</v>
      </c>
      <c r="P1152" s="22">
        <f t="shared" si="290"/>
        <v>0</v>
      </c>
    </row>
    <row r="1153" spans="1:16" x14ac:dyDescent="0.25">
      <c r="A1153" s="91"/>
      <c r="B1153" s="13" t="s">
        <v>880</v>
      </c>
      <c r="C1153" s="13" t="s">
        <v>881</v>
      </c>
      <c r="D1153" s="13">
        <v>3</v>
      </c>
      <c r="E1153" s="13" t="s">
        <v>24</v>
      </c>
      <c r="F1153" s="13">
        <v>1</v>
      </c>
      <c r="G1153" s="13" t="s">
        <v>16</v>
      </c>
      <c r="H1153" s="13" t="s">
        <v>17</v>
      </c>
      <c r="I1153" s="14">
        <v>4007480</v>
      </c>
      <c r="J1153" s="13" t="s">
        <v>868</v>
      </c>
      <c r="K1153" s="13">
        <v>99</v>
      </c>
      <c r="L1153" s="13" t="s">
        <v>15</v>
      </c>
      <c r="M1153" s="13">
        <v>834</v>
      </c>
      <c r="N1153" s="13" t="s">
        <v>1</v>
      </c>
      <c r="O1153" s="16">
        <f t="shared" si="289"/>
        <v>8.3400000000000002E-2</v>
      </c>
      <c r="P1153" s="22">
        <f t="shared" si="290"/>
        <v>0</v>
      </c>
    </row>
    <row r="1154" spans="1:16" x14ac:dyDescent="0.25">
      <c r="A1154" s="91"/>
      <c r="B1154" s="13" t="s">
        <v>880</v>
      </c>
      <c r="C1154" s="13" t="s">
        <v>881</v>
      </c>
      <c r="D1154" s="13">
        <v>3</v>
      </c>
      <c r="E1154" s="13" t="s">
        <v>24</v>
      </c>
      <c r="F1154" s="13">
        <v>1</v>
      </c>
      <c r="G1154" s="13" t="s">
        <v>16</v>
      </c>
      <c r="H1154" s="13" t="s">
        <v>17</v>
      </c>
      <c r="I1154" s="14">
        <v>4008681</v>
      </c>
      <c r="J1154" s="13" t="s">
        <v>869</v>
      </c>
      <c r="K1154" s="13">
        <v>99</v>
      </c>
      <c r="L1154" s="13" t="s">
        <v>15</v>
      </c>
      <c r="M1154" s="13">
        <v>60</v>
      </c>
      <c r="N1154" s="13" t="s">
        <v>3</v>
      </c>
      <c r="O1154" s="16">
        <f t="shared" si="289"/>
        <v>6.0000000000000001E-3</v>
      </c>
      <c r="P1154" s="22">
        <f t="shared" si="290"/>
        <v>0</v>
      </c>
    </row>
    <row r="1155" spans="1:16" x14ac:dyDescent="0.25">
      <c r="A1155" s="91"/>
      <c r="B1155" s="13" t="s">
        <v>880</v>
      </c>
      <c r="C1155" s="13" t="s">
        <v>881</v>
      </c>
      <c r="D1155" s="13">
        <v>3</v>
      </c>
      <c r="E1155" s="13" t="s">
        <v>24</v>
      </c>
      <c r="F1155" s="13">
        <v>1</v>
      </c>
      <c r="G1155" s="13" t="s">
        <v>16</v>
      </c>
      <c r="H1155" s="13" t="s">
        <v>17</v>
      </c>
      <c r="I1155" s="14">
        <v>4015046</v>
      </c>
      <c r="J1155" s="13" t="s">
        <v>883</v>
      </c>
      <c r="K1155" s="13">
        <v>99</v>
      </c>
      <c r="L1155" s="13" t="s">
        <v>15</v>
      </c>
      <c r="M1155" s="15">
        <v>10000</v>
      </c>
      <c r="N1155" s="13" t="s">
        <v>1</v>
      </c>
      <c r="O1155" s="16">
        <f t="shared" si="289"/>
        <v>1</v>
      </c>
      <c r="P1155" s="22">
        <f t="shared" si="290"/>
        <v>0</v>
      </c>
    </row>
    <row r="1156" spans="1:16" ht="15.75" thickBot="1" x14ac:dyDescent="0.3">
      <c r="A1156" s="90"/>
      <c r="B1156" s="23" t="s">
        <v>880</v>
      </c>
      <c r="C1156" s="23" t="s">
        <v>881</v>
      </c>
      <c r="D1156" s="23">
        <v>3</v>
      </c>
      <c r="E1156" s="23" t="s">
        <v>24</v>
      </c>
      <c r="F1156" s="23">
        <v>1</v>
      </c>
      <c r="G1156" s="23" t="s">
        <v>16</v>
      </c>
      <c r="H1156" s="23" t="s">
        <v>17</v>
      </c>
      <c r="I1156" s="24">
        <v>4015174</v>
      </c>
      <c r="J1156" s="23" t="s">
        <v>871</v>
      </c>
      <c r="K1156" s="23">
        <v>99</v>
      </c>
      <c r="L1156" s="23" t="s">
        <v>15</v>
      </c>
      <c r="M1156" s="25">
        <v>10000</v>
      </c>
      <c r="N1156" s="23" t="s">
        <v>1</v>
      </c>
      <c r="O1156" s="26">
        <f t="shared" si="289"/>
        <v>1</v>
      </c>
      <c r="P1156" s="27">
        <f t="shared" si="290"/>
        <v>0</v>
      </c>
    </row>
    <row r="1157" spans="1:16" x14ac:dyDescent="0.25">
      <c r="B1157" s="1"/>
      <c r="C1157" s="1"/>
      <c r="D1157" s="1"/>
      <c r="E1157" s="1"/>
      <c r="F1157" s="1"/>
      <c r="G1157" s="1"/>
      <c r="H1157" s="1"/>
      <c r="I1157" s="2"/>
      <c r="J1157" s="1"/>
      <c r="K1157" s="1"/>
      <c r="L1157" s="1"/>
      <c r="M1157" s="3"/>
      <c r="N1157" s="1"/>
    </row>
    <row r="1158" spans="1:16" ht="15.75" thickBot="1" x14ac:dyDescent="0.3">
      <c r="B1158" s="1"/>
      <c r="C1158" s="1"/>
      <c r="D1158" s="1"/>
      <c r="E1158" s="1"/>
      <c r="F1158" s="1"/>
      <c r="G1158" s="1"/>
      <c r="H1158" s="1"/>
      <c r="I1158" s="2"/>
      <c r="J1158" s="1"/>
      <c r="K1158" s="1"/>
      <c r="L1158" s="1"/>
      <c r="M1158" s="3"/>
      <c r="N1158" s="1"/>
      <c r="P1158" s="11">
        <f>IFERROR(VLOOKUP($A1159,'PROGRAMA MES '!$A:$B,2,0),0)</f>
        <v>0</v>
      </c>
    </row>
    <row r="1159" spans="1:16" x14ac:dyDescent="0.25">
      <c r="A1159" s="89" t="str">
        <f>B1159</f>
        <v>SP27150AZ</v>
      </c>
      <c r="B1159" s="17" t="s">
        <v>884</v>
      </c>
      <c r="C1159" s="17" t="s">
        <v>885</v>
      </c>
      <c r="D1159" s="17">
        <v>54</v>
      </c>
      <c r="E1159" s="17" t="s">
        <v>769</v>
      </c>
      <c r="F1159" s="17">
        <v>1</v>
      </c>
      <c r="G1159" s="17" t="s">
        <v>35</v>
      </c>
      <c r="H1159" s="17" t="s">
        <v>17</v>
      </c>
      <c r="I1159" s="18">
        <v>3001467</v>
      </c>
      <c r="J1159" s="17" t="s">
        <v>886</v>
      </c>
      <c r="K1159" s="17">
        <v>99</v>
      </c>
      <c r="L1159" s="17" t="s">
        <v>15</v>
      </c>
      <c r="M1159" s="19">
        <v>10000</v>
      </c>
      <c r="N1159" s="17" t="s">
        <v>1</v>
      </c>
      <c r="O1159" s="20">
        <f t="shared" ref="O1159:O1163" si="291">M1159/10000</f>
        <v>1</v>
      </c>
      <c r="P1159" s="21">
        <f>O1159*$P$1158</f>
        <v>0</v>
      </c>
    </row>
    <row r="1160" spans="1:16" x14ac:dyDescent="0.25">
      <c r="A1160" s="91"/>
      <c r="B1160" s="13" t="s">
        <v>884</v>
      </c>
      <c r="C1160" s="13" t="s">
        <v>885</v>
      </c>
      <c r="D1160" s="13">
        <v>54</v>
      </c>
      <c r="E1160" s="13" t="s">
        <v>769</v>
      </c>
      <c r="F1160" s="13">
        <v>1</v>
      </c>
      <c r="G1160" s="13" t="s">
        <v>35</v>
      </c>
      <c r="H1160" s="13" t="s">
        <v>17</v>
      </c>
      <c r="I1160" s="14">
        <v>3005124</v>
      </c>
      <c r="J1160" s="13" t="s">
        <v>887</v>
      </c>
      <c r="K1160" s="13">
        <v>99</v>
      </c>
      <c r="L1160" s="13" t="s">
        <v>15</v>
      </c>
      <c r="M1160" s="15">
        <v>10800</v>
      </c>
      <c r="N1160" s="13" t="s">
        <v>3</v>
      </c>
      <c r="O1160" s="16">
        <f t="shared" si="291"/>
        <v>1.08</v>
      </c>
      <c r="P1160" s="22">
        <f t="shared" ref="P1160:P1163" si="292">O1160*$P$1158</f>
        <v>0</v>
      </c>
    </row>
    <row r="1161" spans="1:16" x14ac:dyDescent="0.25">
      <c r="A1161" s="91"/>
      <c r="B1161" s="13" t="s">
        <v>884</v>
      </c>
      <c r="C1161" s="13" t="s">
        <v>885</v>
      </c>
      <c r="D1161" s="13">
        <v>54</v>
      </c>
      <c r="E1161" s="13" t="s">
        <v>769</v>
      </c>
      <c r="F1161" s="13">
        <v>1</v>
      </c>
      <c r="G1161" s="13" t="s">
        <v>16</v>
      </c>
      <c r="H1161" s="13" t="s">
        <v>17</v>
      </c>
      <c r="I1161" s="14">
        <v>4009781</v>
      </c>
      <c r="J1161" s="13" t="s">
        <v>368</v>
      </c>
      <c r="K1161" s="13">
        <v>99</v>
      </c>
      <c r="L1161" s="13" t="s">
        <v>15</v>
      </c>
      <c r="M1161" s="15">
        <v>10000</v>
      </c>
      <c r="N1161" s="13" t="s">
        <v>1</v>
      </c>
      <c r="O1161" s="16">
        <f t="shared" si="291"/>
        <v>1</v>
      </c>
      <c r="P1161" s="22">
        <f t="shared" si="292"/>
        <v>0</v>
      </c>
    </row>
    <row r="1162" spans="1:16" x14ac:dyDescent="0.25">
      <c r="A1162" s="91"/>
      <c r="B1162" s="13" t="s">
        <v>884</v>
      </c>
      <c r="C1162" s="13" t="s">
        <v>885</v>
      </c>
      <c r="D1162" s="13">
        <v>54</v>
      </c>
      <c r="E1162" s="13" t="s">
        <v>769</v>
      </c>
      <c r="F1162" s="13">
        <v>1</v>
      </c>
      <c r="G1162" s="13" t="s">
        <v>16</v>
      </c>
      <c r="H1162" s="13" t="s">
        <v>17</v>
      </c>
      <c r="I1162" s="14">
        <v>4015442</v>
      </c>
      <c r="J1162" s="13" t="s">
        <v>888</v>
      </c>
      <c r="K1162" s="13">
        <v>99</v>
      </c>
      <c r="L1162" s="13" t="s">
        <v>15</v>
      </c>
      <c r="M1162" s="15">
        <v>3000</v>
      </c>
      <c r="N1162" s="13" t="s">
        <v>2</v>
      </c>
      <c r="O1162" s="16">
        <f t="shared" si="291"/>
        <v>0.3</v>
      </c>
      <c r="P1162" s="22">
        <f t="shared" si="292"/>
        <v>0</v>
      </c>
    </row>
    <row r="1163" spans="1:16" ht="15.75" thickBot="1" x14ac:dyDescent="0.3">
      <c r="A1163" s="90"/>
      <c r="B1163" s="23" t="s">
        <v>884</v>
      </c>
      <c r="C1163" s="23" t="s">
        <v>885</v>
      </c>
      <c r="D1163" s="23">
        <v>54</v>
      </c>
      <c r="E1163" s="23" t="s">
        <v>769</v>
      </c>
      <c r="F1163" s="23">
        <v>1</v>
      </c>
      <c r="G1163" s="23" t="s">
        <v>16</v>
      </c>
      <c r="H1163" s="23" t="s">
        <v>17</v>
      </c>
      <c r="I1163" s="24">
        <v>4016933</v>
      </c>
      <c r="J1163" s="23" t="s">
        <v>889</v>
      </c>
      <c r="K1163" s="23">
        <v>99</v>
      </c>
      <c r="L1163" s="23" t="s">
        <v>15</v>
      </c>
      <c r="M1163" s="25">
        <v>10000</v>
      </c>
      <c r="N1163" s="23" t="s">
        <v>1</v>
      </c>
      <c r="O1163" s="26">
        <f t="shared" si="291"/>
        <v>1</v>
      </c>
      <c r="P1163" s="27">
        <f t="shared" si="292"/>
        <v>0</v>
      </c>
    </row>
    <row r="1164" spans="1:16" x14ac:dyDescent="0.25">
      <c r="B1164" s="1"/>
      <c r="C1164" s="1"/>
      <c r="D1164" s="1"/>
      <c r="E1164" s="1"/>
      <c r="F1164" s="1"/>
      <c r="G1164" s="1"/>
      <c r="H1164" s="1"/>
      <c r="I1164" s="2"/>
      <c r="J1164" s="1"/>
      <c r="K1164" s="1"/>
      <c r="L1164" s="1"/>
      <c r="M1164" s="3"/>
      <c r="N1164" s="1"/>
    </row>
    <row r="1165" spans="1:16" ht="15.75" thickBot="1" x14ac:dyDescent="0.3">
      <c r="B1165" s="1"/>
      <c r="C1165" s="1"/>
      <c r="D1165" s="1"/>
      <c r="E1165" s="1"/>
      <c r="F1165" s="1"/>
      <c r="G1165" s="1"/>
      <c r="H1165" s="1"/>
      <c r="I1165" s="2"/>
      <c r="J1165" s="1"/>
      <c r="K1165" s="1"/>
      <c r="L1165" s="1"/>
      <c r="M1165" s="3"/>
      <c r="N1165" s="1"/>
      <c r="P1165" s="11">
        <f>IFERROR(VLOOKUP($A1166,'PROGRAMA MES '!$A:$B,2,0),0)</f>
        <v>0</v>
      </c>
    </row>
    <row r="1166" spans="1:16" x14ac:dyDescent="0.25">
      <c r="A1166" s="89" t="str">
        <f>B1166</f>
        <v>SP2716AZ</v>
      </c>
      <c r="B1166" s="17" t="s">
        <v>890</v>
      </c>
      <c r="C1166" s="17" t="s">
        <v>891</v>
      </c>
      <c r="D1166" s="17">
        <v>3</v>
      </c>
      <c r="E1166" s="17" t="s">
        <v>24</v>
      </c>
      <c r="F1166" s="17">
        <v>1</v>
      </c>
      <c r="G1166" s="17" t="s">
        <v>35</v>
      </c>
      <c r="H1166" s="17" t="s">
        <v>17</v>
      </c>
      <c r="I1166" s="18">
        <v>3005124</v>
      </c>
      <c r="J1166" s="17" t="s">
        <v>887</v>
      </c>
      <c r="K1166" s="17">
        <v>99</v>
      </c>
      <c r="L1166" s="17" t="s">
        <v>15</v>
      </c>
      <c r="M1166" s="19">
        <v>15750</v>
      </c>
      <c r="N1166" s="17" t="s">
        <v>3</v>
      </c>
      <c r="O1166" s="20">
        <f t="shared" ref="O1166:O1171" si="293">M1166/10000</f>
        <v>1.575</v>
      </c>
      <c r="P1166" s="21">
        <f>O1166*$P$1165</f>
        <v>0</v>
      </c>
    </row>
    <row r="1167" spans="1:16" x14ac:dyDescent="0.25">
      <c r="A1167" s="91"/>
      <c r="B1167" s="13" t="s">
        <v>890</v>
      </c>
      <c r="C1167" s="13" t="s">
        <v>891</v>
      </c>
      <c r="D1167" s="13">
        <v>3</v>
      </c>
      <c r="E1167" s="13" t="s">
        <v>24</v>
      </c>
      <c r="F1167" s="13">
        <v>1</v>
      </c>
      <c r="G1167" s="13" t="s">
        <v>16</v>
      </c>
      <c r="H1167" s="13" t="s">
        <v>17</v>
      </c>
      <c r="I1167" s="14">
        <v>4004820</v>
      </c>
      <c r="J1167" s="13" t="s">
        <v>867</v>
      </c>
      <c r="K1167" s="13">
        <v>99</v>
      </c>
      <c r="L1167" s="13" t="s">
        <v>15</v>
      </c>
      <c r="M1167" s="13">
        <v>6</v>
      </c>
      <c r="N1167" s="13" t="s">
        <v>1</v>
      </c>
      <c r="O1167" s="16">
        <f t="shared" si="293"/>
        <v>5.9999999999999995E-4</v>
      </c>
      <c r="P1167" s="22">
        <f t="shared" ref="P1167:P1171" si="294">O1167*$P$1165</f>
        <v>0</v>
      </c>
    </row>
    <row r="1168" spans="1:16" x14ac:dyDescent="0.25">
      <c r="A1168" s="91"/>
      <c r="B1168" s="13" t="s">
        <v>890</v>
      </c>
      <c r="C1168" s="13" t="s">
        <v>891</v>
      </c>
      <c r="D1168" s="13">
        <v>3</v>
      </c>
      <c r="E1168" s="13" t="s">
        <v>24</v>
      </c>
      <c r="F1168" s="13">
        <v>1</v>
      </c>
      <c r="G1168" s="13" t="s">
        <v>16</v>
      </c>
      <c r="H1168" s="13" t="s">
        <v>17</v>
      </c>
      <c r="I1168" s="14">
        <v>4013355</v>
      </c>
      <c r="J1168" s="13" t="s">
        <v>892</v>
      </c>
      <c r="K1168" s="13">
        <v>99</v>
      </c>
      <c r="L1168" s="13" t="s">
        <v>15</v>
      </c>
      <c r="M1168" s="15">
        <v>10000</v>
      </c>
      <c r="N1168" s="13" t="s">
        <v>1</v>
      </c>
      <c r="O1168" s="16">
        <f t="shared" si="293"/>
        <v>1</v>
      </c>
      <c r="P1168" s="22">
        <f t="shared" si="294"/>
        <v>0</v>
      </c>
    </row>
    <row r="1169" spans="1:16" x14ac:dyDescent="0.25">
      <c r="A1169" s="91"/>
      <c r="B1169" s="13" t="s">
        <v>890</v>
      </c>
      <c r="C1169" s="13" t="s">
        <v>891</v>
      </c>
      <c r="D1169" s="13">
        <v>3</v>
      </c>
      <c r="E1169" s="13" t="s">
        <v>24</v>
      </c>
      <c r="F1169" s="13">
        <v>1</v>
      </c>
      <c r="G1169" s="13" t="s">
        <v>16</v>
      </c>
      <c r="H1169" s="13" t="s">
        <v>17</v>
      </c>
      <c r="I1169" s="14">
        <v>4013786</v>
      </c>
      <c r="J1169" s="13" t="s">
        <v>893</v>
      </c>
      <c r="K1169" s="13">
        <v>99</v>
      </c>
      <c r="L1169" s="13" t="s">
        <v>15</v>
      </c>
      <c r="M1169" s="15">
        <v>10000</v>
      </c>
      <c r="N1169" s="13" t="s">
        <v>1</v>
      </c>
      <c r="O1169" s="16">
        <f t="shared" si="293"/>
        <v>1</v>
      </c>
      <c r="P1169" s="22">
        <f t="shared" si="294"/>
        <v>0</v>
      </c>
    </row>
    <row r="1170" spans="1:16" x14ac:dyDescent="0.25">
      <c r="A1170" s="91"/>
      <c r="B1170" s="13" t="s">
        <v>890</v>
      </c>
      <c r="C1170" s="13" t="s">
        <v>891</v>
      </c>
      <c r="D1170" s="13">
        <v>3</v>
      </c>
      <c r="E1170" s="13" t="s">
        <v>24</v>
      </c>
      <c r="F1170" s="13">
        <v>1</v>
      </c>
      <c r="G1170" s="13" t="s">
        <v>16</v>
      </c>
      <c r="H1170" s="13" t="s">
        <v>17</v>
      </c>
      <c r="I1170" s="14">
        <v>4015174</v>
      </c>
      <c r="J1170" s="13" t="s">
        <v>871</v>
      </c>
      <c r="K1170" s="13">
        <v>99</v>
      </c>
      <c r="L1170" s="13" t="s">
        <v>15</v>
      </c>
      <c r="M1170" s="15">
        <v>10000</v>
      </c>
      <c r="N1170" s="13" t="s">
        <v>1</v>
      </c>
      <c r="O1170" s="16">
        <f t="shared" si="293"/>
        <v>1</v>
      </c>
      <c r="P1170" s="22">
        <f t="shared" si="294"/>
        <v>0</v>
      </c>
    </row>
    <row r="1171" spans="1:16" ht="15.75" thickBot="1" x14ac:dyDescent="0.3">
      <c r="A1171" s="90"/>
      <c r="B1171" s="23" t="s">
        <v>890</v>
      </c>
      <c r="C1171" s="23" t="s">
        <v>891</v>
      </c>
      <c r="D1171" s="23">
        <v>3</v>
      </c>
      <c r="E1171" s="23" t="s">
        <v>24</v>
      </c>
      <c r="F1171" s="23">
        <v>1</v>
      </c>
      <c r="G1171" s="23" t="s">
        <v>16</v>
      </c>
      <c r="H1171" s="23" t="s">
        <v>17</v>
      </c>
      <c r="I1171" s="24">
        <v>4016160</v>
      </c>
      <c r="J1171" s="23" t="s">
        <v>69</v>
      </c>
      <c r="K1171" s="23">
        <v>99</v>
      </c>
      <c r="L1171" s="23" t="s">
        <v>15</v>
      </c>
      <c r="M1171" s="23">
        <v>10</v>
      </c>
      <c r="N1171" s="23" t="s">
        <v>3</v>
      </c>
      <c r="O1171" s="26">
        <f t="shared" si="293"/>
        <v>1E-3</v>
      </c>
      <c r="P1171" s="27">
        <f t="shared" si="294"/>
        <v>0</v>
      </c>
    </row>
    <row r="1172" spans="1:16" x14ac:dyDescent="0.25">
      <c r="B1172" s="1"/>
      <c r="C1172" s="1"/>
      <c r="D1172" s="1"/>
      <c r="E1172" s="1"/>
      <c r="F1172" s="1"/>
      <c r="G1172" s="1"/>
      <c r="H1172" s="1"/>
      <c r="I1172" s="2"/>
      <c r="J1172" s="1"/>
      <c r="K1172" s="1"/>
      <c r="L1172" s="1"/>
      <c r="M1172" s="1"/>
      <c r="N1172" s="1"/>
    </row>
    <row r="1173" spans="1:16" ht="15.75" thickBot="1" x14ac:dyDescent="0.3">
      <c r="B1173" s="1"/>
      <c r="C1173" s="1"/>
      <c r="D1173" s="1"/>
      <c r="E1173" s="1"/>
      <c r="F1173" s="1"/>
      <c r="G1173" s="1"/>
      <c r="H1173" s="1"/>
      <c r="I1173" s="2"/>
      <c r="J1173" s="1"/>
      <c r="K1173" s="1"/>
      <c r="L1173" s="1"/>
      <c r="M1173" s="1"/>
      <c r="N1173" s="1"/>
      <c r="P1173" s="11">
        <f>IFERROR(VLOOKUP($A1174,'PROGRAMA MES '!$A:$B,2,0),0)</f>
        <v>0</v>
      </c>
    </row>
    <row r="1174" spans="1:16" x14ac:dyDescent="0.25">
      <c r="A1174" s="89" t="str">
        <f>B1174</f>
        <v>SP2716BR</v>
      </c>
      <c r="B1174" s="17" t="s">
        <v>894</v>
      </c>
      <c r="C1174" s="17" t="s">
        <v>895</v>
      </c>
      <c r="D1174" s="17">
        <v>3</v>
      </c>
      <c r="E1174" s="17" t="s">
        <v>24</v>
      </c>
      <c r="F1174" s="17">
        <v>1</v>
      </c>
      <c r="G1174" s="17" t="s">
        <v>35</v>
      </c>
      <c r="H1174" s="17" t="s">
        <v>17</v>
      </c>
      <c r="I1174" s="18">
        <v>3005125</v>
      </c>
      <c r="J1174" s="17" t="s">
        <v>896</v>
      </c>
      <c r="K1174" s="17">
        <v>99</v>
      </c>
      <c r="L1174" s="17" t="s">
        <v>15</v>
      </c>
      <c r="M1174" s="19">
        <v>15750</v>
      </c>
      <c r="N1174" s="17" t="s">
        <v>3</v>
      </c>
      <c r="O1174" s="20">
        <f t="shared" ref="O1174:O1179" si="295">M1174/10000</f>
        <v>1.575</v>
      </c>
      <c r="P1174" s="21">
        <f>O1174*$P$1173</f>
        <v>0</v>
      </c>
    </row>
    <row r="1175" spans="1:16" x14ac:dyDescent="0.25">
      <c r="A1175" s="91"/>
      <c r="B1175" s="13" t="s">
        <v>894</v>
      </c>
      <c r="C1175" s="13" t="s">
        <v>895</v>
      </c>
      <c r="D1175" s="13">
        <v>3</v>
      </c>
      <c r="E1175" s="13" t="s">
        <v>24</v>
      </c>
      <c r="F1175" s="13">
        <v>1</v>
      </c>
      <c r="G1175" s="13" t="s">
        <v>16</v>
      </c>
      <c r="H1175" s="13" t="s">
        <v>17</v>
      </c>
      <c r="I1175" s="14">
        <v>4004820</v>
      </c>
      <c r="J1175" s="13" t="s">
        <v>867</v>
      </c>
      <c r="K1175" s="13">
        <v>99</v>
      </c>
      <c r="L1175" s="13" t="s">
        <v>15</v>
      </c>
      <c r="M1175" s="13">
        <v>6</v>
      </c>
      <c r="N1175" s="13" t="s">
        <v>1</v>
      </c>
      <c r="O1175" s="16">
        <f t="shared" si="295"/>
        <v>5.9999999999999995E-4</v>
      </c>
      <c r="P1175" s="22">
        <f t="shared" ref="P1175:P1179" si="296">O1175*$P$1173</f>
        <v>0</v>
      </c>
    </row>
    <row r="1176" spans="1:16" x14ac:dyDescent="0.25">
      <c r="A1176" s="91"/>
      <c r="B1176" s="13" t="s">
        <v>894</v>
      </c>
      <c r="C1176" s="13" t="s">
        <v>895</v>
      </c>
      <c r="D1176" s="13">
        <v>3</v>
      </c>
      <c r="E1176" s="13" t="s">
        <v>24</v>
      </c>
      <c r="F1176" s="13">
        <v>1</v>
      </c>
      <c r="G1176" s="13" t="s">
        <v>16</v>
      </c>
      <c r="H1176" s="13" t="s">
        <v>17</v>
      </c>
      <c r="I1176" s="14">
        <v>4013357</v>
      </c>
      <c r="J1176" s="13" t="s">
        <v>897</v>
      </c>
      <c r="K1176" s="13">
        <v>99</v>
      </c>
      <c r="L1176" s="13" t="s">
        <v>15</v>
      </c>
      <c r="M1176" s="15">
        <v>10000</v>
      </c>
      <c r="N1176" s="13" t="s">
        <v>1</v>
      </c>
      <c r="O1176" s="16">
        <f t="shared" si="295"/>
        <v>1</v>
      </c>
      <c r="P1176" s="22">
        <f t="shared" si="296"/>
        <v>0</v>
      </c>
    </row>
    <row r="1177" spans="1:16" x14ac:dyDescent="0.25">
      <c r="A1177" s="91"/>
      <c r="B1177" s="13" t="s">
        <v>894</v>
      </c>
      <c r="C1177" s="13" t="s">
        <v>895</v>
      </c>
      <c r="D1177" s="13">
        <v>3</v>
      </c>
      <c r="E1177" s="13" t="s">
        <v>24</v>
      </c>
      <c r="F1177" s="13">
        <v>1</v>
      </c>
      <c r="G1177" s="13" t="s">
        <v>16</v>
      </c>
      <c r="H1177" s="13" t="s">
        <v>17</v>
      </c>
      <c r="I1177" s="14">
        <v>4013786</v>
      </c>
      <c r="J1177" s="13" t="s">
        <v>893</v>
      </c>
      <c r="K1177" s="13">
        <v>99</v>
      </c>
      <c r="L1177" s="13" t="s">
        <v>15</v>
      </c>
      <c r="M1177" s="15">
        <v>10000</v>
      </c>
      <c r="N1177" s="13" t="s">
        <v>1</v>
      </c>
      <c r="O1177" s="16">
        <f t="shared" si="295"/>
        <v>1</v>
      </c>
      <c r="P1177" s="22">
        <f t="shared" si="296"/>
        <v>0</v>
      </c>
    </row>
    <row r="1178" spans="1:16" x14ac:dyDescent="0.25">
      <c r="A1178" s="91"/>
      <c r="B1178" s="13" t="s">
        <v>894</v>
      </c>
      <c r="C1178" s="13" t="s">
        <v>895</v>
      </c>
      <c r="D1178" s="13">
        <v>3</v>
      </c>
      <c r="E1178" s="13" t="s">
        <v>24</v>
      </c>
      <c r="F1178" s="13">
        <v>1</v>
      </c>
      <c r="G1178" s="13" t="s">
        <v>16</v>
      </c>
      <c r="H1178" s="13" t="s">
        <v>17</v>
      </c>
      <c r="I1178" s="14">
        <v>4015174</v>
      </c>
      <c r="J1178" s="13" t="s">
        <v>871</v>
      </c>
      <c r="K1178" s="13">
        <v>99</v>
      </c>
      <c r="L1178" s="13" t="s">
        <v>15</v>
      </c>
      <c r="M1178" s="15">
        <v>10000</v>
      </c>
      <c r="N1178" s="13" t="s">
        <v>1</v>
      </c>
      <c r="O1178" s="16">
        <f t="shared" si="295"/>
        <v>1</v>
      </c>
      <c r="P1178" s="22">
        <f t="shared" si="296"/>
        <v>0</v>
      </c>
    </row>
    <row r="1179" spans="1:16" ht="15.75" thickBot="1" x14ac:dyDescent="0.3">
      <c r="A1179" s="90"/>
      <c r="B1179" s="23" t="s">
        <v>894</v>
      </c>
      <c r="C1179" s="23" t="s">
        <v>895</v>
      </c>
      <c r="D1179" s="23">
        <v>3</v>
      </c>
      <c r="E1179" s="23" t="s">
        <v>24</v>
      </c>
      <c r="F1179" s="23">
        <v>1</v>
      </c>
      <c r="G1179" s="23" t="s">
        <v>16</v>
      </c>
      <c r="H1179" s="23" t="s">
        <v>17</v>
      </c>
      <c r="I1179" s="24">
        <v>4016160</v>
      </c>
      <c r="J1179" s="23" t="s">
        <v>69</v>
      </c>
      <c r="K1179" s="23">
        <v>99</v>
      </c>
      <c r="L1179" s="23" t="s">
        <v>15</v>
      </c>
      <c r="M1179" s="23">
        <v>10</v>
      </c>
      <c r="N1179" s="23" t="s">
        <v>3</v>
      </c>
      <c r="O1179" s="26">
        <f t="shared" si="295"/>
        <v>1E-3</v>
      </c>
      <c r="P1179" s="27">
        <f t="shared" si="296"/>
        <v>0</v>
      </c>
    </row>
    <row r="1180" spans="1:16" x14ac:dyDescent="0.25">
      <c r="B1180" s="1"/>
      <c r="C1180" s="1"/>
      <c r="D1180" s="1"/>
      <c r="E1180" s="1"/>
      <c r="F1180" s="1"/>
      <c r="G1180" s="1"/>
      <c r="H1180" s="1"/>
      <c r="I1180" s="2"/>
      <c r="J1180" s="1"/>
      <c r="K1180" s="1"/>
      <c r="L1180" s="1"/>
      <c r="M1180" s="1"/>
      <c r="N1180" s="1"/>
    </row>
    <row r="1181" spans="1:16" ht="15.75" thickBot="1" x14ac:dyDescent="0.3">
      <c r="B1181" s="1"/>
      <c r="C1181" s="1"/>
      <c r="D1181" s="1"/>
      <c r="E1181" s="1"/>
      <c r="F1181" s="1"/>
      <c r="G1181" s="1"/>
      <c r="H1181" s="1"/>
      <c r="I1181" s="2"/>
      <c r="J1181" s="1"/>
      <c r="K1181" s="1"/>
      <c r="L1181" s="1"/>
      <c r="M1181" s="1"/>
      <c r="N1181" s="1"/>
      <c r="P1181" s="11">
        <f>IFERROR(VLOOKUP($A1182,'PROGRAMA MES '!$A:$B,2,0),0)</f>
        <v>0</v>
      </c>
    </row>
    <row r="1182" spans="1:16" x14ac:dyDescent="0.25">
      <c r="A1182" s="89" t="str">
        <f>B1182</f>
        <v>SP2716LR</v>
      </c>
      <c r="B1182" s="17" t="s">
        <v>898</v>
      </c>
      <c r="C1182" s="17" t="s">
        <v>899</v>
      </c>
      <c r="D1182" s="17">
        <v>3</v>
      </c>
      <c r="E1182" s="17" t="s">
        <v>24</v>
      </c>
      <c r="F1182" s="17">
        <v>1</v>
      </c>
      <c r="G1182" s="17" t="s">
        <v>35</v>
      </c>
      <c r="H1182" s="17" t="s">
        <v>17</v>
      </c>
      <c r="I1182" s="18">
        <v>3005123</v>
      </c>
      <c r="J1182" s="17" t="s">
        <v>900</v>
      </c>
      <c r="K1182" s="17">
        <v>99</v>
      </c>
      <c r="L1182" s="17" t="s">
        <v>15</v>
      </c>
      <c r="M1182" s="19">
        <v>15750</v>
      </c>
      <c r="N1182" s="17" t="s">
        <v>3</v>
      </c>
      <c r="O1182" s="20">
        <f t="shared" ref="O1182:O1187" si="297">M1182/10000</f>
        <v>1.575</v>
      </c>
      <c r="P1182" s="21">
        <f>O1182*$P$1181</f>
        <v>0</v>
      </c>
    </row>
    <row r="1183" spans="1:16" x14ac:dyDescent="0.25">
      <c r="A1183" s="91"/>
      <c r="B1183" s="13" t="s">
        <v>898</v>
      </c>
      <c r="C1183" s="13" t="s">
        <v>899</v>
      </c>
      <c r="D1183" s="13">
        <v>3</v>
      </c>
      <c r="E1183" s="13" t="s">
        <v>24</v>
      </c>
      <c r="F1183" s="13">
        <v>1</v>
      </c>
      <c r="G1183" s="13" t="s">
        <v>16</v>
      </c>
      <c r="H1183" s="13" t="s">
        <v>17</v>
      </c>
      <c r="I1183" s="14">
        <v>4004820</v>
      </c>
      <c r="J1183" s="13" t="s">
        <v>867</v>
      </c>
      <c r="K1183" s="13">
        <v>99</v>
      </c>
      <c r="L1183" s="13" t="s">
        <v>15</v>
      </c>
      <c r="M1183" s="13">
        <v>6</v>
      </c>
      <c r="N1183" s="13" t="s">
        <v>1</v>
      </c>
      <c r="O1183" s="16">
        <f t="shared" si="297"/>
        <v>5.9999999999999995E-4</v>
      </c>
      <c r="P1183" s="22">
        <f t="shared" ref="P1183:P1187" si="298">O1183*$P$1181</f>
        <v>0</v>
      </c>
    </row>
    <row r="1184" spans="1:16" x14ac:dyDescent="0.25">
      <c r="A1184" s="91"/>
      <c r="B1184" s="13" t="s">
        <v>898</v>
      </c>
      <c r="C1184" s="13" t="s">
        <v>899</v>
      </c>
      <c r="D1184" s="13">
        <v>3</v>
      </c>
      <c r="E1184" s="13" t="s">
        <v>24</v>
      </c>
      <c r="F1184" s="13">
        <v>1</v>
      </c>
      <c r="G1184" s="13" t="s">
        <v>16</v>
      </c>
      <c r="H1184" s="13" t="s">
        <v>17</v>
      </c>
      <c r="I1184" s="14">
        <v>4013353</v>
      </c>
      <c r="J1184" s="13" t="s">
        <v>901</v>
      </c>
      <c r="K1184" s="13">
        <v>99</v>
      </c>
      <c r="L1184" s="13" t="s">
        <v>15</v>
      </c>
      <c r="M1184" s="15">
        <v>10000</v>
      </c>
      <c r="N1184" s="13" t="s">
        <v>1</v>
      </c>
      <c r="O1184" s="16">
        <f t="shared" si="297"/>
        <v>1</v>
      </c>
      <c r="P1184" s="22">
        <f t="shared" si="298"/>
        <v>0</v>
      </c>
    </row>
    <row r="1185" spans="1:16" x14ac:dyDescent="0.25">
      <c r="A1185" s="91"/>
      <c r="B1185" s="13" t="s">
        <v>898</v>
      </c>
      <c r="C1185" s="13" t="s">
        <v>899</v>
      </c>
      <c r="D1185" s="13">
        <v>3</v>
      </c>
      <c r="E1185" s="13" t="s">
        <v>24</v>
      </c>
      <c r="F1185" s="13">
        <v>1</v>
      </c>
      <c r="G1185" s="13" t="s">
        <v>16</v>
      </c>
      <c r="H1185" s="13" t="s">
        <v>17</v>
      </c>
      <c r="I1185" s="14">
        <v>4013786</v>
      </c>
      <c r="J1185" s="13" t="s">
        <v>893</v>
      </c>
      <c r="K1185" s="13">
        <v>99</v>
      </c>
      <c r="L1185" s="13" t="s">
        <v>15</v>
      </c>
      <c r="M1185" s="15">
        <v>10000</v>
      </c>
      <c r="N1185" s="13" t="s">
        <v>1</v>
      </c>
      <c r="O1185" s="16">
        <f t="shared" si="297"/>
        <v>1</v>
      </c>
      <c r="P1185" s="22">
        <f t="shared" si="298"/>
        <v>0</v>
      </c>
    </row>
    <row r="1186" spans="1:16" x14ac:dyDescent="0.25">
      <c r="A1186" s="91"/>
      <c r="B1186" s="13" t="s">
        <v>898</v>
      </c>
      <c r="C1186" s="13" t="s">
        <v>899</v>
      </c>
      <c r="D1186" s="13">
        <v>3</v>
      </c>
      <c r="E1186" s="13" t="s">
        <v>24</v>
      </c>
      <c r="F1186" s="13">
        <v>1</v>
      </c>
      <c r="G1186" s="13" t="s">
        <v>16</v>
      </c>
      <c r="H1186" s="13" t="s">
        <v>17</v>
      </c>
      <c r="I1186" s="14">
        <v>4015174</v>
      </c>
      <c r="J1186" s="13" t="s">
        <v>871</v>
      </c>
      <c r="K1186" s="13">
        <v>99</v>
      </c>
      <c r="L1186" s="13" t="s">
        <v>15</v>
      </c>
      <c r="M1186" s="15">
        <v>10000</v>
      </c>
      <c r="N1186" s="13" t="s">
        <v>1</v>
      </c>
      <c r="O1186" s="16">
        <f t="shared" si="297"/>
        <v>1</v>
      </c>
      <c r="P1186" s="22">
        <f t="shared" si="298"/>
        <v>0</v>
      </c>
    </row>
    <row r="1187" spans="1:16" ht="15.75" thickBot="1" x14ac:dyDescent="0.3">
      <c r="A1187" s="90"/>
      <c r="B1187" s="23" t="s">
        <v>898</v>
      </c>
      <c r="C1187" s="23" t="s">
        <v>899</v>
      </c>
      <c r="D1187" s="23">
        <v>3</v>
      </c>
      <c r="E1187" s="23" t="s">
        <v>24</v>
      </c>
      <c r="F1187" s="23">
        <v>1</v>
      </c>
      <c r="G1187" s="23" t="s">
        <v>16</v>
      </c>
      <c r="H1187" s="23" t="s">
        <v>17</v>
      </c>
      <c r="I1187" s="24">
        <v>4016160</v>
      </c>
      <c r="J1187" s="23" t="s">
        <v>69</v>
      </c>
      <c r="K1187" s="23">
        <v>99</v>
      </c>
      <c r="L1187" s="23" t="s">
        <v>15</v>
      </c>
      <c r="M1187" s="23">
        <v>10</v>
      </c>
      <c r="N1187" s="23" t="s">
        <v>3</v>
      </c>
      <c r="O1187" s="26">
        <f t="shared" si="297"/>
        <v>1E-3</v>
      </c>
      <c r="P1187" s="27">
        <f t="shared" si="298"/>
        <v>0</v>
      </c>
    </row>
    <row r="1188" spans="1:16" x14ac:dyDescent="0.25">
      <c r="B1188" s="1"/>
      <c r="C1188" s="1"/>
      <c r="D1188" s="1"/>
      <c r="E1188" s="1"/>
      <c r="F1188" s="1"/>
      <c r="G1188" s="1"/>
      <c r="H1188" s="1"/>
      <c r="I1188" s="2"/>
      <c r="J1188" s="1"/>
      <c r="K1188" s="1"/>
      <c r="L1188" s="1"/>
      <c r="M1188" s="1"/>
      <c r="N1188" s="1"/>
    </row>
    <row r="1189" spans="1:16" ht="15.75" thickBot="1" x14ac:dyDescent="0.3">
      <c r="B1189" s="1"/>
      <c r="C1189" s="1"/>
      <c r="D1189" s="1"/>
      <c r="E1189" s="1"/>
      <c r="F1189" s="1"/>
      <c r="G1189" s="1"/>
      <c r="H1189" s="1"/>
      <c r="I1189" s="2"/>
      <c r="J1189" s="1"/>
      <c r="K1189" s="1"/>
      <c r="L1189" s="1"/>
      <c r="M1189" s="1"/>
      <c r="N1189" s="1"/>
      <c r="P1189" s="11">
        <f>IFERROR(VLOOKUP($A1190,'PROGRAMA MES '!$A:$B,2,0),0)</f>
        <v>0</v>
      </c>
    </row>
    <row r="1190" spans="1:16" x14ac:dyDescent="0.25">
      <c r="A1190" s="89" t="str">
        <f>B1190</f>
        <v>SP2716VD</v>
      </c>
      <c r="B1190" s="17" t="s">
        <v>902</v>
      </c>
      <c r="C1190" s="17" t="s">
        <v>903</v>
      </c>
      <c r="D1190" s="17">
        <v>3</v>
      </c>
      <c r="E1190" s="17" t="s">
        <v>24</v>
      </c>
      <c r="F1190" s="17">
        <v>1</v>
      </c>
      <c r="G1190" s="17" t="s">
        <v>35</v>
      </c>
      <c r="H1190" s="17" t="s">
        <v>17</v>
      </c>
      <c r="I1190" s="18">
        <v>3005122</v>
      </c>
      <c r="J1190" s="17" t="s">
        <v>904</v>
      </c>
      <c r="K1190" s="17">
        <v>99</v>
      </c>
      <c r="L1190" s="17" t="s">
        <v>15</v>
      </c>
      <c r="M1190" s="19">
        <v>15750</v>
      </c>
      <c r="N1190" s="17" t="s">
        <v>3</v>
      </c>
      <c r="O1190" s="20">
        <f t="shared" ref="O1190:O1195" si="299">M1190/10000</f>
        <v>1.575</v>
      </c>
      <c r="P1190" s="21">
        <f>O1190*$P$1189</f>
        <v>0</v>
      </c>
    </row>
    <row r="1191" spans="1:16" x14ac:dyDescent="0.25">
      <c r="A1191" s="91"/>
      <c r="B1191" s="13" t="s">
        <v>902</v>
      </c>
      <c r="C1191" s="13" t="s">
        <v>903</v>
      </c>
      <c r="D1191" s="13">
        <v>3</v>
      </c>
      <c r="E1191" s="13" t="s">
        <v>24</v>
      </c>
      <c r="F1191" s="13">
        <v>1</v>
      </c>
      <c r="G1191" s="13" t="s">
        <v>16</v>
      </c>
      <c r="H1191" s="13" t="s">
        <v>17</v>
      </c>
      <c r="I1191" s="14">
        <v>4004820</v>
      </c>
      <c r="J1191" s="13" t="s">
        <v>867</v>
      </c>
      <c r="K1191" s="13">
        <v>99</v>
      </c>
      <c r="L1191" s="13" t="s">
        <v>15</v>
      </c>
      <c r="M1191" s="13">
        <v>6</v>
      </c>
      <c r="N1191" s="13" t="s">
        <v>1</v>
      </c>
      <c r="O1191" s="16">
        <f t="shared" si="299"/>
        <v>5.9999999999999995E-4</v>
      </c>
      <c r="P1191" s="22">
        <f t="shared" ref="P1191:P1195" si="300">O1191*$P$1189</f>
        <v>0</v>
      </c>
    </row>
    <row r="1192" spans="1:16" x14ac:dyDescent="0.25">
      <c r="A1192" s="91"/>
      <c r="B1192" s="13" t="s">
        <v>902</v>
      </c>
      <c r="C1192" s="13" t="s">
        <v>903</v>
      </c>
      <c r="D1192" s="13">
        <v>3</v>
      </c>
      <c r="E1192" s="13" t="s">
        <v>24</v>
      </c>
      <c r="F1192" s="13">
        <v>1</v>
      </c>
      <c r="G1192" s="13" t="s">
        <v>16</v>
      </c>
      <c r="H1192" s="13" t="s">
        <v>17</v>
      </c>
      <c r="I1192" s="14">
        <v>4013354</v>
      </c>
      <c r="J1192" s="13" t="s">
        <v>905</v>
      </c>
      <c r="K1192" s="13">
        <v>99</v>
      </c>
      <c r="L1192" s="13" t="s">
        <v>15</v>
      </c>
      <c r="M1192" s="15">
        <v>10000</v>
      </c>
      <c r="N1192" s="13" t="s">
        <v>1</v>
      </c>
      <c r="O1192" s="16">
        <f t="shared" si="299"/>
        <v>1</v>
      </c>
      <c r="P1192" s="22">
        <f t="shared" si="300"/>
        <v>0</v>
      </c>
    </row>
    <row r="1193" spans="1:16" x14ac:dyDescent="0.25">
      <c r="A1193" s="91"/>
      <c r="B1193" s="13" t="s">
        <v>902</v>
      </c>
      <c r="C1193" s="13" t="s">
        <v>903</v>
      </c>
      <c r="D1193" s="13">
        <v>3</v>
      </c>
      <c r="E1193" s="13" t="s">
        <v>24</v>
      </c>
      <c r="F1193" s="13">
        <v>1</v>
      </c>
      <c r="G1193" s="13" t="s">
        <v>16</v>
      </c>
      <c r="H1193" s="13" t="s">
        <v>17</v>
      </c>
      <c r="I1193" s="14">
        <v>4013786</v>
      </c>
      <c r="J1193" s="13" t="s">
        <v>893</v>
      </c>
      <c r="K1193" s="13">
        <v>99</v>
      </c>
      <c r="L1193" s="13" t="s">
        <v>15</v>
      </c>
      <c r="M1193" s="15">
        <v>10000</v>
      </c>
      <c r="N1193" s="13" t="s">
        <v>1</v>
      </c>
      <c r="O1193" s="16">
        <f t="shared" si="299"/>
        <v>1</v>
      </c>
      <c r="P1193" s="22">
        <f t="shared" si="300"/>
        <v>0</v>
      </c>
    </row>
    <row r="1194" spans="1:16" x14ac:dyDescent="0.25">
      <c r="A1194" s="91"/>
      <c r="B1194" s="13" t="s">
        <v>902</v>
      </c>
      <c r="C1194" s="13" t="s">
        <v>903</v>
      </c>
      <c r="D1194" s="13">
        <v>3</v>
      </c>
      <c r="E1194" s="13" t="s">
        <v>24</v>
      </c>
      <c r="F1194" s="13">
        <v>1</v>
      </c>
      <c r="G1194" s="13" t="s">
        <v>16</v>
      </c>
      <c r="H1194" s="13" t="s">
        <v>17</v>
      </c>
      <c r="I1194" s="14">
        <v>4015174</v>
      </c>
      <c r="J1194" s="13" t="s">
        <v>871</v>
      </c>
      <c r="K1194" s="13">
        <v>99</v>
      </c>
      <c r="L1194" s="13" t="s">
        <v>15</v>
      </c>
      <c r="M1194" s="15">
        <v>10000</v>
      </c>
      <c r="N1194" s="13" t="s">
        <v>1</v>
      </c>
      <c r="O1194" s="16">
        <f t="shared" si="299"/>
        <v>1</v>
      </c>
      <c r="P1194" s="22">
        <f t="shared" si="300"/>
        <v>0</v>
      </c>
    </row>
    <row r="1195" spans="1:16" ht="15.75" thickBot="1" x14ac:dyDescent="0.3">
      <c r="A1195" s="90"/>
      <c r="B1195" s="23" t="s">
        <v>902</v>
      </c>
      <c r="C1195" s="23" t="s">
        <v>903</v>
      </c>
      <c r="D1195" s="23">
        <v>3</v>
      </c>
      <c r="E1195" s="23" t="s">
        <v>24</v>
      </c>
      <c r="F1195" s="23">
        <v>1</v>
      </c>
      <c r="G1195" s="23" t="s">
        <v>16</v>
      </c>
      <c r="H1195" s="23" t="s">
        <v>17</v>
      </c>
      <c r="I1195" s="24">
        <v>4016160</v>
      </c>
      <c r="J1195" s="23" t="s">
        <v>69</v>
      </c>
      <c r="K1195" s="23">
        <v>99</v>
      </c>
      <c r="L1195" s="23" t="s">
        <v>15</v>
      </c>
      <c r="M1195" s="23">
        <v>10</v>
      </c>
      <c r="N1195" s="23" t="s">
        <v>3</v>
      </c>
      <c r="O1195" s="26">
        <f t="shared" si="299"/>
        <v>1E-3</v>
      </c>
      <c r="P1195" s="27">
        <f t="shared" si="300"/>
        <v>0</v>
      </c>
    </row>
    <row r="1196" spans="1:16" x14ac:dyDescent="0.25">
      <c r="B1196" s="1"/>
      <c r="C1196" s="1"/>
      <c r="D1196" s="1"/>
      <c r="E1196" s="1"/>
      <c r="F1196" s="1"/>
      <c r="G1196" s="1"/>
      <c r="H1196" s="1"/>
      <c r="I1196" s="2"/>
      <c r="J1196" s="1"/>
      <c r="K1196" s="1"/>
      <c r="L1196" s="1"/>
      <c r="M1196" s="1"/>
      <c r="N1196" s="1"/>
    </row>
    <row r="1197" spans="1:16" ht="15.75" thickBot="1" x14ac:dyDescent="0.3">
      <c r="B1197" s="1"/>
      <c r="C1197" s="1"/>
      <c r="D1197" s="1"/>
      <c r="E1197" s="1"/>
      <c r="F1197" s="1"/>
      <c r="G1197" s="1"/>
      <c r="H1197" s="1"/>
      <c r="I1197" s="2"/>
      <c r="J1197" s="1"/>
      <c r="K1197" s="1"/>
      <c r="L1197" s="1"/>
      <c r="M1197" s="1"/>
      <c r="N1197" s="1"/>
      <c r="P1197" s="11">
        <f>IFERROR(VLOOKUP($A1198,'PROGRAMA MES '!$A:$B,2,0),0)</f>
        <v>0</v>
      </c>
    </row>
    <row r="1198" spans="1:16" x14ac:dyDescent="0.25">
      <c r="A1198" s="89" t="str">
        <f>B1198</f>
        <v>SP2720AZ</v>
      </c>
      <c r="B1198" s="17" t="s">
        <v>906</v>
      </c>
      <c r="C1198" s="17" t="s">
        <v>907</v>
      </c>
      <c r="D1198" s="17">
        <v>99</v>
      </c>
      <c r="E1198" s="17" t="s">
        <v>15</v>
      </c>
      <c r="F1198" s="17">
        <v>1</v>
      </c>
      <c r="G1198" s="17" t="s">
        <v>35</v>
      </c>
      <c r="H1198" s="17" t="s">
        <v>17</v>
      </c>
      <c r="I1198" s="18">
        <v>3005124</v>
      </c>
      <c r="J1198" s="17" t="s">
        <v>887</v>
      </c>
      <c r="K1198" s="17">
        <v>99</v>
      </c>
      <c r="L1198" s="17" t="s">
        <v>15</v>
      </c>
      <c r="M1198" s="19">
        <v>23600</v>
      </c>
      <c r="N1198" s="17" t="s">
        <v>3</v>
      </c>
      <c r="O1198" s="20">
        <f t="shared" ref="O1198:O1204" si="301">M1198/10000</f>
        <v>2.36</v>
      </c>
      <c r="P1198" s="21">
        <f>O1198*$P$1197</f>
        <v>0</v>
      </c>
    </row>
    <row r="1199" spans="1:16" x14ac:dyDescent="0.25">
      <c r="A1199" s="91"/>
      <c r="B1199" s="13" t="s">
        <v>906</v>
      </c>
      <c r="C1199" s="13" t="s">
        <v>907</v>
      </c>
      <c r="D1199" s="13">
        <v>99</v>
      </c>
      <c r="E1199" s="13" t="s">
        <v>15</v>
      </c>
      <c r="F1199" s="13">
        <v>1</v>
      </c>
      <c r="G1199" s="13" t="s">
        <v>16</v>
      </c>
      <c r="H1199" s="13" t="s">
        <v>17</v>
      </c>
      <c r="I1199" s="14">
        <v>4004820</v>
      </c>
      <c r="J1199" s="13" t="s">
        <v>867</v>
      </c>
      <c r="K1199" s="13">
        <v>99</v>
      </c>
      <c r="L1199" s="13" t="s">
        <v>15</v>
      </c>
      <c r="M1199" s="13">
        <v>8</v>
      </c>
      <c r="N1199" s="13" t="s">
        <v>1</v>
      </c>
      <c r="O1199" s="16">
        <f t="shared" si="301"/>
        <v>8.0000000000000004E-4</v>
      </c>
      <c r="P1199" s="22">
        <f t="shared" ref="P1199:P1204" si="302">O1199*$P$1197</f>
        <v>0</v>
      </c>
    </row>
    <row r="1200" spans="1:16" x14ac:dyDescent="0.25">
      <c r="A1200" s="91"/>
      <c r="B1200" s="13" t="s">
        <v>906</v>
      </c>
      <c r="C1200" s="13" t="s">
        <v>907</v>
      </c>
      <c r="D1200" s="13">
        <v>99</v>
      </c>
      <c r="E1200" s="13" t="s">
        <v>15</v>
      </c>
      <c r="F1200" s="13">
        <v>1</v>
      </c>
      <c r="G1200" s="13" t="s">
        <v>16</v>
      </c>
      <c r="H1200" s="13" t="s">
        <v>17</v>
      </c>
      <c r="I1200" s="14">
        <v>4012164</v>
      </c>
      <c r="J1200" s="13" t="s">
        <v>908</v>
      </c>
      <c r="K1200" s="13">
        <v>99</v>
      </c>
      <c r="L1200" s="13" t="s">
        <v>15</v>
      </c>
      <c r="M1200" s="15">
        <v>10000</v>
      </c>
      <c r="N1200" s="13" t="s">
        <v>1</v>
      </c>
      <c r="O1200" s="16">
        <f t="shared" si="301"/>
        <v>1</v>
      </c>
      <c r="P1200" s="22">
        <f t="shared" si="302"/>
        <v>0</v>
      </c>
    </row>
    <row r="1201" spans="1:16" x14ac:dyDescent="0.25">
      <c r="A1201" s="91"/>
      <c r="B1201" s="13" t="s">
        <v>906</v>
      </c>
      <c r="C1201" s="13" t="s">
        <v>907</v>
      </c>
      <c r="D1201" s="13">
        <v>99</v>
      </c>
      <c r="E1201" s="13" t="s">
        <v>15</v>
      </c>
      <c r="F1201" s="13">
        <v>1</v>
      </c>
      <c r="G1201" s="13" t="s">
        <v>16</v>
      </c>
      <c r="H1201" s="13" t="s">
        <v>17</v>
      </c>
      <c r="I1201" s="14">
        <v>4013310</v>
      </c>
      <c r="J1201" s="13" t="s">
        <v>909</v>
      </c>
      <c r="K1201" s="13">
        <v>99</v>
      </c>
      <c r="L1201" s="13" t="s">
        <v>15</v>
      </c>
      <c r="M1201" s="15">
        <v>10000</v>
      </c>
      <c r="N1201" s="13" t="s">
        <v>1</v>
      </c>
      <c r="O1201" s="16">
        <f t="shared" si="301"/>
        <v>1</v>
      </c>
      <c r="P1201" s="22">
        <f t="shared" si="302"/>
        <v>0</v>
      </c>
    </row>
    <row r="1202" spans="1:16" x14ac:dyDescent="0.25">
      <c r="A1202" s="91"/>
      <c r="B1202" s="13" t="s">
        <v>906</v>
      </c>
      <c r="C1202" s="13" t="s">
        <v>907</v>
      </c>
      <c r="D1202" s="13">
        <v>99</v>
      </c>
      <c r="E1202" s="13" t="s">
        <v>15</v>
      </c>
      <c r="F1202" s="13">
        <v>1</v>
      </c>
      <c r="G1202" s="13" t="s">
        <v>16</v>
      </c>
      <c r="H1202" s="13" t="s">
        <v>17</v>
      </c>
      <c r="I1202" s="14">
        <v>4015174</v>
      </c>
      <c r="J1202" s="13" t="s">
        <v>871</v>
      </c>
      <c r="K1202" s="13">
        <v>99</v>
      </c>
      <c r="L1202" s="13" t="s">
        <v>15</v>
      </c>
      <c r="M1202" s="15">
        <v>10000</v>
      </c>
      <c r="N1202" s="13" t="s">
        <v>1</v>
      </c>
      <c r="O1202" s="16">
        <f t="shared" si="301"/>
        <v>1</v>
      </c>
      <c r="P1202" s="22">
        <f t="shared" si="302"/>
        <v>0</v>
      </c>
    </row>
    <row r="1203" spans="1:16" x14ac:dyDescent="0.25">
      <c r="A1203" s="91"/>
      <c r="B1203" s="13" t="s">
        <v>906</v>
      </c>
      <c r="C1203" s="13" t="s">
        <v>907</v>
      </c>
      <c r="D1203" s="13">
        <v>99</v>
      </c>
      <c r="E1203" s="13" t="s">
        <v>15</v>
      </c>
      <c r="F1203" s="13">
        <v>1</v>
      </c>
      <c r="G1203" s="13" t="s">
        <v>16</v>
      </c>
      <c r="H1203" s="13" t="s">
        <v>17</v>
      </c>
      <c r="I1203" s="14">
        <v>4015442</v>
      </c>
      <c r="J1203" s="13" t="s">
        <v>888</v>
      </c>
      <c r="K1203" s="13">
        <v>99</v>
      </c>
      <c r="L1203" s="13" t="s">
        <v>15</v>
      </c>
      <c r="M1203" s="15">
        <v>3000</v>
      </c>
      <c r="N1203" s="13" t="s">
        <v>2</v>
      </c>
      <c r="O1203" s="16">
        <f t="shared" si="301"/>
        <v>0.3</v>
      </c>
      <c r="P1203" s="22">
        <f t="shared" si="302"/>
        <v>0</v>
      </c>
    </row>
    <row r="1204" spans="1:16" ht="15.75" thickBot="1" x14ac:dyDescent="0.3">
      <c r="A1204" s="90"/>
      <c r="B1204" s="23" t="s">
        <v>906</v>
      </c>
      <c r="C1204" s="23" t="s">
        <v>907</v>
      </c>
      <c r="D1204" s="23">
        <v>99</v>
      </c>
      <c r="E1204" s="23" t="s">
        <v>15</v>
      </c>
      <c r="F1204" s="23">
        <v>1</v>
      </c>
      <c r="G1204" s="23" t="s">
        <v>16</v>
      </c>
      <c r="H1204" s="23" t="s">
        <v>17</v>
      </c>
      <c r="I1204" s="24">
        <v>4016160</v>
      </c>
      <c r="J1204" s="23" t="s">
        <v>69</v>
      </c>
      <c r="K1204" s="23">
        <v>99</v>
      </c>
      <c r="L1204" s="23" t="s">
        <v>15</v>
      </c>
      <c r="M1204" s="23">
        <v>90</v>
      </c>
      <c r="N1204" s="23" t="s">
        <v>3</v>
      </c>
      <c r="O1204" s="26">
        <f t="shared" si="301"/>
        <v>8.9999999999999993E-3</v>
      </c>
      <c r="P1204" s="27">
        <f t="shared" si="302"/>
        <v>0</v>
      </c>
    </row>
    <row r="1205" spans="1:16" x14ac:dyDescent="0.25">
      <c r="B1205" s="1"/>
      <c r="C1205" s="1"/>
      <c r="D1205" s="1"/>
      <c r="E1205" s="1"/>
      <c r="F1205" s="1"/>
      <c r="G1205" s="1"/>
      <c r="H1205" s="1"/>
      <c r="I1205" s="2"/>
      <c r="J1205" s="1"/>
      <c r="K1205" s="1"/>
      <c r="L1205" s="1"/>
      <c r="M1205" s="1"/>
      <c r="N1205" s="1"/>
    </row>
    <row r="1206" spans="1:16" ht="15.75" thickBot="1" x14ac:dyDescent="0.3">
      <c r="B1206" s="1"/>
      <c r="C1206" s="1"/>
      <c r="D1206" s="1"/>
      <c r="E1206" s="1"/>
      <c r="F1206" s="1"/>
      <c r="G1206" s="1"/>
      <c r="H1206" s="1"/>
      <c r="I1206" s="2"/>
      <c r="J1206" s="1"/>
      <c r="K1206" s="1"/>
      <c r="L1206" s="1"/>
      <c r="M1206" s="1"/>
      <c r="N1206" s="1"/>
      <c r="P1206" s="11">
        <f>IFERROR(VLOOKUP($A1207,'PROGRAMA MES '!$A:$B,2,0),0)</f>
        <v>400</v>
      </c>
    </row>
    <row r="1207" spans="1:16" x14ac:dyDescent="0.25">
      <c r="A1207" s="89" t="str">
        <f>B1207</f>
        <v>SP2720BR</v>
      </c>
      <c r="B1207" s="17" t="s">
        <v>910</v>
      </c>
      <c r="C1207" s="17" t="s">
        <v>911</v>
      </c>
      <c r="D1207" s="17">
        <v>99</v>
      </c>
      <c r="E1207" s="17" t="s">
        <v>15</v>
      </c>
      <c r="F1207" s="17">
        <v>1</v>
      </c>
      <c r="G1207" s="17" t="s">
        <v>35</v>
      </c>
      <c r="H1207" s="17" t="s">
        <v>17</v>
      </c>
      <c r="I1207" s="18">
        <v>3005125</v>
      </c>
      <c r="J1207" s="17" t="s">
        <v>896</v>
      </c>
      <c r="K1207" s="17">
        <v>99</v>
      </c>
      <c r="L1207" s="17" t="s">
        <v>15</v>
      </c>
      <c r="M1207" s="19">
        <v>23600</v>
      </c>
      <c r="N1207" s="17" t="s">
        <v>3</v>
      </c>
      <c r="O1207" s="20">
        <f t="shared" ref="O1207:O1213" si="303">M1207/10000</f>
        <v>2.36</v>
      </c>
      <c r="P1207" s="21">
        <f>O1207*$P$1206</f>
        <v>944</v>
      </c>
    </row>
    <row r="1208" spans="1:16" x14ac:dyDescent="0.25">
      <c r="A1208" s="91"/>
      <c r="B1208" s="13" t="s">
        <v>910</v>
      </c>
      <c r="C1208" s="13" t="s">
        <v>911</v>
      </c>
      <c r="D1208" s="13">
        <v>99</v>
      </c>
      <c r="E1208" s="13" t="s">
        <v>15</v>
      </c>
      <c r="F1208" s="13">
        <v>1</v>
      </c>
      <c r="G1208" s="13" t="s">
        <v>16</v>
      </c>
      <c r="H1208" s="13" t="s">
        <v>17</v>
      </c>
      <c r="I1208" s="14">
        <v>4004820</v>
      </c>
      <c r="J1208" s="13" t="s">
        <v>867</v>
      </c>
      <c r="K1208" s="13">
        <v>99</v>
      </c>
      <c r="L1208" s="13" t="s">
        <v>15</v>
      </c>
      <c r="M1208" s="13">
        <v>8</v>
      </c>
      <c r="N1208" s="13" t="s">
        <v>1</v>
      </c>
      <c r="O1208" s="16">
        <f t="shared" si="303"/>
        <v>8.0000000000000004E-4</v>
      </c>
      <c r="P1208" s="22">
        <f t="shared" ref="P1208:P1213" si="304">O1208*$P$1206</f>
        <v>0.32</v>
      </c>
    </row>
    <row r="1209" spans="1:16" x14ac:dyDescent="0.25">
      <c r="A1209" s="91"/>
      <c r="B1209" s="13" t="s">
        <v>910</v>
      </c>
      <c r="C1209" s="13" t="s">
        <v>911</v>
      </c>
      <c r="D1209" s="13">
        <v>99</v>
      </c>
      <c r="E1209" s="13" t="s">
        <v>15</v>
      </c>
      <c r="F1209" s="13">
        <v>1</v>
      </c>
      <c r="G1209" s="13" t="s">
        <v>16</v>
      </c>
      <c r="H1209" s="13" t="s">
        <v>17</v>
      </c>
      <c r="I1209" s="14">
        <v>4012166</v>
      </c>
      <c r="J1209" s="13" t="s">
        <v>912</v>
      </c>
      <c r="K1209" s="13">
        <v>99</v>
      </c>
      <c r="L1209" s="13" t="s">
        <v>15</v>
      </c>
      <c r="M1209" s="15">
        <v>10000</v>
      </c>
      <c r="N1209" s="13" t="s">
        <v>1</v>
      </c>
      <c r="O1209" s="16">
        <f t="shared" si="303"/>
        <v>1</v>
      </c>
      <c r="P1209" s="22">
        <f t="shared" si="304"/>
        <v>400</v>
      </c>
    </row>
    <row r="1210" spans="1:16" x14ac:dyDescent="0.25">
      <c r="A1210" s="91"/>
      <c r="B1210" s="13" t="s">
        <v>910</v>
      </c>
      <c r="C1210" s="13" t="s">
        <v>911</v>
      </c>
      <c r="D1210" s="13">
        <v>99</v>
      </c>
      <c r="E1210" s="13" t="s">
        <v>15</v>
      </c>
      <c r="F1210" s="13">
        <v>1</v>
      </c>
      <c r="G1210" s="13" t="s">
        <v>16</v>
      </c>
      <c r="H1210" s="13" t="s">
        <v>17</v>
      </c>
      <c r="I1210" s="14">
        <v>4013310</v>
      </c>
      <c r="J1210" s="13" t="s">
        <v>909</v>
      </c>
      <c r="K1210" s="13">
        <v>99</v>
      </c>
      <c r="L1210" s="13" t="s">
        <v>15</v>
      </c>
      <c r="M1210" s="15">
        <v>10000</v>
      </c>
      <c r="N1210" s="13" t="s">
        <v>1</v>
      </c>
      <c r="O1210" s="16">
        <f t="shared" si="303"/>
        <v>1</v>
      </c>
      <c r="P1210" s="22">
        <f t="shared" si="304"/>
        <v>400</v>
      </c>
    </row>
    <row r="1211" spans="1:16" x14ac:dyDescent="0.25">
      <c r="A1211" s="91"/>
      <c r="B1211" s="13" t="s">
        <v>910</v>
      </c>
      <c r="C1211" s="13" t="s">
        <v>911</v>
      </c>
      <c r="D1211" s="13">
        <v>99</v>
      </c>
      <c r="E1211" s="13" t="s">
        <v>15</v>
      </c>
      <c r="F1211" s="13">
        <v>1</v>
      </c>
      <c r="G1211" s="13" t="s">
        <v>16</v>
      </c>
      <c r="H1211" s="13" t="s">
        <v>17</v>
      </c>
      <c r="I1211" s="14">
        <v>4015174</v>
      </c>
      <c r="J1211" s="13" t="s">
        <v>871</v>
      </c>
      <c r="K1211" s="13">
        <v>99</v>
      </c>
      <c r="L1211" s="13" t="s">
        <v>15</v>
      </c>
      <c r="M1211" s="15">
        <v>10000</v>
      </c>
      <c r="N1211" s="13" t="s">
        <v>1</v>
      </c>
      <c r="O1211" s="16">
        <f t="shared" si="303"/>
        <v>1</v>
      </c>
      <c r="P1211" s="22">
        <f t="shared" si="304"/>
        <v>400</v>
      </c>
    </row>
    <row r="1212" spans="1:16" x14ac:dyDescent="0.25">
      <c r="A1212" s="91"/>
      <c r="B1212" s="13" t="s">
        <v>910</v>
      </c>
      <c r="C1212" s="13" t="s">
        <v>911</v>
      </c>
      <c r="D1212" s="13">
        <v>99</v>
      </c>
      <c r="E1212" s="13" t="s">
        <v>15</v>
      </c>
      <c r="F1212" s="13">
        <v>1</v>
      </c>
      <c r="G1212" s="13" t="s">
        <v>16</v>
      </c>
      <c r="H1212" s="13" t="s">
        <v>17</v>
      </c>
      <c r="I1212" s="14">
        <v>4015442</v>
      </c>
      <c r="J1212" s="13" t="s">
        <v>888</v>
      </c>
      <c r="K1212" s="13">
        <v>99</v>
      </c>
      <c r="L1212" s="13" t="s">
        <v>15</v>
      </c>
      <c r="M1212" s="15">
        <v>3000</v>
      </c>
      <c r="N1212" s="13" t="s">
        <v>2</v>
      </c>
      <c r="O1212" s="16">
        <f t="shared" si="303"/>
        <v>0.3</v>
      </c>
      <c r="P1212" s="22">
        <f t="shared" si="304"/>
        <v>120</v>
      </c>
    </row>
    <row r="1213" spans="1:16" ht="15.75" thickBot="1" x14ac:dyDescent="0.3">
      <c r="A1213" s="90"/>
      <c r="B1213" s="23" t="s">
        <v>910</v>
      </c>
      <c r="C1213" s="23" t="s">
        <v>911</v>
      </c>
      <c r="D1213" s="23">
        <v>99</v>
      </c>
      <c r="E1213" s="23" t="s">
        <v>15</v>
      </c>
      <c r="F1213" s="23">
        <v>1</v>
      </c>
      <c r="G1213" s="23" t="s">
        <v>16</v>
      </c>
      <c r="H1213" s="23" t="s">
        <v>17</v>
      </c>
      <c r="I1213" s="24">
        <v>4016160</v>
      </c>
      <c r="J1213" s="23" t="s">
        <v>69</v>
      </c>
      <c r="K1213" s="23">
        <v>99</v>
      </c>
      <c r="L1213" s="23" t="s">
        <v>15</v>
      </c>
      <c r="M1213" s="23">
        <v>90</v>
      </c>
      <c r="N1213" s="23" t="s">
        <v>3</v>
      </c>
      <c r="O1213" s="26">
        <f t="shared" si="303"/>
        <v>8.9999999999999993E-3</v>
      </c>
      <c r="P1213" s="27">
        <f t="shared" si="304"/>
        <v>3.5999999999999996</v>
      </c>
    </row>
    <row r="1214" spans="1:16" x14ac:dyDescent="0.25">
      <c r="B1214" s="1"/>
      <c r="C1214" s="1"/>
      <c r="D1214" s="1"/>
      <c r="E1214" s="1"/>
      <c r="F1214" s="1"/>
      <c r="G1214" s="1"/>
      <c r="H1214" s="1"/>
      <c r="I1214" s="2"/>
      <c r="J1214" s="1"/>
      <c r="K1214" s="1"/>
      <c r="L1214" s="1"/>
      <c r="M1214" s="1"/>
      <c r="N1214" s="1"/>
    </row>
    <row r="1215" spans="1:16" ht="15.75" thickBot="1" x14ac:dyDescent="0.3">
      <c r="B1215" s="1"/>
      <c r="C1215" s="1"/>
      <c r="D1215" s="1"/>
      <c r="E1215" s="1"/>
      <c r="F1215" s="1"/>
      <c r="G1215" s="1"/>
      <c r="H1215" s="1"/>
      <c r="I1215" s="2"/>
      <c r="J1215" s="1"/>
      <c r="K1215" s="1"/>
      <c r="L1215" s="1"/>
      <c r="M1215" s="1"/>
      <c r="N1215" s="1"/>
      <c r="P1215" s="11">
        <f>IFERROR(VLOOKUP($A1216,'PROGRAMA MES '!$A:$B,2,0),0)</f>
        <v>0</v>
      </c>
    </row>
    <row r="1216" spans="1:16" x14ac:dyDescent="0.25">
      <c r="A1216" s="89" t="str">
        <f>B1216</f>
        <v>SP2720LR</v>
      </c>
      <c r="B1216" s="17" t="s">
        <v>913</v>
      </c>
      <c r="C1216" s="17" t="s">
        <v>914</v>
      </c>
      <c r="D1216" s="17">
        <v>99</v>
      </c>
      <c r="E1216" s="17" t="s">
        <v>15</v>
      </c>
      <c r="F1216" s="17">
        <v>1</v>
      </c>
      <c r="G1216" s="17" t="s">
        <v>35</v>
      </c>
      <c r="H1216" s="17" t="s">
        <v>17</v>
      </c>
      <c r="I1216" s="18">
        <v>3005123</v>
      </c>
      <c r="J1216" s="17" t="s">
        <v>900</v>
      </c>
      <c r="K1216" s="17">
        <v>99</v>
      </c>
      <c r="L1216" s="17" t="s">
        <v>15</v>
      </c>
      <c r="M1216" s="19">
        <v>23600</v>
      </c>
      <c r="N1216" s="17" t="s">
        <v>3</v>
      </c>
      <c r="O1216" s="20">
        <f t="shared" ref="O1216:O1222" si="305">M1216/10000</f>
        <v>2.36</v>
      </c>
      <c r="P1216" s="21">
        <f>O1216*$P$1215</f>
        <v>0</v>
      </c>
    </row>
    <row r="1217" spans="1:16" x14ac:dyDescent="0.25">
      <c r="A1217" s="91"/>
      <c r="B1217" s="13" t="s">
        <v>913</v>
      </c>
      <c r="C1217" s="13" t="s">
        <v>914</v>
      </c>
      <c r="D1217" s="13">
        <v>99</v>
      </c>
      <c r="E1217" s="13" t="s">
        <v>15</v>
      </c>
      <c r="F1217" s="13">
        <v>1</v>
      </c>
      <c r="G1217" s="13" t="s">
        <v>16</v>
      </c>
      <c r="H1217" s="13" t="s">
        <v>17</v>
      </c>
      <c r="I1217" s="14">
        <v>4004820</v>
      </c>
      <c r="J1217" s="13" t="s">
        <v>867</v>
      </c>
      <c r="K1217" s="13">
        <v>99</v>
      </c>
      <c r="L1217" s="13" t="s">
        <v>15</v>
      </c>
      <c r="M1217" s="13">
        <v>8</v>
      </c>
      <c r="N1217" s="13" t="s">
        <v>1</v>
      </c>
      <c r="O1217" s="16">
        <f t="shared" si="305"/>
        <v>8.0000000000000004E-4</v>
      </c>
      <c r="P1217" s="22">
        <f t="shared" ref="P1217:P1222" si="306">O1217*$P$1215</f>
        <v>0</v>
      </c>
    </row>
    <row r="1218" spans="1:16" x14ac:dyDescent="0.25">
      <c r="A1218" s="91"/>
      <c r="B1218" s="13" t="s">
        <v>913</v>
      </c>
      <c r="C1218" s="13" t="s">
        <v>914</v>
      </c>
      <c r="D1218" s="13">
        <v>99</v>
      </c>
      <c r="E1218" s="13" t="s">
        <v>15</v>
      </c>
      <c r="F1218" s="13">
        <v>1</v>
      </c>
      <c r="G1218" s="13" t="s">
        <v>16</v>
      </c>
      <c r="H1218" s="13" t="s">
        <v>17</v>
      </c>
      <c r="I1218" s="14">
        <v>4012163</v>
      </c>
      <c r="J1218" s="13" t="s">
        <v>915</v>
      </c>
      <c r="K1218" s="13">
        <v>99</v>
      </c>
      <c r="L1218" s="13" t="s">
        <v>15</v>
      </c>
      <c r="M1218" s="15">
        <v>10000</v>
      </c>
      <c r="N1218" s="13" t="s">
        <v>1</v>
      </c>
      <c r="O1218" s="16">
        <f t="shared" si="305"/>
        <v>1</v>
      </c>
      <c r="P1218" s="22">
        <f t="shared" si="306"/>
        <v>0</v>
      </c>
    </row>
    <row r="1219" spans="1:16" x14ac:dyDescent="0.25">
      <c r="A1219" s="91"/>
      <c r="B1219" s="13" t="s">
        <v>913</v>
      </c>
      <c r="C1219" s="13" t="s">
        <v>914</v>
      </c>
      <c r="D1219" s="13">
        <v>99</v>
      </c>
      <c r="E1219" s="13" t="s">
        <v>15</v>
      </c>
      <c r="F1219" s="13">
        <v>1</v>
      </c>
      <c r="G1219" s="13" t="s">
        <v>16</v>
      </c>
      <c r="H1219" s="13" t="s">
        <v>17</v>
      </c>
      <c r="I1219" s="14">
        <v>4013310</v>
      </c>
      <c r="J1219" s="13" t="s">
        <v>909</v>
      </c>
      <c r="K1219" s="13">
        <v>99</v>
      </c>
      <c r="L1219" s="13" t="s">
        <v>15</v>
      </c>
      <c r="M1219" s="15">
        <v>10000</v>
      </c>
      <c r="N1219" s="13" t="s">
        <v>1</v>
      </c>
      <c r="O1219" s="16">
        <f t="shared" si="305"/>
        <v>1</v>
      </c>
      <c r="P1219" s="22">
        <f t="shared" si="306"/>
        <v>0</v>
      </c>
    </row>
    <row r="1220" spans="1:16" x14ac:dyDescent="0.25">
      <c r="A1220" s="91"/>
      <c r="B1220" s="13" t="s">
        <v>913</v>
      </c>
      <c r="C1220" s="13" t="s">
        <v>914</v>
      </c>
      <c r="D1220" s="13">
        <v>99</v>
      </c>
      <c r="E1220" s="13" t="s">
        <v>15</v>
      </c>
      <c r="F1220" s="13">
        <v>1</v>
      </c>
      <c r="G1220" s="13" t="s">
        <v>16</v>
      </c>
      <c r="H1220" s="13" t="s">
        <v>17</v>
      </c>
      <c r="I1220" s="14">
        <v>4015174</v>
      </c>
      <c r="J1220" s="13" t="s">
        <v>871</v>
      </c>
      <c r="K1220" s="13">
        <v>99</v>
      </c>
      <c r="L1220" s="13" t="s">
        <v>15</v>
      </c>
      <c r="M1220" s="15">
        <v>10000</v>
      </c>
      <c r="N1220" s="13" t="s">
        <v>1</v>
      </c>
      <c r="O1220" s="16">
        <f t="shared" si="305"/>
        <v>1</v>
      </c>
      <c r="P1220" s="22">
        <f t="shared" si="306"/>
        <v>0</v>
      </c>
    </row>
    <row r="1221" spans="1:16" x14ac:dyDescent="0.25">
      <c r="A1221" s="91"/>
      <c r="B1221" s="13" t="s">
        <v>913</v>
      </c>
      <c r="C1221" s="13" t="s">
        <v>914</v>
      </c>
      <c r="D1221" s="13">
        <v>99</v>
      </c>
      <c r="E1221" s="13" t="s">
        <v>15</v>
      </c>
      <c r="F1221" s="13">
        <v>1</v>
      </c>
      <c r="G1221" s="13" t="s">
        <v>16</v>
      </c>
      <c r="H1221" s="13" t="s">
        <v>17</v>
      </c>
      <c r="I1221" s="14">
        <v>4015442</v>
      </c>
      <c r="J1221" s="13" t="s">
        <v>888</v>
      </c>
      <c r="K1221" s="13">
        <v>99</v>
      </c>
      <c r="L1221" s="13" t="s">
        <v>15</v>
      </c>
      <c r="M1221" s="15">
        <v>3000</v>
      </c>
      <c r="N1221" s="13" t="s">
        <v>2</v>
      </c>
      <c r="O1221" s="16">
        <f t="shared" si="305"/>
        <v>0.3</v>
      </c>
      <c r="P1221" s="22">
        <f t="shared" si="306"/>
        <v>0</v>
      </c>
    </row>
    <row r="1222" spans="1:16" ht="15.75" thickBot="1" x14ac:dyDescent="0.3">
      <c r="A1222" s="90"/>
      <c r="B1222" s="23" t="s">
        <v>913</v>
      </c>
      <c r="C1222" s="23" t="s">
        <v>914</v>
      </c>
      <c r="D1222" s="23">
        <v>99</v>
      </c>
      <c r="E1222" s="23" t="s">
        <v>15</v>
      </c>
      <c r="F1222" s="23">
        <v>1</v>
      </c>
      <c r="G1222" s="23" t="s">
        <v>16</v>
      </c>
      <c r="H1222" s="23" t="s">
        <v>17</v>
      </c>
      <c r="I1222" s="24">
        <v>4016160</v>
      </c>
      <c r="J1222" s="23" t="s">
        <v>69</v>
      </c>
      <c r="K1222" s="23">
        <v>99</v>
      </c>
      <c r="L1222" s="23" t="s">
        <v>15</v>
      </c>
      <c r="M1222" s="23">
        <v>90</v>
      </c>
      <c r="N1222" s="23" t="s">
        <v>3</v>
      </c>
      <c r="O1222" s="26">
        <f t="shared" si="305"/>
        <v>8.9999999999999993E-3</v>
      </c>
      <c r="P1222" s="27">
        <f t="shared" si="306"/>
        <v>0</v>
      </c>
    </row>
    <row r="1223" spans="1:16" x14ac:dyDescent="0.25">
      <c r="B1223" s="1"/>
      <c r="C1223" s="1"/>
      <c r="D1223" s="1"/>
      <c r="E1223" s="1"/>
      <c r="F1223" s="1"/>
      <c r="G1223" s="1"/>
      <c r="H1223" s="1"/>
      <c r="I1223" s="2"/>
      <c r="J1223" s="1"/>
      <c r="K1223" s="1"/>
      <c r="L1223" s="1"/>
      <c r="M1223" s="1"/>
      <c r="N1223" s="1"/>
    </row>
    <row r="1224" spans="1:16" ht="15.75" thickBot="1" x14ac:dyDescent="0.3">
      <c r="B1224" s="1"/>
      <c r="C1224" s="1"/>
      <c r="D1224" s="1"/>
      <c r="E1224" s="1"/>
      <c r="F1224" s="1"/>
      <c r="G1224" s="1"/>
      <c r="H1224" s="1"/>
      <c r="I1224" s="2"/>
      <c r="J1224" s="1"/>
      <c r="K1224" s="1"/>
      <c r="L1224" s="1"/>
      <c r="M1224" s="1"/>
      <c r="N1224" s="1"/>
      <c r="P1224" s="11">
        <f>IFERROR(VLOOKUP($A1225,'PROGRAMA MES '!$A:$B,2,0),0)</f>
        <v>0</v>
      </c>
    </row>
    <row r="1225" spans="1:16" x14ac:dyDescent="0.25">
      <c r="A1225" s="89" t="str">
        <f>B1225</f>
        <v>SP2720VD</v>
      </c>
      <c r="B1225" s="17" t="s">
        <v>916</v>
      </c>
      <c r="C1225" s="17" t="s">
        <v>917</v>
      </c>
      <c r="D1225" s="17">
        <v>99</v>
      </c>
      <c r="E1225" s="17" t="s">
        <v>15</v>
      </c>
      <c r="F1225" s="17">
        <v>1</v>
      </c>
      <c r="G1225" s="17" t="s">
        <v>35</v>
      </c>
      <c r="H1225" s="17" t="s">
        <v>17</v>
      </c>
      <c r="I1225" s="18">
        <v>3005122</v>
      </c>
      <c r="J1225" s="17" t="s">
        <v>904</v>
      </c>
      <c r="K1225" s="17">
        <v>99</v>
      </c>
      <c r="L1225" s="17" t="s">
        <v>15</v>
      </c>
      <c r="M1225" s="19">
        <v>23600</v>
      </c>
      <c r="N1225" s="17" t="s">
        <v>3</v>
      </c>
      <c r="O1225" s="20">
        <f t="shared" ref="O1225:O1231" si="307">M1225/10000</f>
        <v>2.36</v>
      </c>
      <c r="P1225" s="21">
        <f>O1225*$P$1224</f>
        <v>0</v>
      </c>
    </row>
    <row r="1226" spans="1:16" x14ac:dyDescent="0.25">
      <c r="A1226" s="91"/>
      <c r="B1226" s="13" t="s">
        <v>916</v>
      </c>
      <c r="C1226" s="13" t="s">
        <v>917</v>
      </c>
      <c r="D1226" s="13">
        <v>99</v>
      </c>
      <c r="E1226" s="13" t="s">
        <v>15</v>
      </c>
      <c r="F1226" s="13">
        <v>1</v>
      </c>
      <c r="G1226" s="13" t="s">
        <v>16</v>
      </c>
      <c r="H1226" s="13" t="s">
        <v>17</v>
      </c>
      <c r="I1226" s="14">
        <v>4004820</v>
      </c>
      <c r="J1226" s="13" t="s">
        <v>867</v>
      </c>
      <c r="K1226" s="13">
        <v>99</v>
      </c>
      <c r="L1226" s="13" t="s">
        <v>15</v>
      </c>
      <c r="M1226" s="13">
        <v>8</v>
      </c>
      <c r="N1226" s="13" t="s">
        <v>1</v>
      </c>
      <c r="O1226" s="16">
        <f t="shared" si="307"/>
        <v>8.0000000000000004E-4</v>
      </c>
      <c r="P1226" s="22">
        <f t="shared" ref="P1226:P1231" si="308">O1226*$P$1224</f>
        <v>0</v>
      </c>
    </row>
    <row r="1227" spans="1:16" x14ac:dyDescent="0.25">
      <c r="A1227" s="91"/>
      <c r="B1227" s="13" t="s">
        <v>916</v>
      </c>
      <c r="C1227" s="13" t="s">
        <v>917</v>
      </c>
      <c r="D1227" s="13">
        <v>99</v>
      </c>
      <c r="E1227" s="13" t="s">
        <v>15</v>
      </c>
      <c r="F1227" s="13">
        <v>1</v>
      </c>
      <c r="G1227" s="13" t="s">
        <v>16</v>
      </c>
      <c r="H1227" s="13" t="s">
        <v>17</v>
      </c>
      <c r="I1227" s="14">
        <v>4012165</v>
      </c>
      <c r="J1227" s="13" t="s">
        <v>918</v>
      </c>
      <c r="K1227" s="13">
        <v>99</v>
      </c>
      <c r="L1227" s="13" t="s">
        <v>15</v>
      </c>
      <c r="M1227" s="15">
        <v>10000</v>
      </c>
      <c r="N1227" s="13" t="s">
        <v>1</v>
      </c>
      <c r="O1227" s="16">
        <f t="shared" si="307"/>
        <v>1</v>
      </c>
      <c r="P1227" s="22">
        <f t="shared" si="308"/>
        <v>0</v>
      </c>
    </row>
    <row r="1228" spans="1:16" x14ac:dyDescent="0.25">
      <c r="A1228" s="91"/>
      <c r="B1228" s="13" t="s">
        <v>916</v>
      </c>
      <c r="C1228" s="13" t="s">
        <v>917</v>
      </c>
      <c r="D1228" s="13">
        <v>99</v>
      </c>
      <c r="E1228" s="13" t="s">
        <v>15</v>
      </c>
      <c r="F1228" s="13">
        <v>1</v>
      </c>
      <c r="G1228" s="13" t="s">
        <v>16</v>
      </c>
      <c r="H1228" s="13" t="s">
        <v>17</v>
      </c>
      <c r="I1228" s="14">
        <v>4013310</v>
      </c>
      <c r="J1228" s="13" t="s">
        <v>909</v>
      </c>
      <c r="K1228" s="13">
        <v>99</v>
      </c>
      <c r="L1228" s="13" t="s">
        <v>15</v>
      </c>
      <c r="M1228" s="15">
        <v>10000</v>
      </c>
      <c r="N1228" s="13" t="s">
        <v>1</v>
      </c>
      <c r="O1228" s="16">
        <f t="shared" si="307"/>
        <v>1</v>
      </c>
      <c r="P1228" s="22">
        <f t="shared" si="308"/>
        <v>0</v>
      </c>
    </row>
    <row r="1229" spans="1:16" x14ac:dyDescent="0.25">
      <c r="A1229" s="91"/>
      <c r="B1229" s="13" t="s">
        <v>916</v>
      </c>
      <c r="C1229" s="13" t="s">
        <v>917</v>
      </c>
      <c r="D1229" s="13">
        <v>99</v>
      </c>
      <c r="E1229" s="13" t="s">
        <v>15</v>
      </c>
      <c r="F1229" s="13">
        <v>1</v>
      </c>
      <c r="G1229" s="13" t="s">
        <v>16</v>
      </c>
      <c r="H1229" s="13" t="s">
        <v>17</v>
      </c>
      <c r="I1229" s="14">
        <v>4015174</v>
      </c>
      <c r="J1229" s="13" t="s">
        <v>871</v>
      </c>
      <c r="K1229" s="13">
        <v>99</v>
      </c>
      <c r="L1229" s="13" t="s">
        <v>15</v>
      </c>
      <c r="M1229" s="15">
        <v>10000</v>
      </c>
      <c r="N1229" s="13" t="s">
        <v>1</v>
      </c>
      <c r="O1229" s="16">
        <f t="shared" si="307"/>
        <v>1</v>
      </c>
      <c r="P1229" s="22">
        <f t="shared" si="308"/>
        <v>0</v>
      </c>
    </row>
    <row r="1230" spans="1:16" x14ac:dyDescent="0.25">
      <c r="A1230" s="91"/>
      <c r="B1230" s="13" t="s">
        <v>916</v>
      </c>
      <c r="C1230" s="13" t="s">
        <v>917</v>
      </c>
      <c r="D1230" s="13">
        <v>99</v>
      </c>
      <c r="E1230" s="13" t="s">
        <v>15</v>
      </c>
      <c r="F1230" s="13">
        <v>1</v>
      </c>
      <c r="G1230" s="13" t="s">
        <v>16</v>
      </c>
      <c r="H1230" s="13" t="s">
        <v>17</v>
      </c>
      <c r="I1230" s="14">
        <v>4015442</v>
      </c>
      <c r="J1230" s="13" t="s">
        <v>888</v>
      </c>
      <c r="K1230" s="13">
        <v>99</v>
      </c>
      <c r="L1230" s="13" t="s">
        <v>15</v>
      </c>
      <c r="M1230" s="15">
        <v>3000</v>
      </c>
      <c r="N1230" s="13" t="s">
        <v>2</v>
      </c>
      <c r="O1230" s="16">
        <f t="shared" si="307"/>
        <v>0.3</v>
      </c>
      <c r="P1230" s="22">
        <f t="shared" si="308"/>
        <v>0</v>
      </c>
    </row>
    <row r="1231" spans="1:16" ht="15.75" thickBot="1" x14ac:dyDescent="0.3">
      <c r="A1231" s="90"/>
      <c r="B1231" s="23" t="s">
        <v>916</v>
      </c>
      <c r="C1231" s="23" t="s">
        <v>917</v>
      </c>
      <c r="D1231" s="23">
        <v>99</v>
      </c>
      <c r="E1231" s="23" t="s">
        <v>15</v>
      </c>
      <c r="F1231" s="23">
        <v>1</v>
      </c>
      <c r="G1231" s="23" t="s">
        <v>16</v>
      </c>
      <c r="H1231" s="23" t="s">
        <v>17</v>
      </c>
      <c r="I1231" s="24">
        <v>4016160</v>
      </c>
      <c r="J1231" s="23" t="s">
        <v>69</v>
      </c>
      <c r="K1231" s="23">
        <v>99</v>
      </c>
      <c r="L1231" s="23" t="s">
        <v>15</v>
      </c>
      <c r="M1231" s="23">
        <v>90</v>
      </c>
      <c r="N1231" s="23" t="s">
        <v>3</v>
      </c>
      <c r="O1231" s="26">
        <f t="shared" si="307"/>
        <v>8.9999999999999993E-3</v>
      </c>
      <c r="P1231" s="27">
        <f t="shared" si="308"/>
        <v>0</v>
      </c>
    </row>
    <row r="1232" spans="1:16" x14ac:dyDescent="0.25">
      <c r="B1232" s="1"/>
      <c r="C1232" s="1"/>
      <c r="D1232" s="1"/>
      <c r="E1232" s="1"/>
      <c r="F1232" s="1"/>
      <c r="G1232" s="1"/>
      <c r="H1232" s="1"/>
      <c r="I1232" s="2"/>
      <c r="J1232" s="1"/>
      <c r="K1232" s="1"/>
      <c r="L1232" s="1"/>
      <c r="M1232" s="1"/>
      <c r="N1232" s="1"/>
    </row>
    <row r="1233" spans="1:16" ht="15.75" thickBot="1" x14ac:dyDescent="0.3">
      <c r="B1233" s="1"/>
      <c r="C1233" s="1"/>
      <c r="D1233" s="1"/>
      <c r="E1233" s="1"/>
      <c r="F1233" s="1"/>
      <c r="G1233" s="1"/>
      <c r="H1233" s="1"/>
      <c r="I1233" s="2"/>
      <c r="J1233" s="1"/>
      <c r="K1233" s="1"/>
      <c r="L1233" s="1"/>
      <c r="M1233" s="1"/>
      <c r="N1233" s="1"/>
      <c r="P1233" s="11">
        <f>IFERROR(VLOOKUP($A1234,'PROGRAMA MES '!$A:$B,2,0),0)</f>
        <v>1000</v>
      </c>
    </row>
    <row r="1234" spans="1:16" x14ac:dyDescent="0.25">
      <c r="A1234" s="89" t="str">
        <f>B1234</f>
        <v>SP27240AZ</v>
      </c>
      <c r="B1234" s="17" t="s">
        <v>919</v>
      </c>
      <c r="C1234" s="17" t="s">
        <v>920</v>
      </c>
      <c r="D1234" s="17">
        <v>51</v>
      </c>
      <c r="E1234" s="17" t="s">
        <v>101</v>
      </c>
      <c r="F1234" s="17">
        <v>1</v>
      </c>
      <c r="G1234" s="17" t="s">
        <v>35</v>
      </c>
      <c r="H1234" s="17" t="s">
        <v>17</v>
      </c>
      <c r="I1234" s="18">
        <v>3001930</v>
      </c>
      <c r="J1234" s="17" t="s">
        <v>866</v>
      </c>
      <c r="K1234" s="17">
        <v>99</v>
      </c>
      <c r="L1234" s="17" t="s">
        <v>15</v>
      </c>
      <c r="M1234" s="19">
        <v>23600</v>
      </c>
      <c r="N1234" s="17" t="s">
        <v>3</v>
      </c>
      <c r="O1234" s="20">
        <f t="shared" ref="O1234:O1240" si="309">M1234/10000</f>
        <v>2.36</v>
      </c>
      <c r="P1234" s="21">
        <f>O1234*$P$1233</f>
        <v>2360</v>
      </c>
    </row>
    <row r="1235" spans="1:16" x14ac:dyDescent="0.25">
      <c r="A1235" s="91"/>
      <c r="B1235" s="13" t="s">
        <v>919</v>
      </c>
      <c r="C1235" s="13" t="s">
        <v>920</v>
      </c>
      <c r="D1235" s="13">
        <v>51</v>
      </c>
      <c r="E1235" s="13" t="s">
        <v>101</v>
      </c>
      <c r="F1235" s="13">
        <v>1</v>
      </c>
      <c r="G1235" s="13" t="s">
        <v>16</v>
      </c>
      <c r="H1235" s="13" t="s">
        <v>17</v>
      </c>
      <c r="I1235" s="14">
        <v>4004820</v>
      </c>
      <c r="J1235" s="13" t="s">
        <v>867</v>
      </c>
      <c r="K1235" s="13">
        <v>99</v>
      </c>
      <c r="L1235" s="13" t="s">
        <v>15</v>
      </c>
      <c r="M1235" s="13">
        <v>8</v>
      </c>
      <c r="N1235" s="13" t="s">
        <v>1</v>
      </c>
      <c r="O1235" s="16">
        <f t="shared" si="309"/>
        <v>8.0000000000000004E-4</v>
      </c>
      <c r="P1235" s="22">
        <f t="shared" ref="P1235:P1240" si="310">O1235*$P$1233</f>
        <v>0.8</v>
      </c>
    </row>
    <row r="1236" spans="1:16" x14ac:dyDescent="0.25">
      <c r="A1236" s="91"/>
      <c r="B1236" s="13" t="s">
        <v>919</v>
      </c>
      <c r="C1236" s="13" t="s">
        <v>920</v>
      </c>
      <c r="D1236" s="13">
        <v>51</v>
      </c>
      <c r="E1236" s="13" t="s">
        <v>101</v>
      </c>
      <c r="F1236" s="13">
        <v>1</v>
      </c>
      <c r="G1236" s="13" t="s">
        <v>16</v>
      </c>
      <c r="H1236" s="13" t="s">
        <v>17</v>
      </c>
      <c r="I1236" s="14">
        <v>4013310</v>
      </c>
      <c r="J1236" s="13" t="s">
        <v>909</v>
      </c>
      <c r="K1236" s="13">
        <v>99</v>
      </c>
      <c r="L1236" s="13" t="s">
        <v>15</v>
      </c>
      <c r="M1236" s="15">
        <v>10000</v>
      </c>
      <c r="N1236" s="13" t="s">
        <v>1</v>
      </c>
      <c r="O1236" s="16">
        <f t="shared" si="309"/>
        <v>1</v>
      </c>
      <c r="P1236" s="22">
        <f t="shared" si="310"/>
        <v>1000</v>
      </c>
    </row>
    <row r="1237" spans="1:16" x14ac:dyDescent="0.25">
      <c r="A1237" s="91"/>
      <c r="B1237" s="13" t="s">
        <v>919</v>
      </c>
      <c r="C1237" s="13" t="s">
        <v>920</v>
      </c>
      <c r="D1237" s="13">
        <v>51</v>
      </c>
      <c r="E1237" s="13" t="s">
        <v>101</v>
      </c>
      <c r="F1237" s="13">
        <v>1</v>
      </c>
      <c r="G1237" s="13" t="s">
        <v>16</v>
      </c>
      <c r="H1237" s="13" t="s">
        <v>17</v>
      </c>
      <c r="I1237" s="14">
        <v>4015039</v>
      </c>
      <c r="J1237" s="13" t="s">
        <v>921</v>
      </c>
      <c r="K1237" s="13">
        <v>99</v>
      </c>
      <c r="L1237" s="13" t="s">
        <v>15</v>
      </c>
      <c r="M1237" s="15">
        <v>10000</v>
      </c>
      <c r="N1237" s="13" t="s">
        <v>1</v>
      </c>
      <c r="O1237" s="16">
        <f t="shared" si="309"/>
        <v>1</v>
      </c>
      <c r="P1237" s="22">
        <f t="shared" si="310"/>
        <v>1000</v>
      </c>
    </row>
    <row r="1238" spans="1:16" x14ac:dyDescent="0.25">
      <c r="A1238" s="91"/>
      <c r="B1238" s="13" t="s">
        <v>919</v>
      </c>
      <c r="C1238" s="13" t="s">
        <v>920</v>
      </c>
      <c r="D1238" s="13">
        <v>51</v>
      </c>
      <c r="E1238" s="13" t="s">
        <v>101</v>
      </c>
      <c r="F1238" s="13">
        <v>1</v>
      </c>
      <c r="G1238" s="13" t="s">
        <v>16</v>
      </c>
      <c r="H1238" s="13" t="s">
        <v>17</v>
      </c>
      <c r="I1238" s="14">
        <v>4015174</v>
      </c>
      <c r="J1238" s="13" t="s">
        <v>871</v>
      </c>
      <c r="K1238" s="13">
        <v>99</v>
      </c>
      <c r="L1238" s="13" t="s">
        <v>15</v>
      </c>
      <c r="M1238" s="15">
        <v>10000</v>
      </c>
      <c r="N1238" s="13" t="s">
        <v>1</v>
      </c>
      <c r="O1238" s="16">
        <f t="shared" si="309"/>
        <v>1</v>
      </c>
      <c r="P1238" s="22">
        <f t="shared" si="310"/>
        <v>1000</v>
      </c>
    </row>
    <row r="1239" spans="1:16" x14ac:dyDescent="0.25">
      <c r="A1239" s="91"/>
      <c r="B1239" s="13" t="s">
        <v>919</v>
      </c>
      <c r="C1239" s="13" t="s">
        <v>920</v>
      </c>
      <c r="D1239" s="13">
        <v>51</v>
      </c>
      <c r="E1239" s="13" t="s">
        <v>101</v>
      </c>
      <c r="F1239" s="13">
        <v>1</v>
      </c>
      <c r="G1239" s="13" t="s">
        <v>16</v>
      </c>
      <c r="H1239" s="13" t="s">
        <v>17</v>
      </c>
      <c r="I1239" s="14">
        <v>4015442</v>
      </c>
      <c r="J1239" s="13" t="s">
        <v>888</v>
      </c>
      <c r="K1239" s="13">
        <v>99</v>
      </c>
      <c r="L1239" s="13" t="s">
        <v>15</v>
      </c>
      <c r="M1239" s="15">
        <v>3000</v>
      </c>
      <c r="N1239" s="13" t="s">
        <v>2</v>
      </c>
      <c r="O1239" s="16">
        <f t="shared" si="309"/>
        <v>0.3</v>
      </c>
      <c r="P1239" s="22">
        <f t="shared" si="310"/>
        <v>300</v>
      </c>
    </row>
    <row r="1240" spans="1:16" ht="15.75" thickBot="1" x14ac:dyDescent="0.3">
      <c r="A1240" s="90"/>
      <c r="B1240" s="23" t="s">
        <v>919</v>
      </c>
      <c r="C1240" s="23" t="s">
        <v>920</v>
      </c>
      <c r="D1240" s="23">
        <v>51</v>
      </c>
      <c r="E1240" s="23" t="s">
        <v>101</v>
      </c>
      <c r="F1240" s="23">
        <v>1</v>
      </c>
      <c r="G1240" s="23" t="s">
        <v>16</v>
      </c>
      <c r="H1240" s="23" t="s">
        <v>17</v>
      </c>
      <c r="I1240" s="24">
        <v>4016160</v>
      </c>
      <c r="J1240" s="23" t="s">
        <v>69</v>
      </c>
      <c r="K1240" s="23">
        <v>99</v>
      </c>
      <c r="L1240" s="23" t="s">
        <v>15</v>
      </c>
      <c r="M1240" s="23">
        <v>90</v>
      </c>
      <c r="N1240" s="23" t="s">
        <v>3</v>
      </c>
      <c r="O1240" s="26">
        <f t="shared" si="309"/>
        <v>8.9999999999999993E-3</v>
      </c>
      <c r="P1240" s="27">
        <f t="shared" si="310"/>
        <v>9</v>
      </c>
    </row>
    <row r="1241" spans="1:16" x14ac:dyDescent="0.25">
      <c r="B1241" s="1"/>
      <c r="C1241" s="1"/>
      <c r="D1241" s="1"/>
      <c r="E1241" s="1"/>
      <c r="F1241" s="1"/>
      <c r="G1241" s="1"/>
      <c r="H1241" s="1"/>
      <c r="I1241" s="2"/>
      <c r="J1241" s="1"/>
      <c r="K1241" s="1"/>
      <c r="L1241" s="1"/>
      <c r="M1241" s="1"/>
      <c r="N1241" s="1"/>
    </row>
    <row r="1242" spans="1:16" ht="15.75" thickBot="1" x14ac:dyDescent="0.3">
      <c r="B1242" s="1"/>
      <c r="C1242" s="1"/>
      <c r="D1242" s="1"/>
      <c r="E1242" s="1"/>
      <c r="F1242" s="1"/>
      <c r="G1242" s="1"/>
      <c r="H1242" s="1"/>
      <c r="I1242" s="2"/>
      <c r="J1242" s="1"/>
      <c r="K1242" s="1"/>
      <c r="L1242" s="1"/>
      <c r="M1242" s="1"/>
      <c r="N1242" s="1"/>
      <c r="P1242" s="11">
        <f>IFERROR(VLOOKUP($A1243,'PROGRAMA MES '!$A:$B,2,0),0)</f>
        <v>0</v>
      </c>
    </row>
    <row r="1243" spans="1:16" x14ac:dyDescent="0.25">
      <c r="A1243" s="89" t="str">
        <f>B1243</f>
        <v>SP27240BR</v>
      </c>
      <c r="B1243" s="17" t="s">
        <v>922</v>
      </c>
      <c r="C1243" s="17" t="s">
        <v>923</v>
      </c>
      <c r="D1243" s="17">
        <v>51</v>
      </c>
      <c r="E1243" s="17" t="s">
        <v>101</v>
      </c>
      <c r="F1243" s="17">
        <v>1</v>
      </c>
      <c r="G1243" s="17" t="s">
        <v>35</v>
      </c>
      <c r="H1243" s="17" t="s">
        <v>17</v>
      </c>
      <c r="I1243" s="18">
        <v>3001933</v>
      </c>
      <c r="J1243" s="17" t="s">
        <v>874</v>
      </c>
      <c r="K1243" s="17">
        <v>99</v>
      </c>
      <c r="L1243" s="17" t="s">
        <v>15</v>
      </c>
      <c r="M1243" s="19">
        <v>23600</v>
      </c>
      <c r="N1243" s="17" t="s">
        <v>3</v>
      </c>
      <c r="O1243" s="20">
        <f t="shared" ref="O1243:O1249" si="311">M1243/10000</f>
        <v>2.36</v>
      </c>
      <c r="P1243" s="21">
        <f>O1243*$P$1242</f>
        <v>0</v>
      </c>
    </row>
    <row r="1244" spans="1:16" x14ac:dyDescent="0.25">
      <c r="A1244" s="91"/>
      <c r="B1244" s="13" t="s">
        <v>922</v>
      </c>
      <c r="C1244" s="13" t="s">
        <v>923</v>
      </c>
      <c r="D1244" s="13">
        <v>51</v>
      </c>
      <c r="E1244" s="13" t="s">
        <v>101</v>
      </c>
      <c r="F1244" s="13">
        <v>1</v>
      </c>
      <c r="G1244" s="13" t="s">
        <v>16</v>
      </c>
      <c r="H1244" s="13" t="s">
        <v>17</v>
      </c>
      <c r="I1244" s="14">
        <v>4004820</v>
      </c>
      <c r="J1244" s="13" t="s">
        <v>867</v>
      </c>
      <c r="K1244" s="13">
        <v>99</v>
      </c>
      <c r="L1244" s="13" t="s">
        <v>15</v>
      </c>
      <c r="M1244" s="13">
        <v>8</v>
      </c>
      <c r="N1244" s="13" t="s">
        <v>1</v>
      </c>
      <c r="O1244" s="16">
        <f t="shared" si="311"/>
        <v>8.0000000000000004E-4</v>
      </c>
      <c r="P1244" s="22">
        <f t="shared" ref="P1244:P1249" si="312">O1244*$P$1242</f>
        <v>0</v>
      </c>
    </row>
    <row r="1245" spans="1:16" x14ac:dyDescent="0.25">
      <c r="A1245" s="91"/>
      <c r="B1245" s="13" t="s">
        <v>922</v>
      </c>
      <c r="C1245" s="13" t="s">
        <v>923</v>
      </c>
      <c r="D1245" s="13">
        <v>51</v>
      </c>
      <c r="E1245" s="13" t="s">
        <v>101</v>
      </c>
      <c r="F1245" s="13">
        <v>1</v>
      </c>
      <c r="G1245" s="13" t="s">
        <v>16</v>
      </c>
      <c r="H1245" s="13" t="s">
        <v>17</v>
      </c>
      <c r="I1245" s="14">
        <v>4013310</v>
      </c>
      <c r="J1245" s="13" t="s">
        <v>909</v>
      </c>
      <c r="K1245" s="13">
        <v>99</v>
      </c>
      <c r="L1245" s="13" t="s">
        <v>15</v>
      </c>
      <c r="M1245" s="15">
        <v>10000</v>
      </c>
      <c r="N1245" s="13" t="s">
        <v>1</v>
      </c>
      <c r="O1245" s="16">
        <f t="shared" si="311"/>
        <v>1</v>
      </c>
      <c r="P1245" s="22">
        <f t="shared" si="312"/>
        <v>0</v>
      </c>
    </row>
    <row r="1246" spans="1:16" x14ac:dyDescent="0.25">
      <c r="A1246" s="91"/>
      <c r="B1246" s="13" t="s">
        <v>922</v>
      </c>
      <c r="C1246" s="13" t="s">
        <v>923</v>
      </c>
      <c r="D1246" s="13">
        <v>51</v>
      </c>
      <c r="E1246" s="13" t="s">
        <v>101</v>
      </c>
      <c r="F1246" s="13">
        <v>1</v>
      </c>
      <c r="G1246" s="13" t="s">
        <v>16</v>
      </c>
      <c r="H1246" s="13" t="s">
        <v>17</v>
      </c>
      <c r="I1246" s="14">
        <v>4015040</v>
      </c>
      <c r="J1246" s="13" t="s">
        <v>924</v>
      </c>
      <c r="K1246" s="13">
        <v>99</v>
      </c>
      <c r="L1246" s="13" t="s">
        <v>15</v>
      </c>
      <c r="M1246" s="15">
        <v>10000</v>
      </c>
      <c r="N1246" s="13" t="s">
        <v>1</v>
      </c>
      <c r="O1246" s="16">
        <f t="shared" si="311"/>
        <v>1</v>
      </c>
      <c r="P1246" s="22">
        <f t="shared" si="312"/>
        <v>0</v>
      </c>
    </row>
    <row r="1247" spans="1:16" x14ac:dyDescent="0.25">
      <c r="A1247" s="91"/>
      <c r="B1247" s="13" t="s">
        <v>922</v>
      </c>
      <c r="C1247" s="13" t="s">
        <v>923</v>
      </c>
      <c r="D1247" s="13">
        <v>51</v>
      </c>
      <c r="E1247" s="13" t="s">
        <v>101</v>
      </c>
      <c r="F1247" s="13">
        <v>1</v>
      </c>
      <c r="G1247" s="13" t="s">
        <v>16</v>
      </c>
      <c r="H1247" s="13" t="s">
        <v>17</v>
      </c>
      <c r="I1247" s="14">
        <v>4015174</v>
      </c>
      <c r="J1247" s="13" t="s">
        <v>871</v>
      </c>
      <c r="K1247" s="13">
        <v>99</v>
      </c>
      <c r="L1247" s="13" t="s">
        <v>15</v>
      </c>
      <c r="M1247" s="15">
        <v>10000</v>
      </c>
      <c r="N1247" s="13" t="s">
        <v>1</v>
      </c>
      <c r="O1247" s="16">
        <f t="shared" si="311"/>
        <v>1</v>
      </c>
      <c r="P1247" s="22">
        <f t="shared" si="312"/>
        <v>0</v>
      </c>
    </row>
    <row r="1248" spans="1:16" x14ac:dyDescent="0.25">
      <c r="A1248" s="91"/>
      <c r="B1248" s="13" t="s">
        <v>922</v>
      </c>
      <c r="C1248" s="13" t="s">
        <v>923</v>
      </c>
      <c r="D1248" s="13">
        <v>51</v>
      </c>
      <c r="E1248" s="13" t="s">
        <v>101</v>
      </c>
      <c r="F1248" s="13">
        <v>1</v>
      </c>
      <c r="G1248" s="13" t="s">
        <v>16</v>
      </c>
      <c r="H1248" s="13" t="s">
        <v>17</v>
      </c>
      <c r="I1248" s="14">
        <v>4015442</v>
      </c>
      <c r="J1248" s="13" t="s">
        <v>888</v>
      </c>
      <c r="K1248" s="13">
        <v>99</v>
      </c>
      <c r="L1248" s="13" t="s">
        <v>15</v>
      </c>
      <c r="M1248" s="15">
        <v>3000</v>
      </c>
      <c r="N1248" s="13" t="s">
        <v>2</v>
      </c>
      <c r="O1248" s="16">
        <f t="shared" si="311"/>
        <v>0.3</v>
      </c>
      <c r="P1248" s="22">
        <f t="shared" si="312"/>
        <v>0</v>
      </c>
    </row>
    <row r="1249" spans="1:16" ht="15.75" thickBot="1" x14ac:dyDescent="0.3">
      <c r="A1249" s="90"/>
      <c r="B1249" s="23" t="s">
        <v>922</v>
      </c>
      <c r="C1249" s="23" t="s">
        <v>923</v>
      </c>
      <c r="D1249" s="23">
        <v>51</v>
      </c>
      <c r="E1249" s="23" t="s">
        <v>101</v>
      </c>
      <c r="F1249" s="23">
        <v>1</v>
      </c>
      <c r="G1249" s="23" t="s">
        <v>16</v>
      </c>
      <c r="H1249" s="23" t="s">
        <v>17</v>
      </c>
      <c r="I1249" s="24">
        <v>4016160</v>
      </c>
      <c r="J1249" s="23" t="s">
        <v>69</v>
      </c>
      <c r="K1249" s="23">
        <v>99</v>
      </c>
      <c r="L1249" s="23" t="s">
        <v>15</v>
      </c>
      <c r="M1249" s="23">
        <v>90</v>
      </c>
      <c r="N1249" s="23" t="s">
        <v>3</v>
      </c>
      <c r="O1249" s="26">
        <f t="shared" si="311"/>
        <v>8.9999999999999993E-3</v>
      </c>
      <c r="P1249" s="27">
        <f t="shared" si="312"/>
        <v>0</v>
      </c>
    </row>
    <row r="1250" spans="1:16" x14ac:dyDescent="0.25">
      <c r="B1250" s="1"/>
      <c r="C1250" s="1"/>
      <c r="D1250" s="1"/>
      <c r="E1250" s="1"/>
      <c r="F1250" s="1"/>
      <c r="G1250" s="1"/>
      <c r="H1250" s="1"/>
      <c r="I1250" s="2"/>
      <c r="J1250" s="1"/>
      <c r="K1250" s="1"/>
      <c r="L1250" s="1"/>
      <c r="M1250" s="1"/>
      <c r="N1250" s="1"/>
    </row>
    <row r="1251" spans="1:16" ht="15.75" thickBot="1" x14ac:dyDescent="0.3">
      <c r="B1251" s="1"/>
      <c r="C1251" s="1"/>
      <c r="D1251" s="1"/>
      <c r="E1251" s="1"/>
      <c r="F1251" s="1"/>
      <c r="G1251" s="1"/>
      <c r="H1251" s="1"/>
      <c r="I1251" s="2"/>
      <c r="J1251" s="1"/>
      <c r="K1251" s="1"/>
      <c r="L1251" s="1"/>
      <c r="M1251" s="1"/>
      <c r="N1251" s="1"/>
      <c r="P1251" s="11">
        <f>IFERROR(VLOOKUP($A1252,'PROGRAMA MES '!$A:$B,2,0),0)</f>
        <v>0</v>
      </c>
    </row>
    <row r="1252" spans="1:16" x14ac:dyDescent="0.25">
      <c r="A1252" s="89" t="str">
        <f>B1252</f>
        <v>SP27240LR</v>
      </c>
      <c r="B1252" s="17" t="s">
        <v>925</v>
      </c>
      <c r="C1252" s="17" t="s">
        <v>926</v>
      </c>
      <c r="D1252" s="17">
        <v>51</v>
      </c>
      <c r="E1252" s="17" t="s">
        <v>101</v>
      </c>
      <c r="F1252" s="17">
        <v>1</v>
      </c>
      <c r="G1252" s="17" t="s">
        <v>35</v>
      </c>
      <c r="H1252" s="17" t="s">
        <v>17</v>
      </c>
      <c r="I1252" s="18">
        <v>3001932</v>
      </c>
      <c r="J1252" s="17" t="s">
        <v>878</v>
      </c>
      <c r="K1252" s="17">
        <v>99</v>
      </c>
      <c r="L1252" s="17" t="s">
        <v>15</v>
      </c>
      <c r="M1252" s="19">
        <v>23600</v>
      </c>
      <c r="N1252" s="17" t="s">
        <v>3</v>
      </c>
      <c r="O1252" s="20">
        <f t="shared" ref="O1252:O1258" si="313">M1252/10000</f>
        <v>2.36</v>
      </c>
      <c r="P1252" s="21">
        <f>O1252*$P$1251</f>
        <v>0</v>
      </c>
    </row>
    <row r="1253" spans="1:16" x14ac:dyDescent="0.25">
      <c r="A1253" s="91"/>
      <c r="B1253" s="13" t="s">
        <v>925</v>
      </c>
      <c r="C1253" s="13" t="s">
        <v>926</v>
      </c>
      <c r="D1253" s="13">
        <v>51</v>
      </c>
      <c r="E1253" s="13" t="s">
        <v>101</v>
      </c>
      <c r="F1253" s="13">
        <v>1</v>
      </c>
      <c r="G1253" s="13" t="s">
        <v>16</v>
      </c>
      <c r="H1253" s="13" t="s">
        <v>17</v>
      </c>
      <c r="I1253" s="14">
        <v>4004820</v>
      </c>
      <c r="J1253" s="13" t="s">
        <v>867</v>
      </c>
      <c r="K1253" s="13">
        <v>99</v>
      </c>
      <c r="L1253" s="13" t="s">
        <v>15</v>
      </c>
      <c r="M1253" s="13">
        <v>8</v>
      </c>
      <c r="N1253" s="13" t="s">
        <v>1</v>
      </c>
      <c r="O1253" s="16">
        <f t="shared" si="313"/>
        <v>8.0000000000000004E-4</v>
      </c>
      <c r="P1253" s="22">
        <f t="shared" ref="P1253:P1258" si="314">O1253*$P$1251</f>
        <v>0</v>
      </c>
    </row>
    <row r="1254" spans="1:16" x14ac:dyDescent="0.25">
      <c r="A1254" s="91"/>
      <c r="B1254" s="13" t="s">
        <v>925</v>
      </c>
      <c r="C1254" s="13" t="s">
        <v>926</v>
      </c>
      <c r="D1254" s="13">
        <v>51</v>
      </c>
      <c r="E1254" s="13" t="s">
        <v>101</v>
      </c>
      <c r="F1254" s="13">
        <v>1</v>
      </c>
      <c r="G1254" s="13" t="s">
        <v>16</v>
      </c>
      <c r="H1254" s="13" t="s">
        <v>17</v>
      </c>
      <c r="I1254" s="14">
        <v>4013310</v>
      </c>
      <c r="J1254" s="13" t="s">
        <v>909</v>
      </c>
      <c r="K1254" s="13">
        <v>99</v>
      </c>
      <c r="L1254" s="13" t="s">
        <v>15</v>
      </c>
      <c r="M1254" s="15">
        <v>10000</v>
      </c>
      <c r="N1254" s="13" t="s">
        <v>1</v>
      </c>
      <c r="O1254" s="16">
        <f t="shared" si="313"/>
        <v>1</v>
      </c>
      <c r="P1254" s="22">
        <f t="shared" si="314"/>
        <v>0</v>
      </c>
    </row>
    <row r="1255" spans="1:16" x14ac:dyDescent="0.25">
      <c r="A1255" s="91"/>
      <c r="B1255" s="13" t="s">
        <v>925</v>
      </c>
      <c r="C1255" s="13" t="s">
        <v>926</v>
      </c>
      <c r="D1255" s="13">
        <v>51</v>
      </c>
      <c r="E1255" s="13" t="s">
        <v>101</v>
      </c>
      <c r="F1255" s="13">
        <v>1</v>
      </c>
      <c r="G1255" s="13" t="s">
        <v>16</v>
      </c>
      <c r="H1255" s="13" t="s">
        <v>17</v>
      </c>
      <c r="I1255" s="14">
        <v>4015041</v>
      </c>
      <c r="J1255" s="13" t="s">
        <v>927</v>
      </c>
      <c r="K1255" s="13">
        <v>99</v>
      </c>
      <c r="L1255" s="13" t="s">
        <v>15</v>
      </c>
      <c r="M1255" s="15">
        <v>10000</v>
      </c>
      <c r="N1255" s="13" t="s">
        <v>1</v>
      </c>
      <c r="O1255" s="16">
        <f t="shared" si="313"/>
        <v>1</v>
      </c>
      <c r="P1255" s="22">
        <f t="shared" si="314"/>
        <v>0</v>
      </c>
    </row>
    <row r="1256" spans="1:16" x14ac:dyDescent="0.25">
      <c r="A1256" s="91"/>
      <c r="B1256" s="13" t="s">
        <v>925</v>
      </c>
      <c r="C1256" s="13" t="s">
        <v>926</v>
      </c>
      <c r="D1256" s="13">
        <v>51</v>
      </c>
      <c r="E1256" s="13" t="s">
        <v>101</v>
      </c>
      <c r="F1256" s="13">
        <v>1</v>
      </c>
      <c r="G1256" s="13" t="s">
        <v>16</v>
      </c>
      <c r="H1256" s="13" t="s">
        <v>17</v>
      </c>
      <c r="I1256" s="14">
        <v>4015174</v>
      </c>
      <c r="J1256" s="13" t="s">
        <v>871</v>
      </c>
      <c r="K1256" s="13">
        <v>99</v>
      </c>
      <c r="L1256" s="13" t="s">
        <v>15</v>
      </c>
      <c r="M1256" s="15">
        <v>10000</v>
      </c>
      <c r="N1256" s="13" t="s">
        <v>1</v>
      </c>
      <c r="O1256" s="16">
        <f t="shared" si="313"/>
        <v>1</v>
      </c>
      <c r="P1256" s="22">
        <f t="shared" si="314"/>
        <v>0</v>
      </c>
    </row>
    <row r="1257" spans="1:16" x14ac:dyDescent="0.25">
      <c r="A1257" s="91"/>
      <c r="B1257" s="13" t="s">
        <v>925</v>
      </c>
      <c r="C1257" s="13" t="s">
        <v>926</v>
      </c>
      <c r="D1257" s="13">
        <v>51</v>
      </c>
      <c r="E1257" s="13" t="s">
        <v>101</v>
      </c>
      <c r="F1257" s="13">
        <v>1</v>
      </c>
      <c r="G1257" s="13" t="s">
        <v>16</v>
      </c>
      <c r="H1257" s="13" t="s">
        <v>17</v>
      </c>
      <c r="I1257" s="14">
        <v>4015442</v>
      </c>
      <c r="J1257" s="13" t="s">
        <v>888</v>
      </c>
      <c r="K1257" s="13">
        <v>99</v>
      </c>
      <c r="L1257" s="13" t="s">
        <v>15</v>
      </c>
      <c r="M1257" s="15">
        <v>3000</v>
      </c>
      <c r="N1257" s="13" t="s">
        <v>2</v>
      </c>
      <c r="O1257" s="16">
        <f t="shared" si="313"/>
        <v>0.3</v>
      </c>
      <c r="P1257" s="22">
        <f t="shared" si="314"/>
        <v>0</v>
      </c>
    </row>
    <row r="1258" spans="1:16" ht="15.75" thickBot="1" x14ac:dyDescent="0.3">
      <c r="A1258" s="90"/>
      <c r="B1258" s="23" t="s">
        <v>925</v>
      </c>
      <c r="C1258" s="23" t="s">
        <v>926</v>
      </c>
      <c r="D1258" s="23">
        <v>51</v>
      </c>
      <c r="E1258" s="23" t="s">
        <v>101</v>
      </c>
      <c r="F1258" s="23">
        <v>1</v>
      </c>
      <c r="G1258" s="23" t="s">
        <v>16</v>
      </c>
      <c r="H1258" s="23" t="s">
        <v>17</v>
      </c>
      <c r="I1258" s="24">
        <v>4016160</v>
      </c>
      <c r="J1258" s="23" t="s">
        <v>69</v>
      </c>
      <c r="K1258" s="23">
        <v>99</v>
      </c>
      <c r="L1258" s="23" t="s">
        <v>15</v>
      </c>
      <c r="M1258" s="23">
        <v>90</v>
      </c>
      <c r="N1258" s="23" t="s">
        <v>3</v>
      </c>
      <c r="O1258" s="26">
        <f t="shared" si="313"/>
        <v>8.9999999999999993E-3</v>
      </c>
      <c r="P1258" s="27">
        <f t="shared" si="314"/>
        <v>0</v>
      </c>
    </row>
    <row r="1259" spans="1:16" x14ac:dyDescent="0.25">
      <c r="B1259" s="1"/>
      <c r="C1259" s="1"/>
      <c r="D1259" s="1"/>
      <c r="E1259" s="1"/>
      <c r="F1259" s="1"/>
      <c r="G1259" s="1"/>
      <c r="H1259" s="1"/>
      <c r="I1259" s="2"/>
      <c r="J1259" s="1"/>
      <c r="K1259" s="1"/>
      <c r="L1259" s="1"/>
      <c r="M1259" s="1"/>
      <c r="N1259" s="1"/>
    </row>
    <row r="1260" spans="1:16" ht="15.75" thickBot="1" x14ac:dyDescent="0.3">
      <c r="B1260" s="1"/>
      <c r="C1260" s="1"/>
      <c r="D1260" s="1"/>
      <c r="E1260" s="1"/>
      <c r="F1260" s="1"/>
      <c r="G1260" s="1"/>
      <c r="H1260" s="1"/>
      <c r="I1260" s="2"/>
      <c r="J1260" s="1"/>
      <c r="K1260" s="1"/>
      <c r="L1260" s="1"/>
      <c r="M1260" s="1"/>
      <c r="N1260" s="1"/>
      <c r="P1260" s="11">
        <f>IFERROR(VLOOKUP($A1261,'PROGRAMA MES '!$A:$B,2,0),0)</f>
        <v>0</v>
      </c>
    </row>
    <row r="1261" spans="1:16" x14ac:dyDescent="0.25">
      <c r="A1261" s="89" t="str">
        <f>B1261</f>
        <v>SP27240VD</v>
      </c>
      <c r="B1261" s="17" t="s">
        <v>928</v>
      </c>
      <c r="C1261" s="17" t="s">
        <v>929</v>
      </c>
      <c r="D1261" s="17">
        <v>51</v>
      </c>
      <c r="E1261" s="17" t="s">
        <v>101</v>
      </c>
      <c r="F1261" s="17">
        <v>1</v>
      </c>
      <c r="G1261" s="17" t="s">
        <v>35</v>
      </c>
      <c r="H1261" s="17" t="s">
        <v>17</v>
      </c>
      <c r="I1261" s="18">
        <v>3001931</v>
      </c>
      <c r="J1261" s="17" t="s">
        <v>882</v>
      </c>
      <c r="K1261" s="17">
        <v>99</v>
      </c>
      <c r="L1261" s="17" t="s">
        <v>15</v>
      </c>
      <c r="M1261" s="19">
        <v>23600</v>
      </c>
      <c r="N1261" s="17" t="s">
        <v>3</v>
      </c>
      <c r="O1261" s="20">
        <f t="shared" ref="O1261:O1267" si="315">M1261/10000</f>
        <v>2.36</v>
      </c>
      <c r="P1261" s="21">
        <f>O1261*$P$1260</f>
        <v>0</v>
      </c>
    </row>
    <row r="1262" spans="1:16" x14ac:dyDescent="0.25">
      <c r="A1262" s="91"/>
      <c r="B1262" s="13" t="s">
        <v>928</v>
      </c>
      <c r="C1262" s="13" t="s">
        <v>929</v>
      </c>
      <c r="D1262" s="13">
        <v>51</v>
      </c>
      <c r="E1262" s="13" t="s">
        <v>101</v>
      </c>
      <c r="F1262" s="13">
        <v>1</v>
      </c>
      <c r="G1262" s="13" t="s">
        <v>16</v>
      </c>
      <c r="H1262" s="13" t="s">
        <v>17</v>
      </c>
      <c r="I1262" s="14">
        <v>4004820</v>
      </c>
      <c r="J1262" s="13" t="s">
        <v>867</v>
      </c>
      <c r="K1262" s="13">
        <v>99</v>
      </c>
      <c r="L1262" s="13" t="s">
        <v>15</v>
      </c>
      <c r="M1262" s="13">
        <v>8</v>
      </c>
      <c r="N1262" s="13" t="s">
        <v>1</v>
      </c>
      <c r="O1262" s="16">
        <f t="shared" si="315"/>
        <v>8.0000000000000004E-4</v>
      </c>
      <c r="P1262" s="22">
        <f t="shared" ref="P1262:P1267" si="316">O1262*$P$1260</f>
        <v>0</v>
      </c>
    </row>
    <row r="1263" spans="1:16" x14ac:dyDescent="0.25">
      <c r="A1263" s="91"/>
      <c r="B1263" s="13" t="s">
        <v>928</v>
      </c>
      <c r="C1263" s="13" t="s">
        <v>929</v>
      </c>
      <c r="D1263" s="13">
        <v>51</v>
      </c>
      <c r="E1263" s="13" t="s">
        <v>101</v>
      </c>
      <c r="F1263" s="13">
        <v>1</v>
      </c>
      <c r="G1263" s="13" t="s">
        <v>16</v>
      </c>
      <c r="H1263" s="13" t="s">
        <v>17</v>
      </c>
      <c r="I1263" s="14">
        <v>4013310</v>
      </c>
      <c r="J1263" s="13" t="s">
        <v>909</v>
      </c>
      <c r="K1263" s="13">
        <v>99</v>
      </c>
      <c r="L1263" s="13" t="s">
        <v>15</v>
      </c>
      <c r="M1263" s="15">
        <v>10000</v>
      </c>
      <c r="N1263" s="13" t="s">
        <v>1</v>
      </c>
      <c r="O1263" s="16">
        <f t="shared" si="315"/>
        <v>1</v>
      </c>
      <c r="P1263" s="22">
        <f t="shared" si="316"/>
        <v>0</v>
      </c>
    </row>
    <row r="1264" spans="1:16" x14ac:dyDescent="0.25">
      <c r="A1264" s="91"/>
      <c r="B1264" s="13" t="s">
        <v>928</v>
      </c>
      <c r="C1264" s="13" t="s">
        <v>929</v>
      </c>
      <c r="D1264" s="13">
        <v>51</v>
      </c>
      <c r="E1264" s="13" t="s">
        <v>101</v>
      </c>
      <c r="F1264" s="13">
        <v>1</v>
      </c>
      <c r="G1264" s="13" t="s">
        <v>16</v>
      </c>
      <c r="H1264" s="13" t="s">
        <v>17</v>
      </c>
      <c r="I1264" s="14">
        <v>4015042</v>
      </c>
      <c r="J1264" s="13" t="s">
        <v>930</v>
      </c>
      <c r="K1264" s="13">
        <v>99</v>
      </c>
      <c r="L1264" s="13" t="s">
        <v>15</v>
      </c>
      <c r="M1264" s="15">
        <v>10000</v>
      </c>
      <c r="N1264" s="13" t="s">
        <v>1</v>
      </c>
      <c r="O1264" s="16">
        <f t="shared" si="315"/>
        <v>1</v>
      </c>
      <c r="P1264" s="22">
        <f t="shared" si="316"/>
        <v>0</v>
      </c>
    </row>
    <row r="1265" spans="1:16" x14ac:dyDescent="0.25">
      <c r="A1265" s="91"/>
      <c r="B1265" s="13" t="s">
        <v>928</v>
      </c>
      <c r="C1265" s="13" t="s">
        <v>929</v>
      </c>
      <c r="D1265" s="13">
        <v>51</v>
      </c>
      <c r="E1265" s="13" t="s">
        <v>101</v>
      </c>
      <c r="F1265" s="13">
        <v>1</v>
      </c>
      <c r="G1265" s="13" t="s">
        <v>16</v>
      </c>
      <c r="H1265" s="13" t="s">
        <v>17</v>
      </c>
      <c r="I1265" s="14">
        <v>4015174</v>
      </c>
      <c r="J1265" s="13" t="s">
        <v>871</v>
      </c>
      <c r="K1265" s="13">
        <v>99</v>
      </c>
      <c r="L1265" s="13" t="s">
        <v>15</v>
      </c>
      <c r="M1265" s="15">
        <v>10000</v>
      </c>
      <c r="N1265" s="13" t="s">
        <v>1</v>
      </c>
      <c r="O1265" s="16">
        <f t="shared" si="315"/>
        <v>1</v>
      </c>
      <c r="P1265" s="22">
        <f t="shared" si="316"/>
        <v>0</v>
      </c>
    </row>
    <row r="1266" spans="1:16" x14ac:dyDescent="0.25">
      <c r="A1266" s="91"/>
      <c r="B1266" s="13" t="s">
        <v>928</v>
      </c>
      <c r="C1266" s="13" t="s">
        <v>929</v>
      </c>
      <c r="D1266" s="13">
        <v>51</v>
      </c>
      <c r="E1266" s="13" t="s">
        <v>101</v>
      </c>
      <c r="F1266" s="13">
        <v>1</v>
      </c>
      <c r="G1266" s="13" t="s">
        <v>16</v>
      </c>
      <c r="H1266" s="13" t="s">
        <v>17</v>
      </c>
      <c r="I1266" s="14">
        <v>4015442</v>
      </c>
      <c r="J1266" s="13" t="s">
        <v>888</v>
      </c>
      <c r="K1266" s="13">
        <v>99</v>
      </c>
      <c r="L1266" s="13" t="s">
        <v>15</v>
      </c>
      <c r="M1266" s="15">
        <v>3000</v>
      </c>
      <c r="N1266" s="13" t="s">
        <v>2</v>
      </c>
      <c r="O1266" s="16">
        <f t="shared" si="315"/>
        <v>0.3</v>
      </c>
      <c r="P1266" s="22">
        <f t="shared" si="316"/>
        <v>0</v>
      </c>
    </row>
    <row r="1267" spans="1:16" ht="15.75" thickBot="1" x14ac:dyDescent="0.3">
      <c r="A1267" s="90"/>
      <c r="B1267" s="23" t="s">
        <v>928</v>
      </c>
      <c r="C1267" s="23" t="s">
        <v>929</v>
      </c>
      <c r="D1267" s="23">
        <v>51</v>
      </c>
      <c r="E1267" s="23" t="s">
        <v>101</v>
      </c>
      <c r="F1267" s="23">
        <v>1</v>
      </c>
      <c r="G1267" s="23" t="s">
        <v>16</v>
      </c>
      <c r="H1267" s="23" t="s">
        <v>17</v>
      </c>
      <c r="I1267" s="24">
        <v>4016160</v>
      </c>
      <c r="J1267" s="23" t="s">
        <v>69</v>
      </c>
      <c r="K1267" s="23">
        <v>99</v>
      </c>
      <c r="L1267" s="23" t="s">
        <v>15</v>
      </c>
      <c r="M1267" s="23">
        <v>90</v>
      </c>
      <c r="N1267" s="23" t="s">
        <v>3</v>
      </c>
      <c r="O1267" s="26">
        <f t="shared" si="315"/>
        <v>8.9999999999999993E-3</v>
      </c>
      <c r="P1267" s="27">
        <f t="shared" si="316"/>
        <v>0</v>
      </c>
    </row>
    <row r="1268" spans="1:16" x14ac:dyDescent="0.25">
      <c r="B1268" s="1"/>
      <c r="C1268" s="1"/>
      <c r="D1268" s="1"/>
      <c r="E1268" s="1"/>
      <c r="F1268" s="1"/>
      <c r="G1268" s="1"/>
      <c r="H1268" s="1"/>
      <c r="I1268" s="2"/>
      <c r="J1268" s="1"/>
      <c r="K1268" s="1"/>
      <c r="L1268" s="1"/>
      <c r="M1268" s="1"/>
      <c r="N1268" s="1"/>
    </row>
    <row r="1269" spans="1:16" ht="15.75" thickBot="1" x14ac:dyDescent="0.3">
      <c r="B1269" s="1"/>
      <c r="C1269" s="1"/>
      <c r="D1269" s="1"/>
      <c r="E1269" s="1"/>
      <c r="F1269" s="1"/>
      <c r="G1269" s="1"/>
      <c r="H1269" s="1"/>
      <c r="I1269" s="2"/>
      <c r="J1269" s="1"/>
      <c r="K1269" s="1"/>
      <c r="L1269" s="1"/>
      <c r="M1269" s="1"/>
      <c r="N1269" s="1"/>
      <c r="P1269" s="11">
        <f>IFERROR(VLOOKUP($A1270,'PROGRAMA MES '!$A:$B,2,0),0)</f>
        <v>1400</v>
      </c>
    </row>
    <row r="1270" spans="1:16" x14ac:dyDescent="0.25">
      <c r="A1270" s="89" t="str">
        <f>B1270</f>
        <v>SP27300AZ</v>
      </c>
      <c r="B1270" s="17" t="s">
        <v>931</v>
      </c>
      <c r="C1270" s="17" t="s">
        <v>932</v>
      </c>
      <c r="D1270" s="17">
        <v>51</v>
      </c>
      <c r="E1270" s="17" t="s">
        <v>101</v>
      </c>
      <c r="F1270" s="17">
        <v>1</v>
      </c>
      <c r="G1270" s="17" t="s">
        <v>35</v>
      </c>
      <c r="H1270" s="17" t="s">
        <v>17</v>
      </c>
      <c r="I1270" s="18">
        <v>3001930</v>
      </c>
      <c r="J1270" s="17" t="s">
        <v>866</v>
      </c>
      <c r="K1270" s="17">
        <v>99</v>
      </c>
      <c r="L1270" s="17" t="s">
        <v>15</v>
      </c>
      <c r="M1270" s="19">
        <v>29500</v>
      </c>
      <c r="N1270" s="17" t="s">
        <v>3</v>
      </c>
      <c r="O1270" s="20">
        <f t="shared" ref="O1270:O1276" si="317">M1270/10000</f>
        <v>2.95</v>
      </c>
      <c r="P1270" s="21">
        <f>O1270*$P$1269</f>
        <v>4130</v>
      </c>
    </row>
    <row r="1271" spans="1:16" x14ac:dyDescent="0.25">
      <c r="A1271" s="91"/>
      <c r="B1271" s="13" t="s">
        <v>931</v>
      </c>
      <c r="C1271" s="13" t="s">
        <v>932</v>
      </c>
      <c r="D1271" s="13">
        <v>51</v>
      </c>
      <c r="E1271" s="13" t="s">
        <v>101</v>
      </c>
      <c r="F1271" s="13">
        <v>1</v>
      </c>
      <c r="G1271" s="13" t="s">
        <v>16</v>
      </c>
      <c r="H1271" s="13" t="s">
        <v>17</v>
      </c>
      <c r="I1271" s="14">
        <v>4004820</v>
      </c>
      <c r="J1271" s="13" t="s">
        <v>867</v>
      </c>
      <c r="K1271" s="13">
        <v>99</v>
      </c>
      <c r="L1271" s="13" t="s">
        <v>15</v>
      </c>
      <c r="M1271" s="13">
        <v>10</v>
      </c>
      <c r="N1271" s="13" t="s">
        <v>1</v>
      </c>
      <c r="O1271" s="16">
        <f t="shared" si="317"/>
        <v>1E-3</v>
      </c>
      <c r="P1271" s="22">
        <f t="shared" ref="P1271:P1276" si="318">O1271*$P$1269</f>
        <v>1.4000000000000001</v>
      </c>
    </row>
    <row r="1272" spans="1:16" x14ac:dyDescent="0.25">
      <c r="A1272" s="91"/>
      <c r="B1272" s="13" t="s">
        <v>931</v>
      </c>
      <c r="C1272" s="13" t="s">
        <v>932</v>
      </c>
      <c r="D1272" s="13">
        <v>51</v>
      </c>
      <c r="E1272" s="13" t="s">
        <v>101</v>
      </c>
      <c r="F1272" s="13">
        <v>1</v>
      </c>
      <c r="G1272" s="13" t="s">
        <v>16</v>
      </c>
      <c r="H1272" s="13" t="s">
        <v>17</v>
      </c>
      <c r="I1272" s="14">
        <v>4013310</v>
      </c>
      <c r="J1272" s="13" t="s">
        <v>909</v>
      </c>
      <c r="K1272" s="13">
        <v>99</v>
      </c>
      <c r="L1272" s="13" t="s">
        <v>15</v>
      </c>
      <c r="M1272" s="15">
        <v>10000</v>
      </c>
      <c r="N1272" s="13" t="s">
        <v>1</v>
      </c>
      <c r="O1272" s="16">
        <f t="shared" si="317"/>
        <v>1</v>
      </c>
      <c r="P1272" s="22">
        <f t="shared" si="318"/>
        <v>1400</v>
      </c>
    </row>
    <row r="1273" spans="1:16" x14ac:dyDescent="0.25">
      <c r="A1273" s="91"/>
      <c r="B1273" s="13" t="s">
        <v>931</v>
      </c>
      <c r="C1273" s="13" t="s">
        <v>932</v>
      </c>
      <c r="D1273" s="13">
        <v>51</v>
      </c>
      <c r="E1273" s="13" t="s">
        <v>101</v>
      </c>
      <c r="F1273" s="13">
        <v>1</v>
      </c>
      <c r="G1273" s="13" t="s">
        <v>16</v>
      </c>
      <c r="H1273" s="13" t="s">
        <v>17</v>
      </c>
      <c r="I1273" s="14">
        <v>4015024</v>
      </c>
      <c r="J1273" s="13" t="s">
        <v>933</v>
      </c>
      <c r="K1273" s="13">
        <v>99</v>
      </c>
      <c r="L1273" s="13" t="s">
        <v>15</v>
      </c>
      <c r="M1273" s="15">
        <v>10000</v>
      </c>
      <c r="N1273" s="13" t="s">
        <v>1</v>
      </c>
      <c r="O1273" s="16">
        <f t="shared" si="317"/>
        <v>1</v>
      </c>
      <c r="P1273" s="22">
        <f t="shared" si="318"/>
        <v>1400</v>
      </c>
    </row>
    <row r="1274" spans="1:16" x14ac:dyDescent="0.25">
      <c r="A1274" s="91"/>
      <c r="B1274" s="13" t="s">
        <v>931</v>
      </c>
      <c r="C1274" s="13" t="s">
        <v>932</v>
      </c>
      <c r="D1274" s="13">
        <v>51</v>
      </c>
      <c r="E1274" s="13" t="s">
        <v>101</v>
      </c>
      <c r="F1274" s="13">
        <v>1</v>
      </c>
      <c r="G1274" s="13" t="s">
        <v>16</v>
      </c>
      <c r="H1274" s="13" t="s">
        <v>17</v>
      </c>
      <c r="I1274" s="14">
        <v>4015174</v>
      </c>
      <c r="J1274" s="13" t="s">
        <v>871</v>
      </c>
      <c r="K1274" s="13">
        <v>99</v>
      </c>
      <c r="L1274" s="13" t="s">
        <v>15</v>
      </c>
      <c r="M1274" s="15">
        <v>10000</v>
      </c>
      <c r="N1274" s="13" t="s">
        <v>1</v>
      </c>
      <c r="O1274" s="16">
        <f t="shared" si="317"/>
        <v>1</v>
      </c>
      <c r="P1274" s="22">
        <f t="shared" si="318"/>
        <v>1400</v>
      </c>
    </row>
    <row r="1275" spans="1:16" x14ac:dyDescent="0.25">
      <c r="A1275" s="91"/>
      <c r="B1275" s="13" t="s">
        <v>931</v>
      </c>
      <c r="C1275" s="13" t="s">
        <v>932</v>
      </c>
      <c r="D1275" s="13">
        <v>51</v>
      </c>
      <c r="E1275" s="13" t="s">
        <v>101</v>
      </c>
      <c r="F1275" s="13">
        <v>1</v>
      </c>
      <c r="G1275" s="13" t="s">
        <v>16</v>
      </c>
      <c r="H1275" s="13" t="s">
        <v>17</v>
      </c>
      <c r="I1275" s="14">
        <v>4015442</v>
      </c>
      <c r="J1275" s="13" t="s">
        <v>888</v>
      </c>
      <c r="K1275" s="13">
        <v>99</v>
      </c>
      <c r="L1275" s="13" t="s">
        <v>15</v>
      </c>
      <c r="M1275" s="15">
        <v>3000</v>
      </c>
      <c r="N1275" s="13" t="s">
        <v>2</v>
      </c>
      <c r="O1275" s="16">
        <f t="shared" si="317"/>
        <v>0.3</v>
      </c>
      <c r="P1275" s="22">
        <f t="shared" si="318"/>
        <v>420</v>
      </c>
    </row>
    <row r="1276" spans="1:16" ht="15.75" thickBot="1" x14ac:dyDescent="0.3">
      <c r="A1276" s="90"/>
      <c r="B1276" s="23" t="s">
        <v>931</v>
      </c>
      <c r="C1276" s="23" t="s">
        <v>932</v>
      </c>
      <c r="D1276" s="23">
        <v>51</v>
      </c>
      <c r="E1276" s="23" t="s">
        <v>101</v>
      </c>
      <c r="F1276" s="23">
        <v>1</v>
      </c>
      <c r="G1276" s="23" t="s">
        <v>16</v>
      </c>
      <c r="H1276" s="23" t="s">
        <v>17</v>
      </c>
      <c r="I1276" s="24">
        <v>4016160</v>
      </c>
      <c r="J1276" s="23" t="s">
        <v>69</v>
      </c>
      <c r="K1276" s="23">
        <v>99</v>
      </c>
      <c r="L1276" s="23" t="s">
        <v>15</v>
      </c>
      <c r="M1276" s="23">
        <v>90</v>
      </c>
      <c r="N1276" s="23" t="s">
        <v>3</v>
      </c>
      <c r="O1276" s="26">
        <f t="shared" si="317"/>
        <v>8.9999999999999993E-3</v>
      </c>
      <c r="P1276" s="27">
        <f t="shared" si="318"/>
        <v>12.6</v>
      </c>
    </row>
    <row r="1277" spans="1:16" x14ac:dyDescent="0.25">
      <c r="B1277" s="1"/>
      <c r="C1277" s="1"/>
      <c r="D1277" s="1"/>
      <c r="E1277" s="1"/>
      <c r="F1277" s="1"/>
      <c r="G1277" s="1"/>
      <c r="H1277" s="1"/>
      <c r="I1277" s="2"/>
      <c r="J1277" s="1"/>
      <c r="K1277" s="1"/>
      <c r="L1277" s="1"/>
      <c r="M1277" s="1"/>
      <c r="N1277" s="1"/>
    </row>
    <row r="1278" spans="1:16" ht="15.75" thickBot="1" x14ac:dyDescent="0.3">
      <c r="B1278" s="1"/>
      <c r="C1278" s="1"/>
      <c r="D1278" s="1"/>
      <c r="E1278" s="1"/>
      <c r="F1278" s="1"/>
      <c r="G1278" s="1"/>
      <c r="H1278" s="1"/>
      <c r="I1278" s="2"/>
      <c r="J1278" s="1"/>
      <c r="K1278" s="1"/>
      <c r="L1278" s="1"/>
      <c r="M1278" s="1"/>
      <c r="N1278" s="1"/>
      <c r="P1278" s="11">
        <f>IFERROR(VLOOKUP($A1279,'PROGRAMA MES '!$A:$B,2,0),0)</f>
        <v>0</v>
      </c>
    </row>
    <row r="1279" spans="1:16" x14ac:dyDescent="0.25">
      <c r="A1279" s="89" t="str">
        <f>B1279</f>
        <v>SP27300BR</v>
      </c>
      <c r="B1279" s="17" t="s">
        <v>934</v>
      </c>
      <c r="C1279" s="17" t="s">
        <v>935</v>
      </c>
      <c r="D1279" s="17">
        <v>51</v>
      </c>
      <c r="E1279" s="17" t="s">
        <v>101</v>
      </c>
      <c r="F1279" s="17">
        <v>1</v>
      </c>
      <c r="G1279" s="17" t="s">
        <v>35</v>
      </c>
      <c r="H1279" s="17" t="s">
        <v>17</v>
      </c>
      <c r="I1279" s="18">
        <v>3001933</v>
      </c>
      <c r="J1279" s="17" t="s">
        <v>874</v>
      </c>
      <c r="K1279" s="17">
        <v>99</v>
      </c>
      <c r="L1279" s="17" t="s">
        <v>15</v>
      </c>
      <c r="M1279" s="19">
        <v>29500</v>
      </c>
      <c r="N1279" s="17" t="s">
        <v>3</v>
      </c>
      <c r="O1279" s="20">
        <f t="shared" ref="O1279:O1285" si="319">M1279/10000</f>
        <v>2.95</v>
      </c>
      <c r="P1279" s="21">
        <f>O1279*$P$1278</f>
        <v>0</v>
      </c>
    </row>
    <row r="1280" spans="1:16" x14ac:dyDescent="0.25">
      <c r="A1280" s="91"/>
      <c r="B1280" s="13" t="s">
        <v>934</v>
      </c>
      <c r="C1280" s="13" t="s">
        <v>935</v>
      </c>
      <c r="D1280" s="13">
        <v>51</v>
      </c>
      <c r="E1280" s="13" t="s">
        <v>101</v>
      </c>
      <c r="F1280" s="13">
        <v>1</v>
      </c>
      <c r="G1280" s="13" t="s">
        <v>16</v>
      </c>
      <c r="H1280" s="13" t="s">
        <v>17</v>
      </c>
      <c r="I1280" s="14">
        <v>4004820</v>
      </c>
      <c r="J1280" s="13" t="s">
        <v>867</v>
      </c>
      <c r="K1280" s="13">
        <v>99</v>
      </c>
      <c r="L1280" s="13" t="s">
        <v>15</v>
      </c>
      <c r="M1280" s="13">
        <v>10</v>
      </c>
      <c r="N1280" s="13" t="s">
        <v>1</v>
      </c>
      <c r="O1280" s="16">
        <f t="shared" si="319"/>
        <v>1E-3</v>
      </c>
      <c r="P1280" s="22">
        <f t="shared" ref="P1280:P1285" si="320">O1280*$P$1278</f>
        <v>0</v>
      </c>
    </row>
    <row r="1281" spans="1:16" x14ac:dyDescent="0.25">
      <c r="A1281" s="91"/>
      <c r="B1281" s="13" t="s">
        <v>934</v>
      </c>
      <c r="C1281" s="13" t="s">
        <v>935</v>
      </c>
      <c r="D1281" s="13">
        <v>51</v>
      </c>
      <c r="E1281" s="13" t="s">
        <v>101</v>
      </c>
      <c r="F1281" s="13">
        <v>1</v>
      </c>
      <c r="G1281" s="13" t="s">
        <v>16</v>
      </c>
      <c r="H1281" s="13" t="s">
        <v>17</v>
      </c>
      <c r="I1281" s="14">
        <v>4013310</v>
      </c>
      <c r="J1281" s="13" t="s">
        <v>909</v>
      </c>
      <c r="K1281" s="13">
        <v>99</v>
      </c>
      <c r="L1281" s="13" t="s">
        <v>15</v>
      </c>
      <c r="M1281" s="15">
        <v>10000</v>
      </c>
      <c r="N1281" s="13" t="s">
        <v>1</v>
      </c>
      <c r="O1281" s="16">
        <f t="shared" si="319"/>
        <v>1</v>
      </c>
      <c r="P1281" s="22">
        <f t="shared" si="320"/>
        <v>0</v>
      </c>
    </row>
    <row r="1282" spans="1:16" x14ac:dyDescent="0.25">
      <c r="A1282" s="91"/>
      <c r="B1282" s="13" t="s">
        <v>934</v>
      </c>
      <c r="C1282" s="13" t="s">
        <v>935</v>
      </c>
      <c r="D1282" s="13">
        <v>51</v>
      </c>
      <c r="E1282" s="13" t="s">
        <v>101</v>
      </c>
      <c r="F1282" s="13">
        <v>1</v>
      </c>
      <c r="G1282" s="13" t="s">
        <v>16</v>
      </c>
      <c r="H1282" s="13" t="s">
        <v>17</v>
      </c>
      <c r="I1282" s="14">
        <v>4015036</v>
      </c>
      <c r="J1282" s="13" t="s">
        <v>936</v>
      </c>
      <c r="K1282" s="13">
        <v>99</v>
      </c>
      <c r="L1282" s="13" t="s">
        <v>15</v>
      </c>
      <c r="M1282" s="15">
        <v>10000</v>
      </c>
      <c r="N1282" s="13" t="s">
        <v>1</v>
      </c>
      <c r="O1282" s="16">
        <f t="shared" si="319"/>
        <v>1</v>
      </c>
      <c r="P1282" s="22">
        <f t="shared" si="320"/>
        <v>0</v>
      </c>
    </row>
    <row r="1283" spans="1:16" x14ac:dyDescent="0.25">
      <c r="A1283" s="91"/>
      <c r="B1283" s="13" t="s">
        <v>934</v>
      </c>
      <c r="C1283" s="13" t="s">
        <v>935</v>
      </c>
      <c r="D1283" s="13">
        <v>51</v>
      </c>
      <c r="E1283" s="13" t="s">
        <v>101</v>
      </c>
      <c r="F1283" s="13">
        <v>1</v>
      </c>
      <c r="G1283" s="13" t="s">
        <v>16</v>
      </c>
      <c r="H1283" s="13" t="s">
        <v>17</v>
      </c>
      <c r="I1283" s="14">
        <v>4015174</v>
      </c>
      <c r="J1283" s="13" t="s">
        <v>871</v>
      </c>
      <c r="K1283" s="13">
        <v>99</v>
      </c>
      <c r="L1283" s="13" t="s">
        <v>15</v>
      </c>
      <c r="M1283" s="15">
        <v>10000</v>
      </c>
      <c r="N1283" s="13" t="s">
        <v>1</v>
      </c>
      <c r="O1283" s="16">
        <f t="shared" si="319"/>
        <v>1</v>
      </c>
      <c r="P1283" s="22">
        <f t="shared" si="320"/>
        <v>0</v>
      </c>
    </row>
    <row r="1284" spans="1:16" x14ac:dyDescent="0.25">
      <c r="A1284" s="91"/>
      <c r="B1284" s="13" t="s">
        <v>934</v>
      </c>
      <c r="C1284" s="13" t="s">
        <v>935</v>
      </c>
      <c r="D1284" s="13">
        <v>51</v>
      </c>
      <c r="E1284" s="13" t="s">
        <v>101</v>
      </c>
      <c r="F1284" s="13">
        <v>1</v>
      </c>
      <c r="G1284" s="13" t="s">
        <v>16</v>
      </c>
      <c r="H1284" s="13" t="s">
        <v>17</v>
      </c>
      <c r="I1284" s="14">
        <v>4015442</v>
      </c>
      <c r="J1284" s="13" t="s">
        <v>888</v>
      </c>
      <c r="K1284" s="13">
        <v>99</v>
      </c>
      <c r="L1284" s="13" t="s">
        <v>15</v>
      </c>
      <c r="M1284" s="15">
        <v>3000</v>
      </c>
      <c r="N1284" s="13" t="s">
        <v>2</v>
      </c>
      <c r="O1284" s="16">
        <f t="shared" si="319"/>
        <v>0.3</v>
      </c>
      <c r="P1284" s="22">
        <f t="shared" si="320"/>
        <v>0</v>
      </c>
    </row>
    <row r="1285" spans="1:16" ht="15.75" thickBot="1" x14ac:dyDescent="0.3">
      <c r="A1285" s="90"/>
      <c r="B1285" s="23" t="s">
        <v>934</v>
      </c>
      <c r="C1285" s="23" t="s">
        <v>935</v>
      </c>
      <c r="D1285" s="23">
        <v>51</v>
      </c>
      <c r="E1285" s="23" t="s">
        <v>101</v>
      </c>
      <c r="F1285" s="23">
        <v>1</v>
      </c>
      <c r="G1285" s="23" t="s">
        <v>16</v>
      </c>
      <c r="H1285" s="23" t="s">
        <v>17</v>
      </c>
      <c r="I1285" s="24">
        <v>4016160</v>
      </c>
      <c r="J1285" s="23" t="s">
        <v>69</v>
      </c>
      <c r="K1285" s="23">
        <v>99</v>
      </c>
      <c r="L1285" s="23" t="s">
        <v>15</v>
      </c>
      <c r="M1285" s="23">
        <v>90</v>
      </c>
      <c r="N1285" s="23" t="s">
        <v>3</v>
      </c>
      <c r="O1285" s="26">
        <f t="shared" si="319"/>
        <v>8.9999999999999993E-3</v>
      </c>
      <c r="P1285" s="27">
        <f t="shared" si="320"/>
        <v>0</v>
      </c>
    </row>
    <row r="1286" spans="1:16" x14ac:dyDescent="0.25">
      <c r="B1286" s="1"/>
      <c r="C1286" s="1"/>
      <c r="D1286" s="1"/>
      <c r="E1286" s="1"/>
      <c r="F1286" s="1"/>
      <c r="G1286" s="1"/>
      <c r="H1286" s="1"/>
      <c r="I1286" s="2"/>
      <c r="J1286" s="1"/>
      <c r="K1286" s="1"/>
      <c r="L1286" s="1"/>
      <c r="M1286" s="1"/>
      <c r="N1286" s="1"/>
    </row>
    <row r="1287" spans="1:16" s="29" customFormat="1" ht="15.75" thickBot="1" x14ac:dyDescent="0.3">
      <c r="P1287" s="11">
        <f>IFERROR(VLOOKUP($A1288,'PROGRAMA MES '!$A:$B,2,0),0)</f>
        <v>0</v>
      </c>
    </row>
    <row r="1288" spans="1:16" x14ac:dyDescent="0.25">
      <c r="A1288" s="89" t="str">
        <f>B1288</f>
        <v>SP27300LR</v>
      </c>
      <c r="B1288" s="17" t="s">
        <v>937</v>
      </c>
      <c r="C1288" s="17" t="s">
        <v>938</v>
      </c>
      <c r="D1288" s="17">
        <v>51</v>
      </c>
      <c r="E1288" s="17" t="s">
        <v>101</v>
      </c>
      <c r="F1288" s="17">
        <v>1</v>
      </c>
      <c r="G1288" s="17" t="s">
        <v>35</v>
      </c>
      <c r="H1288" s="17" t="s">
        <v>17</v>
      </c>
      <c r="I1288" s="18">
        <v>3001932</v>
      </c>
      <c r="J1288" s="17" t="s">
        <v>878</v>
      </c>
      <c r="K1288" s="17">
        <v>99</v>
      </c>
      <c r="L1288" s="17" t="s">
        <v>15</v>
      </c>
      <c r="M1288" s="19">
        <v>29500</v>
      </c>
      <c r="N1288" s="17" t="s">
        <v>3</v>
      </c>
      <c r="O1288" s="20">
        <f t="shared" ref="O1288:O1294" si="321">M1288/10000</f>
        <v>2.95</v>
      </c>
      <c r="P1288" s="21">
        <f>O1288*$P$1287</f>
        <v>0</v>
      </c>
    </row>
    <row r="1289" spans="1:16" x14ac:dyDescent="0.25">
      <c r="A1289" s="91"/>
      <c r="B1289" s="13" t="s">
        <v>937</v>
      </c>
      <c r="C1289" s="13" t="s">
        <v>938</v>
      </c>
      <c r="D1289" s="13">
        <v>51</v>
      </c>
      <c r="E1289" s="13" t="s">
        <v>101</v>
      </c>
      <c r="F1289" s="13">
        <v>1</v>
      </c>
      <c r="G1289" s="13" t="s">
        <v>16</v>
      </c>
      <c r="H1289" s="13" t="s">
        <v>17</v>
      </c>
      <c r="I1289" s="14">
        <v>4004820</v>
      </c>
      <c r="J1289" s="13" t="s">
        <v>867</v>
      </c>
      <c r="K1289" s="13">
        <v>99</v>
      </c>
      <c r="L1289" s="13" t="s">
        <v>15</v>
      </c>
      <c r="M1289" s="13">
        <v>10</v>
      </c>
      <c r="N1289" s="13" t="s">
        <v>1</v>
      </c>
      <c r="O1289" s="16">
        <f t="shared" si="321"/>
        <v>1E-3</v>
      </c>
      <c r="P1289" s="22">
        <f t="shared" ref="P1289:P1294" si="322">O1289*$P$1287</f>
        <v>0</v>
      </c>
    </row>
    <row r="1290" spans="1:16" x14ac:dyDescent="0.25">
      <c r="A1290" s="91"/>
      <c r="B1290" s="13" t="s">
        <v>937</v>
      </c>
      <c r="C1290" s="13" t="s">
        <v>938</v>
      </c>
      <c r="D1290" s="13">
        <v>51</v>
      </c>
      <c r="E1290" s="13" t="s">
        <v>101</v>
      </c>
      <c r="F1290" s="13">
        <v>1</v>
      </c>
      <c r="G1290" s="13" t="s">
        <v>16</v>
      </c>
      <c r="H1290" s="13" t="s">
        <v>17</v>
      </c>
      <c r="I1290" s="14">
        <v>4013310</v>
      </c>
      <c r="J1290" s="13" t="s">
        <v>909</v>
      </c>
      <c r="K1290" s="13">
        <v>99</v>
      </c>
      <c r="L1290" s="13" t="s">
        <v>15</v>
      </c>
      <c r="M1290" s="15">
        <v>10000</v>
      </c>
      <c r="N1290" s="13" t="s">
        <v>1</v>
      </c>
      <c r="O1290" s="16">
        <f t="shared" si="321"/>
        <v>1</v>
      </c>
      <c r="P1290" s="22">
        <f t="shared" si="322"/>
        <v>0</v>
      </c>
    </row>
    <row r="1291" spans="1:16" x14ac:dyDescent="0.25">
      <c r="A1291" s="91"/>
      <c r="B1291" s="13" t="s">
        <v>937</v>
      </c>
      <c r="C1291" s="13" t="s">
        <v>938</v>
      </c>
      <c r="D1291" s="13">
        <v>51</v>
      </c>
      <c r="E1291" s="13" t="s">
        <v>101</v>
      </c>
      <c r="F1291" s="13">
        <v>1</v>
      </c>
      <c r="G1291" s="13" t="s">
        <v>16</v>
      </c>
      <c r="H1291" s="13" t="s">
        <v>17</v>
      </c>
      <c r="I1291" s="14">
        <v>4015037</v>
      </c>
      <c r="J1291" s="13" t="s">
        <v>939</v>
      </c>
      <c r="K1291" s="13">
        <v>99</v>
      </c>
      <c r="L1291" s="13" t="s">
        <v>15</v>
      </c>
      <c r="M1291" s="15">
        <v>10000</v>
      </c>
      <c r="N1291" s="13" t="s">
        <v>1</v>
      </c>
      <c r="O1291" s="16">
        <f t="shared" si="321"/>
        <v>1</v>
      </c>
      <c r="P1291" s="22">
        <f t="shared" si="322"/>
        <v>0</v>
      </c>
    </row>
    <row r="1292" spans="1:16" x14ac:dyDescent="0.25">
      <c r="A1292" s="91"/>
      <c r="B1292" s="13" t="s">
        <v>937</v>
      </c>
      <c r="C1292" s="13" t="s">
        <v>938</v>
      </c>
      <c r="D1292" s="13">
        <v>51</v>
      </c>
      <c r="E1292" s="13" t="s">
        <v>101</v>
      </c>
      <c r="F1292" s="13">
        <v>1</v>
      </c>
      <c r="G1292" s="13" t="s">
        <v>16</v>
      </c>
      <c r="H1292" s="13" t="s">
        <v>17</v>
      </c>
      <c r="I1292" s="14">
        <v>4015174</v>
      </c>
      <c r="J1292" s="13" t="s">
        <v>871</v>
      </c>
      <c r="K1292" s="13">
        <v>99</v>
      </c>
      <c r="L1292" s="13" t="s">
        <v>15</v>
      </c>
      <c r="M1292" s="15">
        <v>10000</v>
      </c>
      <c r="N1292" s="13" t="s">
        <v>1</v>
      </c>
      <c r="O1292" s="16">
        <f t="shared" si="321"/>
        <v>1</v>
      </c>
      <c r="P1292" s="22">
        <f t="shared" si="322"/>
        <v>0</v>
      </c>
    </row>
    <row r="1293" spans="1:16" x14ac:dyDescent="0.25">
      <c r="A1293" s="91"/>
      <c r="B1293" s="13" t="s">
        <v>937</v>
      </c>
      <c r="C1293" s="13" t="s">
        <v>938</v>
      </c>
      <c r="D1293" s="13">
        <v>51</v>
      </c>
      <c r="E1293" s="13" t="s">
        <v>101</v>
      </c>
      <c r="F1293" s="13">
        <v>1</v>
      </c>
      <c r="G1293" s="13" t="s">
        <v>16</v>
      </c>
      <c r="H1293" s="13" t="s">
        <v>17</v>
      </c>
      <c r="I1293" s="14">
        <v>4015442</v>
      </c>
      <c r="J1293" s="13" t="s">
        <v>888</v>
      </c>
      <c r="K1293" s="13">
        <v>99</v>
      </c>
      <c r="L1293" s="13" t="s">
        <v>15</v>
      </c>
      <c r="M1293" s="15">
        <v>3000</v>
      </c>
      <c r="N1293" s="13" t="s">
        <v>2</v>
      </c>
      <c r="O1293" s="16">
        <f t="shared" si="321"/>
        <v>0.3</v>
      </c>
      <c r="P1293" s="22">
        <f t="shared" si="322"/>
        <v>0</v>
      </c>
    </row>
    <row r="1294" spans="1:16" ht="15.75" thickBot="1" x14ac:dyDescent="0.3">
      <c r="A1294" s="90"/>
      <c r="B1294" s="23" t="s">
        <v>937</v>
      </c>
      <c r="C1294" s="23" t="s">
        <v>938</v>
      </c>
      <c r="D1294" s="23">
        <v>51</v>
      </c>
      <c r="E1294" s="23" t="s">
        <v>101</v>
      </c>
      <c r="F1294" s="23">
        <v>1</v>
      </c>
      <c r="G1294" s="23" t="s">
        <v>16</v>
      </c>
      <c r="H1294" s="23" t="s">
        <v>17</v>
      </c>
      <c r="I1294" s="24">
        <v>4016160</v>
      </c>
      <c r="J1294" s="23" t="s">
        <v>69</v>
      </c>
      <c r="K1294" s="23">
        <v>99</v>
      </c>
      <c r="L1294" s="23" t="s">
        <v>15</v>
      </c>
      <c r="M1294" s="23">
        <v>90</v>
      </c>
      <c r="N1294" s="23" t="s">
        <v>3</v>
      </c>
      <c r="O1294" s="26">
        <f t="shared" si="321"/>
        <v>8.9999999999999993E-3</v>
      </c>
      <c r="P1294" s="27">
        <f t="shared" si="322"/>
        <v>0</v>
      </c>
    </row>
    <row r="1295" spans="1:16" x14ac:dyDescent="0.25">
      <c r="B1295" s="1"/>
      <c r="C1295" s="1"/>
      <c r="D1295" s="1"/>
      <c r="E1295" s="1"/>
      <c r="F1295" s="1"/>
      <c r="G1295" s="1"/>
      <c r="H1295" s="1"/>
      <c r="I1295" s="2"/>
      <c r="J1295" s="1"/>
      <c r="K1295" s="1"/>
      <c r="L1295" s="1"/>
      <c r="M1295" s="1"/>
      <c r="N1295" s="1"/>
    </row>
    <row r="1296" spans="1:16" s="29" customFormat="1" ht="15.75" thickBot="1" x14ac:dyDescent="0.3">
      <c r="P1296" s="11">
        <f>IFERROR(VLOOKUP($A1297,'PROGRAMA MES '!$A:$B,2,0),0)</f>
        <v>0</v>
      </c>
    </row>
    <row r="1297" spans="1:16" x14ac:dyDescent="0.25">
      <c r="A1297" s="89" t="str">
        <f>B1297</f>
        <v>SP27300VD</v>
      </c>
      <c r="B1297" s="17" t="s">
        <v>940</v>
      </c>
      <c r="C1297" s="17" t="s">
        <v>941</v>
      </c>
      <c r="D1297" s="17">
        <v>51</v>
      </c>
      <c r="E1297" s="17" t="s">
        <v>101</v>
      </c>
      <c r="F1297" s="17">
        <v>1</v>
      </c>
      <c r="G1297" s="17" t="s">
        <v>35</v>
      </c>
      <c r="H1297" s="17" t="s">
        <v>17</v>
      </c>
      <c r="I1297" s="18">
        <v>3001931</v>
      </c>
      <c r="J1297" s="17" t="s">
        <v>882</v>
      </c>
      <c r="K1297" s="17">
        <v>99</v>
      </c>
      <c r="L1297" s="17" t="s">
        <v>15</v>
      </c>
      <c r="M1297" s="19">
        <v>29500</v>
      </c>
      <c r="N1297" s="17" t="s">
        <v>3</v>
      </c>
      <c r="O1297" s="20">
        <f t="shared" ref="O1297:O1303" si="323">M1297/10000</f>
        <v>2.95</v>
      </c>
      <c r="P1297" s="21">
        <f>O1297*$P$1296</f>
        <v>0</v>
      </c>
    </row>
    <row r="1298" spans="1:16" x14ac:dyDescent="0.25">
      <c r="A1298" s="91"/>
      <c r="B1298" s="13" t="s">
        <v>940</v>
      </c>
      <c r="C1298" s="13" t="s">
        <v>941</v>
      </c>
      <c r="D1298" s="13">
        <v>51</v>
      </c>
      <c r="E1298" s="13" t="s">
        <v>101</v>
      </c>
      <c r="F1298" s="13">
        <v>1</v>
      </c>
      <c r="G1298" s="13" t="s">
        <v>16</v>
      </c>
      <c r="H1298" s="13" t="s">
        <v>17</v>
      </c>
      <c r="I1298" s="14">
        <v>4004820</v>
      </c>
      <c r="J1298" s="13" t="s">
        <v>867</v>
      </c>
      <c r="K1298" s="13">
        <v>99</v>
      </c>
      <c r="L1298" s="13" t="s">
        <v>15</v>
      </c>
      <c r="M1298" s="13">
        <v>10</v>
      </c>
      <c r="N1298" s="13" t="s">
        <v>1</v>
      </c>
      <c r="O1298" s="16">
        <f t="shared" si="323"/>
        <v>1E-3</v>
      </c>
      <c r="P1298" s="22">
        <f t="shared" ref="P1298:P1303" si="324">O1298*$P$1296</f>
        <v>0</v>
      </c>
    </row>
    <row r="1299" spans="1:16" x14ac:dyDescent="0.25">
      <c r="A1299" s="91"/>
      <c r="B1299" s="13" t="s">
        <v>940</v>
      </c>
      <c r="C1299" s="13" t="s">
        <v>941</v>
      </c>
      <c r="D1299" s="13">
        <v>51</v>
      </c>
      <c r="E1299" s="13" t="s">
        <v>101</v>
      </c>
      <c r="F1299" s="13">
        <v>1</v>
      </c>
      <c r="G1299" s="13" t="s">
        <v>16</v>
      </c>
      <c r="H1299" s="13" t="s">
        <v>17</v>
      </c>
      <c r="I1299" s="14">
        <v>4013310</v>
      </c>
      <c r="J1299" s="13" t="s">
        <v>909</v>
      </c>
      <c r="K1299" s="13">
        <v>99</v>
      </c>
      <c r="L1299" s="13" t="s">
        <v>15</v>
      </c>
      <c r="M1299" s="15">
        <v>10000</v>
      </c>
      <c r="N1299" s="13" t="s">
        <v>1</v>
      </c>
      <c r="O1299" s="16">
        <f t="shared" si="323"/>
        <v>1</v>
      </c>
      <c r="P1299" s="22">
        <f t="shared" si="324"/>
        <v>0</v>
      </c>
    </row>
    <row r="1300" spans="1:16" x14ac:dyDescent="0.25">
      <c r="A1300" s="91"/>
      <c r="B1300" s="13" t="s">
        <v>940</v>
      </c>
      <c r="C1300" s="13" t="s">
        <v>941</v>
      </c>
      <c r="D1300" s="13">
        <v>51</v>
      </c>
      <c r="E1300" s="13" t="s">
        <v>101</v>
      </c>
      <c r="F1300" s="13">
        <v>1</v>
      </c>
      <c r="G1300" s="13" t="s">
        <v>16</v>
      </c>
      <c r="H1300" s="13" t="s">
        <v>17</v>
      </c>
      <c r="I1300" s="14">
        <v>4015038</v>
      </c>
      <c r="J1300" s="13" t="s">
        <v>942</v>
      </c>
      <c r="K1300" s="13">
        <v>99</v>
      </c>
      <c r="L1300" s="13" t="s">
        <v>15</v>
      </c>
      <c r="M1300" s="15">
        <v>10000</v>
      </c>
      <c r="N1300" s="13" t="s">
        <v>1</v>
      </c>
      <c r="O1300" s="16">
        <f t="shared" si="323"/>
        <v>1</v>
      </c>
      <c r="P1300" s="22">
        <f t="shared" si="324"/>
        <v>0</v>
      </c>
    </row>
    <row r="1301" spans="1:16" x14ac:dyDescent="0.25">
      <c r="A1301" s="91"/>
      <c r="B1301" s="13" t="s">
        <v>940</v>
      </c>
      <c r="C1301" s="13" t="s">
        <v>941</v>
      </c>
      <c r="D1301" s="13">
        <v>51</v>
      </c>
      <c r="E1301" s="13" t="s">
        <v>101</v>
      </c>
      <c r="F1301" s="13">
        <v>1</v>
      </c>
      <c r="G1301" s="13" t="s">
        <v>16</v>
      </c>
      <c r="H1301" s="13" t="s">
        <v>17</v>
      </c>
      <c r="I1301" s="14">
        <v>4015174</v>
      </c>
      <c r="J1301" s="13" t="s">
        <v>871</v>
      </c>
      <c r="K1301" s="13">
        <v>99</v>
      </c>
      <c r="L1301" s="13" t="s">
        <v>15</v>
      </c>
      <c r="M1301" s="15">
        <v>10000</v>
      </c>
      <c r="N1301" s="13" t="s">
        <v>1</v>
      </c>
      <c r="O1301" s="16">
        <f t="shared" si="323"/>
        <v>1</v>
      </c>
      <c r="P1301" s="22">
        <f t="shared" si="324"/>
        <v>0</v>
      </c>
    </row>
    <row r="1302" spans="1:16" x14ac:dyDescent="0.25">
      <c r="A1302" s="91"/>
      <c r="B1302" s="13" t="s">
        <v>940</v>
      </c>
      <c r="C1302" s="13" t="s">
        <v>941</v>
      </c>
      <c r="D1302" s="13">
        <v>51</v>
      </c>
      <c r="E1302" s="13" t="s">
        <v>101</v>
      </c>
      <c r="F1302" s="13">
        <v>1</v>
      </c>
      <c r="G1302" s="13" t="s">
        <v>16</v>
      </c>
      <c r="H1302" s="13" t="s">
        <v>17</v>
      </c>
      <c r="I1302" s="14">
        <v>4015442</v>
      </c>
      <c r="J1302" s="13" t="s">
        <v>888</v>
      </c>
      <c r="K1302" s="13">
        <v>99</v>
      </c>
      <c r="L1302" s="13" t="s">
        <v>15</v>
      </c>
      <c r="M1302" s="15">
        <v>3000</v>
      </c>
      <c r="N1302" s="13" t="s">
        <v>2</v>
      </c>
      <c r="O1302" s="16">
        <f t="shared" si="323"/>
        <v>0.3</v>
      </c>
      <c r="P1302" s="22">
        <f t="shared" si="324"/>
        <v>0</v>
      </c>
    </row>
    <row r="1303" spans="1:16" ht="15.75" thickBot="1" x14ac:dyDescent="0.3">
      <c r="A1303" s="90"/>
      <c r="B1303" s="23" t="s">
        <v>940</v>
      </c>
      <c r="C1303" s="23" t="s">
        <v>941</v>
      </c>
      <c r="D1303" s="23">
        <v>51</v>
      </c>
      <c r="E1303" s="23" t="s">
        <v>101</v>
      </c>
      <c r="F1303" s="23">
        <v>1</v>
      </c>
      <c r="G1303" s="23" t="s">
        <v>16</v>
      </c>
      <c r="H1303" s="23" t="s">
        <v>17</v>
      </c>
      <c r="I1303" s="24">
        <v>4016160</v>
      </c>
      <c r="J1303" s="23" t="s">
        <v>69</v>
      </c>
      <c r="K1303" s="23">
        <v>99</v>
      </c>
      <c r="L1303" s="23" t="s">
        <v>15</v>
      </c>
      <c r="M1303" s="23">
        <v>90</v>
      </c>
      <c r="N1303" s="23" t="s">
        <v>3</v>
      </c>
      <c r="O1303" s="26">
        <f t="shared" si="323"/>
        <v>8.9999999999999993E-3</v>
      </c>
      <c r="P1303" s="27">
        <f t="shared" si="324"/>
        <v>0</v>
      </c>
    </row>
    <row r="1304" spans="1:16" x14ac:dyDescent="0.25">
      <c r="B1304" s="1"/>
      <c r="C1304" s="1"/>
      <c r="D1304" s="1"/>
      <c r="E1304" s="1"/>
      <c r="F1304" s="1"/>
      <c r="G1304" s="1"/>
      <c r="H1304" s="1"/>
      <c r="I1304" s="2"/>
      <c r="J1304" s="1"/>
      <c r="K1304" s="1"/>
      <c r="L1304" s="1"/>
      <c r="M1304" s="1"/>
      <c r="N1304" s="1"/>
    </row>
    <row r="1305" spans="1:16" s="29" customFormat="1" ht="15.75" thickBot="1" x14ac:dyDescent="0.3">
      <c r="P1305" s="11">
        <f>IFERROR(VLOOKUP($A1306,'PROGRAMA MES '!$A:$B,2,0),0)</f>
        <v>5000</v>
      </c>
    </row>
    <row r="1306" spans="1:16" x14ac:dyDescent="0.25">
      <c r="A1306" s="89" t="str">
        <f>B1306</f>
        <v>SP273530AZ</v>
      </c>
      <c r="B1306" s="17" t="s">
        <v>943</v>
      </c>
      <c r="C1306" s="17" t="s">
        <v>944</v>
      </c>
      <c r="D1306" s="17">
        <v>99</v>
      </c>
      <c r="E1306" s="17" t="s">
        <v>15</v>
      </c>
      <c r="F1306" s="17">
        <v>1</v>
      </c>
      <c r="G1306" s="17" t="s">
        <v>35</v>
      </c>
      <c r="H1306" s="17" t="s">
        <v>17</v>
      </c>
      <c r="I1306" s="18">
        <v>3005124</v>
      </c>
      <c r="J1306" s="17" t="s">
        <v>887</v>
      </c>
      <c r="K1306" s="17">
        <v>99</v>
      </c>
      <c r="L1306" s="17" t="s">
        <v>15</v>
      </c>
      <c r="M1306" s="19">
        <v>2950</v>
      </c>
      <c r="N1306" s="17" t="s">
        <v>3</v>
      </c>
      <c r="O1306" s="20">
        <f t="shared" ref="O1306:O1313" si="325">M1306/10000</f>
        <v>0.29499999999999998</v>
      </c>
      <c r="P1306" s="21">
        <f>O1306*$P$1305</f>
        <v>1475</v>
      </c>
    </row>
    <row r="1307" spans="1:16" x14ac:dyDescent="0.25">
      <c r="A1307" s="91"/>
      <c r="B1307" s="13" t="s">
        <v>943</v>
      </c>
      <c r="C1307" s="13" t="s">
        <v>944</v>
      </c>
      <c r="D1307" s="13">
        <v>99</v>
      </c>
      <c r="E1307" s="13" t="s">
        <v>15</v>
      </c>
      <c r="F1307" s="13">
        <v>1</v>
      </c>
      <c r="G1307" s="13" t="s">
        <v>16</v>
      </c>
      <c r="H1307" s="13" t="s">
        <v>17</v>
      </c>
      <c r="I1307" s="14">
        <v>4002826</v>
      </c>
      <c r="J1307" s="13" t="s">
        <v>4</v>
      </c>
      <c r="K1307" s="13">
        <v>99</v>
      </c>
      <c r="L1307" s="13" t="s">
        <v>15</v>
      </c>
      <c r="M1307" s="13">
        <v>50</v>
      </c>
      <c r="N1307" s="13" t="s">
        <v>1</v>
      </c>
      <c r="O1307" s="16">
        <f t="shared" si="325"/>
        <v>5.0000000000000001E-3</v>
      </c>
      <c r="P1307" s="22">
        <f t="shared" ref="P1307:P1313" si="326">O1307*$P$1305</f>
        <v>25</v>
      </c>
    </row>
    <row r="1308" spans="1:16" x14ac:dyDescent="0.25">
      <c r="A1308" s="91"/>
      <c r="B1308" s="13" t="s">
        <v>943</v>
      </c>
      <c r="C1308" s="13" t="s">
        <v>944</v>
      </c>
      <c r="D1308" s="13">
        <v>99</v>
      </c>
      <c r="E1308" s="13" t="s">
        <v>15</v>
      </c>
      <c r="F1308" s="13">
        <v>1</v>
      </c>
      <c r="G1308" s="13" t="s">
        <v>16</v>
      </c>
      <c r="H1308" s="13" t="s">
        <v>17</v>
      </c>
      <c r="I1308" s="14">
        <v>4004820</v>
      </c>
      <c r="J1308" s="13" t="s">
        <v>867</v>
      </c>
      <c r="K1308" s="13">
        <v>99</v>
      </c>
      <c r="L1308" s="13" t="s">
        <v>15</v>
      </c>
      <c r="M1308" s="13">
        <v>1</v>
      </c>
      <c r="N1308" s="13" t="s">
        <v>1</v>
      </c>
      <c r="O1308" s="16">
        <f t="shared" si="325"/>
        <v>1E-4</v>
      </c>
      <c r="P1308" s="22">
        <f t="shared" si="326"/>
        <v>0.5</v>
      </c>
    </row>
    <row r="1309" spans="1:16" x14ac:dyDescent="0.25">
      <c r="A1309" s="91"/>
      <c r="B1309" s="13" t="s">
        <v>943</v>
      </c>
      <c r="C1309" s="13" t="s">
        <v>944</v>
      </c>
      <c r="D1309" s="13">
        <v>99</v>
      </c>
      <c r="E1309" s="13" t="s">
        <v>15</v>
      </c>
      <c r="F1309" s="13">
        <v>1</v>
      </c>
      <c r="G1309" s="13" t="s">
        <v>16</v>
      </c>
      <c r="H1309" s="13" t="s">
        <v>17</v>
      </c>
      <c r="I1309" s="14">
        <v>4007480</v>
      </c>
      <c r="J1309" s="13" t="s">
        <v>868</v>
      </c>
      <c r="K1309" s="13">
        <v>99</v>
      </c>
      <c r="L1309" s="13" t="s">
        <v>15</v>
      </c>
      <c r="M1309" s="13">
        <v>834</v>
      </c>
      <c r="N1309" s="13" t="s">
        <v>1</v>
      </c>
      <c r="O1309" s="16">
        <f t="shared" si="325"/>
        <v>8.3400000000000002E-2</v>
      </c>
      <c r="P1309" s="22">
        <f t="shared" si="326"/>
        <v>417</v>
      </c>
    </row>
    <row r="1310" spans="1:16" x14ac:dyDescent="0.25">
      <c r="A1310" s="91"/>
      <c r="B1310" s="13" t="s">
        <v>943</v>
      </c>
      <c r="C1310" s="13" t="s">
        <v>944</v>
      </c>
      <c r="D1310" s="13">
        <v>99</v>
      </c>
      <c r="E1310" s="13" t="s">
        <v>15</v>
      </c>
      <c r="F1310" s="13">
        <v>1</v>
      </c>
      <c r="G1310" s="13" t="s">
        <v>16</v>
      </c>
      <c r="H1310" s="13" t="s">
        <v>17</v>
      </c>
      <c r="I1310" s="14">
        <v>4008681</v>
      </c>
      <c r="J1310" s="13" t="s">
        <v>869</v>
      </c>
      <c r="K1310" s="13">
        <v>99</v>
      </c>
      <c r="L1310" s="13" t="s">
        <v>15</v>
      </c>
      <c r="M1310" s="13">
        <v>60</v>
      </c>
      <c r="N1310" s="13" t="s">
        <v>3</v>
      </c>
      <c r="O1310" s="16">
        <f t="shared" si="325"/>
        <v>6.0000000000000001E-3</v>
      </c>
      <c r="P1310" s="22">
        <f t="shared" si="326"/>
        <v>30</v>
      </c>
    </row>
    <row r="1311" spans="1:16" x14ac:dyDescent="0.25">
      <c r="A1311" s="91"/>
      <c r="B1311" s="13" t="s">
        <v>943</v>
      </c>
      <c r="C1311" s="13" t="s">
        <v>944</v>
      </c>
      <c r="D1311" s="13">
        <v>99</v>
      </c>
      <c r="E1311" s="13" t="s">
        <v>15</v>
      </c>
      <c r="F1311" s="13">
        <v>1</v>
      </c>
      <c r="G1311" s="13" t="s">
        <v>16</v>
      </c>
      <c r="H1311" s="13" t="s">
        <v>17</v>
      </c>
      <c r="I1311" s="14">
        <v>4012172</v>
      </c>
      <c r="J1311" s="13" t="s">
        <v>945</v>
      </c>
      <c r="K1311" s="13">
        <v>99</v>
      </c>
      <c r="L1311" s="13" t="s">
        <v>15</v>
      </c>
      <c r="M1311" s="15">
        <v>10000</v>
      </c>
      <c r="N1311" s="13" t="s">
        <v>1</v>
      </c>
      <c r="O1311" s="16">
        <f t="shared" si="325"/>
        <v>1</v>
      </c>
      <c r="P1311" s="22">
        <f t="shared" si="326"/>
        <v>5000</v>
      </c>
    </row>
    <row r="1312" spans="1:16" x14ac:dyDescent="0.25">
      <c r="A1312" s="91"/>
      <c r="B1312" s="13" t="s">
        <v>943</v>
      </c>
      <c r="C1312" s="13" t="s">
        <v>944</v>
      </c>
      <c r="D1312" s="13">
        <v>99</v>
      </c>
      <c r="E1312" s="13" t="s">
        <v>15</v>
      </c>
      <c r="F1312" s="13">
        <v>1</v>
      </c>
      <c r="G1312" s="13" t="s">
        <v>16</v>
      </c>
      <c r="H1312" s="13" t="s">
        <v>17</v>
      </c>
      <c r="I1312" s="14">
        <v>4015174</v>
      </c>
      <c r="J1312" s="13" t="s">
        <v>871</v>
      </c>
      <c r="K1312" s="13">
        <v>99</v>
      </c>
      <c r="L1312" s="13" t="s">
        <v>15</v>
      </c>
      <c r="M1312" s="15">
        <v>10000</v>
      </c>
      <c r="N1312" s="13" t="s">
        <v>1</v>
      </c>
      <c r="O1312" s="16">
        <f t="shared" si="325"/>
        <v>1</v>
      </c>
      <c r="P1312" s="22">
        <f t="shared" si="326"/>
        <v>5000</v>
      </c>
    </row>
    <row r="1313" spans="1:16" ht="15.75" thickBot="1" x14ac:dyDescent="0.3">
      <c r="A1313" s="90"/>
      <c r="B1313" s="23" t="s">
        <v>943</v>
      </c>
      <c r="C1313" s="23" t="s">
        <v>944</v>
      </c>
      <c r="D1313" s="23">
        <v>99</v>
      </c>
      <c r="E1313" s="23" t="s">
        <v>15</v>
      </c>
      <c r="F1313" s="23">
        <v>1</v>
      </c>
      <c r="G1313" s="23" t="s">
        <v>16</v>
      </c>
      <c r="H1313" s="23" t="s">
        <v>17</v>
      </c>
      <c r="I1313" s="24">
        <v>4016160</v>
      </c>
      <c r="J1313" s="23" t="s">
        <v>69</v>
      </c>
      <c r="K1313" s="23">
        <v>99</v>
      </c>
      <c r="L1313" s="23" t="s">
        <v>15</v>
      </c>
      <c r="M1313" s="23">
        <v>15</v>
      </c>
      <c r="N1313" s="23" t="s">
        <v>3</v>
      </c>
      <c r="O1313" s="26">
        <f t="shared" si="325"/>
        <v>1.5E-3</v>
      </c>
      <c r="P1313" s="27">
        <f t="shared" si="326"/>
        <v>7.5</v>
      </c>
    </row>
    <row r="1314" spans="1:16" x14ac:dyDescent="0.25">
      <c r="B1314" s="1"/>
      <c r="C1314" s="1"/>
      <c r="D1314" s="1"/>
      <c r="E1314" s="1"/>
      <c r="F1314" s="1"/>
      <c r="G1314" s="1"/>
      <c r="H1314" s="1"/>
      <c r="I1314" s="2"/>
      <c r="J1314" s="1"/>
      <c r="K1314" s="1"/>
      <c r="L1314" s="1"/>
      <c r="M1314" s="1"/>
      <c r="N1314" s="1"/>
    </row>
    <row r="1315" spans="1:16" s="29" customFormat="1" ht="15.75" thickBot="1" x14ac:dyDescent="0.3">
      <c r="P1315" s="11">
        <f>IFERROR(VLOOKUP($A1316,'PROGRAMA MES '!$A:$B,2,0),0)</f>
        <v>0</v>
      </c>
    </row>
    <row r="1316" spans="1:16" x14ac:dyDescent="0.25">
      <c r="A1316" s="89" t="str">
        <f>B1316</f>
        <v>SP273530BR</v>
      </c>
      <c r="B1316" s="17" t="s">
        <v>946</v>
      </c>
      <c r="C1316" s="17" t="s">
        <v>947</v>
      </c>
      <c r="D1316" s="17">
        <v>99</v>
      </c>
      <c r="E1316" s="17" t="s">
        <v>15</v>
      </c>
      <c r="F1316" s="17">
        <v>1</v>
      </c>
      <c r="G1316" s="17" t="s">
        <v>35</v>
      </c>
      <c r="H1316" s="17" t="s">
        <v>17</v>
      </c>
      <c r="I1316" s="18">
        <v>3005125</v>
      </c>
      <c r="J1316" s="17" t="s">
        <v>896</v>
      </c>
      <c r="K1316" s="17">
        <v>99</v>
      </c>
      <c r="L1316" s="17" t="s">
        <v>15</v>
      </c>
      <c r="M1316" s="19">
        <v>2950</v>
      </c>
      <c r="N1316" s="17" t="s">
        <v>3</v>
      </c>
      <c r="O1316" s="20">
        <f t="shared" ref="O1316:O1323" si="327">M1316/10000</f>
        <v>0.29499999999999998</v>
      </c>
      <c r="P1316" s="21">
        <f>O1316*$P$1315</f>
        <v>0</v>
      </c>
    </row>
    <row r="1317" spans="1:16" x14ac:dyDescent="0.25">
      <c r="A1317" s="91"/>
      <c r="B1317" s="13" t="s">
        <v>946</v>
      </c>
      <c r="C1317" s="13" t="s">
        <v>947</v>
      </c>
      <c r="D1317" s="13">
        <v>99</v>
      </c>
      <c r="E1317" s="13" t="s">
        <v>15</v>
      </c>
      <c r="F1317" s="13">
        <v>1</v>
      </c>
      <c r="G1317" s="13" t="s">
        <v>16</v>
      </c>
      <c r="H1317" s="13" t="s">
        <v>17</v>
      </c>
      <c r="I1317" s="14">
        <v>4002826</v>
      </c>
      <c r="J1317" s="13" t="s">
        <v>4</v>
      </c>
      <c r="K1317" s="13">
        <v>99</v>
      </c>
      <c r="L1317" s="13" t="s">
        <v>15</v>
      </c>
      <c r="M1317" s="13">
        <v>50</v>
      </c>
      <c r="N1317" s="13" t="s">
        <v>1</v>
      </c>
      <c r="O1317" s="16">
        <f t="shared" si="327"/>
        <v>5.0000000000000001E-3</v>
      </c>
      <c r="P1317" s="22">
        <f t="shared" ref="P1317:P1323" si="328">O1317*$P$1315</f>
        <v>0</v>
      </c>
    </row>
    <row r="1318" spans="1:16" x14ac:dyDescent="0.25">
      <c r="A1318" s="91"/>
      <c r="B1318" s="13" t="s">
        <v>946</v>
      </c>
      <c r="C1318" s="13" t="s">
        <v>947</v>
      </c>
      <c r="D1318" s="13">
        <v>99</v>
      </c>
      <c r="E1318" s="13" t="s">
        <v>15</v>
      </c>
      <c r="F1318" s="13">
        <v>1</v>
      </c>
      <c r="G1318" s="13" t="s">
        <v>16</v>
      </c>
      <c r="H1318" s="13" t="s">
        <v>17</v>
      </c>
      <c r="I1318" s="14">
        <v>4004820</v>
      </c>
      <c r="J1318" s="13" t="s">
        <v>867</v>
      </c>
      <c r="K1318" s="13">
        <v>99</v>
      </c>
      <c r="L1318" s="13" t="s">
        <v>15</v>
      </c>
      <c r="M1318" s="13">
        <v>1</v>
      </c>
      <c r="N1318" s="13" t="s">
        <v>1</v>
      </c>
      <c r="O1318" s="16">
        <f t="shared" si="327"/>
        <v>1E-4</v>
      </c>
      <c r="P1318" s="22">
        <f t="shared" si="328"/>
        <v>0</v>
      </c>
    </row>
    <row r="1319" spans="1:16" x14ac:dyDescent="0.25">
      <c r="A1319" s="91"/>
      <c r="B1319" s="13" t="s">
        <v>946</v>
      </c>
      <c r="C1319" s="13" t="s">
        <v>947</v>
      </c>
      <c r="D1319" s="13">
        <v>99</v>
      </c>
      <c r="E1319" s="13" t="s">
        <v>15</v>
      </c>
      <c r="F1319" s="13">
        <v>1</v>
      </c>
      <c r="G1319" s="13" t="s">
        <v>16</v>
      </c>
      <c r="H1319" s="13" t="s">
        <v>17</v>
      </c>
      <c r="I1319" s="14">
        <v>4007480</v>
      </c>
      <c r="J1319" s="13" t="s">
        <v>868</v>
      </c>
      <c r="K1319" s="13">
        <v>99</v>
      </c>
      <c r="L1319" s="13" t="s">
        <v>15</v>
      </c>
      <c r="M1319" s="13">
        <v>834</v>
      </c>
      <c r="N1319" s="13" t="s">
        <v>1</v>
      </c>
      <c r="O1319" s="16">
        <f t="shared" si="327"/>
        <v>8.3400000000000002E-2</v>
      </c>
      <c r="P1319" s="22">
        <f t="shared" si="328"/>
        <v>0</v>
      </c>
    </row>
    <row r="1320" spans="1:16" x14ac:dyDescent="0.25">
      <c r="A1320" s="91"/>
      <c r="B1320" s="13" t="s">
        <v>946</v>
      </c>
      <c r="C1320" s="13" t="s">
        <v>947</v>
      </c>
      <c r="D1320" s="13">
        <v>99</v>
      </c>
      <c r="E1320" s="13" t="s">
        <v>15</v>
      </c>
      <c r="F1320" s="13">
        <v>1</v>
      </c>
      <c r="G1320" s="13" t="s">
        <v>16</v>
      </c>
      <c r="H1320" s="13" t="s">
        <v>17</v>
      </c>
      <c r="I1320" s="14">
        <v>4008681</v>
      </c>
      <c r="J1320" s="13" t="s">
        <v>869</v>
      </c>
      <c r="K1320" s="13">
        <v>99</v>
      </c>
      <c r="L1320" s="13" t="s">
        <v>15</v>
      </c>
      <c r="M1320" s="13">
        <v>60</v>
      </c>
      <c r="N1320" s="13" t="s">
        <v>3</v>
      </c>
      <c r="O1320" s="16">
        <f t="shared" si="327"/>
        <v>6.0000000000000001E-3</v>
      </c>
      <c r="P1320" s="22">
        <f t="shared" si="328"/>
        <v>0</v>
      </c>
    </row>
    <row r="1321" spans="1:16" x14ac:dyDescent="0.25">
      <c r="A1321" s="91"/>
      <c r="B1321" s="13" t="s">
        <v>946</v>
      </c>
      <c r="C1321" s="13" t="s">
        <v>947</v>
      </c>
      <c r="D1321" s="13">
        <v>99</v>
      </c>
      <c r="E1321" s="13" t="s">
        <v>15</v>
      </c>
      <c r="F1321" s="13">
        <v>1</v>
      </c>
      <c r="G1321" s="13" t="s">
        <v>16</v>
      </c>
      <c r="H1321" s="13" t="s">
        <v>17</v>
      </c>
      <c r="I1321" s="14">
        <v>4012174</v>
      </c>
      <c r="J1321" s="13" t="s">
        <v>948</v>
      </c>
      <c r="K1321" s="13">
        <v>99</v>
      </c>
      <c r="L1321" s="13" t="s">
        <v>15</v>
      </c>
      <c r="M1321" s="15">
        <v>10000</v>
      </c>
      <c r="N1321" s="13" t="s">
        <v>1</v>
      </c>
      <c r="O1321" s="16">
        <f t="shared" si="327"/>
        <v>1</v>
      </c>
      <c r="P1321" s="22">
        <f t="shared" si="328"/>
        <v>0</v>
      </c>
    </row>
    <row r="1322" spans="1:16" x14ac:dyDescent="0.25">
      <c r="A1322" s="91"/>
      <c r="B1322" s="13" t="s">
        <v>946</v>
      </c>
      <c r="C1322" s="13" t="s">
        <v>947</v>
      </c>
      <c r="D1322" s="13">
        <v>99</v>
      </c>
      <c r="E1322" s="13" t="s">
        <v>15</v>
      </c>
      <c r="F1322" s="13">
        <v>1</v>
      </c>
      <c r="G1322" s="13" t="s">
        <v>16</v>
      </c>
      <c r="H1322" s="13" t="s">
        <v>17</v>
      </c>
      <c r="I1322" s="14">
        <v>4015174</v>
      </c>
      <c r="J1322" s="13" t="s">
        <v>871</v>
      </c>
      <c r="K1322" s="13">
        <v>99</v>
      </c>
      <c r="L1322" s="13" t="s">
        <v>15</v>
      </c>
      <c r="M1322" s="15">
        <v>10000</v>
      </c>
      <c r="N1322" s="13" t="s">
        <v>1</v>
      </c>
      <c r="O1322" s="16">
        <f t="shared" si="327"/>
        <v>1</v>
      </c>
      <c r="P1322" s="22">
        <f t="shared" si="328"/>
        <v>0</v>
      </c>
    </row>
    <row r="1323" spans="1:16" ht="15.75" thickBot="1" x14ac:dyDescent="0.3">
      <c r="A1323" s="90"/>
      <c r="B1323" s="23" t="s">
        <v>946</v>
      </c>
      <c r="C1323" s="23" t="s">
        <v>947</v>
      </c>
      <c r="D1323" s="23">
        <v>99</v>
      </c>
      <c r="E1323" s="23" t="s">
        <v>15</v>
      </c>
      <c r="F1323" s="23">
        <v>1</v>
      </c>
      <c r="G1323" s="23" t="s">
        <v>16</v>
      </c>
      <c r="H1323" s="23" t="s">
        <v>17</v>
      </c>
      <c r="I1323" s="24">
        <v>4016160</v>
      </c>
      <c r="J1323" s="23" t="s">
        <v>69</v>
      </c>
      <c r="K1323" s="23">
        <v>99</v>
      </c>
      <c r="L1323" s="23" t="s">
        <v>15</v>
      </c>
      <c r="M1323" s="23">
        <v>15</v>
      </c>
      <c r="N1323" s="23" t="s">
        <v>3</v>
      </c>
      <c r="O1323" s="26">
        <f t="shared" si="327"/>
        <v>1.5E-3</v>
      </c>
      <c r="P1323" s="27">
        <f t="shared" si="328"/>
        <v>0</v>
      </c>
    </row>
    <row r="1324" spans="1:16" x14ac:dyDescent="0.25">
      <c r="B1324" s="1"/>
      <c r="C1324" s="1"/>
      <c r="D1324" s="1"/>
      <c r="E1324" s="1"/>
      <c r="F1324" s="1"/>
      <c r="G1324" s="1"/>
      <c r="H1324" s="1"/>
      <c r="I1324" s="2"/>
      <c r="J1324" s="1"/>
      <c r="K1324" s="1"/>
      <c r="L1324" s="1"/>
      <c r="M1324" s="1"/>
      <c r="N1324" s="1"/>
    </row>
    <row r="1325" spans="1:16" s="29" customFormat="1" ht="15.75" thickBot="1" x14ac:dyDescent="0.3">
      <c r="P1325" s="11">
        <f>IFERROR(VLOOKUP($A1326,'PROGRAMA MES '!$A:$B,2,0),0)</f>
        <v>700</v>
      </c>
    </row>
    <row r="1326" spans="1:16" x14ac:dyDescent="0.25">
      <c r="A1326" s="89" t="str">
        <f>B1326</f>
        <v>SP273530LR</v>
      </c>
      <c r="B1326" s="17" t="s">
        <v>949</v>
      </c>
      <c r="C1326" s="17" t="s">
        <v>950</v>
      </c>
      <c r="D1326" s="17">
        <v>99</v>
      </c>
      <c r="E1326" s="17" t="s">
        <v>15</v>
      </c>
      <c r="F1326" s="17">
        <v>1</v>
      </c>
      <c r="G1326" s="17" t="s">
        <v>35</v>
      </c>
      <c r="H1326" s="17" t="s">
        <v>17</v>
      </c>
      <c r="I1326" s="18">
        <v>3005123</v>
      </c>
      <c r="J1326" s="17" t="s">
        <v>900</v>
      </c>
      <c r="K1326" s="17">
        <v>99</v>
      </c>
      <c r="L1326" s="17" t="s">
        <v>15</v>
      </c>
      <c r="M1326" s="19">
        <v>2950</v>
      </c>
      <c r="N1326" s="17" t="s">
        <v>3</v>
      </c>
      <c r="O1326" s="20">
        <f t="shared" ref="O1326:O1333" si="329">M1326/10000</f>
        <v>0.29499999999999998</v>
      </c>
      <c r="P1326" s="21">
        <f>O1326*$P$1325</f>
        <v>206.5</v>
      </c>
    </row>
    <row r="1327" spans="1:16" x14ac:dyDescent="0.25">
      <c r="A1327" s="91"/>
      <c r="B1327" s="13" t="s">
        <v>949</v>
      </c>
      <c r="C1327" s="13" t="s">
        <v>950</v>
      </c>
      <c r="D1327" s="13">
        <v>99</v>
      </c>
      <c r="E1327" s="13" t="s">
        <v>15</v>
      </c>
      <c r="F1327" s="13">
        <v>1</v>
      </c>
      <c r="G1327" s="13" t="s">
        <v>16</v>
      </c>
      <c r="H1327" s="13" t="s">
        <v>17</v>
      </c>
      <c r="I1327" s="14">
        <v>4002826</v>
      </c>
      <c r="J1327" s="13" t="s">
        <v>4</v>
      </c>
      <c r="K1327" s="13">
        <v>99</v>
      </c>
      <c r="L1327" s="13" t="s">
        <v>15</v>
      </c>
      <c r="M1327" s="13">
        <v>50</v>
      </c>
      <c r="N1327" s="13" t="s">
        <v>1</v>
      </c>
      <c r="O1327" s="16">
        <f t="shared" si="329"/>
        <v>5.0000000000000001E-3</v>
      </c>
      <c r="P1327" s="22">
        <f t="shared" ref="P1327:P1333" si="330">O1327*$P$1325</f>
        <v>3.5</v>
      </c>
    </row>
    <row r="1328" spans="1:16" x14ac:dyDescent="0.25">
      <c r="A1328" s="91"/>
      <c r="B1328" s="13" t="s">
        <v>949</v>
      </c>
      <c r="C1328" s="13" t="s">
        <v>950</v>
      </c>
      <c r="D1328" s="13">
        <v>99</v>
      </c>
      <c r="E1328" s="13" t="s">
        <v>15</v>
      </c>
      <c r="F1328" s="13">
        <v>1</v>
      </c>
      <c r="G1328" s="13" t="s">
        <v>16</v>
      </c>
      <c r="H1328" s="13" t="s">
        <v>17</v>
      </c>
      <c r="I1328" s="14">
        <v>4004820</v>
      </c>
      <c r="J1328" s="13" t="s">
        <v>867</v>
      </c>
      <c r="K1328" s="13">
        <v>99</v>
      </c>
      <c r="L1328" s="13" t="s">
        <v>15</v>
      </c>
      <c r="M1328" s="13">
        <v>1</v>
      </c>
      <c r="N1328" s="13" t="s">
        <v>1</v>
      </c>
      <c r="O1328" s="16">
        <f t="shared" si="329"/>
        <v>1E-4</v>
      </c>
      <c r="P1328" s="22">
        <f t="shared" si="330"/>
        <v>7.0000000000000007E-2</v>
      </c>
    </row>
    <row r="1329" spans="1:16" x14ac:dyDescent="0.25">
      <c r="A1329" s="91"/>
      <c r="B1329" s="13" t="s">
        <v>949</v>
      </c>
      <c r="C1329" s="13" t="s">
        <v>950</v>
      </c>
      <c r="D1329" s="13">
        <v>99</v>
      </c>
      <c r="E1329" s="13" t="s">
        <v>15</v>
      </c>
      <c r="F1329" s="13">
        <v>1</v>
      </c>
      <c r="G1329" s="13" t="s">
        <v>16</v>
      </c>
      <c r="H1329" s="13" t="s">
        <v>17</v>
      </c>
      <c r="I1329" s="14">
        <v>4007480</v>
      </c>
      <c r="J1329" s="13" t="s">
        <v>868</v>
      </c>
      <c r="K1329" s="13">
        <v>99</v>
      </c>
      <c r="L1329" s="13" t="s">
        <v>15</v>
      </c>
      <c r="M1329" s="13">
        <v>834</v>
      </c>
      <c r="N1329" s="13" t="s">
        <v>1</v>
      </c>
      <c r="O1329" s="16">
        <f t="shared" si="329"/>
        <v>8.3400000000000002E-2</v>
      </c>
      <c r="P1329" s="22">
        <f t="shared" si="330"/>
        <v>58.38</v>
      </c>
    </row>
    <row r="1330" spans="1:16" x14ac:dyDescent="0.25">
      <c r="A1330" s="91"/>
      <c r="B1330" s="13" t="s">
        <v>949</v>
      </c>
      <c r="C1330" s="13" t="s">
        <v>950</v>
      </c>
      <c r="D1330" s="13">
        <v>99</v>
      </c>
      <c r="E1330" s="13" t="s">
        <v>15</v>
      </c>
      <c r="F1330" s="13">
        <v>1</v>
      </c>
      <c r="G1330" s="13" t="s">
        <v>16</v>
      </c>
      <c r="H1330" s="13" t="s">
        <v>17</v>
      </c>
      <c r="I1330" s="14">
        <v>4008681</v>
      </c>
      <c r="J1330" s="13" t="s">
        <v>869</v>
      </c>
      <c r="K1330" s="13">
        <v>99</v>
      </c>
      <c r="L1330" s="13" t="s">
        <v>15</v>
      </c>
      <c r="M1330" s="13">
        <v>60</v>
      </c>
      <c r="N1330" s="13" t="s">
        <v>3</v>
      </c>
      <c r="O1330" s="16">
        <f t="shared" si="329"/>
        <v>6.0000000000000001E-3</v>
      </c>
      <c r="P1330" s="22">
        <f t="shared" si="330"/>
        <v>4.2</v>
      </c>
    </row>
    <row r="1331" spans="1:16" x14ac:dyDescent="0.25">
      <c r="A1331" s="91"/>
      <c r="B1331" s="13" t="s">
        <v>949</v>
      </c>
      <c r="C1331" s="13" t="s">
        <v>950</v>
      </c>
      <c r="D1331" s="13">
        <v>99</v>
      </c>
      <c r="E1331" s="13" t="s">
        <v>15</v>
      </c>
      <c r="F1331" s="13">
        <v>1</v>
      </c>
      <c r="G1331" s="13" t="s">
        <v>16</v>
      </c>
      <c r="H1331" s="13" t="s">
        <v>17</v>
      </c>
      <c r="I1331" s="14">
        <v>4012171</v>
      </c>
      <c r="J1331" s="13" t="s">
        <v>951</v>
      </c>
      <c r="K1331" s="13">
        <v>99</v>
      </c>
      <c r="L1331" s="13" t="s">
        <v>15</v>
      </c>
      <c r="M1331" s="15">
        <v>10000</v>
      </c>
      <c r="N1331" s="13" t="s">
        <v>1</v>
      </c>
      <c r="O1331" s="16">
        <f t="shared" si="329"/>
        <v>1</v>
      </c>
      <c r="P1331" s="22">
        <f t="shared" si="330"/>
        <v>700</v>
      </c>
    </row>
    <row r="1332" spans="1:16" x14ac:dyDescent="0.25">
      <c r="A1332" s="91"/>
      <c r="B1332" s="13" t="s">
        <v>949</v>
      </c>
      <c r="C1332" s="13" t="s">
        <v>950</v>
      </c>
      <c r="D1332" s="13">
        <v>99</v>
      </c>
      <c r="E1332" s="13" t="s">
        <v>15</v>
      </c>
      <c r="F1332" s="13">
        <v>1</v>
      </c>
      <c r="G1332" s="13" t="s">
        <v>16</v>
      </c>
      <c r="H1332" s="13" t="s">
        <v>17</v>
      </c>
      <c r="I1332" s="14">
        <v>4015174</v>
      </c>
      <c r="J1332" s="13" t="s">
        <v>871</v>
      </c>
      <c r="K1332" s="13">
        <v>99</v>
      </c>
      <c r="L1332" s="13" t="s">
        <v>15</v>
      </c>
      <c r="M1332" s="15">
        <v>10000</v>
      </c>
      <c r="N1332" s="13" t="s">
        <v>1</v>
      </c>
      <c r="O1332" s="16">
        <f t="shared" si="329"/>
        <v>1</v>
      </c>
      <c r="P1332" s="22">
        <f t="shared" si="330"/>
        <v>700</v>
      </c>
    </row>
    <row r="1333" spans="1:16" ht="15.75" thickBot="1" x14ac:dyDescent="0.3">
      <c r="A1333" s="90"/>
      <c r="B1333" s="23" t="s">
        <v>949</v>
      </c>
      <c r="C1333" s="23" t="s">
        <v>950</v>
      </c>
      <c r="D1333" s="23">
        <v>99</v>
      </c>
      <c r="E1333" s="23" t="s">
        <v>15</v>
      </c>
      <c r="F1333" s="23">
        <v>1</v>
      </c>
      <c r="G1333" s="23" t="s">
        <v>16</v>
      </c>
      <c r="H1333" s="23" t="s">
        <v>17</v>
      </c>
      <c r="I1333" s="24">
        <v>4016160</v>
      </c>
      <c r="J1333" s="23" t="s">
        <v>69</v>
      </c>
      <c r="K1333" s="23">
        <v>99</v>
      </c>
      <c r="L1333" s="23" t="s">
        <v>15</v>
      </c>
      <c r="M1333" s="23">
        <v>15</v>
      </c>
      <c r="N1333" s="23" t="s">
        <v>3</v>
      </c>
      <c r="O1333" s="26">
        <f t="shared" si="329"/>
        <v>1.5E-3</v>
      </c>
      <c r="P1333" s="27">
        <f t="shared" si="330"/>
        <v>1.05</v>
      </c>
    </row>
    <row r="1334" spans="1:16" x14ac:dyDescent="0.25">
      <c r="B1334" s="1"/>
      <c r="C1334" s="1"/>
      <c r="D1334" s="1"/>
      <c r="E1334" s="1"/>
      <c r="F1334" s="1"/>
      <c r="G1334" s="1"/>
      <c r="H1334" s="1"/>
      <c r="I1334" s="2"/>
      <c r="J1334" s="1"/>
      <c r="K1334" s="1"/>
      <c r="L1334" s="1"/>
      <c r="M1334" s="1"/>
      <c r="N1334" s="1"/>
    </row>
    <row r="1335" spans="1:16" s="29" customFormat="1" ht="15.75" thickBot="1" x14ac:dyDescent="0.3">
      <c r="P1335" s="11">
        <f>IFERROR(VLOOKUP($A1336,'PROGRAMA MES '!$A:$B,2,0),0)</f>
        <v>0</v>
      </c>
    </row>
    <row r="1336" spans="1:16" x14ac:dyDescent="0.25">
      <c r="A1336" s="89" t="str">
        <f>B1336</f>
        <v>SP273530VD</v>
      </c>
      <c r="B1336" s="17" t="s">
        <v>952</v>
      </c>
      <c r="C1336" s="17" t="s">
        <v>953</v>
      </c>
      <c r="D1336" s="17">
        <v>99</v>
      </c>
      <c r="E1336" s="17" t="s">
        <v>15</v>
      </c>
      <c r="F1336" s="17">
        <v>1</v>
      </c>
      <c r="G1336" s="17" t="s">
        <v>35</v>
      </c>
      <c r="H1336" s="17" t="s">
        <v>17</v>
      </c>
      <c r="I1336" s="18">
        <v>3005122</v>
      </c>
      <c r="J1336" s="17" t="s">
        <v>904</v>
      </c>
      <c r="K1336" s="17">
        <v>99</v>
      </c>
      <c r="L1336" s="17" t="s">
        <v>15</v>
      </c>
      <c r="M1336" s="19">
        <v>2950</v>
      </c>
      <c r="N1336" s="17" t="s">
        <v>3</v>
      </c>
      <c r="O1336" s="20">
        <f t="shared" ref="O1336:O1343" si="331">M1336/10000</f>
        <v>0.29499999999999998</v>
      </c>
      <c r="P1336" s="21">
        <f>O1336*$P$1335</f>
        <v>0</v>
      </c>
    </row>
    <row r="1337" spans="1:16" x14ac:dyDescent="0.25">
      <c r="A1337" s="91"/>
      <c r="B1337" s="13" t="s">
        <v>952</v>
      </c>
      <c r="C1337" s="13" t="s">
        <v>953</v>
      </c>
      <c r="D1337" s="13">
        <v>99</v>
      </c>
      <c r="E1337" s="13" t="s">
        <v>15</v>
      </c>
      <c r="F1337" s="13">
        <v>1</v>
      </c>
      <c r="G1337" s="13" t="s">
        <v>16</v>
      </c>
      <c r="H1337" s="13" t="s">
        <v>17</v>
      </c>
      <c r="I1337" s="14">
        <v>4002826</v>
      </c>
      <c r="J1337" s="13" t="s">
        <v>4</v>
      </c>
      <c r="K1337" s="13">
        <v>99</v>
      </c>
      <c r="L1337" s="13" t="s">
        <v>15</v>
      </c>
      <c r="M1337" s="13">
        <v>50</v>
      </c>
      <c r="N1337" s="13" t="s">
        <v>1</v>
      </c>
      <c r="O1337" s="16">
        <f t="shared" si="331"/>
        <v>5.0000000000000001E-3</v>
      </c>
      <c r="P1337" s="22">
        <f t="shared" ref="P1337:P1343" si="332">O1337*$P$1335</f>
        <v>0</v>
      </c>
    </row>
    <row r="1338" spans="1:16" x14ac:dyDescent="0.25">
      <c r="A1338" s="91"/>
      <c r="B1338" s="13" t="s">
        <v>952</v>
      </c>
      <c r="C1338" s="13" t="s">
        <v>953</v>
      </c>
      <c r="D1338" s="13">
        <v>99</v>
      </c>
      <c r="E1338" s="13" t="s">
        <v>15</v>
      </c>
      <c r="F1338" s="13">
        <v>1</v>
      </c>
      <c r="G1338" s="13" t="s">
        <v>16</v>
      </c>
      <c r="H1338" s="13" t="s">
        <v>17</v>
      </c>
      <c r="I1338" s="14">
        <v>4004820</v>
      </c>
      <c r="J1338" s="13" t="s">
        <v>867</v>
      </c>
      <c r="K1338" s="13">
        <v>99</v>
      </c>
      <c r="L1338" s="13" t="s">
        <v>15</v>
      </c>
      <c r="M1338" s="13">
        <v>1</v>
      </c>
      <c r="N1338" s="13" t="s">
        <v>1</v>
      </c>
      <c r="O1338" s="16">
        <f t="shared" si="331"/>
        <v>1E-4</v>
      </c>
      <c r="P1338" s="22">
        <f t="shared" si="332"/>
        <v>0</v>
      </c>
    </row>
    <row r="1339" spans="1:16" x14ac:dyDescent="0.25">
      <c r="A1339" s="91"/>
      <c r="B1339" s="13" t="s">
        <v>952</v>
      </c>
      <c r="C1339" s="13" t="s">
        <v>953</v>
      </c>
      <c r="D1339" s="13">
        <v>99</v>
      </c>
      <c r="E1339" s="13" t="s">
        <v>15</v>
      </c>
      <c r="F1339" s="13">
        <v>1</v>
      </c>
      <c r="G1339" s="13" t="s">
        <v>16</v>
      </c>
      <c r="H1339" s="13" t="s">
        <v>17</v>
      </c>
      <c r="I1339" s="14">
        <v>4007480</v>
      </c>
      <c r="J1339" s="13" t="s">
        <v>868</v>
      </c>
      <c r="K1339" s="13">
        <v>99</v>
      </c>
      <c r="L1339" s="13" t="s">
        <v>15</v>
      </c>
      <c r="M1339" s="13">
        <v>834</v>
      </c>
      <c r="N1339" s="13" t="s">
        <v>1</v>
      </c>
      <c r="O1339" s="16">
        <f t="shared" si="331"/>
        <v>8.3400000000000002E-2</v>
      </c>
      <c r="P1339" s="22">
        <f t="shared" si="332"/>
        <v>0</v>
      </c>
    </row>
    <row r="1340" spans="1:16" x14ac:dyDescent="0.25">
      <c r="A1340" s="91"/>
      <c r="B1340" s="13" t="s">
        <v>952</v>
      </c>
      <c r="C1340" s="13" t="s">
        <v>953</v>
      </c>
      <c r="D1340" s="13">
        <v>99</v>
      </c>
      <c r="E1340" s="13" t="s">
        <v>15</v>
      </c>
      <c r="F1340" s="13">
        <v>1</v>
      </c>
      <c r="G1340" s="13" t="s">
        <v>16</v>
      </c>
      <c r="H1340" s="13" t="s">
        <v>17</v>
      </c>
      <c r="I1340" s="14">
        <v>4008681</v>
      </c>
      <c r="J1340" s="13" t="s">
        <v>869</v>
      </c>
      <c r="K1340" s="13">
        <v>99</v>
      </c>
      <c r="L1340" s="13" t="s">
        <v>15</v>
      </c>
      <c r="M1340" s="13">
        <v>60</v>
      </c>
      <c r="N1340" s="13" t="s">
        <v>3</v>
      </c>
      <c r="O1340" s="16">
        <f t="shared" si="331"/>
        <v>6.0000000000000001E-3</v>
      </c>
      <c r="P1340" s="22">
        <f t="shared" si="332"/>
        <v>0</v>
      </c>
    </row>
    <row r="1341" spans="1:16" x14ac:dyDescent="0.25">
      <c r="A1341" s="91"/>
      <c r="B1341" s="13" t="s">
        <v>952</v>
      </c>
      <c r="C1341" s="13" t="s">
        <v>953</v>
      </c>
      <c r="D1341" s="13">
        <v>99</v>
      </c>
      <c r="E1341" s="13" t="s">
        <v>15</v>
      </c>
      <c r="F1341" s="13">
        <v>1</v>
      </c>
      <c r="G1341" s="13" t="s">
        <v>16</v>
      </c>
      <c r="H1341" s="13" t="s">
        <v>17</v>
      </c>
      <c r="I1341" s="14">
        <v>4012173</v>
      </c>
      <c r="J1341" s="13" t="s">
        <v>954</v>
      </c>
      <c r="K1341" s="13">
        <v>99</v>
      </c>
      <c r="L1341" s="13" t="s">
        <v>15</v>
      </c>
      <c r="M1341" s="15">
        <v>10000</v>
      </c>
      <c r="N1341" s="13" t="s">
        <v>1</v>
      </c>
      <c r="O1341" s="16">
        <f t="shared" si="331"/>
        <v>1</v>
      </c>
      <c r="P1341" s="22">
        <f t="shared" si="332"/>
        <v>0</v>
      </c>
    </row>
    <row r="1342" spans="1:16" x14ac:dyDescent="0.25">
      <c r="A1342" s="91"/>
      <c r="B1342" s="13" t="s">
        <v>952</v>
      </c>
      <c r="C1342" s="13" t="s">
        <v>953</v>
      </c>
      <c r="D1342" s="13">
        <v>99</v>
      </c>
      <c r="E1342" s="13" t="s">
        <v>15</v>
      </c>
      <c r="F1342" s="13">
        <v>1</v>
      </c>
      <c r="G1342" s="13" t="s">
        <v>16</v>
      </c>
      <c r="H1342" s="13" t="s">
        <v>17</v>
      </c>
      <c r="I1342" s="14">
        <v>4015174</v>
      </c>
      <c r="J1342" s="13" t="s">
        <v>871</v>
      </c>
      <c r="K1342" s="13">
        <v>99</v>
      </c>
      <c r="L1342" s="13" t="s">
        <v>15</v>
      </c>
      <c r="M1342" s="15">
        <v>10000</v>
      </c>
      <c r="N1342" s="13" t="s">
        <v>1</v>
      </c>
      <c r="O1342" s="16">
        <f t="shared" si="331"/>
        <v>1</v>
      </c>
      <c r="P1342" s="22">
        <f t="shared" si="332"/>
        <v>0</v>
      </c>
    </row>
    <row r="1343" spans="1:16" ht="15.75" thickBot="1" x14ac:dyDescent="0.3">
      <c r="A1343" s="90"/>
      <c r="B1343" s="23" t="s">
        <v>952</v>
      </c>
      <c r="C1343" s="23" t="s">
        <v>953</v>
      </c>
      <c r="D1343" s="23">
        <v>99</v>
      </c>
      <c r="E1343" s="23" t="s">
        <v>15</v>
      </c>
      <c r="F1343" s="23">
        <v>1</v>
      </c>
      <c r="G1343" s="23" t="s">
        <v>16</v>
      </c>
      <c r="H1343" s="23" t="s">
        <v>17</v>
      </c>
      <c r="I1343" s="24">
        <v>4016160</v>
      </c>
      <c r="J1343" s="23" t="s">
        <v>69</v>
      </c>
      <c r="K1343" s="23">
        <v>99</v>
      </c>
      <c r="L1343" s="23" t="s">
        <v>15</v>
      </c>
      <c r="M1343" s="23">
        <v>15</v>
      </c>
      <c r="N1343" s="23" t="s">
        <v>3</v>
      </c>
      <c r="O1343" s="26">
        <f t="shared" si="331"/>
        <v>1.5E-3</v>
      </c>
      <c r="P1343" s="27">
        <f t="shared" si="332"/>
        <v>0</v>
      </c>
    </row>
    <row r="1344" spans="1:16" x14ac:dyDescent="0.25">
      <c r="B1344" s="1"/>
      <c r="C1344" s="1"/>
      <c r="D1344" s="1"/>
      <c r="E1344" s="1"/>
      <c r="F1344" s="1"/>
      <c r="G1344" s="1"/>
      <c r="H1344" s="1"/>
      <c r="I1344" s="2"/>
      <c r="J1344" s="1"/>
      <c r="K1344" s="1"/>
      <c r="L1344" s="1"/>
      <c r="M1344" s="1"/>
      <c r="N1344" s="1"/>
    </row>
    <row r="1345" spans="1:16" s="29" customFormat="1" ht="15.75" thickBot="1" x14ac:dyDescent="0.3">
      <c r="P1345" s="11">
        <f>IFERROR(VLOOKUP($A1346,'PROGRAMA MES '!$A:$B,2,0),0)</f>
        <v>1800</v>
      </c>
    </row>
    <row r="1346" spans="1:16" x14ac:dyDescent="0.25">
      <c r="A1346" s="89" t="str">
        <f>B1346</f>
        <v>SP2735AZ</v>
      </c>
      <c r="B1346" s="17" t="s">
        <v>955</v>
      </c>
      <c r="C1346" s="17" t="s">
        <v>956</v>
      </c>
      <c r="D1346" s="17">
        <v>99</v>
      </c>
      <c r="E1346" s="17" t="s">
        <v>15</v>
      </c>
      <c r="F1346" s="17">
        <v>1</v>
      </c>
      <c r="G1346" s="17" t="s">
        <v>35</v>
      </c>
      <c r="H1346" s="17" t="s">
        <v>17</v>
      </c>
      <c r="I1346" s="18">
        <v>3005124</v>
      </c>
      <c r="J1346" s="17" t="s">
        <v>887</v>
      </c>
      <c r="K1346" s="17">
        <v>99</v>
      </c>
      <c r="L1346" s="17" t="s">
        <v>15</v>
      </c>
      <c r="M1346" s="19">
        <v>29500</v>
      </c>
      <c r="N1346" s="17" t="s">
        <v>3</v>
      </c>
      <c r="O1346" s="20">
        <f t="shared" ref="O1346:O1352" si="333">M1346/10000</f>
        <v>2.95</v>
      </c>
      <c r="P1346" s="21">
        <f>O1346*$P$1345</f>
        <v>5310</v>
      </c>
    </row>
    <row r="1347" spans="1:16" x14ac:dyDescent="0.25">
      <c r="A1347" s="91"/>
      <c r="B1347" s="13" t="s">
        <v>955</v>
      </c>
      <c r="C1347" s="13" t="s">
        <v>956</v>
      </c>
      <c r="D1347" s="13">
        <v>99</v>
      </c>
      <c r="E1347" s="13" t="s">
        <v>15</v>
      </c>
      <c r="F1347" s="13">
        <v>1</v>
      </c>
      <c r="G1347" s="13" t="s">
        <v>16</v>
      </c>
      <c r="H1347" s="13" t="s">
        <v>17</v>
      </c>
      <c r="I1347" s="14">
        <v>4004820</v>
      </c>
      <c r="J1347" s="13" t="s">
        <v>867</v>
      </c>
      <c r="K1347" s="13">
        <v>99</v>
      </c>
      <c r="L1347" s="13" t="s">
        <v>15</v>
      </c>
      <c r="M1347" s="13">
        <v>10</v>
      </c>
      <c r="N1347" s="13" t="s">
        <v>1</v>
      </c>
      <c r="O1347" s="16">
        <f t="shared" si="333"/>
        <v>1E-3</v>
      </c>
      <c r="P1347" s="22">
        <f t="shared" ref="P1347:P1352" si="334">O1347*$P$1345</f>
        <v>1.8</v>
      </c>
    </row>
    <row r="1348" spans="1:16" x14ac:dyDescent="0.25">
      <c r="A1348" s="91"/>
      <c r="B1348" s="13" t="s">
        <v>955</v>
      </c>
      <c r="C1348" s="13" t="s">
        <v>956</v>
      </c>
      <c r="D1348" s="13">
        <v>99</v>
      </c>
      <c r="E1348" s="13" t="s">
        <v>15</v>
      </c>
      <c r="F1348" s="13">
        <v>1</v>
      </c>
      <c r="G1348" s="13" t="s">
        <v>16</v>
      </c>
      <c r="H1348" s="13" t="s">
        <v>17</v>
      </c>
      <c r="I1348" s="14">
        <v>4012168</v>
      </c>
      <c r="J1348" s="13" t="s">
        <v>957</v>
      </c>
      <c r="K1348" s="13">
        <v>99</v>
      </c>
      <c r="L1348" s="13" t="s">
        <v>15</v>
      </c>
      <c r="M1348" s="15">
        <v>10000</v>
      </c>
      <c r="N1348" s="13" t="s">
        <v>1</v>
      </c>
      <c r="O1348" s="16">
        <f t="shared" si="333"/>
        <v>1</v>
      </c>
      <c r="P1348" s="22">
        <f t="shared" si="334"/>
        <v>1800</v>
      </c>
    </row>
    <row r="1349" spans="1:16" x14ac:dyDescent="0.25">
      <c r="A1349" s="91"/>
      <c r="B1349" s="13" t="s">
        <v>955</v>
      </c>
      <c r="C1349" s="13" t="s">
        <v>956</v>
      </c>
      <c r="D1349" s="13">
        <v>99</v>
      </c>
      <c r="E1349" s="13" t="s">
        <v>15</v>
      </c>
      <c r="F1349" s="13">
        <v>1</v>
      </c>
      <c r="G1349" s="13" t="s">
        <v>16</v>
      </c>
      <c r="H1349" s="13" t="s">
        <v>17</v>
      </c>
      <c r="I1349" s="14">
        <v>4013310</v>
      </c>
      <c r="J1349" s="13" t="s">
        <v>909</v>
      </c>
      <c r="K1349" s="13">
        <v>99</v>
      </c>
      <c r="L1349" s="13" t="s">
        <v>15</v>
      </c>
      <c r="M1349" s="15">
        <v>10000</v>
      </c>
      <c r="N1349" s="13" t="s">
        <v>1</v>
      </c>
      <c r="O1349" s="16">
        <f t="shared" si="333"/>
        <v>1</v>
      </c>
      <c r="P1349" s="22">
        <f t="shared" si="334"/>
        <v>1800</v>
      </c>
    </row>
    <row r="1350" spans="1:16" x14ac:dyDescent="0.25">
      <c r="A1350" s="91"/>
      <c r="B1350" s="13" t="s">
        <v>955</v>
      </c>
      <c r="C1350" s="13" t="s">
        <v>956</v>
      </c>
      <c r="D1350" s="13">
        <v>99</v>
      </c>
      <c r="E1350" s="13" t="s">
        <v>15</v>
      </c>
      <c r="F1350" s="13">
        <v>1</v>
      </c>
      <c r="G1350" s="13" t="s">
        <v>16</v>
      </c>
      <c r="H1350" s="13" t="s">
        <v>17</v>
      </c>
      <c r="I1350" s="14">
        <v>4015174</v>
      </c>
      <c r="J1350" s="13" t="s">
        <v>871</v>
      </c>
      <c r="K1350" s="13">
        <v>99</v>
      </c>
      <c r="L1350" s="13" t="s">
        <v>15</v>
      </c>
      <c r="M1350" s="15">
        <v>10000</v>
      </c>
      <c r="N1350" s="13" t="s">
        <v>1</v>
      </c>
      <c r="O1350" s="16">
        <f t="shared" si="333"/>
        <v>1</v>
      </c>
      <c r="P1350" s="22">
        <f t="shared" si="334"/>
        <v>1800</v>
      </c>
    </row>
    <row r="1351" spans="1:16" x14ac:dyDescent="0.25">
      <c r="A1351" s="91"/>
      <c r="B1351" s="13" t="s">
        <v>955</v>
      </c>
      <c r="C1351" s="13" t="s">
        <v>956</v>
      </c>
      <c r="D1351" s="13">
        <v>99</v>
      </c>
      <c r="E1351" s="13" t="s">
        <v>15</v>
      </c>
      <c r="F1351" s="13">
        <v>1</v>
      </c>
      <c r="G1351" s="13" t="s">
        <v>16</v>
      </c>
      <c r="H1351" s="13" t="s">
        <v>17</v>
      </c>
      <c r="I1351" s="14">
        <v>4015442</v>
      </c>
      <c r="J1351" s="13" t="s">
        <v>888</v>
      </c>
      <c r="K1351" s="13">
        <v>99</v>
      </c>
      <c r="L1351" s="13" t="s">
        <v>15</v>
      </c>
      <c r="M1351" s="15">
        <v>3000</v>
      </c>
      <c r="N1351" s="13" t="s">
        <v>2</v>
      </c>
      <c r="O1351" s="16">
        <f t="shared" si="333"/>
        <v>0.3</v>
      </c>
      <c r="P1351" s="22">
        <f t="shared" si="334"/>
        <v>540</v>
      </c>
    </row>
    <row r="1352" spans="1:16" ht="15.75" thickBot="1" x14ac:dyDescent="0.3">
      <c r="A1352" s="90"/>
      <c r="B1352" s="23" t="s">
        <v>955</v>
      </c>
      <c r="C1352" s="23" t="s">
        <v>956</v>
      </c>
      <c r="D1352" s="23">
        <v>99</v>
      </c>
      <c r="E1352" s="23" t="s">
        <v>15</v>
      </c>
      <c r="F1352" s="23">
        <v>1</v>
      </c>
      <c r="G1352" s="23" t="s">
        <v>16</v>
      </c>
      <c r="H1352" s="23" t="s">
        <v>17</v>
      </c>
      <c r="I1352" s="24">
        <v>4016160</v>
      </c>
      <c r="J1352" s="23" t="s">
        <v>69</v>
      </c>
      <c r="K1352" s="23">
        <v>99</v>
      </c>
      <c r="L1352" s="23" t="s">
        <v>15</v>
      </c>
      <c r="M1352" s="23">
        <v>90</v>
      </c>
      <c r="N1352" s="23" t="s">
        <v>3</v>
      </c>
      <c r="O1352" s="26">
        <f t="shared" si="333"/>
        <v>8.9999999999999993E-3</v>
      </c>
      <c r="P1352" s="27">
        <f t="shared" si="334"/>
        <v>16.2</v>
      </c>
    </row>
    <row r="1353" spans="1:16" x14ac:dyDescent="0.25">
      <c r="B1353" s="1"/>
      <c r="C1353" s="1"/>
      <c r="D1353" s="1"/>
      <c r="E1353" s="1"/>
      <c r="F1353" s="1"/>
      <c r="G1353" s="1"/>
      <c r="H1353" s="1"/>
      <c r="I1353" s="2"/>
      <c r="J1353" s="1"/>
      <c r="K1353" s="1"/>
      <c r="L1353" s="1"/>
      <c r="M1353" s="1"/>
      <c r="N1353" s="1"/>
    </row>
    <row r="1354" spans="1:16" s="29" customFormat="1" ht="15.75" thickBot="1" x14ac:dyDescent="0.3">
      <c r="P1354" s="11">
        <f>IFERROR(VLOOKUP($A1355,'PROGRAMA MES '!$A:$B,2,0),0)</f>
        <v>900</v>
      </c>
    </row>
    <row r="1355" spans="1:16" x14ac:dyDescent="0.25">
      <c r="A1355" s="89" t="str">
        <f>B1355</f>
        <v>SP2735BR</v>
      </c>
      <c r="B1355" s="17" t="s">
        <v>958</v>
      </c>
      <c r="C1355" s="17" t="s">
        <v>959</v>
      </c>
      <c r="D1355" s="17">
        <v>99</v>
      </c>
      <c r="E1355" s="17" t="s">
        <v>15</v>
      </c>
      <c r="F1355" s="17">
        <v>1</v>
      </c>
      <c r="G1355" s="17" t="s">
        <v>35</v>
      </c>
      <c r="H1355" s="17" t="s">
        <v>17</v>
      </c>
      <c r="I1355" s="18">
        <v>3005125</v>
      </c>
      <c r="J1355" s="17" t="s">
        <v>896</v>
      </c>
      <c r="K1355" s="17">
        <v>99</v>
      </c>
      <c r="L1355" s="17" t="s">
        <v>15</v>
      </c>
      <c r="M1355" s="19">
        <v>29500</v>
      </c>
      <c r="N1355" s="17" t="s">
        <v>3</v>
      </c>
      <c r="O1355" s="20">
        <f t="shared" ref="O1355:O1361" si="335">M1355/10000</f>
        <v>2.95</v>
      </c>
      <c r="P1355" s="21">
        <f>O1355*$P$1354</f>
        <v>2655</v>
      </c>
    </row>
    <row r="1356" spans="1:16" x14ac:dyDescent="0.25">
      <c r="A1356" s="91"/>
      <c r="B1356" s="13" t="s">
        <v>958</v>
      </c>
      <c r="C1356" s="13" t="s">
        <v>959</v>
      </c>
      <c r="D1356" s="13">
        <v>99</v>
      </c>
      <c r="E1356" s="13" t="s">
        <v>15</v>
      </c>
      <c r="F1356" s="13">
        <v>1</v>
      </c>
      <c r="G1356" s="13" t="s">
        <v>16</v>
      </c>
      <c r="H1356" s="13" t="s">
        <v>17</v>
      </c>
      <c r="I1356" s="14">
        <v>4004820</v>
      </c>
      <c r="J1356" s="13" t="s">
        <v>867</v>
      </c>
      <c r="K1356" s="13">
        <v>99</v>
      </c>
      <c r="L1356" s="13" t="s">
        <v>15</v>
      </c>
      <c r="M1356" s="13">
        <v>10</v>
      </c>
      <c r="N1356" s="13" t="s">
        <v>1</v>
      </c>
      <c r="O1356" s="16">
        <f t="shared" si="335"/>
        <v>1E-3</v>
      </c>
      <c r="P1356" s="22">
        <f t="shared" ref="P1356:P1361" si="336">O1356*$P$1354</f>
        <v>0.9</v>
      </c>
    </row>
    <row r="1357" spans="1:16" x14ac:dyDescent="0.25">
      <c r="A1357" s="91"/>
      <c r="B1357" s="13" t="s">
        <v>958</v>
      </c>
      <c r="C1357" s="13" t="s">
        <v>959</v>
      </c>
      <c r="D1357" s="13">
        <v>99</v>
      </c>
      <c r="E1357" s="13" t="s">
        <v>15</v>
      </c>
      <c r="F1357" s="13">
        <v>1</v>
      </c>
      <c r="G1357" s="13" t="s">
        <v>16</v>
      </c>
      <c r="H1357" s="13" t="s">
        <v>17</v>
      </c>
      <c r="I1357" s="14">
        <v>4012170</v>
      </c>
      <c r="J1357" s="13" t="s">
        <v>960</v>
      </c>
      <c r="K1357" s="13">
        <v>99</v>
      </c>
      <c r="L1357" s="13" t="s">
        <v>15</v>
      </c>
      <c r="M1357" s="15">
        <v>10000</v>
      </c>
      <c r="N1357" s="13" t="s">
        <v>1</v>
      </c>
      <c r="O1357" s="16">
        <f t="shared" si="335"/>
        <v>1</v>
      </c>
      <c r="P1357" s="22">
        <f t="shared" si="336"/>
        <v>900</v>
      </c>
    </row>
    <row r="1358" spans="1:16" x14ac:dyDescent="0.25">
      <c r="A1358" s="91"/>
      <c r="B1358" s="13" t="s">
        <v>958</v>
      </c>
      <c r="C1358" s="13" t="s">
        <v>959</v>
      </c>
      <c r="D1358" s="13">
        <v>99</v>
      </c>
      <c r="E1358" s="13" t="s">
        <v>15</v>
      </c>
      <c r="F1358" s="13">
        <v>1</v>
      </c>
      <c r="G1358" s="13" t="s">
        <v>16</v>
      </c>
      <c r="H1358" s="13" t="s">
        <v>17</v>
      </c>
      <c r="I1358" s="14">
        <v>4013310</v>
      </c>
      <c r="J1358" s="13" t="s">
        <v>909</v>
      </c>
      <c r="K1358" s="13">
        <v>99</v>
      </c>
      <c r="L1358" s="13" t="s">
        <v>15</v>
      </c>
      <c r="M1358" s="15">
        <v>10000</v>
      </c>
      <c r="N1358" s="13" t="s">
        <v>1</v>
      </c>
      <c r="O1358" s="16">
        <f t="shared" si="335"/>
        <v>1</v>
      </c>
      <c r="P1358" s="22">
        <f t="shared" si="336"/>
        <v>900</v>
      </c>
    </row>
    <row r="1359" spans="1:16" x14ac:dyDescent="0.25">
      <c r="A1359" s="91"/>
      <c r="B1359" s="13" t="s">
        <v>958</v>
      </c>
      <c r="C1359" s="13" t="s">
        <v>959</v>
      </c>
      <c r="D1359" s="13">
        <v>99</v>
      </c>
      <c r="E1359" s="13" t="s">
        <v>15</v>
      </c>
      <c r="F1359" s="13">
        <v>1</v>
      </c>
      <c r="G1359" s="13" t="s">
        <v>16</v>
      </c>
      <c r="H1359" s="13" t="s">
        <v>17</v>
      </c>
      <c r="I1359" s="14">
        <v>4015174</v>
      </c>
      <c r="J1359" s="13" t="s">
        <v>871</v>
      </c>
      <c r="K1359" s="13">
        <v>99</v>
      </c>
      <c r="L1359" s="13" t="s">
        <v>15</v>
      </c>
      <c r="M1359" s="15">
        <v>10000</v>
      </c>
      <c r="N1359" s="13" t="s">
        <v>1</v>
      </c>
      <c r="O1359" s="16">
        <f t="shared" si="335"/>
        <v>1</v>
      </c>
      <c r="P1359" s="22">
        <f t="shared" si="336"/>
        <v>900</v>
      </c>
    </row>
    <row r="1360" spans="1:16" x14ac:dyDescent="0.25">
      <c r="A1360" s="91"/>
      <c r="B1360" s="13" t="s">
        <v>958</v>
      </c>
      <c r="C1360" s="13" t="s">
        <v>959</v>
      </c>
      <c r="D1360" s="13">
        <v>99</v>
      </c>
      <c r="E1360" s="13" t="s">
        <v>15</v>
      </c>
      <c r="F1360" s="13">
        <v>1</v>
      </c>
      <c r="G1360" s="13" t="s">
        <v>16</v>
      </c>
      <c r="H1360" s="13" t="s">
        <v>17</v>
      </c>
      <c r="I1360" s="14">
        <v>4015442</v>
      </c>
      <c r="J1360" s="13" t="s">
        <v>888</v>
      </c>
      <c r="K1360" s="13">
        <v>99</v>
      </c>
      <c r="L1360" s="13" t="s">
        <v>15</v>
      </c>
      <c r="M1360" s="15">
        <v>3000</v>
      </c>
      <c r="N1360" s="13" t="s">
        <v>2</v>
      </c>
      <c r="O1360" s="16">
        <f t="shared" si="335"/>
        <v>0.3</v>
      </c>
      <c r="P1360" s="22">
        <f t="shared" si="336"/>
        <v>270</v>
      </c>
    </row>
    <row r="1361" spans="1:16" ht="15.75" thickBot="1" x14ac:dyDescent="0.3">
      <c r="A1361" s="90"/>
      <c r="B1361" s="23" t="s">
        <v>958</v>
      </c>
      <c r="C1361" s="23" t="s">
        <v>959</v>
      </c>
      <c r="D1361" s="23">
        <v>99</v>
      </c>
      <c r="E1361" s="23" t="s">
        <v>15</v>
      </c>
      <c r="F1361" s="23">
        <v>1</v>
      </c>
      <c r="G1361" s="23" t="s">
        <v>16</v>
      </c>
      <c r="H1361" s="23" t="s">
        <v>17</v>
      </c>
      <c r="I1361" s="24">
        <v>4016160</v>
      </c>
      <c r="J1361" s="23" t="s">
        <v>69</v>
      </c>
      <c r="K1361" s="23">
        <v>99</v>
      </c>
      <c r="L1361" s="23" t="s">
        <v>15</v>
      </c>
      <c r="M1361" s="23">
        <v>90</v>
      </c>
      <c r="N1361" s="23" t="s">
        <v>3</v>
      </c>
      <c r="O1361" s="26">
        <f t="shared" si="335"/>
        <v>8.9999999999999993E-3</v>
      </c>
      <c r="P1361" s="27">
        <f t="shared" si="336"/>
        <v>8.1</v>
      </c>
    </row>
    <row r="1362" spans="1:16" x14ac:dyDescent="0.25">
      <c r="B1362" s="1"/>
      <c r="C1362" s="1"/>
      <c r="D1362" s="1"/>
      <c r="E1362" s="1"/>
      <c r="F1362" s="1"/>
      <c r="G1362" s="1"/>
      <c r="H1362" s="1"/>
      <c r="I1362" s="2"/>
      <c r="J1362" s="1"/>
      <c r="K1362" s="1"/>
      <c r="L1362" s="1"/>
      <c r="M1362" s="1"/>
      <c r="N1362" s="1"/>
    </row>
    <row r="1363" spans="1:16" s="29" customFormat="1" ht="15.75" thickBot="1" x14ac:dyDescent="0.3">
      <c r="P1363" s="11">
        <f>IFERROR(VLOOKUP($A1364,'PROGRAMA MES '!$A:$B,2,0),0)</f>
        <v>1400</v>
      </c>
    </row>
    <row r="1364" spans="1:16" x14ac:dyDescent="0.25">
      <c r="A1364" s="89" t="str">
        <f>B1364</f>
        <v>SP2735LR</v>
      </c>
      <c r="B1364" s="17" t="s">
        <v>961</v>
      </c>
      <c r="C1364" s="17" t="s">
        <v>962</v>
      </c>
      <c r="D1364" s="17">
        <v>99</v>
      </c>
      <c r="E1364" s="17" t="s">
        <v>15</v>
      </c>
      <c r="F1364" s="17">
        <v>1</v>
      </c>
      <c r="G1364" s="17" t="s">
        <v>35</v>
      </c>
      <c r="H1364" s="17" t="s">
        <v>17</v>
      </c>
      <c r="I1364" s="18">
        <v>3005123</v>
      </c>
      <c r="J1364" s="17" t="s">
        <v>900</v>
      </c>
      <c r="K1364" s="17">
        <v>99</v>
      </c>
      <c r="L1364" s="17" t="s">
        <v>15</v>
      </c>
      <c r="M1364" s="19">
        <v>29500</v>
      </c>
      <c r="N1364" s="17" t="s">
        <v>3</v>
      </c>
      <c r="O1364" s="20">
        <f t="shared" ref="O1364:O1370" si="337">M1364/10000</f>
        <v>2.95</v>
      </c>
      <c r="P1364" s="21">
        <f>O1364*$P$1363</f>
        <v>4130</v>
      </c>
    </row>
    <row r="1365" spans="1:16" x14ac:dyDescent="0.25">
      <c r="A1365" s="91"/>
      <c r="B1365" s="13" t="s">
        <v>961</v>
      </c>
      <c r="C1365" s="13" t="s">
        <v>962</v>
      </c>
      <c r="D1365" s="13">
        <v>99</v>
      </c>
      <c r="E1365" s="13" t="s">
        <v>15</v>
      </c>
      <c r="F1365" s="13">
        <v>1</v>
      </c>
      <c r="G1365" s="13" t="s">
        <v>16</v>
      </c>
      <c r="H1365" s="13" t="s">
        <v>17</v>
      </c>
      <c r="I1365" s="14">
        <v>4004820</v>
      </c>
      <c r="J1365" s="13" t="s">
        <v>867</v>
      </c>
      <c r="K1365" s="13">
        <v>99</v>
      </c>
      <c r="L1365" s="13" t="s">
        <v>15</v>
      </c>
      <c r="M1365" s="13">
        <v>10</v>
      </c>
      <c r="N1365" s="13" t="s">
        <v>1</v>
      </c>
      <c r="O1365" s="16">
        <f t="shared" si="337"/>
        <v>1E-3</v>
      </c>
      <c r="P1365" s="22">
        <f t="shared" ref="P1365:P1370" si="338">O1365*$P$1363</f>
        <v>1.4000000000000001</v>
      </c>
    </row>
    <row r="1366" spans="1:16" x14ac:dyDescent="0.25">
      <c r="A1366" s="91"/>
      <c r="B1366" s="13" t="s">
        <v>961</v>
      </c>
      <c r="C1366" s="13" t="s">
        <v>962</v>
      </c>
      <c r="D1366" s="13">
        <v>99</v>
      </c>
      <c r="E1366" s="13" t="s">
        <v>15</v>
      </c>
      <c r="F1366" s="13">
        <v>1</v>
      </c>
      <c r="G1366" s="13" t="s">
        <v>16</v>
      </c>
      <c r="H1366" s="13" t="s">
        <v>17</v>
      </c>
      <c r="I1366" s="14">
        <v>4012167</v>
      </c>
      <c r="J1366" s="13" t="s">
        <v>963</v>
      </c>
      <c r="K1366" s="13">
        <v>99</v>
      </c>
      <c r="L1366" s="13" t="s">
        <v>15</v>
      </c>
      <c r="M1366" s="15">
        <v>10000</v>
      </c>
      <c r="N1366" s="13" t="s">
        <v>1</v>
      </c>
      <c r="O1366" s="16">
        <f t="shared" si="337"/>
        <v>1</v>
      </c>
      <c r="P1366" s="22">
        <f t="shared" si="338"/>
        <v>1400</v>
      </c>
    </row>
    <row r="1367" spans="1:16" x14ac:dyDescent="0.25">
      <c r="A1367" s="91"/>
      <c r="B1367" s="13" t="s">
        <v>961</v>
      </c>
      <c r="C1367" s="13" t="s">
        <v>962</v>
      </c>
      <c r="D1367" s="13">
        <v>99</v>
      </c>
      <c r="E1367" s="13" t="s">
        <v>15</v>
      </c>
      <c r="F1367" s="13">
        <v>1</v>
      </c>
      <c r="G1367" s="13" t="s">
        <v>16</v>
      </c>
      <c r="H1367" s="13" t="s">
        <v>17</v>
      </c>
      <c r="I1367" s="14">
        <v>4013310</v>
      </c>
      <c r="J1367" s="13" t="s">
        <v>909</v>
      </c>
      <c r="K1367" s="13">
        <v>99</v>
      </c>
      <c r="L1367" s="13" t="s">
        <v>15</v>
      </c>
      <c r="M1367" s="15">
        <v>10000</v>
      </c>
      <c r="N1367" s="13" t="s">
        <v>1</v>
      </c>
      <c r="O1367" s="16">
        <f t="shared" si="337"/>
        <v>1</v>
      </c>
      <c r="P1367" s="22">
        <f t="shared" si="338"/>
        <v>1400</v>
      </c>
    </row>
    <row r="1368" spans="1:16" x14ac:dyDescent="0.25">
      <c r="A1368" s="91"/>
      <c r="B1368" s="13" t="s">
        <v>961</v>
      </c>
      <c r="C1368" s="13" t="s">
        <v>962</v>
      </c>
      <c r="D1368" s="13">
        <v>99</v>
      </c>
      <c r="E1368" s="13" t="s">
        <v>15</v>
      </c>
      <c r="F1368" s="13">
        <v>1</v>
      </c>
      <c r="G1368" s="13" t="s">
        <v>16</v>
      </c>
      <c r="H1368" s="13" t="s">
        <v>17</v>
      </c>
      <c r="I1368" s="14">
        <v>4015174</v>
      </c>
      <c r="J1368" s="13" t="s">
        <v>871</v>
      </c>
      <c r="K1368" s="13">
        <v>99</v>
      </c>
      <c r="L1368" s="13" t="s">
        <v>15</v>
      </c>
      <c r="M1368" s="15">
        <v>10000</v>
      </c>
      <c r="N1368" s="13" t="s">
        <v>1</v>
      </c>
      <c r="O1368" s="16">
        <f t="shared" si="337"/>
        <v>1</v>
      </c>
      <c r="P1368" s="22">
        <f t="shared" si="338"/>
        <v>1400</v>
      </c>
    </row>
    <row r="1369" spans="1:16" x14ac:dyDescent="0.25">
      <c r="A1369" s="91"/>
      <c r="B1369" s="13" t="s">
        <v>961</v>
      </c>
      <c r="C1369" s="13" t="s">
        <v>962</v>
      </c>
      <c r="D1369" s="13">
        <v>99</v>
      </c>
      <c r="E1369" s="13" t="s">
        <v>15</v>
      </c>
      <c r="F1369" s="13">
        <v>1</v>
      </c>
      <c r="G1369" s="13" t="s">
        <v>16</v>
      </c>
      <c r="H1369" s="13" t="s">
        <v>17</v>
      </c>
      <c r="I1369" s="14">
        <v>4015442</v>
      </c>
      <c r="J1369" s="13" t="s">
        <v>888</v>
      </c>
      <c r="K1369" s="13">
        <v>99</v>
      </c>
      <c r="L1369" s="13" t="s">
        <v>15</v>
      </c>
      <c r="M1369" s="15">
        <v>3000</v>
      </c>
      <c r="N1369" s="13" t="s">
        <v>2</v>
      </c>
      <c r="O1369" s="16">
        <f t="shared" si="337"/>
        <v>0.3</v>
      </c>
      <c r="P1369" s="22">
        <f t="shared" si="338"/>
        <v>420</v>
      </c>
    </row>
    <row r="1370" spans="1:16" ht="15.75" thickBot="1" x14ac:dyDescent="0.3">
      <c r="A1370" s="90"/>
      <c r="B1370" s="23" t="s">
        <v>961</v>
      </c>
      <c r="C1370" s="23" t="s">
        <v>962</v>
      </c>
      <c r="D1370" s="23">
        <v>99</v>
      </c>
      <c r="E1370" s="23" t="s">
        <v>15</v>
      </c>
      <c r="F1370" s="23">
        <v>1</v>
      </c>
      <c r="G1370" s="23" t="s">
        <v>16</v>
      </c>
      <c r="H1370" s="23" t="s">
        <v>17</v>
      </c>
      <c r="I1370" s="24">
        <v>4016160</v>
      </c>
      <c r="J1370" s="23" t="s">
        <v>69</v>
      </c>
      <c r="K1370" s="23">
        <v>99</v>
      </c>
      <c r="L1370" s="23" t="s">
        <v>15</v>
      </c>
      <c r="M1370" s="23">
        <v>90</v>
      </c>
      <c r="N1370" s="23" t="s">
        <v>3</v>
      </c>
      <c r="O1370" s="26">
        <f t="shared" si="337"/>
        <v>8.9999999999999993E-3</v>
      </c>
      <c r="P1370" s="27">
        <f t="shared" si="338"/>
        <v>12.6</v>
      </c>
    </row>
    <row r="1371" spans="1:16" x14ac:dyDescent="0.25">
      <c r="B1371" s="1"/>
      <c r="C1371" s="1"/>
      <c r="D1371" s="1"/>
      <c r="E1371" s="1"/>
      <c r="F1371" s="1"/>
      <c r="G1371" s="1"/>
      <c r="H1371" s="1"/>
      <c r="I1371" s="2"/>
      <c r="J1371" s="1"/>
      <c r="K1371" s="1"/>
      <c r="L1371" s="1"/>
      <c r="M1371" s="1"/>
      <c r="N1371" s="1"/>
    </row>
    <row r="1372" spans="1:16" s="29" customFormat="1" ht="15.75" thickBot="1" x14ac:dyDescent="0.3">
      <c r="P1372" s="11">
        <f>IFERROR(VLOOKUP($A1373,'PROGRAMA MES '!$A:$B,2,0),0)</f>
        <v>800</v>
      </c>
    </row>
    <row r="1373" spans="1:16" x14ac:dyDescent="0.25">
      <c r="A1373" s="89" t="str">
        <f>B1373</f>
        <v>SP2735VD</v>
      </c>
      <c r="B1373" s="17" t="s">
        <v>964</v>
      </c>
      <c r="C1373" s="17" t="s">
        <v>965</v>
      </c>
      <c r="D1373" s="17">
        <v>99</v>
      </c>
      <c r="E1373" s="17" t="s">
        <v>15</v>
      </c>
      <c r="F1373" s="17">
        <v>1</v>
      </c>
      <c r="G1373" s="17" t="s">
        <v>35</v>
      </c>
      <c r="H1373" s="17" t="s">
        <v>17</v>
      </c>
      <c r="I1373" s="18">
        <v>3005122</v>
      </c>
      <c r="J1373" s="17" t="s">
        <v>904</v>
      </c>
      <c r="K1373" s="17">
        <v>99</v>
      </c>
      <c r="L1373" s="17" t="s">
        <v>15</v>
      </c>
      <c r="M1373" s="19">
        <v>29500</v>
      </c>
      <c r="N1373" s="17" t="s">
        <v>3</v>
      </c>
      <c r="O1373" s="20">
        <f t="shared" ref="O1373:O1379" si="339">M1373/10000</f>
        <v>2.95</v>
      </c>
      <c r="P1373" s="21">
        <f>O1373*$P$1372</f>
        <v>2360</v>
      </c>
    </row>
    <row r="1374" spans="1:16" x14ac:dyDescent="0.25">
      <c r="A1374" s="91"/>
      <c r="B1374" s="13" t="s">
        <v>964</v>
      </c>
      <c r="C1374" s="13" t="s">
        <v>965</v>
      </c>
      <c r="D1374" s="13">
        <v>99</v>
      </c>
      <c r="E1374" s="13" t="s">
        <v>15</v>
      </c>
      <c r="F1374" s="13">
        <v>1</v>
      </c>
      <c r="G1374" s="13" t="s">
        <v>16</v>
      </c>
      <c r="H1374" s="13" t="s">
        <v>17</v>
      </c>
      <c r="I1374" s="14">
        <v>4004820</v>
      </c>
      <c r="J1374" s="13" t="s">
        <v>867</v>
      </c>
      <c r="K1374" s="13">
        <v>99</v>
      </c>
      <c r="L1374" s="13" t="s">
        <v>15</v>
      </c>
      <c r="M1374" s="13">
        <v>10</v>
      </c>
      <c r="N1374" s="13" t="s">
        <v>1</v>
      </c>
      <c r="O1374" s="16">
        <f t="shared" si="339"/>
        <v>1E-3</v>
      </c>
      <c r="P1374" s="22">
        <f t="shared" ref="P1374:P1379" si="340">O1374*$P$1372</f>
        <v>0.8</v>
      </c>
    </row>
    <row r="1375" spans="1:16" x14ac:dyDescent="0.25">
      <c r="A1375" s="91"/>
      <c r="B1375" s="13" t="s">
        <v>964</v>
      </c>
      <c r="C1375" s="13" t="s">
        <v>965</v>
      </c>
      <c r="D1375" s="13">
        <v>99</v>
      </c>
      <c r="E1375" s="13" t="s">
        <v>15</v>
      </c>
      <c r="F1375" s="13">
        <v>1</v>
      </c>
      <c r="G1375" s="13" t="s">
        <v>16</v>
      </c>
      <c r="H1375" s="13" t="s">
        <v>17</v>
      </c>
      <c r="I1375" s="14">
        <v>4012169</v>
      </c>
      <c r="J1375" s="13" t="s">
        <v>966</v>
      </c>
      <c r="K1375" s="13">
        <v>99</v>
      </c>
      <c r="L1375" s="13" t="s">
        <v>15</v>
      </c>
      <c r="M1375" s="15">
        <v>10000</v>
      </c>
      <c r="N1375" s="13" t="s">
        <v>1</v>
      </c>
      <c r="O1375" s="16">
        <f t="shared" si="339"/>
        <v>1</v>
      </c>
      <c r="P1375" s="22">
        <f t="shared" si="340"/>
        <v>800</v>
      </c>
    </row>
    <row r="1376" spans="1:16" x14ac:dyDescent="0.25">
      <c r="A1376" s="91"/>
      <c r="B1376" s="13" t="s">
        <v>964</v>
      </c>
      <c r="C1376" s="13" t="s">
        <v>965</v>
      </c>
      <c r="D1376" s="13">
        <v>99</v>
      </c>
      <c r="E1376" s="13" t="s">
        <v>15</v>
      </c>
      <c r="F1376" s="13">
        <v>1</v>
      </c>
      <c r="G1376" s="13" t="s">
        <v>16</v>
      </c>
      <c r="H1376" s="13" t="s">
        <v>17</v>
      </c>
      <c r="I1376" s="14">
        <v>4013310</v>
      </c>
      <c r="J1376" s="13" t="s">
        <v>909</v>
      </c>
      <c r="K1376" s="13">
        <v>99</v>
      </c>
      <c r="L1376" s="13" t="s">
        <v>15</v>
      </c>
      <c r="M1376" s="15">
        <v>10000</v>
      </c>
      <c r="N1376" s="13" t="s">
        <v>1</v>
      </c>
      <c r="O1376" s="16">
        <f t="shared" si="339"/>
        <v>1</v>
      </c>
      <c r="P1376" s="22">
        <f t="shared" si="340"/>
        <v>800</v>
      </c>
    </row>
    <row r="1377" spans="1:16" x14ac:dyDescent="0.25">
      <c r="A1377" s="91"/>
      <c r="B1377" s="13" t="s">
        <v>964</v>
      </c>
      <c r="C1377" s="13" t="s">
        <v>965</v>
      </c>
      <c r="D1377" s="13">
        <v>99</v>
      </c>
      <c r="E1377" s="13" t="s">
        <v>15</v>
      </c>
      <c r="F1377" s="13">
        <v>1</v>
      </c>
      <c r="G1377" s="13" t="s">
        <v>16</v>
      </c>
      <c r="H1377" s="13" t="s">
        <v>17</v>
      </c>
      <c r="I1377" s="14">
        <v>4015174</v>
      </c>
      <c r="J1377" s="13" t="s">
        <v>871</v>
      </c>
      <c r="K1377" s="13">
        <v>99</v>
      </c>
      <c r="L1377" s="13" t="s">
        <v>15</v>
      </c>
      <c r="M1377" s="15">
        <v>10000</v>
      </c>
      <c r="N1377" s="13" t="s">
        <v>1</v>
      </c>
      <c r="O1377" s="16">
        <f t="shared" si="339"/>
        <v>1</v>
      </c>
      <c r="P1377" s="22">
        <f t="shared" si="340"/>
        <v>800</v>
      </c>
    </row>
    <row r="1378" spans="1:16" x14ac:dyDescent="0.25">
      <c r="A1378" s="91"/>
      <c r="B1378" s="13" t="s">
        <v>964</v>
      </c>
      <c r="C1378" s="13" t="s">
        <v>965</v>
      </c>
      <c r="D1378" s="13">
        <v>99</v>
      </c>
      <c r="E1378" s="13" t="s">
        <v>15</v>
      </c>
      <c r="F1378" s="13">
        <v>1</v>
      </c>
      <c r="G1378" s="13" t="s">
        <v>16</v>
      </c>
      <c r="H1378" s="13" t="s">
        <v>17</v>
      </c>
      <c r="I1378" s="14">
        <v>4015442</v>
      </c>
      <c r="J1378" s="13" t="s">
        <v>888</v>
      </c>
      <c r="K1378" s="13">
        <v>99</v>
      </c>
      <c r="L1378" s="13" t="s">
        <v>15</v>
      </c>
      <c r="M1378" s="15">
        <v>3000</v>
      </c>
      <c r="N1378" s="13" t="s">
        <v>2</v>
      </c>
      <c r="O1378" s="16">
        <f t="shared" si="339"/>
        <v>0.3</v>
      </c>
      <c r="P1378" s="22">
        <f t="shared" si="340"/>
        <v>240</v>
      </c>
    </row>
    <row r="1379" spans="1:16" ht="15.75" thickBot="1" x14ac:dyDescent="0.3">
      <c r="A1379" s="90"/>
      <c r="B1379" s="23" t="s">
        <v>964</v>
      </c>
      <c r="C1379" s="23" t="s">
        <v>965</v>
      </c>
      <c r="D1379" s="23">
        <v>99</v>
      </c>
      <c r="E1379" s="23" t="s">
        <v>15</v>
      </c>
      <c r="F1379" s="23">
        <v>1</v>
      </c>
      <c r="G1379" s="23" t="s">
        <v>16</v>
      </c>
      <c r="H1379" s="23" t="s">
        <v>17</v>
      </c>
      <c r="I1379" s="24">
        <v>4016160</v>
      </c>
      <c r="J1379" s="23" t="s">
        <v>69</v>
      </c>
      <c r="K1379" s="23">
        <v>99</v>
      </c>
      <c r="L1379" s="23" t="s">
        <v>15</v>
      </c>
      <c r="M1379" s="23">
        <v>90</v>
      </c>
      <c r="N1379" s="23" t="s">
        <v>3</v>
      </c>
      <c r="O1379" s="26">
        <f t="shared" si="339"/>
        <v>8.9999999999999993E-3</v>
      </c>
      <c r="P1379" s="27">
        <f t="shared" si="340"/>
        <v>7.1999999999999993</v>
      </c>
    </row>
    <row r="1380" spans="1:16" x14ac:dyDescent="0.25">
      <c r="B1380" s="1"/>
      <c r="C1380" s="1"/>
      <c r="D1380" s="1"/>
      <c r="E1380" s="1"/>
      <c r="F1380" s="1"/>
      <c r="G1380" s="1"/>
      <c r="H1380" s="1"/>
      <c r="I1380" s="2"/>
      <c r="J1380" s="1"/>
      <c r="K1380" s="1"/>
      <c r="L1380" s="1"/>
      <c r="M1380" s="1"/>
      <c r="N1380" s="1"/>
    </row>
    <row r="1381" spans="1:16" s="29" customFormat="1" ht="15.75" thickBot="1" x14ac:dyDescent="0.3">
      <c r="P1381" s="11">
        <f>IFERROR(VLOOKUP($A1382,'PROGRAMA MES '!$A:$B,2,0),0)</f>
        <v>1200</v>
      </c>
    </row>
    <row r="1382" spans="1:16" x14ac:dyDescent="0.25">
      <c r="A1382" s="89" t="str">
        <f>B1382</f>
        <v>SP274530AZ</v>
      </c>
      <c r="B1382" s="17" t="s">
        <v>967</v>
      </c>
      <c r="C1382" s="17" t="s">
        <v>968</v>
      </c>
      <c r="D1382" s="17">
        <v>99</v>
      </c>
      <c r="E1382" s="17" t="s">
        <v>15</v>
      </c>
      <c r="F1382" s="17">
        <v>1</v>
      </c>
      <c r="G1382" s="17" t="s">
        <v>35</v>
      </c>
      <c r="H1382" s="17" t="s">
        <v>17</v>
      </c>
      <c r="I1382" s="18">
        <v>3001476</v>
      </c>
      <c r="J1382" s="17" t="s">
        <v>969</v>
      </c>
      <c r="K1382" s="17">
        <v>99</v>
      </c>
      <c r="L1382" s="17" t="s">
        <v>15</v>
      </c>
      <c r="M1382" s="19">
        <v>3800</v>
      </c>
      <c r="N1382" s="17" t="s">
        <v>3</v>
      </c>
      <c r="O1382" s="20">
        <f t="shared" ref="O1382:O1389" si="341">M1382/10000</f>
        <v>0.38</v>
      </c>
      <c r="P1382" s="21">
        <f>O1382*$P$1381</f>
        <v>456</v>
      </c>
    </row>
    <row r="1383" spans="1:16" x14ac:dyDescent="0.25">
      <c r="A1383" s="91"/>
      <c r="B1383" s="13" t="s">
        <v>967</v>
      </c>
      <c r="C1383" s="13" t="s">
        <v>968</v>
      </c>
      <c r="D1383" s="13">
        <v>99</v>
      </c>
      <c r="E1383" s="13" t="s">
        <v>15</v>
      </c>
      <c r="F1383" s="13">
        <v>1</v>
      </c>
      <c r="G1383" s="13" t="s">
        <v>16</v>
      </c>
      <c r="H1383" s="13" t="s">
        <v>17</v>
      </c>
      <c r="I1383" s="14">
        <v>4002826</v>
      </c>
      <c r="J1383" s="13" t="s">
        <v>4</v>
      </c>
      <c r="K1383" s="13">
        <v>99</v>
      </c>
      <c r="L1383" s="13" t="s">
        <v>15</v>
      </c>
      <c r="M1383" s="13">
        <v>50</v>
      </c>
      <c r="N1383" s="13" t="s">
        <v>1</v>
      </c>
      <c r="O1383" s="16">
        <f t="shared" si="341"/>
        <v>5.0000000000000001E-3</v>
      </c>
      <c r="P1383" s="22">
        <f t="shared" ref="P1383:P1389" si="342">O1383*$P$1381</f>
        <v>6</v>
      </c>
    </row>
    <row r="1384" spans="1:16" x14ac:dyDescent="0.25">
      <c r="A1384" s="91"/>
      <c r="B1384" s="13" t="s">
        <v>967</v>
      </c>
      <c r="C1384" s="13" t="s">
        <v>968</v>
      </c>
      <c r="D1384" s="13">
        <v>99</v>
      </c>
      <c r="E1384" s="13" t="s">
        <v>15</v>
      </c>
      <c r="F1384" s="13">
        <v>1</v>
      </c>
      <c r="G1384" s="13" t="s">
        <v>16</v>
      </c>
      <c r="H1384" s="13" t="s">
        <v>17</v>
      </c>
      <c r="I1384" s="14">
        <v>4004700</v>
      </c>
      <c r="J1384" s="13" t="s">
        <v>970</v>
      </c>
      <c r="K1384" s="13">
        <v>99</v>
      </c>
      <c r="L1384" s="13" t="s">
        <v>15</v>
      </c>
      <c r="M1384" s="13">
        <v>834</v>
      </c>
      <c r="N1384" s="13" t="s">
        <v>1</v>
      </c>
      <c r="O1384" s="16">
        <f t="shared" si="341"/>
        <v>8.3400000000000002E-2</v>
      </c>
      <c r="P1384" s="22">
        <f t="shared" si="342"/>
        <v>100.08</v>
      </c>
    </row>
    <row r="1385" spans="1:16" x14ac:dyDescent="0.25">
      <c r="A1385" s="91"/>
      <c r="B1385" s="13" t="s">
        <v>967</v>
      </c>
      <c r="C1385" s="13" t="s">
        <v>968</v>
      </c>
      <c r="D1385" s="13">
        <v>99</v>
      </c>
      <c r="E1385" s="13" t="s">
        <v>15</v>
      </c>
      <c r="F1385" s="13">
        <v>1</v>
      </c>
      <c r="G1385" s="13" t="s">
        <v>16</v>
      </c>
      <c r="H1385" s="13" t="s">
        <v>17</v>
      </c>
      <c r="I1385" s="14">
        <v>4004820</v>
      </c>
      <c r="J1385" s="13" t="s">
        <v>867</v>
      </c>
      <c r="K1385" s="13">
        <v>99</v>
      </c>
      <c r="L1385" s="13" t="s">
        <v>15</v>
      </c>
      <c r="M1385" s="13">
        <v>1</v>
      </c>
      <c r="N1385" s="13" t="s">
        <v>1</v>
      </c>
      <c r="O1385" s="16">
        <f t="shared" si="341"/>
        <v>1E-4</v>
      </c>
      <c r="P1385" s="22">
        <f t="shared" si="342"/>
        <v>0.12000000000000001</v>
      </c>
    </row>
    <row r="1386" spans="1:16" x14ac:dyDescent="0.25">
      <c r="A1386" s="91"/>
      <c r="B1386" s="13" t="s">
        <v>967</v>
      </c>
      <c r="C1386" s="13" t="s">
        <v>968</v>
      </c>
      <c r="D1386" s="13">
        <v>99</v>
      </c>
      <c r="E1386" s="13" t="s">
        <v>15</v>
      </c>
      <c r="F1386" s="13">
        <v>1</v>
      </c>
      <c r="G1386" s="13" t="s">
        <v>16</v>
      </c>
      <c r="H1386" s="13" t="s">
        <v>17</v>
      </c>
      <c r="I1386" s="14">
        <v>4008681</v>
      </c>
      <c r="J1386" s="13" t="s">
        <v>869</v>
      </c>
      <c r="K1386" s="13">
        <v>99</v>
      </c>
      <c r="L1386" s="13" t="s">
        <v>15</v>
      </c>
      <c r="M1386" s="13">
        <v>60</v>
      </c>
      <c r="N1386" s="13" t="s">
        <v>3</v>
      </c>
      <c r="O1386" s="16">
        <f t="shared" si="341"/>
        <v>6.0000000000000001E-3</v>
      </c>
      <c r="P1386" s="22">
        <f t="shared" si="342"/>
        <v>7.2</v>
      </c>
    </row>
    <row r="1387" spans="1:16" x14ac:dyDescent="0.25">
      <c r="A1387" s="91"/>
      <c r="B1387" s="13" t="s">
        <v>967</v>
      </c>
      <c r="C1387" s="13" t="s">
        <v>968</v>
      </c>
      <c r="D1387" s="13">
        <v>99</v>
      </c>
      <c r="E1387" s="13" t="s">
        <v>15</v>
      </c>
      <c r="F1387" s="13">
        <v>1</v>
      </c>
      <c r="G1387" s="13" t="s">
        <v>16</v>
      </c>
      <c r="H1387" s="13" t="s">
        <v>17</v>
      </c>
      <c r="I1387" s="14">
        <v>4012142</v>
      </c>
      <c r="J1387" s="13" t="s">
        <v>971</v>
      </c>
      <c r="K1387" s="13">
        <v>99</v>
      </c>
      <c r="L1387" s="13" t="s">
        <v>15</v>
      </c>
      <c r="M1387" s="15">
        <v>10000</v>
      </c>
      <c r="N1387" s="13" t="s">
        <v>1</v>
      </c>
      <c r="O1387" s="16">
        <f t="shared" si="341"/>
        <v>1</v>
      </c>
      <c r="P1387" s="22">
        <f t="shared" si="342"/>
        <v>1200</v>
      </c>
    </row>
    <row r="1388" spans="1:16" x14ac:dyDescent="0.25">
      <c r="A1388" s="91"/>
      <c r="B1388" s="13" t="s">
        <v>967</v>
      </c>
      <c r="C1388" s="13" t="s">
        <v>968</v>
      </c>
      <c r="D1388" s="13">
        <v>99</v>
      </c>
      <c r="E1388" s="13" t="s">
        <v>15</v>
      </c>
      <c r="F1388" s="13">
        <v>1</v>
      </c>
      <c r="G1388" s="13" t="s">
        <v>16</v>
      </c>
      <c r="H1388" s="13" t="s">
        <v>17</v>
      </c>
      <c r="I1388" s="14">
        <v>4015174</v>
      </c>
      <c r="J1388" s="13" t="s">
        <v>871</v>
      </c>
      <c r="K1388" s="13">
        <v>99</v>
      </c>
      <c r="L1388" s="13" t="s">
        <v>15</v>
      </c>
      <c r="M1388" s="15">
        <v>10000</v>
      </c>
      <c r="N1388" s="13" t="s">
        <v>1</v>
      </c>
      <c r="O1388" s="16">
        <f t="shared" si="341"/>
        <v>1</v>
      </c>
      <c r="P1388" s="22">
        <f t="shared" si="342"/>
        <v>1200</v>
      </c>
    </row>
    <row r="1389" spans="1:16" ht="15.75" thickBot="1" x14ac:dyDescent="0.3">
      <c r="A1389" s="90"/>
      <c r="B1389" s="23" t="s">
        <v>967</v>
      </c>
      <c r="C1389" s="23" t="s">
        <v>968</v>
      </c>
      <c r="D1389" s="23">
        <v>99</v>
      </c>
      <c r="E1389" s="23" t="s">
        <v>15</v>
      </c>
      <c r="F1389" s="23">
        <v>1</v>
      </c>
      <c r="G1389" s="23" t="s">
        <v>16</v>
      </c>
      <c r="H1389" s="23" t="s">
        <v>17</v>
      </c>
      <c r="I1389" s="24">
        <v>4016160</v>
      </c>
      <c r="J1389" s="23" t="s">
        <v>69</v>
      </c>
      <c r="K1389" s="23">
        <v>99</v>
      </c>
      <c r="L1389" s="23" t="s">
        <v>15</v>
      </c>
      <c r="M1389" s="23">
        <v>15</v>
      </c>
      <c r="N1389" s="23" t="s">
        <v>3</v>
      </c>
      <c r="O1389" s="26">
        <f t="shared" si="341"/>
        <v>1.5E-3</v>
      </c>
      <c r="P1389" s="27">
        <f t="shared" si="342"/>
        <v>1.8</v>
      </c>
    </row>
    <row r="1390" spans="1:16" x14ac:dyDescent="0.25">
      <c r="B1390" s="1"/>
      <c r="C1390" s="1"/>
      <c r="D1390" s="1"/>
      <c r="E1390" s="1"/>
      <c r="F1390" s="1"/>
      <c r="G1390" s="1"/>
      <c r="H1390" s="1"/>
      <c r="I1390" s="2"/>
      <c r="J1390" s="1"/>
      <c r="K1390" s="1"/>
      <c r="L1390" s="1"/>
      <c r="M1390" s="1"/>
      <c r="N1390" s="1"/>
    </row>
    <row r="1391" spans="1:16" s="29" customFormat="1" ht="15.75" thickBot="1" x14ac:dyDescent="0.3">
      <c r="P1391" s="11">
        <f>IFERROR(VLOOKUP($A1392,'PROGRAMA MES '!$A:$B,2,0),0)</f>
        <v>0</v>
      </c>
    </row>
    <row r="1392" spans="1:16" x14ac:dyDescent="0.25">
      <c r="A1392" s="89" t="str">
        <f>B1392</f>
        <v>SP274530BR</v>
      </c>
      <c r="B1392" s="17" t="s">
        <v>972</v>
      </c>
      <c r="C1392" s="17" t="s">
        <v>973</v>
      </c>
      <c r="D1392" s="17">
        <v>99</v>
      </c>
      <c r="E1392" s="17" t="s">
        <v>15</v>
      </c>
      <c r="F1392" s="17">
        <v>1</v>
      </c>
      <c r="G1392" s="17" t="s">
        <v>35</v>
      </c>
      <c r="H1392" s="17" t="s">
        <v>17</v>
      </c>
      <c r="I1392" s="18">
        <v>3001479</v>
      </c>
      <c r="J1392" s="17" t="s">
        <v>974</v>
      </c>
      <c r="K1392" s="17">
        <v>99</v>
      </c>
      <c r="L1392" s="17" t="s">
        <v>15</v>
      </c>
      <c r="M1392" s="19">
        <v>3800</v>
      </c>
      <c r="N1392" s="17" t="s">
        <v>3</v>
      </c>
      <c r="O1392" s="20">
        <f t="shared" ref="O1392:O1399" si="343">M1392/10000</f>
        <v>0.38</v>
      </c>
      <c r="P1392" s="21">
        <f>O1392*$P$1391</f>
        <v>0</v>
      </c>
    </row>
    <row r="1393" spans="1:16" x14ac:dyDescent="0.25">
      <c r="A1393" s="91"/>
      <c r="B1393" s="13" t="s">
        <v>972</v>
      </c>
      <c r="C1393" s="13" t="s">
        <v>973</v>
      </c>
      <c r="D1393" s="13">
        <v>99</v>
      </c>
      <c r="E1393" s="13" t="s">
        <v>15</v>
      </c>
      <c r="F1393" s="13">
        <v>1</v>
      </c>
      <c r="G1393" s="13" t="s">
        <v>16</v>
      </c>
      <c r="H1393" s="13" t="s">
        <v>17</v>
      </c>
      <c r="I1393" s="14">
        <v>4002826</v>
      </c>
      <c r="J1393" s="13" t="s">
        <v>4</v>
      </c>
      <c r="K1393" s="13">
        <v>99</v>
      </c>
      <c r="L1393" s="13" t="s">
        <v>15</v>
      </c>
      <c r="M1393" s="13">
        <v>50</v>
      </c>
      <c r="N1393" s="13" t="s">
        <v>1</v>
      </c>
      <c r="O1393" s="16">
        <f t="shared" si="343"/>
        <v>5.0000000000000001E-3</v>
      </c>
      <c r="P1393" s="22">
        <f t="shared" ref="P1393:P1399" si="344">O1393*$P$1391</f>
        <v>0</v>
      </c>
    </row>
    <row r="1394" spans="1:16" x14ac:dyDescent="0.25">
      <c r="A1394" s="91"/>
      <c r="B1394" s="13" t="s">
        <v>972</v>
      </c>
      <c r="C1394" s="13" t="s">
        <v>973</v>
      </c>
      <c r="D1394" s="13">
        <v>99</v>
      </c>
      <c r="E1394" s="13" t="s">
        <v>15</v>
      </c>
      <c r="F1394" s="13">
        <v>1</v>
      </c>
      <c r="G1394" s="13" t="s">
        <v>16</v>
      </c>
      <c r="H1394" s="13" t="s">
        <v>17</v>
      </c>
      <c r="I1394" s="14">
        <v>4004700</v>
      </c>
      <c r="J1394" s="13" t="s">
        <v>970</v>
      </c>
      <c r="K1394" s="13">
        <v>99</v>
      </c>
      <c r="L1394" s="13" t="s">
        <v>15</v>
      </c>
      <c r="M1394" s="13">
        <v>834</v>
      </c>
      <c r="N1394" s="13" t="s">
        <v>1</v>
      </c>
      <c r="O1394" s="16">
        <f t="shared" si="343"/>
        <v>8.3400000000000002E-2</v>
      </c>
      <c r="P1394" s="22">
        <f t="shared" si="344"/>
        <v>0</v>
      </c>
    </row>
    <row r="1395" spans="1:16" x14ac:dyDescent="0.25">
      <c r="A1395" s="91"/>
      <c r="B1395" s="13" t="s">
        <v>972</v>
      </c>
      <c r="C1395" s="13" t="s">
        <v>973</v>
      </c>
      <c r="D1395" s="13">
        <v>99</v>
      </c>
      <c r="E1395" s="13" t="s">
        <v>15</v>
      </c>
      <c r="F1395" s="13">
        <v>1</v>
      </c>
      <c r="G1395" s="13" t="s">
        <v>16</v>
      </c>
      <c r="H1395" s="13" t="s">
        <v>17</v>
      </c>
      <c r="I1395" s="14">
        <v>4004820</v>
      </c>
      <c r="J1395" s="13" t="s">
        <v>867</v>
      </c>
      <c r="K1395" s="13">
        <v>99</v>
      </c>
      <c r="L1395" s="13" t="s">
        <v>15</v>
      </c>
      <c r="M1395" s="13">
        <v>1</v>
      </c>
      <c r="N1395" s="13" t="s">
        <v>1</v>
      </c>
      <c r="O1395" s="16">
        <f t="shared" si="343"/>
        <v>1E-4</v>
      </c>
      <c r="P1395" s="22">
        <f t="shared" si="344"/>
        <v>0</v>
      </c>
    </row>
    <row r="1396" spans="1:16" x14ac:dyDescent="0.25">
      <c r="A1396" s="91"/>
      <c r="B1396" s="13" t="s">
        <v>972</v>
      </c>
      <c r="C1396" s="13" t="s">
        <v>973</v>
      </c>
      <c r="D1396" s="13">
        <v>99</v>
      </c>
      <c r="E1396" s="13" t="s">
        <v>15</v>
      </c>
      <c r="F1396" s="13">
        <v>1</v>
      </c>
      <c r="G1396" s="13" t="s">
        <v>16</v>
      </c>
      <c r="H1396" s="13" t="s">
        <v>17</v>
      </c>
      <c r="I1396" s="14">
        <v>4008681</v>
      </c>
      <c r="J1396" s="13" t="s">
        <v>869</v>
      </c>
      <c r="K1396" s="13">
        <v>99</v>
      </c>
      <c r="L1396" s="13" t="s">
        <v>15</v>
      </c>
      <c r="M1396" s="13">
        <v>60</v>
      </c>
      <c r="N1396" s="13" t="s">
        <v>3</v>
      </c>
      <c r="O1396" s="16">
        <f t="shared" si="343"/>
        <v>6.0000000000000001E-3</v>
      </c>
      <c r="P1396" s="22">
        <f t="shared" si="344"/>
        <v>0</v>
      </c>
    </row>
    <row r="1397" spans="1:16" x14ac:dyDescent="0.25">
      <c r="A1397" s="91"/>
      <c r="B1397" s="13" t="s">
        <v>972</v>
      </c>
      <c r="C1397" s="13" t="s">
        <v>973</v>
      </c>
      <c r="D1397" s="13">
        <v>99</v>
      </c>
      <c r="E1397" s="13" t="s">
        <v>15</v>
      </c>
      <c r="F1397" s="13">
        <v>1</v>
      </c>
      <c r="G1397" s="13" t="s">
        <v>16</v>
      </c>
      <c r="H1397" s="13" t="s">
        <v>17</v>
      </c>
      <c r="I1397" s="14">
        <v>4012148</v>
      </c>
      <c r="J1397" s="13" t="s">
        <v>975</v>
      </c>
      <c r="K1397" s="13">
        <v>99</v>
      </c>
      <c r="L1397" s="13" t="s">
        <v>15</v>
      </c>
      <c r="M1397" s="15">
        <v>10000</v>
      </c>
      <c r="N1397" s="13" t="s">
        <v>1</v>
      </c>
      <c r="O1397" s="16">
        <f t="shared" si="343"/>
        <v>1</v>
      </c>
      <c r="P1397" s="22">
        <f t="shared" si="344"/>
        <v>0</v>
      </c>
    </row>
    <row r="1398" spans="1:16" x14ac:dyDescent="0.25">
      <c r="A1398" s="91"/>
      <c r="B1398" s="13" t="s">
        <v>972</v>
      </c>
      <c r="C1398" s="13" t="s">
        <v>973</v>
      </c>
      <c r="D1398" s="13">
        <v>99</v>
      </c>
      <c r="E1398" s="13" t="s">
        <v>15</v>
      </c>
      <c r="F1398" s="13">
        <v>1</v>
      </c>
      <c r="G1398" s="13" t="s">
        <v>16</v>
      </c>
      <c r="H1398" s="13" t="s">
        <v>17</v>
      </c>
      <c r="I1398" s="14">
        <v>4015174</v>
      </c>
      <c r="J1398" s="13" t="s">
        <v>871</v>
      </c>
      <c r="K1398" s="13">
        <v>99</v>
      </c>
      <c r="L1398" s="13" t="s">
        <v>15</v>
      </c>
      <c r="M1398" s="15">
        <v>10000</v>
      </c>
      <c r="N1398" s="13" t="s">
        <v>1</v>
      </c>
      <c r="O1398" s="16">
        <f t="shared" si="343"/>
        <v>1</v>
      </c>
      <c r="P1398" s="22">
        <f t="shared" si="344"/>
        <v>0</v>
      </c>
    </row>
    <row r="1399" spans="1:16" ht="15.75" thickBot="1" x14ac:dyDescent="0.3">
      <c r="A1399" s="90"/>
      <c r="B1399" s="23" t="s">
        <v>972</v>
      </c>
      <c r="C1399" s="23" t="s">
        <v>973</v>
      </c>
      <c r="D1399" s="23">
        <v>99</v>
      </c>
      <c r="E1399" s="23" t="s">
        <v>15</v>
      </c>
      <c r="F1399" s="23">
        <v>1</v>
      </c>
      <c r="G1399" s="23" t="s">
        <v>16</v>
      </c>
      <c r="H1399" s="23" t="s">
        <v>17</v>
      </c>
      <c r="I1399" s="24">
        <v>4016160</v>
      </c>
      <c r="J1399" s="23" t="s">
        <v>69</v>
      </c>
      <c r="K1399" s="23">
        <v>99</v>
      </c>
      <c r="L1399" s="23" t="s">
        <v>15</v>
      </c>
      <c r="M1399" s="23">
        <v>15</v>
      </c>
      <c r="N1399" s="23" t="s">
        <v>3</v>
      </c>
      <c r="O1399" s="26">
        <f t="shared" si="343"/>
        <v>1.5E-3</v>
      </c>
      <c r="P1399" s="27">
        <f t="shared" si="344"/>
        <v>0</v>
      </c>
    </row>
    <row r="1400" spans="1:16" x14ac:dyDescent="0.25">
      <c r="B1400" s="1"/>
      <c r="C1400" s="1"/>
      <c r="D1400" s="1"/>
      <c r="E1400" s="1"/>
      <c r="F1400" s="1"/>
      <c r="G1400" s="1"/>
      <c r="H1400" s="1"/>
      <c r="I1400" s="2"/>
      <c r="J1400" s="1"/>
      <c r="K1400" s="1"/>
      <c r="L1400" s="1"/>
      <c r="M1400" s="1"/>
      <c r="N1400" s="1"/>
    </row>
    <row r="1401" spans="1:16" s="29" customFormat="1" ht="15.75" thickBot="1" x14ac:dyDescent="0.3">
      <c r="P1401" s="11">
        <f>IFERROR(VLOOKUP($A1402,'PROGRAMA MES '!$A:$B,2,0),0)</f>
        <v>0</v>
      </c>
    </row>
    <row r="1402" spans="1:16" x14ac:dyDescent="0.25">
      <c r="A1402" s="89" t="str">
        <f>B1402</f>
        <v>SP274530LR</v>
      </c>
      <c r="B1402" s="17" t="s">
        <v>976</v>
      </c>
      <c r="C1402" s="17" t="s">
        <v>977</v>
      </c>
      <c r="D1402" s="17">
        <v>99</v>
      </c>
      <c r="E1402" s="17" t="s">
        <v>15</v>
      </c>
      <c r="F1402" s="17">
        <v>1</v>
      </c>
      <c r="G1402" s="17" t="s">
        <v>35</v>
      </c>
      <c r="H1402" s="17" t="s">
        <v>17</v>
      </c>
      <c r="I1402" s="18">
        <v>3001475</v>
      </c>
      <c r="J1402" s="17" t="s">
        <v>978</v>
      </c>
      <c r="K1402" s="17">
        <v>99</v>
      </c>
      <c r="L1402" s="17" t="s">
        <v>15</v>
      </c>
      <c r="M1402" s="19">
        <v>3800</v>
      </c>
      <c r="N1402" s="17" t="s">
        <v>3</v>
      </c>
      <c r="O1402" s="20">
        <f t="shared" ref="O1402:O1409" si="345">M1402/10000</f>
        <v>0.38</v>
      </c>
      <c r="P1402" s="21">
        <f>O1402*$P$1401</f>
        <v>0</v>
      </c>
    </row>
    <row r="1403" spans="1:16" x14ac:dyDescent="0.25">
      <c r="A1403" s="91"/>
      <c r="B1403" s="13" t="s">
        <v>976</v>
      </c>
      <c r="C1403" s="13" t="s">
        <v>977</v>
      </c>
      <c r="D1403" s="13">
        <v>99</v>
      </c>
      <c r="E1403" s="13" t="s">
        <v>15</v>
      </c>
      <c r="F1403" s="13">
        <v>1</v>
      </c>
      <c r="G1403" s="13" t="s">
        <v>16</v>
      </c>
      <c r="H1403" s="13" t="s">
        <v>17</v>
      </c>
      <c r="I1403" s="14">
        <v>4002826</v>
      </c>
      <c r="J1403" s="13" t="s">
        <v>4</v>
      </c>
      <c r="K1403" s="13">
        <v>99</v>
      </c>
      <c r="L1403" s="13" t="s">
        <v>15</v>
      </c>
      <c r="M1403" s="13">
        <v>50</v>
      </c>
      <c r="N1403" s="13" t="s">
        <v>1</v>
      </c>
      <c r="O1403" s="16">
        <f t="shared" si="345"/>
        <v>5.0000000000000001E-3</v>
      </c>
      <c r="P1403" s="22">
        <f t="shared" ref="P1403:P1409" si="346">O1403*$P$1401</f>
        <v>0</v>
      </c>
    </row>
    <row r="1404" spans="1:16" x14ac:dyDescent="0.25">
      <c r="A1404" s="91"/>
      <c r="B1404" s="13" t="s">
        <v>976</v>
      </c>
      <c r="C1404" s="13" t="s">
        <v>977</v>
      </c>
      <c r="D1404" s="13">
        <v>99</v>
      </c>
      <c r="E1404" s="13" t="s">
        <v>15</v>
      </c>
      <c r="F1404" s="13">
        <v>1</v>
      </c>
      <c r="G1404" s="13" t="s">
        <v>16</v>
      </c>
      <c r="H1404" s="13" t="s">
        <v>17</v>
      </c>
      <c r="I1404" s="14">
        <v>4004700</v>
      </c>
      <c r="J1404" s="13" t="s">
        <v>970</v>
      </c>
      <c r="K1404" s="13">
        <v>99</v>
      </c>
      <c r="L1404" s="13" t="s">
        <v>15</v>
      </c>
      <c r="M1404" s="13">
        <v>834</v>
      </c>
      <c r="N1404" s="13" t="s">
        <v>1</v>
      </c>
      <c r="O1404" s="16">
        <f t="shared" si="345"/>
        <v>8.3400000000000002E-2</v>
      </c>
      <c r="P1404" s="22">
        <f t="shared" si="346"/>
        <v>0</v>
      </c>
    </row>
    <row r="1405" spans="1:16" x14ac:dyDescent="0.25">
      <c r="A1405" s="91"/>
      <c r="B1405" s="13" t="s">
        <v>976</v>
      </c>
      <c r="C1405" s="13" t="s">
        <v>977</v>
      </c>
      <c r="D1405" s="13">
        <v>99</v>
      </c>
      <c r="E1405" s="13" t="s">
        <v>15</v>
      </c>
      <c r="F1405" s="13">
        <v>1</v>
      </c>
      <c r="G1405" s="13" t="s">
        <v>16</v>
      </c>
      <c r="H1405" s="13" t="s">
        <v>17</v>
      </c>
      <c r="I1405" s="14">
        <v>4004820</v>
      </c>
      <c r="J1405" s="13" t="s">
        <v>867</v>
      </c>
      <c r="K1405" s="13">
        <v>99</v>
      </c>
      <c r="L1405" s="13" t="s">
        <v>15</v>
      </c>
      <c r="M1405" s="13">
        <v>1</v>
      </c>
      <c r="N1405" s="13" t="s">
        <v>1</v>
      </c>
      <c r="O1405" s="16">
        <f t="shared" si="345"/>
        <v>1E-4</v>
      </c>
      <c r="P1405" s="22">
        <f t="shared" si="346"/>
        <v>0</v>
      </c>
    </row>
    <row r="1406" spans="1:16" x14ac:dyDescent="0.25">
      <c r="A1406" s="91"/>
      <c r="B1406" s="13" t="s">
        <v>976</v>
      </c>
      <c r="C1406" s="13" t="s">
        <v>977</v>
      </c>
      <c r="D1406" s="13">
        <v>99</v>
      </c>
      <c r="E1406" s="13" t="s">
        <v>15</v>
      </c>
      <c r="F1406" s="13">
        <v>1</v>
      </c>
      <c r="G1406" s="13" t="s">
        <v>16</v>
      </c>
      <c r="H1406" s="13" t="s">
        <v>17</v>
      </c>
      <c r="I1406" s="14">
        <v>4008681</v>
      </c>
      <c r="J1406" s="13" t="s">
        <v>869</v>
      </c>
      <c r="K1406" s="13">
        <v>99</v>
      </c>
      <c r="L1406" s="13" t="s">
        <v>15</v>
      </c>
      <c r="M1406" s="13">
        <v>60</v>
      </c>
      <c r="N1406" s="13" t="s">
        <v>3</v>
      </c>
      <c r="O1406" s="16">
        <f t="shared" si="345"/>
        <v>6.0000000000000001E-3</v>
      </c>
      <c r="P1406" s="22">
        <f t="shared" si="346"/>
        <v>0</v>
      </c>
    </row>
    <row r="1407" spans="1:16" x14ac:dyDescent="0.25">
      <c r="A1407" s="91"/>
      <c r="B1407" s="13" t="s">
        <v>976</v>
      </c>
      <c r="C1407" s="13" t="s">
        <v>977</v>
      </c>
      <c r="D1407" s="13">
        <v>99</v>
      </c>
      <c r="E1407" s="13" t="s">
        <v>15</v>
      </c>
      <c r="F1407" s="13">
        <v>1</v>
      </c>
      <c r="G1407" s="13" t="s">
        <v>16</v>
      </c>
      <c r="H1407" s="13" t="s">
        <v>17</v>
      </c>
      <c r="I1407" s="14">
        <v>4012146</v>
      </c>
      <c r="J1407" s="13" t="s">
        <v>979</v>
      </c>
      <c r="K1407" s="13">
        <v>99</v>
      </c>
      <c r="L1407" s="13" t="s">
        <v>15</v>
      </c>
      <c r="M1407" s="15">
        <v>10000</v>
      </c>
      <c r="N1407" s="13" t="s">
        <v>1</v>
      </c>
      <c r="O1407" s="16">
        <f t="shared" si="345"/>
        <v>1</v>
      </c>
      <c r="P1407" s="22">
        <f t="shared" si="346"/>
        <v>0</v>
      </c>
    </row>
    <row r="1408" spans="1:16" x14ac:dyDescent="0.25">
      <c r="A1408" s="91"/>
      <c r="B1408" s="13" t="s">
        <v>976</v>
      </c>
      <c r="C1408" s="13" t="s">
        <v>977</v>
      </c>
      <c r="D1408" s="13">
        <v>99</v>
      </c>
      <c r="E1408" s="13" t="s">
        <v>15</v>
      </c>
      <c r="F1408" s="13">
        <v>1</v>
      </c>
      <c r="G1408" s="13" t="s">
        <v>16</v>
      </c>
      <c r="H1408" s="13" t="s">
        <v>17</v>
      </c>
      <c r="I1408" s="14">
        <v>4015174</v>
      </c>
      <c r="J1408" s="13" t="s">
        <v>871</v>
      </c>
      <c r="K1408" s="13">
        <v>99</v>
      </c>
      <c r="L1408" s="13" t="s">
        <v>15</v>
      </c>
      <c r="M1408" s="15">
        <v>10000</v>
      </c>
      <c r="N1408" s="13" t="s">
        <v>1</v>
      </c>
      <c r="O1408" s="16">
        <f t="shared" si="345"/>
        <v>1</v>
      </c>
      <c r="P1408" s="22">
        <f t="shared" si="346"/>
        <v>0</v>
      </c>
    </row>
    <row r="1409" spans="1:16" ht="15.75" thickBot="1" x14ac:dyDescent="0.3">
      <c r="A1409" s="90"/>
      <c r="B1409" s="23" t="s">
        <v>976</v>
      </c>
      <c r="C1409" s="23" t="s">
        <v>977</v>
      </c>
      <c r="D1409" s="23">
        <v>99</v>
      </c>
      <c r="E1409" s="23" t="s">
        <v>15</v>
      </c>
      <c r="F1409" s="23">
        <v>1</v>
      </c>
      <c r="G1409" s="23" t="s">
        <v>16</v>
      </c>
      <c r="H1409" s="23" t="s">
        <v>17</v>
      </c>
      <c r="I1409" s="24">
        <v>4016160</v>
      </c>
      <c r="J1409" s="23" t="s">
        <v>69</v>
      </c>
      <c r="K1409" s="23">
        <v>99</v>
      </c>
      <c r="L1409" s="23" t="s">
        <v>15</v>
      </c>
      <c r="M1409" s="23">
        <v>15</v>
      </c>
      <c r="N1409" s="23" t="s">
        <v>3</v>
      </c>
      <c r="O1409" s="26">
        <f t="shared" si="345"/>
        <v>1.5E-3</v>
      </c>
      <c r="P1409" s="27">
        <f t="shared" si="346"/>
        <v>0</v>
      </c>
    </row>
    <row r="1410" spans="1:16" x14ac:dyDescent="0.25">
      <c r="B1410" s="1"/>
      <c r="C1410" s="1"/>
      <c r="D1410" s="1"/>
      <c r="E1410" s="1"/>
      <c r="F1410" s="1"/>
      <c r="G1410" s="1"/>
      <c r="H1410" s="1"/>
      <c r="I1410" s="2"/>
      <c r="J1410" s="1"/>
      <c r="K1410" s="1"/>
      <c r="L1410" s="1"/>
      <c r="M1410" s="1"/>
      <c r="N1410" s="1"/>
    </row>
    <row r="1411" spans="1:16" s="29" customFormat="1" ht="15.75" thickBot="1" x14ac:dyDescent="0.3">
      <c r="P1411" s="11">
        <f>IFERROR(VLOOKUP($A1412,'PROGRAMA MES '!$A:$B,2,0),0)</f>
        <v>0</v>
      </c>
    </row>
    <row r="1412" spans="1:16" x14ac:dyDescent="0.25">
      <c r="A1412" s="89" t="str">
        <f>B1412</f>
        <v>SP274530VD</v>
      </c>
      <c r="B1412" s="17" t="s">
        <v>980</v>
      </c>
      <c r="C1412" s="17" t="s">
        <v>981</v>
      </c>
      <c r="D1412" s="17">
        <v>99</v>
      </c>
      <c r="E1412" s="17" t="s">
        <v>15</v>
      </c>
      <c r="F1412" s="17">
        <v>1</v>
      </c>
      <c r="G1412" s="17" t="s">
        <v>35</v>
      </c>
      <c r="H1412" s="17" t="s">
        <v>17</v>
      </c>
      <c r="I1412" s="18">
        <v>3001477</v>
      </c>
      <c r="J1412" s="17" t="s">
        <v>982</v>
      </c>
      <c r="K1412" s="17">
        <v>99</v>
      </c>
      <c r="L1412" s="17" t="s">
        <v>15</v>
      </c>
      <c r="M1412" s="19">
        <v>3800</v>
      </c>
      <c r="N1412" s="17" t="s">
        <v>3</v>
      </c>
      <c r="O1412" s="20">
        <f t="shared" ref="O1412:O1419" si="347">M1412/10000</f>
        <v>0.38</v>
      </c>
      <c r="P1412" s="21">
        <f>O1412*$P$1411</f>
        <v>0</v>
      </c>
    </row>
    <row r="1413" spans="1:16" x14ac:dyDescent="0.25">
      <c r="A1413" s="91"/>
      <c r="B1413" s="13" t="s">
        <v>980</v>
      </c>
      <c r="C1413" s="13" t="s">
        <v>981</v>
      </c>
      <c r="D1413" s="13">
        <v>99</v>
      </c>
      <c r="E1413" s="13" t="s">
        <v>15</v>
      </c>
      <c r="F1413" s="13">
        <v>1</v>
      </c>
      <c r="G1413" s="13" t="s">
        <v>16</v>
      </c>
      <c r="H1413" s="13" t="s">
        <v>17</v>
      </c>
      <c r="I1413" s="14">
        <v>4002826</v>
      </c>
      <c r="J1413" s="13" t="s">
        <v>4</v>
      </c>
      <c r="K1413" s="13">
        <v>99</v>
      </c>
      <c r="L1413" s="13" t="s">
        <v>15</v>
      </c>
      <c r="M1413" s="13">
        <v>50</v>
      </c>
      <c r="N1413" s="13" t="s">
        <v>1</v>
      </c>
      <c r="O1413" s="16">
        <f t="shared" si="347"/>
        <v>5.0000000000000001E-3</v>
      </c>
      <c r="P1413" s="22">
        <f t="shared" ref="P1413:P1419" si="348">O1413*$P$1411</f>
        <v>0</v>
      </c>
    </row>
    <row r="1414" spans="1:16" x14ac:dyDescent="0.25">
      <c r="A1414" s="91"/>
      <c r="B1414" s="13" t="s">
        <v>980</v>
      </c>
      <c r="C1414" s="13" t="s">
        <v>981</v>
      </c>
      <c r="D1414" s="13">
        <v>99</v>
      </c>
      <c r="E1414" s="13" t="s">
        <v>15</v>
      </c>
      <c r="F1414" s="13">
        <v>1</v>
      </c>
      <c r="G1414" s="13" t="s">
        <v>16</v>
      </c>
      <c r="H1414" s="13" t="s">
        <v>17</v>
      </c>
      <c r="I1414" s="14">
        <v>4004700</v>
      </c>
      <c r="J1414" s="13" t="s">
        <v>970</v>
      </c>
      <c r="K1414" s="13">
        <v>99</v>
      </c>
      <c r="L1414" s="13" t="s">
        <v>15</v>
      </c>
      <c r="M1414" s="13">
        <v>834</v>
      </c>
      <c r="N1414" s="13" t="s">
        <v>1</v>
      </c>
      <c r="O1414" s="16">
        <f t="shared" si="347"/>
        <v>8.3400000000000002E-2</v>
      </c>
      <c r="P1414" s="22">
        <f t="shared" si="348"/>
        <v>0</v>
      </c>
    </row>
    <row r="1415" spans="1:16" x14ac:dyDescent="0.25">
      <c r="A1415" s="91"/>
      <c r="B1415" s="13" t="s">
        <v>980</v>
      </c>
      <c r="C1415" s="13" t="s">
        <v>981</v>
      </c>
      <c r="D1415" s="13">
        <v>99</v>
      </c>
      <c r="E1415" s="13" t="s">
        <v>15</v>
      </c>
      <c r="F1415" s="13">
        <v>1</v>
      </c>
      <c r="G1415" s="13" t="s">
        <v>16</v>
      </c>
      <c r="H1415" s="13" t="s">
        <v>17</v>
      </c>
      <c r="I1415" s="14">
        <v>4004820</v>
      </c>
      <c r="J1415" s="13" t="s">
        <v>867</v>
      </c>
      <c r="K1415" s="13">
        <v>99</v>
      </c>
      <c r="L1415" s="13" t="s">
        <v>15</v>
      </c>
      <c r="M1415" s="13">
        <v>1</v>
      </c>
      <c r="N1415" s="13" t="s">
        <v>1</v>
      </c>
      <c r="O1415" s="16">
        <f t="shared" si="347"/>
        <v>1E-4</v>
      </c>
      <c r="P1415" s="22">
        <f t="shared" si="348"/>
        <v>0</v>
      </c>
    </row>
    <row r="1416" spans="1:16" x14ac:dyDescent="0.25">
      <c r="A1416" s="91"/>
      <c r="B1416" s="13" t="s">
        <v>980</v>
      </c>
      <c r="C1416" s="13" t="s">
        <v>981</v>
      </c>
      <c r="D1416" s="13">
        <v>99</v>
      </c>
      <c r="E1416" s="13" t="s">
        <v>15</v>
      </c>
      <c r="F1416" s="13">
        <v>1</v>
      </c>
      <c r="G1416" s="13" t="s">
        <v>16</v>
      </c>
      <c r="H1416" s="13" t="s">
        <v>17</v>
      </c>
      <c r="I1416" s="14">
        <v>4008681</v>
      </c>
      <c r="J1416" s="13" t="s">
        <v>869</v>
      </c>
      <c r="K1416" s="13">
        <v>99</v>
      </c>
      <c r="L1416" s="13" t="s">
        <v>15</v>
      </c>
      <c r="M1416" s="13">
        <v>60</v>
      </c>
      <c r="N1416" s="13" t="s">
        <v>3</v>
      </c>
      <c r="O1416" s="16">
        <f t="shared" si="347"/>
        <v>6.0000000000000001E-3</v>
      </c>
      <c r="P1416" s="22">
        <f t="shared" si="348"/>
        <v>0</v>
      </c>
    </row>
    <row r="1417" spans="1:16" x14ac:dyDescent="0.25">
      <c r="A1417" s="91"/>
      <c r="B1417" s="13" t="s">
        <v>980</v>
      </c>
      <c r="C1417" s="13" t="s">
        <v>981</v>
      </c>
      <c r="D1417" s="13">
        <v>99</v>
      </c>
      <c r="E1417" s="13" t="s">
        <v>15</v>
      </c>
      <c r="F1417" s="13">
        <v>1</v>
      </c>
      <c r="G1417" s="13" t="s">
        <v>16</v>
      </c>
      <c r="H1417" s="13" t="s">
        <v>17</v>
      </c>
      <c r="I1417" s="14">
        <v>4012147</v>
      </c>
      <c r="J1417" s="13" t="s">
        <v>983</v>
      </c>
      <c r="K1417" s="13">
        <v>99</v>
      </c>
      <c r="L1417" s="13" t="s">
        <v>15</v>
      </c>
      <c r="M1417" s="15">
        <v>10000</v>
      </c>
      <c r="N1417" s="13" t="s">
        <v>1</v>
      </c>
      <c r="O1417" s="16">
        <f t="shared" si="347"/>
        <v>1</v>
      </c>
      <c r="P1417" s="22">
        <f t="shared" si="348"/>
        <v>0</v>
      </c>
    </row>
    <row r="1418" spans="1:16" x14ac:dyDescent="0.25">
      <c r="A1418" s="91"/>
      <c r="B1418" s="13" t="s">
        <v>980</v>
      </c>
      <c r="C1418" s="13" t="s">
        <v>981</v>
      </c>
      <c r="D1418" s="13">
        <v>99</v>
      </c>
      <c r="E1418" s="13" t="s">
        <v>15</v>
      </c>
      <c r="F1418" s="13">
        <v>1</v>
      </c>
      <c r="G1418" s="13" t="s">
        <v>16</v>
      </c>
      <c r="H1418" s="13" t="s">
        <v>17</v>
      </c>
      <c r="I1418" s="14">
        <v>4015174</v>
      </c>
      <c r="J1418" s="13" t="s">
        <v>871</v>
      </c>
      <c r="K1418" s="13">
        <v>99</v>
      </c>
      <c r="L1418" s="13" t="s">
        <v>15</v>
      </c>
      <c r="M1418" s="15">
        <v>10000</v>
      </c>
      <c r="N1418" s="13" t="s">
        <v>1</v>
      </c>
      <c r="O1418" s="16">
        <f t="shared" si="347"/>
        <v>1</v>
      </c>
      <c r="P1418" s="22">
        <f t="shared" si="348"/>
        <v>0</v>
      </c>
    </row>
    <row r="1419" spans="1:16" ht="15.75" thickBot="1" x14ac:dyDescent="0.3">
      <c r="A1419" s="90"/>
      <c r="B1419" s="23" t="s">
        <v>980</v>
      </c>
      <c r="C1419" s="23" t="s">
        <v>981</v>
      </c>
      <c r="D1419" s="23">
        <v>99</v>
      </c>
      <c r="E1419" s="23" t="s">
        <v>15</v>
      </c>
      <c r="F1419" s="23">
        <v>1</v>
      </c>
      <c r="G1419" s="23" t="s">
        <v>16</v>
      </c>
      <c r="H1419" s="23" t="s">
        <v>17</v>
      </c>
      <c r="I1419" s="24">
        <v>4016160</v>
      </c>
      <c r="J1419" s="23" t="s">
        <v>69</v>
      </c>
      <c r="K1419" s="23">
        <v>99</v>
      </c>
      <c r="L1419" s="23" t="s">
        <v>15</v>
      </c>
      <c r="M1419" s="23">
        <v>15</v>
      </c>
      <c r="N1419" s="23" t="s">
        <v>3</v>
      </c>
      <c r="O1419" s="26">
        <f t="shared" si="347"/>
        <v>1.5E-3</v>
      </c>
      <c r="P1419" s="27">
        <f t="shared" si="348"/>
        <v>0</v>
      </c>
    </row>
    <row r="1420" spans="1:16" x14ac:dyDescent="0.25">
      <c r="B1420" s="1"/>
      <c r="C1420" s="1"/>
      <c r="D1420" s="1"/>
      <c r="E1420" s="1"/>
      <c r="F1420" s="1"/>
      <c r="G1420" s="1"/>
      <c r="H1420" s="1"/>
      <c r="I1420" s="2"/>
      <c r="J1420" s="1"/>
      <c r="K1420" s="1"/>
      <c r="L1420" s="1"/>
      <c r="M1420" s="1"/>
      <c r="N1420" s="1"/>
    </row>
    <row r="1421" spans="1:16" s="29" customFormat="1" ht="15.75" thickBot="1" x14ac:dyDescent="0.3">
      <c r="P1421" s="11">
        <f>IFERROR(VLOOKUP($A1422,'PROGRAMA MES '!$A:$B,2,0),0)</f>
        <v>1000</v>
      </c>
    </row>
    <row r="1422" spans="1:16" x14ac:dyDescent="0.25">
      <c r="A1422" s="89" t="str">
        <f>B1422</f>
        <v>SP2745AZ</v>
      </c>
      <c r="B1422" s="17" t="s">
        <v>984</v>
      </c>
      <c r="C1422" s="17" t="s">
        <v>985</v>
      </c>
      <c r="D1422" s="17">
        <v>99</v>
      </c>
      <c r="E1422" s="17" t="s">
        <v>15</v>
      </c>
      <c r="F1422" s="17">
        <v>1</v>
      </c>
      <c r="G1422" s="17" t="s">
        <v>35</v>
      </c>
      <c r="H1422" s="17" t="s">
        <v>17</v>
      </c>
      <c r="I1422" s="18">
        <v>3001476</v>
      </c>
      <c r="J1422" s="17" t="s">
        <v>969</v>
      </c>
      <c r="K1422" s="17">
        <v>99</v>
      </c>
      <c r="L1422" s="17" t="s">
        <v>15</v>
      </c>
      <c r="M1422" s="19">
        <v>37920</v>
      </c>
      <c r="N1422" s="17" t="s">
        <v>3</v>
      </c>
      <c r="O1422" s="20">
        <f t="shared" ref="O1422:O1428" si="349">M1422/10000</f>
        <v>3.7919999999999998</v>
      </c>
      <c r="P1422" s="21">
        <f>O1422*$P$1421</f>
        <v>3792</v>
      </c>
    </row>
    <row r="1423" spans="1:16" x14ac:dyDescent="0.25">
      <c r="A1423" s="91"/>
      <c r="B1423" s="13" t="s">
        <v>984</v>
      </c>
      <c r="C1423" s="13" t="s">
        <v>985</v>
      </c>
      <c r="D1423" s="13">
        <v>99</v>
      </c>
      <c r="E1423" s="13" t="s">
        <v>15</v>
      </c>
      <c r="F1423" s="13">
        <v>1</v>
      </c>
      <c r="G1423" s="13" t="s">
        <v>16</v>
      </c>
      <c r="H1423" s="13" t="s">
        <v>17</v>
      </c>
      <c r="I1423" s="14">
        <v>4004820</v>
      </c>
      <c r="J1423" s="13" t="s">
        <v>867</v>
      </c>
      <c r="K1423" s="13">
        <v>99</v>
      </c>
      <c r="L1423" s="13" t="s">
        <v>15</v>
      </c>
      <c r="M1423" s="13">
        <v>10</v>
      </c>
      <c r="N1423" s="13" t="s">
        <v>1</v>
      </c>
      <c r="O1423" s="16">
        <f t="shared" si="349"/>
        <v>1E-3</v>
      </c>
      <c r="P1423" s="22">
        <f t="shared" ref="P1423:P1428" si="350">O1423*$P$1421</f>
        <v>1</v>
      </c>
    </row>
    <row r="1424" spans="1:16" x14ac:dyDescent="0.25">
      <c r="A1424" s="91"/>
      <c r="B1424" s="13" t="s">
        <v>984</v>
      </c>
      <c r="C1424" s="13" t="s">
        <v>985</v>
      </c>
      <c r="D1424" s="13">
        <v>99</v>
      </c>
      <c r="E1424" s="13" t="s">
        <v>15</v>
      </c>
      <c r="F1424" s="13">
        <v>1</v>
      </c>
      <c r="G1424" s="13" t="s">
        <v>16</v>
      </c>
      <c r="H1424" s="13" t="s">
        <v>17</v>
      </c>
      <c r="I1424" s="14">
        <v>4012141</v>
      </c>
      <c r="J1424" s="13" t="s">
        <v>986</v>
      </c>
      <c r="K1424" s="13">
        <v>99</v>
      </c>
      <c r="L1424" s="13" t="s">
        <v>15</v>
      </c>
      <c r="M1424" s="15">
        <v>10000</v>
      </c>
      <c r="N1424" s="13" t="s">
        <v>1</v>
      </c>
      <c r="O1424" s="16">
        <f t="shared" si="349"/>
        <v>1</v>
      </c>
      <c r="P1424" s="22">
        <f t="shared" si="350"/>
        <v>1000</v>
      </c>
    </row>
    <row r="1425" spans="1:16" x14ac:dyDescent="0.25">
      <c r="A1425" s="91"/>
      <c r="B1425" s="13" t="s">
        <v>984</v>
      </c>
      <c r="C1425" s="13" t="s">
        <v>985</v>
      </c>
      <c r="D1425" s="13">
        <v>99</v>
      </c>
      <c r="E1425" s="13" t="s">
        <v>15</v>
      </c>
      <c r="F1425" s="13">
        <v>1</v>
      </c>
      <c r="G1425" s="13" t="s">
        <v>16</v>
      </c>
      <c r="H1425" s="13" t="s">
        <v>17</v>
      </c>
      <c r="I1425" s="14">
        <v>4013310</v>
      </c>
      <c r="J1425" s="13" t="s">
        <v>909</v>
      </c>
      <c r="K1425" s="13">
        <v>99</v>
      </c>
      <c r="L1425" s="13" t="s">
        <v>15</v>
      </c>
      <c r="M1425" s="15">
        <v>10000</v>
      </c>
      <c r="N1425" s="13" t="s">
        <v>1</v>
      </c>
      <c r="O1425" s="16">
        <f t="shared" si="349"/>
        <v>1</v>
      </c>
      <c r="P1425" s="22">
        <f t="shared" si="350"/>
        <v>1000</v>
      </c>
    </row>
    <row r="1426" spans="1:16" x14ac:dyDescent="0.25">
      <c r="A1426" s="91"/>
      <c r="B1426" s="13" t="s">
        <v>984</v>
      </c>
      <c r="C1426" s="13" t="s">
        <v>985</v>
      </c>
      <c r="D1426" s="13">
        <v>99</v>
      </c>
      <c r="E1426" s="13" t="s">
        <v>15</v>
      </c>
      <c r="F1426" s="13">
        <v>1</v>
      </c>
      <c r="G1426" s="13" t="s">
        <v>16</v>
      </c>
      <c r="H1426" s="13" t="s">
        <v>17</v>
      </c>
      <c r="I1426" s="14">
        <v>4015174</v>
      </c>
      <c r="J1426" s="13" t="s">
        <v>871</v>
      </c>
      <c r="K1426" s="13">
        <v>99</v>
      </c>
      <c r="L1426" s="13" t="s">
        <v>15</v>
      </c>
      <c r="M1426" s="15">
        <v>10000</v>
      </c>
      <c r="N1426" s="13" t="s">
        <v>1</v>
      </c>
      <c r="O1426" s="16">
        <f t="shared" si="349"/>
        <v>1</v>
      </c>
      <c r="P1426" s="22">
        <f t="shared" si="350"/>
        <v>1000</v>
      </c>
    </row>
    <row r="1427" spans="1:16" x14ac:dyDescent="0.25">
      <c r="A1427" s="91"/>
      <c r="B1427" s="13" t="s">
        <v>984</v>
      </c>
      <c r="C1427" s="13" t="s">
        <v>985</v>
      </c>
      <c r="D1427" s="13">
        <v>99</v>
      </c>
      <c r="E1427" s="13" t="s">
        <v>15</v>
      </c>
      <c r="F1427" s="13">
        <v>1</v>
      </c>
      <c r="G1427" s="13" t="s">
        <v>16</v>
      </c>
      <c r="H1427" s="13" t="s">
        <v>17</v>
      </c>
      <c r="I1427" s="14">
        <v>4015442</v>
      </c>
      <c r="J1427" s="13" t="s">
        <v>888</v>
      </c>
      <c r="K1427" s="13">
        <v>99</v>
      </c>
      <c r="L1427" s="13" t="s">
        <v>15</v>
      </c>
      <c r="M1427" s="15">
        <v>3000</v>
      </c>
      <c r="N1427" s="13" t="s">
        <v>2</v>
      </c>
      <c r="O1427" s="16">
        <f t="shared" si="349"/>
        <v>0.3</v>
      </c>
      <c r="P1427" s="22">
        <f t="shared" si="350"/>
        <v>300</v>
      </c>
    </row>
    <row r="1428" spans="1:16" ht="15.75" thickBot="1" x14ac:dyDescent="0.3">
      <c r="A1428" s="90"/>
      <c r="B1428" s="23" t="s">
        <v>984</v>
      </c>
      <c r="C1428" s="23" t="s">
        <v>985</v>
      </c>
      <c r="D1428" s="23">
        <v>99</v>
      </c>
      <c r="E1428" s="23" t="s">
        <v>15</v>
      </c>
      <c r="F1428" s="23">
        <v>1</v>
      </c>
      <c r="G1428" s="23" t="s">
        <v>16</v>
      </c>
      <c r="H1428" s="23" t="s">
        <v>17</v>
      </c>
      <c r="I1428" s="24">
        <v>4016160</v>
      </c>
      <c r="J1428" s="23" t="s">
        <v>69</v>
      </c>
      <c r="K1428" s="23">
        <v>99</v>
      </c>
      <c r="L1428" s="23" t="s">
        <v>15</v>
      </c>
      <c r="M1428" s="23">
        <v>90</v>
      </c>
      <c r="N1428" s="23" t="s">
        <v>3</v>
      </c>
      <c r="O1428" s="26">
        <f t="shared" si="349"/>
        <v>8.9999999999999993E-3</v>
      </c>
      <c r="P1428" s="27">
        <f t="shared" si="350"/>
        <v>9</v>
      </c>
    </row>
    <row r="1429" spans="1:16" x14ac:dyDescent="0.25">
      <c r="B1429" s="1"/>
      <c r="C1429" s="1"/>
      <c r="D1429" s="1"/>
      <c r="E1429" s="1"/>
      <c r="F1429" s="1"/>
      <c r="G1429" s="1"/>
      <c r="H1429" s="1"/>
      <c r="I1429" s="2"/>
      <c r="J1429" s="1"/>
      <c r="K1429" s="1"/>
      <c r="L1429" s="1"/>
      <c r="M1429" s="1"/>
      <c r="N1429" s="1"/>
    </row>
    <row r="1430" spans="1:16" s="29" customFormat="1" ht="15.75" thickBot="1" x14ac:dyDescent="0.3">
      <c r="P1430" s="11">
        <f>IFERROR(VLOOKUP($A1431,'PROGRAMA MES '!$A:$B,2,0),0)</f>
        <v>400</v>
      </c>
    </row>
    <row r="1431" spans="1:16" x14ac:dyDescent="0.25">
      <c r="A1431" s="89" t="str">
        <f>B1431</f>
        <v>SP2745BR</v>
      </c>
      <c r="B1431" s="17" t="s">
        <v>987</v>
      </c>
      <c r="C1431" s="17" t="s">
        <v>988</v>
      </c>
      <c r="D1431" s="17">
        <v>99</v>
      </c>
      <c r="E1431" s="17" t="s">
        <v>15</v>
      </c>
      <c r="F1431" s="17">
        <v>1</v>
      </c>
      <c r="G1431" s="17" t="s">
        <v>35</v>
      </c>
      <c r="H1431" s="17" t="s">
        <v>17</v>
      </c>
      <c r="I1431" s="18">
        <v>3001479</v>
      </c>
      <c r="J1431" s="17" t="s">
        <v>974</v>
      </c>
      <c r="K1431" s="17">
        <v>99</v>
      </c>
      <c r="L1431" s="17" t="s">
        <v>15</v>
      </c>
      <c r="M1431" s="19">
        <v>37920</v>
      </c>
      <c r="N1431" s="17" t="s">
        <v>3</v>
      </c>
      <c r="O1431" s="20">
        <f t="shared" ref="O1431:O1437" si="351">M1431/10000</f>
        <v>3.7919999999999998</v>
      </c>
      <c r="P1431" s="21">
        <f>O1431*$P$1430</f>
        <v>1516.8</v>
      </c>
    </row>
    <row r="1432" spans="1:16" x14ac:dyDescent="0.25">
      <c r="A1432" s="91"/>
      <c r="B1432" s="13" t="s">
        <v>987</v>
      </c>
      <c r="C1432" s="13" t="s">
        <v>988</v>
      </c>
      <c r="D1432" s="13">
        <v>99</v>
      </c>
      <c r="E1432" s="13" t="s">
        <v>15</v>
      </c>
      <c r="F1432" s="13">
        <v>1</v>
      </c>
      <c r="G1432" s="13" t="s">
        <v>16</v>
      </c>
      <c r="H1432" s="13" t="s">
        <v>17</v>
      </c>
      <c r="I1432" s="14">
        <v>4004820</v>
      </c>
      <c r="J1432" s="13" t="s">
        <v>867</v>
      </c>
      <c r="K1432" s="13">
        <v>99</v>
      </c>
      <c r="L1432" s="13" t="s">
        <v>15</v>
      </c>
      <c r="M1432" s="13">
        <v>10</v>
      </c>
      <c r="N1432" s="13" t="s">
        <v>1</v>
      </c>
      <c r="O1432" s="16">
        <f t="shared" si="351"/>
        <v>1E-3</v>
      </c>
      <c r="P1432" s="22">
        <f t="shared" ref="P1432:P1437" si="352">O1432*$P$1430</f>
        <v>0.4</v>
      </c>
    </row>
    <row r="1433" spans="1:16" x14ac:dyDescent="0.25">
      <c r="A1433" s="91"/>
      <c r="B1433" s="13" t="s">
        <v>987</v>
      </c>
      <c r="C1433" s="13" t="s">
        <v>988</v>
      </c>
      <c r="D1433" s="13">
        <v>99</v>
      </c>
      <c r="E1433" s="13" t="s">
        <v>15</v>
      </c>
      <c r="F1433" s="13">
        <v>1</v>
      </c>
      <c r="G1433" s="13" t="s">
        <v>16</v>
      </c>
      <c r="H1433" s="13" t="s">
        <v>17</v>
      </c>
      <c r="I1433" s="14">
        <v>4012143</v>
      </c>
      <c r="J1433" s="13" t="s">
        <v>989</v>
      </c>
      <c r="K1433" s="13">
        <v>99</v>
      </c>
      <c r="L1433" s="13" t="s">
        <v>15</v>
      </c>
      <c r="M1433" s="15">
        <v>10000</v>
      </c>
      <c r="N1433" s="13" t="s">
        <v>1</v>
      </c>
      <c r="O1433" s="16">
        <f t="shared" si="351"/>
        <v>1</v>
      </c>
      <c r="P1433" s="22">
        <f t="shared" si="352"/>
        <v>400</v>
      </c>
    </row>
    <row r="1434" spans="1:16" x14ac:dyDescent="0.25">
      <c r="A1434" s="91"/>
      <c r="B1434" s="13" t="s">
        <v>987</v>
      </c>
      <c r="C1434" s="13" t="s">
        <v>988</v>
      </c>
      <c r="D1434" s="13">
        <v>99</v>
      </c>
      <c r="E1434" s="13" t="s">
        <v>15</v>
      </c>
      <c r="F1434" s="13">
        <v>1</v>
      </c>
      <c r="G1434" s="13" t="s">
        <v>16</v>
      </c>
      <c r="H1434" s="13" t="s">
        <v>17</v>
      </c>
      <c r="I1434" s="14">
        <v>4013310</v>
      </c>
      <c r="J1434" s="13" t="s">
        <v>909</v>
      </c>
      <c r="K1434" s="13">
        <v>99</v>
      </c>
      <c r="L1434" s="13" t="s">
        <v>15</v>
      </c>
      <c r="M1434" s="15">
        <v>10000</v>
      </c>
      <c r="N1434" s="13" t="s">
        <v>1</v>
      </c>
      <c r="O1434" s="16">
        <f t="shared" si="351"/>
        <v>1</v>
      </c>
      <c r="P1434" s="22">
        <f t="shared" si="352"/>
        <v>400</v>
      </c>
    </row>
    <row r="1435" spans="1:16" x14ac:dyDescent="0.25">
      <c r="A1435" s="91"/>
      <c r="B1435" s="13" t="s">
        <v>987</v>
      </c>
      <c r="C1435" s="13" t="s">
        <v>988</v>
      </c>
      <c r="D1435" s="13">
        <v>99</v>
      </c>
      <c r="E1435" s="13" t="s">
        <v>15</v>
      </c>
      <c r="F1435" s="13">
        <v>1</v>
      </c>
      <c r="G1435" s="13" t="s">
        <v>16</v>
      </c>
      <c r="H1435" s="13" t="s">
        <v>17</v>
      </c>
      <c r="I1435" s="14">
        <v>4015174</v>
      </c>
      <c r="J1435" s="13" t="s">
        <v>871</v>
      </c>
      <c r="K1435" s="13">
        <v>99</v>
      </c>
      <c r="L1435" s="13" t="s">
        <v>15</v>
      </c>
      <c r="M1435" s="15">
        <v>10000</v>
      </c>
      <c r="N1435" s="13" t="s">
        <v>1</v>
      </c>
      <c r="O1435" s="16">
        <f t="shared" si="351"/>
        <v>1</v>
      </c>
      <c r="P1435" s="22">
        <f t="shared" si="352"/>
        <v>400</v>
      </c>
    </row>
    <row r="1436" spans="1:16" x14ac:dyDescent="0.25">
      <c r="A1436" s="91"/>
      <c r="B1436" s="13" t="s">
        <v>987</v>
      </c>
      <c r="C1436" s="13" t="s">
        <v>988</v>
      </c>
      <c r="D1436" s="13">
        <v>99</v>
      </c>
      <c r="E1436" s="13" t="s">
        <v>15</v>
      </c>
      <c r="F1436" s="13">
        <v>1</v>
      </c>
      <c r="G1436" s="13" t="s">
        <v>16</v>
      </c>
      <c r="H1436" s="13" t="s">
        <v>17</v>
      </c>
      <c r="I1436" s="14">
        <v>4015442</v>
      </c>
      <c r="J1436" s="13" t="s">
        <v>888</v>
      </c>
      <c r="K1436" s="13">
        <v>99</v>
      </c>
      <c r="L1436" s="13" t="s">
        <v>15</v>
      </c>
      <c r="M1436" s="15">
        <v>3000</v>
      </c>
      <c r="N1436" s="13" t="s">
        <v>2</v>
      </c>
      <c r="O1436" s="16">
        <f t="shared" si="351"/>
        <v>0.3</v>
      </c>
      <c r="P1436" s="22">
        <f t="shared" si="352"/>
        <v>120</v>
      </c>
    </row>
    <row r="1437" spans="1:16" ht="15.75" thickBot="1" x14ac:dyDescent="0.3">
      <c r="A1437" s="90"/>
      <c r="B1437" s="23" t="s">
        <v>987</v>
      </c>
      <c r="C1437" s="23" t="s">
        <v>988</v>
      </c>
      <c r="D1437" s="23">
        <v>99</v>
      </c>
      <c r="E1437" s="23" t="s">
        <v>15</v>
      </c>
      <c r="F1437" s="23">
        <v>1</v>
      </c>
      <c r="G1437" s="23" t="s">
        <v>16</v>
      </c>
      <c r="H1437" s="23" t="s">
        <v>17</v>
      </c>
      <c r="I1437" s="24">
        <v>4016160</v>
      </c>
      <c r="J1437" s="23" t="s">
        <v>69</v>
      </c>
      <c r="K1437" s="23">
        <v>99</v>
      </c>
      <c r="L1437" s="23" t="s">
        <v>15</v>
      </c>
      <c r="M1437" s="23">
        <v>90</v>
      </c>
      <c r="N1437" s="23" t="s">
        <v>3</v>
      </c>
      <c r="O1437" s="26">
        <f t="shared" si="351"/>
        <v>8.9999999999999993E-3</v>
      </c>
      <c r="P1437" s="27">
        <f t="shared" si="352"/>
        <v>3.5999999999999996</v>
      </c>
    </row>
    <row r="1438" spans="1:16" x14ac:dyDescent="0.25">
      <c r="B1438" s="1"/>
      <c r="C1438" s="1"/>
      <c r="D1438" s="1"/>
      <c r="E1438" s="1"/>
      <c r="F1438" s="1"/>
      <c r="G1438" s="1"/>
      <c r="H1438" s="1"/>
      <c r="I1438" s="2"/>
      <c r="J1438" s="1"/>
      <c r="K1438" s="1"/>
      <c r="L1438" s="1"/>
      <c r="M1438" s="1"/>
      <c r="N1438" s="1"/>
    </row>
    <row r="1439" spans="1:16" s="29" customFormat="1" ht="15.75" thickBot="1" x14ac:dyDescent="0.3">
      <c r="P1439" s="11">
        <f>IFERROR(VLOOKUP($A1440,'PROGRAMA MES '!$A:$B,2,0),0)</f>
        <v>400</v>
      </c>
    </row>
    <row r="1440" spans="1:16" x14ac:dyDescent="0.25">
      <c r="A1440" s="89" t="str">
        <f>B1440</f>
        <v>SP2745LR</v>
      </c>
      <c r="B1440" s="17" t="s">
        <v>990</v>
      </c>
      <c r="C1440" s="17" t="s">
        <v>991</v>
      </c>
      <c r="D1440" s="17">
        <v>99</v>
      </c>
      <c r="E1440" s="17" t="s">
        <v>15</v>
      </c>
      <c r="F1440" s="17">
        <v>1</v>
      </c>
      <c r="G1440" s="17" t="s">
        <v>35</v>
      </c>
      <c r="H1440" s="17" t="s">
        <v>17</v>
      </c>
      <c r="I1440" s="18">
        <v>3001475</v>
      </c>
      <c r="J1440" s="17" t="s">
        <v>978</v>
      </c>
      <c r="K1440" s="17">
        <v>99</v>
      </c>
      <c r="L1440" s="17" t="s">
        <v>15</v>
      </c>
      <c r="M1440" s="19">
        <v>37920</v>
      </c>
      <c r="N1440" s="17" t="s">
        <v>3</v>
      </c>
      <c r="O1440" s="20">
        <f t="shared" ref="O1440:O1446" si="353">M1440/10000</f>
        <v>3.7919999999999998</v>
      </c>
      <c r="P1440" s="21">
        <f>O1440*$P$1439</f>
        <v>1516.8</v>
      </c>
    </row>
    <row r="1441" spans="1:16" x14ac:dyDescent="0.25">
      <c r="A1441" s="91"/>
      <c r="B1441" s="13" t="s">
        <v>990</v>
      </c>
      <c r="C1441" s="13" t="s">
        <v>991</v>
      </c>
      <c r="D1441" s="13">
        <v>99</v>
      </c>
      <c r="E1441" s="13" t="s">
        <v>15</v>
      </c>
      <c r="F1441" s="13">
        <v>1</v>
      </c>
      <c r="G1441" s="13" t="s">
        <v>16</v>
      </c>
      <c r="H1441" s="13" t="s">
        <v>17</v>
      </c>
      <c r="I1441" s="14">
        <v>4004820</v>
      </c>
      <c r="J1441" s="13" t="s">
        <v>867</v>
      </c>
      <c r="K1441" s="13">
        <v>99</v>
      </c>
      <c r="L1441" s="13" t="s">
        <v>15</v>
      </c>
      <c r="M1441" s="13">
        <v>10</v>
      </c>
      <c r="N1441" s="13" t="s">
        <v>1</v>
      </c>
      <c r="O1441" s="16">
        <f t="shared" si="353"/>
        <v>1E-3</v>
      </c>
      <c r="P1441" s="22">
        <f t="shared" ref="P1441:P1446" si="354">O1441*$P$1439</f>
        <v>0.4</v>
      </c>
    </row>
    <row r="1442" spans="1:16" x14ac:dyDescent="0.25">
      <c r="A1442" s="91"/>
      <c r="B1442" s="13" t="s">
        <v>990</v>
      </c>
      <c r="C1442" s="13" t="s">
        <v>991</v>
      </c>
      <c r="D1442" s="13">
        <v>99</v>
      </c>
      <c r="E1442" s="13" t="s">
        <v>15</v>
      </c>
      <c r="F1442" s="13">
        <v>1</v>
      </c>
      <c r="G1442" s="13" t="s">
        <v>16</v>
      </c>
      <c r="H1442" s="13" t="s">
        <v>17</v>
      </c>
      <c r="I1442" s="14">
        <v>4012144</v>
      </c>
      <c r="J1442" s="13" t="s">
        <v>992</v>
      </c>
      <c r="K1442" s="13">
        <v>99</v>
      </c>
      <c r="L1442" s="13" t="s">
        <v>15</v>
      </c>
      <c r="M1442" s="15">
        <v>10000</v>
      </c>
      <c r="N1442" s="13" t="s">
        <v>1</v>
      </c>
      <c r="O1442" s="16">
        <f t="shared" si="353"/>
        <v>1</v>
      </c>
      <c r="P1442" s="22">
        <f t="shared" si="354"/>
        <v>400</v>
      </c>
    </row>
    <row r="1443" spans="1:16" x14ac:dyDescent="0.25">
      <c r="A1443" s="91"/>
      <c r="B1443" s="13" t="s">
        <v>990</v>
      </c>
      <c r="C1443" s="13" t="s">
        <v>991</v>
      </c>
      <c r="D1443" s="13">
        <v>99</v>
      </c>
      <c r="E1443" s="13" t="s">
        <v>15</v>
      </c>
      <c r="F1443" s="13">
        <v>1</v>
      </c>
      <c r="G1443" s="13" t="s">
        <v>16</v>
      </c>
      <c r="H1443" s="13" t="s">
        <v>17</v>
      </c>
      <c r="I1443" s="14">
        <v>4013310</v>
      </c>
      <c r="J1443" s="13" t="s">
        <v>909</v>
      </c>
      <c r="K1443" s="13">
        <v>99</v>
      </c>
      <c r="L1443" s="13" t="s">
        <v>15</v>
      </c>
      <c r="M1443" s="15">
        <v>10000</v>
      </c>
      <c r="N1443" s="13" t="s">
        <v>1</v>
      </c>
      <c r="O1443" s="16">
        <f t="shared" si="353"/>
        <v>1</v>
      </c>
      <c r="P1443" s="22">
        <f t="shared" si="354"/>
        <v>400</v>
      </c>
    </row>
    <row r="1444" spans="1:16" x14ac:dyDescent="0.25">
      <c r="A1444" s="91"/>
      <c r="B1444" s="13" t="s">
        <v>990</v>
      </c>
      <c r="C1444" s="13" t="s">
        <v>991</v>
      </c>
      <c r="D1444" s="13">
        <v>99</v>
      </c>
      <c r="E1444" s="13" t="s">
        <v>15</v>
      </c>
      <c r="F1444" s="13">
        <v>1</v>
      </c>
      <c r="G1444" s="13" t="s">
        <v>16</v>
      </c>
      <c r="H1444" s="13" t="s">
        <v>17</v>
      </c>
      <c r="I1444" s="14">
        <v>4015174</v>
      </c>
      <c r="J1444" s="13" t="s">
        <v>871</v>
      </c>
      <c r="K1444" s="13">
        <v>99</v>
      </c>
      <c r="L1444" s="13" t="s">
        <v>15</v>
      </c>
      <c r="M1444" s="15">
        <v>10000</v>
      </c>
      <c r="N1444" s="13" t="s">
        <v>1</v>
      </c>
      <c r="O1444" s="16">
        <f t="shared" si="353"/>
        <v>1</v>
      </c>
      <c r="P1444" s="22">
        <f t="shared" si="354"/>
        <v>400</v>
      </c>
    </row>
    <row r="1445" spans="1:16" x14ac:dyDescent="0.25">
      <c r="A1445" s="91"/>
      <c r="B1445" s="13" t="s">
        <v>990</v>
      </c>
      <c r="C1445" s="13" t="s">
        <v>991</v>
      </c>
      <c r="D1445" s="13">
        <v>99</v>
      </c>
      <c r="E1445" s="13" t="s">
        <v>15</v>
      </c>
      <c r="F1445" s="13">
        <v>1</v>
      </c>
      <c r="G1445" s="13" t="s">
        <v>16</v>
      </c>
      <c r="H1445" s="13" t="s">
        <v>17</v>
      </c>
      <c r="I1445" s="14">
        <v>4015442</v>
      </c>
      <c r="J1445" s="13" t="s">
        <v>888</v>
      </c>
      <c r="K1445" s="13">
        <v>99</v>
      </c>
      <c r="L1445" s="13" t="s">
        <v>15</v>
      </c>
      <c r="M1445" s="15">
        <v>3000</v>
      </c>
      <c r="N1445" s="13" t="s">
        <v>2</v>
      </c>
      <c r="O1445" s="16">
        <f t="shared" si="353"/>
        <v>0.3</v>
      </c>
      <c r="P1445" s="22">
        <f t="shared" si="354"/>
        <v>120</v>
      </c>
    </row>
    <row r="1446" spans="1:16" ht="15.75" thickBot="1" x14ac:dyDescent="0.3">
      <c r="A1446" s="90"/>
      <c r="B1446" s="23" t="s">
        <v>990</v>
      </c>
      <c r="C1446" s="23" t="s">
        <v>991</v>
      </c>
      <c r="D1446" s="23">
        <v>99</v>
      </c>
      <c r="E1446" s="23" t="s">
        <v>15</v>
      </c>
      <c r="F1446" s="23">
        <v>1</v>
      </c>
      <c r="G1446" s="23" t="s">
        <v>16</v>
      </c>
      <c r="H1446" s="23" t="s">
        <v>17</v>
      </c>
      <c r="I1446" s="24">
        <v>4016160</v>
      </c>
      <c r="J1446" s="23" t="s">
        <v>69</v>
      </c>
      <c r="K1446" s="23">
        <v>99</v>
      </c>
      <c r="L1446" s="23" t="s">
        <v>15</v>
      </c>
      <c r="M1446" s="23">
        <v>90</v>
      </c>
      <c r="N1446" s="23" t="s">
        <v>3</v>
      </c>
      <c r="O1446" s="26">
        <f t="shared" si="353"/>
        <v>8.9999999999999993E-3</v>
      </c>
      <c r="P1446" s="27">
        <f t="shared" si="354"/>
        <v>3.5999999999999996</v>
      </c>
    </row>
    <row r="1447" spans="1:16" x14ac:dyDescent="0.25">
      <c r="B1447" s="1"/>
      <c r="C1447" s="1"/>
      <c r="D1447" s="1"/>
      <c r="E1447" s="1"/>
      <c r="F1447" s="1"/>
      <c r="G1447" s="1"/>
      <c r="H1447" s="1"/>
      <c r="I1447" s="2"/>
      <c r="J1447" s="1"/>
      <c r="K1447" s="1"/>
      <c r="L1447" s="1"/>
      <c r="M1447" s="1"/>
      <c r="N1447" s="1"/>
    </row>
    <row r="1448" spans="1:16" s="29" customFormat="1" ht="15.75" thickBot="1" x14ac:dyDescent="0.3">
      <c r="P1448" s="11">
        <f>IFERROR(VLOOKUP($A1449,'PROGRAMA MES '!$A:$B,2,0),0)</f>
        <v>500</v>
      </c>
    </row>
    <row r="1449" spans="1:16" x14ac:dyDescent="0.25">
      <c r="A1449" s="89" t="str">
        <f>B1449</f>
        <v>SP2745VD</v>
      </c>
      <c r="B1449" s="17" t="s">
        <v>993</v>
      </c>
      <c r="C1449" s="17" t="s">
        <v>994</v>
      </c>
      <c r="D1449" s="17">
        <v>99</v>
      </c>
      <c r="E1449" s="17" t="s">
        <v>15</v>
      </c>
      <c r="F1449" s="17">
        <v>1</v>
      </c>
      <c r="G1449" s="17" t="s">
        <v>35</v>
      </c>
      <c r="H1449" s="17" t="s">
        <v>17</v>
      </c>
      <c r="I1449" s="18">
        <v>3001477</v>
      </c>
      <c r="J1449" s="17" t="s">
        <v>982</v>
      </c>
      <c r="K1449" s="17">
        <v>99</v>
      </c>
      <c r="L1449" s="17" t="s">
        <v>15</v>
      </c>
      <c r="M1449" s="19">
        <v>37920</v>
      </c>
      <c r="N1449" s="17" t="s">
        <v>3</v>
      </c>
      <c r="O1449" s="20">
        <f t="shared" ref="O1449:O1455" si="355">M1449/10000</f>
        <v>3.7919999999999998</v>
      </c>
      <c r="P1449" s="21">
        <f>O1449*$P$1448</f>
        <v>1896</v>
      </c>
    </row>
    <row r="1450" spans="1:16" x14ac:dyDescent="0.25">
      <c r="A1450" s="91"/>
      <c r="B1450" s="13" t="s">
        <v>993</v>
      </c>
      <c r="C1450" s="13" t="s">
        <v>994</v>
      </c>
      <c r="D1450" s="13">
        <v>99</v>
      </c>
      <c r="E1450" s="13" t="s">
        <v>15</v>
      </c>
      <c r="F1450" s="13">
        <v>1</v>
      </c>
      <c r="G1450" s="13" t="s">
        <v>16</v>
      </c>
      <c r="H1450" s="13" t="s">
        <v>17</v>
      </c>
      <c r="I1450" s="14">
        <v>4004820</v>
      </c>
      <c r="J1450" s="13" t="s">
        <v>867</v>
      </c>
      <c r="K1450" s="13">
        <v>99</v>
      </c>
      <c r="L1450" s="13" t="s">
        <v>15</v>
      </c>
      <c r="M1450" s="13">
        <v>10</v>
      </c>
      <c r="N1450" s="13" t="s">
        <v>1</v>
      </c>
      <c r="O1450" s="16">
        <f t="shared" si="355"/>
        <v>1E-3</v>
      </c>
      <c r="P1450" s="22">
        <f t="shared" ref="P1450:P1455" si="356">O1450*$P$1448</f>
        <v>0.5</v>
      </c>
    </row>
    <row r="1451" spans="1:16" x14ac:dyDescent="0.25">
      <c r="A1451" s="91"/>
      <c r="B1451" s="13" t="s">
        <v>993</v>
      </c>
      <c r="C1451" s="13" t="s">
        <v>994</v>
      </c>
      <c r="D1451" s="13">
        <v>99</v>
      </c>
      <c r="E1451" s="13" t="s">
        <v>15</v>
      </c>
      <c r="F1451" s="13">
        <v>1</v>
      </c>
      <c r="G1451" s="13" t="s">
        <v>16</v>
      </c>
      <c r="H1451" s="13" t="s">
        <v>17</v>
      </c>
      <c r="I1451" s="14">
        <v>4012145</v>
      </c>
      <c r="J1451" s="13" t="s">
        <v>995</v>
      </c>
      <c r="K1451" s="13">
        <v>99</v>
      </c>
      <c r="L1451" s="13" t="s">
        <v>15</v>
      </c>
      <c r="M1451" s="15">
        <v>10000</v>
      </c>
      <c r="N1451" s="13" t="s">
        <v>1</v>
      </c>
      <c r="O1451" s="16">
        <f t="shared" si="355"/>
        <v>1</v>
      </c>
      <c r="P1451" s="22">
        <f t="shared" si="356"/>
        <v>500</v>
      </c>
    </row>
    <row r="1452" spans="1:16" x14ac:dyDescent="0.25">
      <c r="A1452" s="91"/>
      <c r="B1452" s="13" t="s">
        <v>993</v>
      </c>
      <c r="C1452" s="13" t="s">
        <v>994</v>
      </c>
      <c r="D1452" s="13">
        <v>99</v>
      </c>
      <c r="E1452" s="13" t="s">
        <v>15</v>
      </c>
      <c r="F1452" s="13">
        <v>1</v>
      </c>
      <c r="G1452" s="13" t="s">
        <v>16</v>
      </c>
      <c r="H1452" s="13" t="s">
        <v>17</v>
      </c>
      <c r="I1452" s="14">
        <v>4013310</v>
      </c>
      <c r="J1452" s="13" t="s">
        <v>909</v>
      </c>
      <c r="K1452" s="13">
        <v>99</v>
      </c>
      <c r="L1452" s="13" t="s">
        <v>15</v>
      </c>
      <c r="M1452" s="15">
        <v>10000</v>
      </c>
      <c r="N1452" s="13" t="s">
        <v>1</v>
      </c>
      <c r="O1452" s="16">
        <f t="shared" si="355"/>
        <v>1</v>
      </c>
      <c r="P1452" s="22">
        <f t="shared" si="356"/>
        <v>500</v>
      </c>
    </row>
    <row r="1453" spans="1:16" x14ac:dyDescent="0.25">
      <c r="A1453" s="91"/>
      <c r="B1453" s="13" t="s">
        <v>993</v>
      </c>
      <c r="C1453" s="13" t="s">
        <v>994</v>
      </c>
      <c r="D1453" s="13">
        <v>99</v>
      </c>
      <c r="E1453" s="13" t="s">
        <v>15</v>
      </c>
      <c r="F1453" s="13">
        <v>1</v>
      </c>
      <c r="G1453" s="13" t="s">
        <v>16</v>
      </c>
      <c r="H1453" s="13" t="s">
        <v>17</v>
      </c>
      <c r="I1453" s="14">
        <v>4015174</v>
      </c>
      <c r="J1453" s="13" t="s">
        <v>871</v>
      </c>
      <c r="K1453" s="13">
        <v>99</v>
      </c>
      <c r="L1453" s="13" t="s">
        <v>15</v>
      </c>
      <c r="M1453" s="15">
        <v>10000</v>
      </c>
      <c r="N1453" s="13" t="s">
        <v>1</v>
      </c>
      <c r="O1453" s="16">
        <f t="shared" si="355"/>
        <v>1</v>
      </c>
      <c r="P1453" s="22">
        <f t="shared" si="356"/>
        <v>500</v>
      </c>
    </row>
    <row r="1454" spans="1:16" x14ac:dyDescent="0.25">
      <c r="A1454" s="91"/>
      <c r="B1454" s="13" t="s">
        <v>993</v>
      </c>
      <c r="C1454" s="13" t="s">
        <v>994</v>
      </c>
      <c r="D1454" s="13">
        <v>99</v>
      </c>
      <c r="E1454" s="13" t="s">
        <v>15</v>
      </c>
      <c r="F1454" s="13">
        <v>1</v>
      </c>
      <c r="G1454" s="13" t="s">
        <v>16</v>
      </c>
      <c r="H1454" s="13" t="s">
        <v>17</v>
      </c>
      <c r="I1454" s="14">
        <v>4015442</v>
      </c>
      <c r="J1454" s="13" t="s">
        <v>888</v>
      </c>
      <c r="K1454" s="13">
        <v>99</v>
      </c>
      <c r="L1454" s="13" t="s">
        <v>15</v>
      </c>
      <c r="M1454" s="15">
        <v>3000</v>
      </c>
      <c r="N1454" s="13" t="s">
        <v>2</v>
      </c>
      <c r="O1454" s="16">
        <f t="shared" si="355"/>
        <v>0.3</v>
      </c>
      <c r="P1454" s="22">
        <f t="shared" si="356"/>
        <v>150</v>
      </c>
    </row>
    <row r="1455" spans="1:16" ht="15.75" thickBot="1" x14ac:dyDescent="0.3">
      <c r="A1455" s="90"/>
      <c r="B1455" s="23" t="s">
        <v>993</v>
      </c>
      <c r="C1455" s="23" t="s">
        <v>994</v>
      </c>
      <c r="D1455" s="23">
        <v>99</v>
      </c>
      <c r="E1455" s="23" t="s">
        <v>15</v>
      </c>
      <c r="F1455" s="23">
        <v>1</v>
      </c>
      <c r="G1455" s="23" t="s">
        <v>16</v>
      </c>
      <c r="H1455" s="23" t="s">
        <v>17</v>
      </c>
      <c r="I1455" s="24">
        <v>4016160</v>
      </c>
      <c r="J1455" s="23" t="s">
        <v>69</v>
      </c>
      <c r="K1455" s="23">
        <v>99</v>
      </c>
      <c r="L1455" s="23" t="s">
        <v>15</v>
      </c>
      <c r="M1455" s="23">
        <v>90</v>
      </c>
      <c r="N1455" s="23" t="s">
        <v>3</v>
      </c>
      <c r="O1455" s="26">
        <f t="shared" si="355"/>
        <v>8.9999999999999993E-3</v>
      </c>
      <c r="P1455" s="27">
        <f t="shared" si="356"/>
        <v>4.5</v>
      </c>
    </row>
    <row r="1456" spans="1:16" x14ac:dyDescent="0.25">
      <c r="B1456" s="1"/>
      <c r="C1456" s="1"/>
      <c r="D1456" s="1"/>
      <c r="E1456" s="1"/>
      <c r="F1456" s="1"/>
      <c r="G1456" s="1"/>
      <c r="H1456" s="1"/>
      <c r="I1456" s="2"/>
      <c r="J1456" s="1"/>
      <c r="K1456" s="1"/>
      <c r="L1456" s="1"/>
      <c r="M1456" s="1"/>
      <c r="N1456" s="1"/>
    </row>
    <row r="1457" spans="1:16" s="29" customFormat="1" ht="15.75" thickBot="1" x14ac:dyDescent="0.3">
      <c r="P1457" s="11">
        <f>IFERROR(VLOOKUP($A1458,'PROGRAMA MES '!$A:$B,2,0),0)</f>
        <v>0</v>
      </c>
    </row>
    <row r="1458" spans="1:16" x14ac:dyDescent="0.25">
      <c r="A1458" s="89" t="str">
        <f>B1458</f>
        <v>SP2780BR</v>
      </c>
      <c r="B1458" s="17" t="s">
        <v>996</v>
      </c>
      <c r="C1458" s="17" t="s">
        <v>997</v>
      </c>
      <c r="D1458" s="17">
        <v>3</v>
      </c>
      <c r="E1458" s="17" t="s">
        <v>24</v>
      </c>
      <c r="F1458" s="17">
        <v>1</v>
      </c>
      <c r="G1458" s="17" t="s">
        <v>35</v>
      </c>
      <c r="H1458" s="17" t="s">
        <v>17</v>
      </c>
      <c r="I1458" s="18">
        <v>3005125</v>
      </c>
      <c r="J1458" s="17" t="s">
        <v>896</v>
      </c>
      <c r="K1458" s="17">
        <v>99</v>
      </c>
      <c r="L1458" s="17" t="s">
        <v>15</v>
      </c>
      <c r="M1458" s="19">
        <v>29500</v>
      </c>
      <c r="N1458" s="17" t="s">
        <v>3</v>
      </c>
      <c r="O1458" s="20">
        <f t="shared" ref="O1458:O1463" si="357">M1458/10000</f>
        <v>2.95</v>
      </c>
      <c r="P1458" s="21">
        <f>O1458*$P$1457</f>
        <v>0</v>
      </c>
    </row>
    <row r="1459" spans="1:16" x14ac:dyDescent="0.25">
      <c r="A1459" s="91"/>
      <c r="B1459" s="13" t="s">
        <v>996</v>
      </c>
      <c r="C1459" s="13" t="s">
        <v>997</v>
      </c>
      <c r="D1459" s="13">
        <v>3</v>
      </c>
      <c r="E1459" s="13" t="s">
        <v>24</v>
      </c>
      <c r="F1459" s="13">
        <v>1</v>
      </c>
      <c r="G1459" s="13" t="s">
        <v>16</v>
      </c>
      <c r="H1459" s="13" t="s">
        <v>17</v>
      </c>
      <c r="I1459" s="14">
        <v>4004820</v>
      </c>
      <c r="J1459" s="13" t="s">
        <v>867</v>
      </c>
      <c r="K1459" s="13">
        <v>99</v>
      </c>
      <c r="L1459" s="13" t="s">
        <v>15</v>
      </c>
      <c r="M1459" s="13">
        <v>10</v>
      </c>
      <c r="N1459" s="13" t="s">
        <v>1</v>
      </c>
      <c r="O1459" s="16">
        <f t="shared" si="357"/>
        <v>1E-3</v>
      </c>
      <c r="P1459" s="22">
        <f t="shared" ref="P1459:P1463" si="358">O1459*$P$1457</f>
        <v>0</v>
      </c>
    </row>
    <row r="1460" spans="1:16" x14ac:dyDescent="0.25">
      <c r="A1460" s="91"/>
      <c r="B1460" s="13" t="s">
        <v>996</v>
      </c>
      <c r="C1460" s="13" t="s">
        <v>997</v>
      </c>
      <c r="D1460" s="13">
        <v>3</v>
      </c>
      <c r="E1460" s="13" t="s">
        <v>24</v>
      </c>
      <c r="F1460" s="13">
        <v>1</v>
      </c>
      <c r="G1460" s="13" t="s">
        <v>16</v>
      </c>
      <c r="H1460" s="13" t="s">
        <v>17</v>
      </c>
      <c r="I1460" s="14">
        <v>4013310</v>
      </c>
      <c r="J1460" s="13" t="s">
        <v>909</v>
      </c>
      <c r="K1460" s="13">
        <v>99</v>
      </c>
      <c r="L1460" s="13" t="s">
        <v>15</v>
      </c>
      <c r="M1460" s="15">
        <v>10000</v>
      </c>
      <c r="N1460" s="13" t="s">
        <v>1</v>
      </c>
      <c r="O1460" s="16">
        <f t="shared" si="357"/>
        <v>1</v>
      </c>
      <c r="P1460" s="22">
        <f t="shared" si="358"/>
        <v>0</v>
      </c>
    </row>
    <row r="1461" spans="1:16" x14ac:dyDescent="0.25">
      <c r="A1461" s="91"/>
      <c r="B1461" s="13" t="s">
        <v>996</v>
      </c>
      <c r="C1461" s="13" t="s">
        <v>997</v>
      </c>
      <c r="D1461" s="13">
        <v>3</v>
      </c>
      <c r="E1461" s="13" t="s">
        <v>24</v>
      </c>
      <c r="F1461" s="13">
        <v>1</v>
      </c>
      <c r="G1461" s="13" t="s">
        <v>16</v>
      </c>
      <c r="H1461" s="13" t="s">
        <v>17</v>
      </c>
      <c r="I1461" s="14">
        <v>4013427</v>
      </c>
      <c r="J1461" s="13" t="s">
        <v>998</v>
      </c>
      <c r="K1461" s="13">
        <v>99</v>
      </c>
      <c r="L1461" s="13" t="s">
        <v>15</v>
      </c>
      <c r="M1461" s="15">
        <v>10000</v>
      </c>
      <c r="N1461" s="13" t="s">
        <v>1</v>
      </c>
      <c r="O1461" s="16">
        <f t="shared" si="357"/>
        <v>1</v>
      </c>
      <c r="P1461" s="22">
        <f t="shared" si="358"/>
        <v>0</v>
      </c>
    </row>
    <row r="1462" spans="1:16" x14ac:dyDescent="0.25">
      <c r="A1462" s="91"/>
      <c r="B1462" s="13" t="s">
        <v>996</v>
      </c>
      <c r="C1462" s="13" t="s">
        <v>997</v>
      </c>
      <c r="D1462" s="13">
        <v>3</v>
      </c>
      <c r="E1462" s="13" t="s">
        <v>24</v>
      </c>
      <c r="F1462" s="13">
        <v>1</v>
      </c>
      <c r="G1462" s="13" t="s">
        <v>16</v>
      </c>
      <c r="H1462" s="13" t="s">
        <v>17</v>
      </c>
      <c r="I1462" s="14">
        <v>4015174</v>
      </c>
      <c r="J1462" s="13" t="s">
        <v>871</v>
      </c>
      <c r="K1462" s="13">
        <v>99</v>
      </c>
      <c r="L1462" s="13" t="s">
        <v>15</v>
      </c>
      <c r="M1462" s="15">
        <v>10000</v>
      </c>
      <c r="N1462" s="13" t="s">
        <v>1</v>
      </c>
      <c r="O1462" s="16">
        <f t="shared" si="357"/>
        <v>1</v>
      </c>
      <c r="P1462" s="22">
        <f t="shared" si="358"/>
        <v>0</v>
      </c>
    </row>
    <row r="1463" spans="1:16" ht="15.75" thickBot="1" x14ac:dyDescent="0.3">
      <c r="A1463" s="90"/>
      <c r="B1463" s="23" t="s">
        <v>996</v>
      </c>
      <c r="C1463" s="23" t="s">
        <v>997</v>
      </c>
      <c r="D1463" s="23">
        <v>3</v>
      </c>
      <c r="E1463" s="23" t="s">
        <v>24</v>
      </c>
      <c r="F1463" s="23">
        <v>1</v>
      </c>
      <c r="G1463" s="23" t="s">
        <v>16</v>
      </c>
      <c r="H1463" s="23" t="s">
        <v>17</v>
      </c>
      <c r="I1463" s="24">
        <v>4016160</v>
      </c>
      <c r="J1463" s="23" t="s">
        <v>69</v>
      </c>
      <c r="K1463" s="23">
        <v>99</v>
      </c>
      <c r="L1463" s="23" t="s">
        <v>15</v>
      </c>
      <c r="M1463" s="23">
        <v>90</v>
      </c>
      <c r="N1463" s="23" t="s">
        <v>3</v>
      </c>
      <c r="O1463" s="26">
        <f t="shared" si="357"/>
        <v>8.9999999999999993E-3</v>
      </c>
      <c r="P1463" s="27">
        <f t="shared" si="358"/>
        <v>0</v>
      </c>
    </row>
    <row r="1464" spans="1:16" x14ac:dyDescent="0.25">
      <c r="B1464" s="1"/>
      <c r="C1464" s="1"/>
      <c r="D1464" s="1"/>
      <c r="E1464" s="1"/>
      <c r="F1464" s="1"/>
      <c r="G1464" s="1"/>
      <c r="H1464" s="1"/>
      <c r="I1464" s="2"/>
      <c r="J1464" s="1"/>
      <c r="K1464" s="1"/>
      <c r="L1464" s="1"/>
      <c r="M1464" s="1"/>
      <c r="N1464" s="1"/>
    </row>
    <row r="1465" spans="1:16" s="29" customFormat="1" ht="15.75" thickBot="1" x14ac:dyDescent="0.3">
      <c r="P1465" s="11">
        <f>IFERROR(VLOOKUP($A1466,'PROGRAMA MES '!$A:$B,2,0),0)</f>
        <v>0</v>
      </c>
    </row>
    <row r="1466" spans="1:16" x14ac:dyDescent="0.25">
      <c r="A1466" s="89" t="str">
        <f>B1466</f>
        <v>SP2780LR</v>
      </c>
      <c r="B1466" s="17" t="s">
        <v>999</v>
      </c>
      <c r="C1466" s="17" t="s">
        <v>1000</v>
      </c>
      <c r="D1466" s="17">
        <v>3</v>
      </c>
      <c r="E1466" s="17" t="s">
        <v>24</v>
      </c>
      <c r="F1466" s="17">
        <v>1</v>
      </c>
      <c r="G1466" s="17" t="s">
        <v>35</v>
      </c>
      <c r="H1466" s="17" t="s">
        <v>17</v>
      </c>
      <c r="I1466" s="18">
        <v>3005123</v>
      </c>
      <c r="J1466" s="17" t="s">
        <v>900</v>
      </c>
      <c r="K1466" s="17">
        <v>99</v>
      </c>
      <c r="L1466" s="17" t="s">
        <v>15</v>
      </c>
      <c r="M1466" s="19">
        <v>29500</v>
      </c>
      <c r="N1466" s="17" t="s">
        <v>3</v>
      </c>
      <c r="O1466" s="20">
        <f t="shared" ref="O1466:O1471" si="359">M1466/10000</f>
        <v>2.95</v>
      </c>
      <c r="P1466" s="21">
        <f>O1466*$P$1465</f>
        <v>0</v>
      </c>
    </row>
    <row r="1467" spans="1:16" x14ac:dyDescent="0.25">
      <c r="A1467" s="91"/>
      <c r="B1467" s="13" t="s">
        <v>999</v>
      </c>
      <c r="C1467" s="13" t="s">
        <v>1000</v>
      </c>
      <c r="D1467" s="13">
        <v>3</v>
      </c>
      <c r="E1467" s="13" t="s">
        <v>24</v>
      </c>
      <c r="F1467" s="13">
        <v>1</v>
      </c>
      <c r="G1467" s="13" t="s">
        <v>16</v>
      </c>
      <c r="H1467" s="13" t="s">
        <v>17</v>
      </c>
      <c r="I1467" s="14">
        <v>4004820</v>
      </c>
      <c r="J1467" s="13" t="s">
        <v>867</v>
      </c>
      <c r="K1467" s="13">
        <v>99</v>
      </c>
      <c r="L1467" s="13" t="s">
        <v>15</v>
      </c>
      <c r="M1467" s="13">
        <v>10</v>
      </c>
      <c r="N1467" s="13" t="s">
        <v>1</v>
      </c>
      <c r="O1467" s="16">
        <f t="shared" si="359"/>
        <v>1E-3</v>
      </c>
      <c r="P1467" s="22">
        <f t="shared" ref="P1467:P1471" si="360">O1467*$P$1465</f>
        <v>0</v>
      </c>
    </row>
    <row r="1468" spans="1:16" x14ac:dyDescent="0.25">
      <c r="A1468" s="91"/>
      <c r="B1468" s="13" t="s">
        <v>999</v>
      </c>
      <c r="C1468" s="13" t="s">
        <v>1000</v>
      </c>
      <c r="D1468" s="13">
        <v>3</v>
      </c>
      <c r="E1468" s="13" t="s">
        <v>24</v>
      </c>
      <c r="F1468" s="13">
        <v>1</v>
      </c>
      <c r="G1468" s="13" t="s">
        <v>16</v>
      </c>
      <c r="H1468" s="13" t="s">
        <v>17</v>
      </c>
      <c r="I1468" s="14">
        <v>4013310</v>
      </c>
      <c r="J1468" s="13" t="s">
        <v>909</v>
      </c>
      <c r="K1468" s="13">
        <v>99</v>
      </c>
      <c r="L1468" s="13" t="s">
        <v>15</v>
      </c>
      <c r="M1468" s="15">
        <v>10000</v>
      </c>
      <c r="N1468" s="13" t="s">
        <v>1</v>
      </c>
      <c r="O1468" s="16">
        <f t="shared" si="359"/>
        <v>1</v>
      </c>
      <c r="P1468" s="22">
        <f t="shared" si="360"/>
        <v>0</v>
      </c>
    </row>
    <row r="1469" spans="1:16" x14ac:dyDescent="0.25">
      <c r="A1469" s="91"/>
      <c r="B1469" s="13" t="s">
        <v>999</v>
      </c>
      <c r="C1469" s="13" t="s">
        <v>1000</v>
      </c>
      <c r="D1469" s="13">
        <v>3</v>
      </c>
      <c r="E1469" s="13" t="s">
        <v>24</v>
      </c>
      <c r="F1469" s="13">
        <v>1</v>
      </c>
      <c r="G1469" s="13" t="s">
        <v>16</v>
      </c>
      <c r="H1469" s="13" t="s">
        <v>17</v>
      </c>
      <c r="I1469" s="14">
        <v>4013424</v>
      </c>
      <c r="J1469" s="13" t="s">
        <v>1001</v>
      </c>
      <c r="K1469" s="13">
        <v>99</v>
      </c>
      <c r="L1469" s="13" t="s">
        <v>15</v>
      </c>
      <c r="M1469" s="15">
        <v>10000</v>
      </c>
      <c r="N1469" s="13" t="s">
        <v>1</v>
      </c>
      <c r="O1469" s="16">
        <f t="shared" si="359"/>
        <v>1</v>
      </c>
      <c r="P1469" s="22">
        <f t="shared" si="360"/>
        <v>0</v>
      </c>
    </row>
    <row r="1470" spans="1:16" x14ac:dyDescent="0.25">
      <c r="A1470" s="91"/>
      <c r="B1470" s="13" t="s">
        <v>999</v>
      </c>
      <c r="C1470" s="13" t="s">
        <v>1000</v>
      </c>
      <c r="D1470" s="13">
        <v>3</v>
      </c>
      <c r="E1470" s="13" t="s">
        <v>24</v>
      </c>
      <c r="F1470" s="13">
        <v>1</v>
      </c>
      <c r="G1470" s="13" t="s">
        <v>16</v>
      </c>
      <c r="H1470" s="13" t="s">
        <v>17</v>
      </c>
      <c r="I1470" s="14">
        <v>4015174</v>
      </c>
      <c r="J1470" s="13" t="s">
        <v>871</v>
      </c>
      <c r="K1470" s="13">
        <v>99</v>
      </c>
      <c r="L1470" s="13" t="s">
        <v>15</v>
      </c>
      <c r="M1470" s="15">
        <v>10000</v>
      </c>
      <c r="N1470" s="13" t="s">
        <v>1</v>
      </c>
      <c r="O1470" s="16">
        <f t="shared" si="359"/>
        <v>1</v>
      </c>
      <c r="P1470" s="22">
        <f t="shared" si="360"/>
        <v>0</v>
      </c>
    </row>
    <row r="1471" spans="1:16" ht="15.75" thickBot="1" x14ac:dyDescent="0.3">
      <c r="A1471" s="90"/>
      <c r="B1471" s="23" t="s">
        <v>999</v>
      </c>
      <c r="C1471" s="23" t="s">
        <v>1000</v>
      </c>
      <c r="D1471" s="23">
        <v>3</v>
      </c>
      <c r="E1471" s="23" t="s">
        <v>24</v>
      </c>
      <c r="F1471" s="23">
        <v>1</v>
      </c>
      <c r="G1471" s="23" t="s">
        <v>16</v>
      </c>
      <c r="H1471" s="23" t="s">
        <v>17</v>
      </c>
      <c r="I1471" s="24">
        <v>4016160</v>
      </c>
      <c r="J1471" s="23" t="s">
        <v>69</v>
      </c>
      <c r="K1471" s="23">
        <v>99</v>
      </c>
      <c r="L1471" s="23" t="s">
        <v>15</v>
      </c>
      <c r="M1471" s="23">
        <v>90</v>
      </c>
      <c r="N1471" s="23" t="s">
        <v>3</v>
      </c>
      <c r="O1471" s="26">
        <f t="shared" si="359"/>
        <v>8.9999999999999993E-3</v>
      </c>
      <c r="P1471" s="27">
        <f t="shared" si="360"/>
        <v>0</v>
      </c>
    </row>
    <row r="1472" spans="1:16" x14ac:dyDescent="0.25">
      <c r="B1472" s="1"/>
      <c r="C1472" s="1"/>
      <c r="D1472" s="1"/>
      <c r="E1472" s="1"/>
      <c r="F1472" s="1"/>
      <c r="G1472" s="1"/>
      <c r="H1472" s="1"/>
      <c r="I1472" s="2"/>
      <c r="J1472" s="1"/>
      <c r="K1472" s="1"/>
      <c r="L1472" s="1"/>
      <c r="M1472" s="1"/>
      <c r="N1472" s="1"/>
    </row>
    <row r="1473" spans="1:16" s="29" customFormat="1" ht="15.75" thickBot="1" x14ac:dyDescent="0.3">
      <c r="P1473" s="11">
        <f>IFERROR(VLOOKUP($A1474,'PROGRAMA MES '!$A:$B,2,0),0)</f>
        <v>0</v>
      </c>
    </row>
    <row r="1474" spans="1:16" x14ac:dyDescent="0.25">
      <c r="A1474" s="89" t="str">
        <f>B1474</f>
        <v>SP2780VD</v>
      </c>
      <c r="B1474" s="17" t="s">
        <v>1002</v>
      </c>
      <c r="C1474" s="17" t="s">
        <v>1003</v>
      </c>
      <c r="D1474" s="17">
        <v>3</v>
      </c>
      <c r="E1474" s="17" t="s">
        <v>24</v>
      </c>
      <c r="F1474" s="17">
        <v>1</v>
      </c>
      <c r="G1474" s="17" t="s">
        <v>35</v>
      </c>
      <c r="H1474" s="17" t="s">
        <v>17</v>
      </c>
      <c r="I1474" s="18">
        <v>3005122</v>
      </c>
      <c r="J1474" s="17" t="s">
        <v>904</v>
      </c>
      <c r="K1474" s="17">
        <v>99</v>
      </c>
      <c r="L1474" s="17" t="s">
        <v>15</v>
      </c>
      <c r="M1474" s="19">
        <v>29500</v>
      </c>
      <c r="N1474" s="17" t="s">
        <v>3</v>
      </c>
      <c r="O1474" s="20">
        <f t="shared" ref="O1474:O1479" si="361">M1474/10000</f>
        <v>2.95</v>
      </c>
      <c r="P1474" s="21">
        <f>O1474*$P$1473</f>
        <v>0</v>
      </c>
    </row>
    <row r="1475" spans="1:16" x14ac:dyDescent="0.25">
      <c r="A1475" s="91"/>
      <c r="B1475" s="13" t="s">
        <v>1002</v>
      </c>
      <c r="C1475" s="13" t="s">
        <v>1003</v>
      </c>
      <c r="D1475" s="13">
        <v>3</v>
      </c>
      <c r="E1475" s="13" t="s">
        <v>24</v>
      </c>
      <c r="F1475" s="13">
        <v>1</v>
      </c>
      <c r="G1475" s="13" t="s">
        <v>16</v>
      </c>
      <c r="H1475" s="13" t="s">
        <v>17</v>
      </c>
      <c r="I1475" s="14">
        <v>4004820</v>
      </c>
      <c r="J1475" s="13" t="s">
        <v>867</v>
      </c>
      <c r="K1475" s="13">
        <v>99</v>
      </c>
      <c r="L1475" s="13" t="s">
        <v>15</v>
      </c>
      <c r="M1475" s="13">
        <v>10</v>
      </c>
      <c r="N1475" s="13" t="s">
        <v>1</v>
      </c>
      <c r="O1475" s="16">
        <f t="shared" si="361"/>
        <v>1E-3</v>
      </c>
      <c r="P1475" s="22">
        <f t="shared" ref="P1475:P1479" si="362">O1475*$P$1473</f>
        <v>0</v>
      </c>
    </row>
    <row r="1476" spans="1:16" x14ac:dyDescent="0.25">
      <c r="A1476" s="91"/>
      <c r="B1476" s="13" t="s">
        <v>1002</v>
      </c>
      <c r="C1476" s="13" t="s">
        <v>1003</v>
      </c>
      <c r="D1476" s="13">
        <v>3</v>
      </c>
      <c r="E1476" s="13" t="s">
        <v>24</v>
      </c>
      <c r="F1476" s="13">
        <v>1</v>
      </c>
      <c r="G1476" s="13" t="s">
        <v>16</v>
      </c>
      <c r="H1476" s="13" t="s">
        <v>17</v>
      </c>
      <c r="I1476" s="14">
        <v>4013310</v>
      </c>
      <c r="J1476" s="13" t="s">
        <v>909</v>
      </c>
      <c r="K1476" s="13">
        <v>99</v>
      </c>
      <c r="L1476" s="13" t="s">
        <v>15</v>
      </c>
      <c r="M1476" s="15">
        <v>10000</v>
      </c>
      <c r="N1476" s="13" t="s">
        <v>1</v>
      </c>
      <c r="O1476" s="16">
        <f t="shared" si="361"/>
        <v>1</v>
      </c>
      <c r="P1476" s="22">
        <f t="shared" si="362"/>
        <v>0</v>
      </c>
    </row>
    <row r="1477" spans="1:16" x14ac:dyDescent="0.25">
      <c r="A1477" s="91"/>
      <c r="B1477" s="13" t="s">
        <v>1002</v>
      </c>
      <c r="C1477" s="13" t="s">
        <v>1003</v>
      </c>
      <c r="D1477" s="13">
        <v>3</v>
      </c>
      <c r="E1477" s="13" t="s">
        <v>24</v>
      </c>
      <c r="F1477" s="13">
        <v>1</v>
      </c>
      <c r="G1477" s="13" t="s">
        <v>16</v>
      </c>
      <c r="H1477" s="13" t="s">
        <v>17</v>
      </c>
      <c r="I1477" s="14">
        <v>4013426</v>
      </c>
      <c r="J1477" s="13" t="s">
        <v>1004</v>
      </c>
      <c r="K1477" s="13">
        <v>99</v>
      </c>
      <c r="L1477" s="13" t="s">
        <v>15</v>
      </c>
      <c r="M1477" s="15">
        <v>10000</v>
      </c>
      <c r="N1477" s="13" t="s">
        <v>1</v>
      </c>
      <c r="O1477" s="16">
        <f t="shared" si="361"/>
        <v>1</v>
      </c>
      <c r="P1477" s="22">
        <f t="shared" si="362"/>
        <v>0</v>
      </c>
    </row>
    <row r="1478" spans="1:16" x14ac:dyDescent="0.25">
      <c r="A1478" s="91"/>
      <c r="B1478" s="13" t="s">
        <v>1002</v>
      </c>
      <c r="C1478" s="13" t="s">
        <v>1003</v>
      </c>
      <c r="D1478" s="13">
        <v>3</v>
      </c>
      <c r="E1478" s="13" t="s">
        <v>24</v>
      </c>
      <c r="F1478" s="13">
        <v>1</v>
      </c>
      <c r="G1478" s="13" t="s">
        <v>16</v>
      </c>
      <c r="H1478" s="13" t="s">
        <v>17</v>
      </c>
      <c r="I1478" s="14">
        <v>4015174</v>
      </c>
      <c r="J1478" s="13" t="s">
        <v>871</v>
      </c>
      <c r="K1478" s="13">
        <v>99</v>
      </c>
      <c r="L1478" s="13" t="s">
        <v>15</v>
      </c>
      <c r="M1478" s="15">
        <v>10000</v>
      </c>
      <c r="N1478" s="13" t="s">
        <v>1</v>
      </c>
      <c r="O1478" s="16">
        <f t="shared" si="361"/>
        <v>1</v>
      </c>
      <c r="P1478" s="22">
        <f t="shared" si="362"/>
        <v>0</v>
      </c>
    </row>
    <row r="1479" spans="1:16" ht="15.75" thickBot="1" x14ac:dyDescent="0.3">
      <c r="A1479" s="90"/>
      <c r="B1479" s="23" t="s">
        <v>1002</v>
      </c>
      <c r="C1479" s="23" t="s">
        <v>1003</v>
      </c>
      <c r="D1479" s="23">
        <v>3</v>
      </c>
      <c r="E1479" s="23" t="s">
        <v>24</v>
      </c>
      <c r="F1479" s="23">
        <v>1</v>
      </c>
      <c r="G1479" s="23" t="s">
        <v>16</v>
      </c>
      <c r="H1479" s="23" t="s">
        <v>17</v>
      </c>
      <c r="I1479" s="24">
        <v>4016160</v>
      </c>
      <c r="J1479" s="23" t="s">
        <v>69</v>
      </c>
      <c r="K1479" s="23">
        <v>99</v>
      </c>
      <c r="L1479" s="23" t="s">
        <v>15</v>
      </c>
      <c r="M1479" s="23">
        <v>90</v>
      </c>
      <c r="N1479" s="23" t="s">
        <v>3</v>
      </c>
      <c r="O1479" s="26">
        <f t="shared" si="361"/>
        <v>8.9999999999999993E-3</v>
      </c>
      <c r="P1479" s="27">
        <f t="shared" si="362"/>
        <v>0</v>
      </c>
    </row>
    <row r="1480" spans="1:16" x14ac:dyDescent="0.25">
      <c r="B1480" s="1"/>
      <c r="C1480" s="1"/>
      <c r="D1480" s="1"/>
      <c r="E1480" s="1"/>
      <c r="F1480" s="1"/>
      <c r="G1480" s="1"/>
      <c r="H1480" s="1"/>
      <c r="I1480" s="2"/>
      <c r="J1480" s="1"/>
      <c r="K1480" s="1"/>
      <c r="L1480" s="1"/>
      <c r="M1480" s="1"/>
      <c r="N1480" s="1"/>
    </row>
    <row r="1481" spans="1:16" s="29" customFormat="1" ht="15.75" thickBot="1" x14ac:dyDescent="0.3">
      <c r="P1481" s="11">
        <f>IFERROR(VLOOKUP($A1482,'PROGRAMA MES '!$A:$B,2,0),0)</f>
        <v>0</v>
      </c>
    </row>
    <row r="1482" spans="1:16" x14ac:dyDescent="0.25">
      <c r="A1482" s="89" t="str">
        <f>B1482</f>
        <v>SP350BRC</v>
      </c>
      <c r="B1482" s="17" t="s">
        <v>1005</v>
      </c>
      <c r="C1482" s="17" t="s">
        <v>1006</v>
      </c>
      <c r="D1482" s="17">
        <v>54</v>
      </c>
      <c r="E1482" s="17" t="s">
        <v>769</v>
      </c>
      <c r="F1482" s="17">
        <v>1</v>
      </c>
      <c r="G1482" s="17" t="s">
        <v>16</v>
      </c>
      <c r="H1482" s="17" t="s">
        <v>17</v>
      </c>
      <c r="I1482" s="18">
        <v>4012308</v>
      </c>
      <c r="J1482" s="17" t="s">
        <v>788</v>
      </c>
      <c r="K1482" s="17">
        <v>99</v>
      </c>
      <c r="L1482" s="17" t="s">
        <v>15</v>
      </c>
      <c r="M1482" s="17">
        <v>200</v>
      </c>
      <c r="N1482" s="17" t="s">
        <v>1</v>
      </c>
      <c r="O1482" s="20">
        <f t="shared" ref="O1482:O1483" si="363">M1482/10000</f>
        <v>0.02</v>
      </c>
      <c r="P1482" s="21">
        <f>O1482*$P$1481</f>
        <v>0</v>
      </c>
    </row>
    <row r="1483" spans="1:16" ht="15.75" thickBot="1" x14ac:dyDescent="0.3">
      <c r="A1483" s="90"/>
      <c r="B1483" s="23" t="s">
        <v>1005</v>
      </c>
      <c r="C1483" s="23" t="s">
        <v>1006</v>
      </c>
      <c r="D1483" s="23">
        <v>54</v>
      </c>
      <c r="E1483" s="23" t="s">
        <v>769</v>
      </c>
      <c r="F1483" s="23">
        <v>1</v>
      </c>
      <c r="G1483" s="23" t="s">
        <v>21</v>
      </c>
      <c r="H1483" s="23" t="s">
        <v>17</v>
      </c>
      <c r="I1483" s="24" t="s">
        <v>1007</v>
      </c>
      <c r="J1483" s="23" t="s">
        <v>1006</v>
      </c>
      <c r="K1483" s="23">
        <v>56</v>
      </c>
      <c r="L1483" s="23" t="s">
        <v>772</v>
      </c>
      <c r="M1483" s="25">
        <v>10000</v>
      </c>
      <c r="N1483" s="23" t="s">
        <v>1</v>
      </c>
      <c r="O1483" s="26">
        <f t="shared" si="363"/>
        <v>1</v>
      </c>
      <c r="P1483" s="27">
        <f>O1483*$P$1481</f>
        <v>0</v>
      </c>
    </row>
    <row r="1484" spans="1:16" x14ac:dyDescent="0.25">
      <c r="B1484" s="1"/>
      <c r="C1484" s="1"/>
      <c r="D1484" s="1"/>
      <c r="E1484" s="1"/>
      <c r="F1484" s="1"/>
      <c r="G1484" s="1"/>
      <c r="H1484" s="1"/>
      <c r="I1484" s="2"/>
      <c r="J1484" s="1"/>
      <c r="K1484" s="1"/>
      <c r="L1484" s="1"/>
      <c r="M1484" s="3"/>
      <c r="N1484" s="1"/>
    </row>
    <row r="1485" spans="1:16" s="29" customFormat="1" ht="15.75" thickBot="1" x14ac:dyDescent="0.3">
      <c r="P1485" s="11">
        <f>IFERROR(VLOOKUP($A1486,'PROGRAMA MES '!$A:$B,2,0),0)</f>
        <v>1200</v>
      </c>
    </row>
    <row r="1486" spans="1:16" x14ac:dyDescent="0.25">
      <c r="A1486" s="89" t="str">
        <f>B1486</f>
        <v>SP350PTC</v>
      </c>
      <c r="B1486" s="17" t="s">
        <v>1008</v>
      </c>
      <c r="C1486" s="17" t="s">
        <v>1009</v>
      </c>
      <c r="D1486" s="17">
        <v>54</v>
      </c>
      <c r="E1486" s="17" t="s">
        <v>769</v>
      </c>
      <c r="F1486" s="17">
        <v>1</v>
      </c>
      <c r="G1486" s="17" t="s">
        <v>16</v>
      </c>
      <c r="H1486" s="17" t="s">
        <v>17</v>
      </c>
      <c r="I1486" s="18">
        <v>4012308</v>
      </c>
      <c r="J1486" s="17" t="s">
        <v>788</v>
      </c>
      <c r="K1486" s="17">
        <v>99</v>
      </c>
      <c r="L1486" s="17" t="s">
        <v>15</v>
      </c>
      <c r="M1486" s="17">
        <v>500</v>
      </c>
      <c r="N1486" s="17" t="s">
        <v>1</v>
      </c>
      <c r="O1486" s="20">
        <f t="shared" ref="O1486:O1487" si="364">M1486/10000</f>
        <v>0.05</v>
      </c>
      <c r="P1486" s="21">
        <f>O1486*$P$1485</f>
        <v>60</v>
      </c>
    </row>
    <row r="1487" spans="1:16" ht="15.75" thickBot="1" x14ac:dyDescent="0.3">
      <c r="A1487" s="90"/>
      <c r="B1487" s="23" t="s">
        <v>1008</v>
      </c>
      <c r="C1487" s="23" t="s">
        <v>1009</v>
      </c>
      <c r="D1487" s="23">
        <v>54</v>
      </c>
      <c r="E1487" s="23" t="s">
        <v>769</v>
      </c>
      <c r="F1487" s="23">
        <v>1</v>
      </c>
      <c r="G1487" s="23" t="s">
        <v>21</v>
      </c>
      <c r="H1487" s="23" t="s">
        <v>17</v>
      </c>
      <c r="I1487" s="24" t="s">
        <v>1010</v>
      </c>
      <c r="J1487" s="23" t="s">
        <v>1009</v>
      </c>
      <c r="K1487" s="23">
        <v>3</v>
      </c>
      <c r="L1487" s="23" t="s">
        <v>24</v>
      </c>
      <c r="M1487" s="25">
        <v>10000</v>
      </c>
      <c r="N1487" s="23" t="s">
        <v>1</v>
      </c>
      <c r="O1487" s="26">
        <f t="shared" si="364"/>
        <v>1</v>
      </c>
      <c r="P1487" s="27">
        <f>O1487*$P$1485</f>
        <v>1200</v>
      </c>
    </row>
    <row r="1488" spans="1:16" x14ac:dyDescent="0.25">
      <c r="B1488" s="1"/>
      <c r="C1488" s="1"/>
      <c r="D1488" s="1"/>
      <c r="E1488" s="1"/>
      <c r="F1488" s="1"/>
      <c r="G1488" s="1"/>
      <c r="H1488" s="1"/>
      <c r="I1488" s="2"/>
      <c r="J1488" s="1"/>
      <c r="K1488" s="1"/>
      <c r="L1488" s="1"/>
      <c r="M1488" s="3"/>
      <c r="N1488" s="1"/>
    </row>
    <row r="1489" spans="1:16" s="29" customFormat="1" ht="15.75" thickBot="1" x14ac:dyDescent="0.3">
      <c r="P1489" s="11">
        <f>IFERROR(VLOOKUP($A1490,'PROGRAMA MES '!$A:$B,2,0),0)</f>
        <v>2000</v>
      </c>
    </row>
    <row r="1490" spans="1:16" x14ac:dyDescent="0.25">
      <c r="A1490" s="89" t="str">
        <f>B1490</f>
        <v>SP350VDC</v>
      </c>
      <c r="B1490" s="17" t="s">
        <v>1011</v>
      </c>
      <c r="C1490" s="17" t="s">
        <v>1012</v>
      </c>
      <c r="D1490" s="17">
        <v>54</v>
      </c>
      <c r="E1490" s="17" t="s">
        <v>769</v>
      </c>
      <c r="F1490" s="17">
        <v>1</v>
      </c>
      <c r="G1490" s="17" t="s">
        <v>16</v>
      </c>
      <c r="H1490" s="17" t="s">
        <v>17</v>
      </c>
      <c r="I1490" s="18">
        <v>4012308</v>
      </c>
      <c r="J1490" s="17" t="s">
        <v>788</v>
      </c>
      <c r="K1490" s="17">
        <v>99</v>
      </c>
      <c r="L1490" s="17" t="s">
        <v>15</v>
      </c>
      <c r="M1490" s="17">
        <v>500</v>
      </c>
      <c r="N1490" s="17" t="s">
        <v>1</v>
      </c>
      <c r="O1490" s="20">
        <f t="shared" ref="O1490:O1491" si="365">M1490/10000</f>
        <v>0.05</v>
      </c>
      <c r="P1490" s="21">
        <f>O1490*$P$1489</f>
        <v>100</v>
      </c>
    </row>
    <row r="1491" spans="1:16" ht="15.75" thickBot="1" x14ac:dyDescent="0.3">
      <c r="A1491" s="90"/>
      <c r="B1491" s="23" t="s">
        <v>1011</v>
      </c>
      <c r="C1491" s="23" t="s">
        <v>1012</v>
      </c>
      <c r="D1491" s="23">
        <v>54</v>
      </c>
      <c r="E1491" s="23" t="s">
        <v>769</v>
      </c>
      <c r="F1491" s="23">
        <v>1</v>
      </c>
      <c r="G1491" s="23" t="s">
        <v>21</v>
      </c>
      <c r="H1491" s="23" t="s">
        <v>17</v>
      </c>
      <c r="I1491" s="24" t="s">
        <v>1013</v>
      </c>
      <c r="J1491" s="23" t="s">
        <v>1012</v>
      </c>
      <c r="K1491" s="23">
        <v>3</v>
      </c>
      <c r="L1491" s="23" t="s">
        <v>24</v>
      </c>
      <c r="M1491" s="25">
        <v>10000</v>
      </c>
      <c r="N1491" s="23" t="s">
        <v>1</v>
      </c>
      <c r="O1491" s="26">
        <f t="shared" si="365"/>
        <v>1</v>
      </c>
      <c r="P1491" s="27">
        <f>O1491*$P$1489</f>
        <v>2000</v>
      </c>
    </row>
    <row r="1492" spans="1:16" x14ac:dyDescent="0.25">
      <c r="B1492" s="1"/>
      <c r="C1492" s="1"/>
      <c r="D1492" s="1"/>
      <c r="E1492" s="1"/>
      <c r="F1492" s="1"/>
      <c r="G1492" s="1"/>
      <c r="H1492" s="1"/>
      <c r="I1492" s="2"/>
      <c r="J1492" s="1"/>
      <c r="K1492" s="1"/>
      <c r="L1492" s="1"/>
      <c r="M1492" s="3"/>
      <c r="N1492" s="1"/>
    </row>
    <row r="1493" spans="1:16" s="29" customFormat="1" ht="15.75" thickBot="1" x14ac:dyDescent="0.3">
      <c r="P1493" s="11">
        <f>IFERROR(VLOOKUP($A1494,'PROGRAMA MES '!$A:$B,2,0),0)</f>
        <v>0</v>
      </c>
    </row>
    <row r="1494" spans="1:16" x14ac:dyDescent="0.25">
      <c r="A1494" s="89" t="str">
        <f>B1494</f>
        <v>SP350VRC</v>
      </c>
      <c r="B1494" s="17" t="s">
        <v>1014</v>
      </c>
      <c r="C1494" s="17" t="s">
        <v>1015</v>
      </c>
      <c r="D1494" s="17">
        <v>54</v>
      </c>
      <c r="E1494" s="17" t="s">
        <v>769</v>
      </c>
      <c r="F1494" s="17">
        <v>1</v>
      </c>
      <c r="G1494" s="17" t="s">
        <v>16</v>
      </c>
      <c r="H1494" s="17" t="s">
        <v>17</v>
      </c>
      <c r="I1494" s="18">
        <v>4012308</v>
      </c>
      <c r="J1494" s="17" t="s">
        <v>788</v>
      </c>
      <c r="K1494" s="17">
        <v>99</v>
      </c>
      <c r="L1494" s="17" t="s">
        <v>15</v>
      </c>
      <c r="M1494" s="17">
        <v>500</v>
      </c>
      <c r="N1494" s="17" t="s">
        <v>1</v>
      </c>
      <c r="O1494" s="20">
        <f t="shared" ref="O1494:O1495" si="366">M1494/10000</f>
        <v>0.05</v>
      </c>
      <c r="P1494" s="21">
        <f>O1494*$P$1493</f>
        <v>0</v>
      </c>
    </row>
    <row r="1495" spans="1:16" ht="15.75" thickBot="1" x14ac:dyDescent="0.3">
      <c r="A1495" s="90"/>
      <c r="B1495" s="23" t="s">
        <v>1014</v>
      </c>
      <c r="C1495" s="23" t="s">
        <v>1015</v>
      </c>
      <c r="D1495" s="23">
        <v>54</v>
      </c>
      <c r="E1495" s="23" t="s">
        <v>769</v>
      </c>
      <c r="F1495" s="23">
        <v>1</v>
      </c>
      <c r="G1495" s="23" t="s">
        <v>21</v>
      </c>
      <c r="H1495" s="23" t="s">
        <v>17</v>
      </c>
      <c r="I1495" s="24" t="s">
        <v>1016</v>
      </c>
      <c r="J1495" s="23" t="s">
        <v>1015</v>
      </c>
      <c r="K1495" s="23">
        <v>56</v>
      </c>
      <c r="L1495" s="23" t="s">
        <v>772</v>
      </c>
      <c r="M1495" s="25">
        <v>10000</v>
      </c>
      <c r="N1495" s="23" t="s">
        <v>1</v>
      </c>
      <c r="O1495" s="26">
        <f t="shared" si="366"/>
        <v>1</v>
      </c>
      <c r="P1495" s="27">
        <f>O1495*$P$1493</f>
        <v>0</v>
      </c>
    </row>
    <row r="1496" spans="1:16" x14ac:dyDescent="0.25">
      <c r="B1496" s="1"/>
      <c r="C1496" s="1"/>
      <c r="D1496" s="1"/>
      <c r="E1496" s="1"/>
      <c r="F1496" s="1"/>
      <c r="G1496" s="1"/>
      <c r="H1496" s="1"/>
      <c r="I1496" s="2"/>
      <c r="J1496" s="1"/>
      <c r="K1496" s="1"/>
      <c r="L1496" s="1"/>
      <c r="M1496" s="3"/>
      <c r="N1496" s="1"/>
    </row>
    <row r="1497" spans="1:16" s="29" customFormat="1" ht="15.75" thickBot="1" x14ac:dyDescent="0.3">
      <c r="P1497" s="11">
        <f>IFERROR(VLOOKUP($A1498,'PROGRAMA MES '!$A:$B,2,0),0)</f>
        <v>0</v>
      </c>
    </row>
    <row r="1498" spans="1:16" x14ac:dyDescent="0.25">
      <c r="A1498" s="89" t="str">
        <f>B1498</f>
        <v>SP40/2AC</v>
      </c>
      <c r="B1498" s="17" t="s">
        <v>1017</v>
      </c>
      <c r="C1498" s="17" t="s">
        <v>1018</v>
      </c>
      <c r="D1498" s="17">
        <v>51</v>
      </c>
      <c r="E1498" s="17" t="s">
        <v>101</v>
      </c>
      <c r="F1498" s="17">
        <v>1</v>
      </c>
      <c r="G1498" s="17" t="s">
        <v>35</v>
      </c>
      <c r="H1498" s="17" t="s">
        <v>17</v>
      </c>
      <c r="I1498" s="18">
        <v>3005081</v>
      </c>
      <c r="J1498" s="17" t="s">
        <v>1019</v>
      </c>
      <c r="K1498" s="17">
        <v>99</v>
      </c>
      <c r="L1498" s="17" t="s">
        <v>15</v>
      </c>
      <c r="M1498" s="19">
        <v>10000</v>
      </c>
      <c r="N1498" s="17" t="s">
        <v>1</v>
      </c>
      <c r="O1498" s="20">
        <f t="shared" ref="O1498:O1501" si="367">M1498/10000</f>
        <v>1</v>
      </c>
      <c r="P1498" s="21">
        <f>O1498*$P$1497</f>
        <v>0</v>
      </c>
    </row>
    <row r="1499" spans="1:16" x14ac:dyDescent="0.25">
      <c r="A1499" s="91"/>
      <c r="B1499" s="13" t="s">
        <v>1017</v>
      </c>
      <c r="C1499" s="13" t="s">
        <v>1018</v>
      </c>
      <c r="D1499" s="13">
        <v>51</v>
      </c>
      <c r="E1499" s="13" t="s">
        <v>101</v>
      </c>
      <c r="F1499" s="13">
        <v>1</v>
      </c>
      <c r="G1499" s="13" t="s">
        <v>16</v>
      </c>
      <c r="H1499" s="13" t="s">
        <v>17</v>
      </c>
      <c r="I1499" s="14">
        <v>4013822</v>
      </c>
      <c r="J1499" s="13" t="s">
        <v>1020</v>
      </c>
      <c r="K1499" s="13">
        <v>99</v>
      </c>
      <c r="L1499" s="13" t="s">
        <v>15</v>
      </c>
      <c r="M1499" s="15">
        <v>5000</v>
      </c>
      <c r="N1499" s="13" t="s">
        <v>1</v>
      </c>
      <c r="O1499" s="16">
        <f t="shared" si="367"/>
        <v>0.5</v>
      </c>
      <c r="P1499" s="22">
        <f t="shared" ref="P1499:P1501" si="368">O1499*$P$1497</f>
        <v>0</v>
      </c>
    </row>
    <row r="1500" spans="1:16" x14ac:dyDescent="0.25">
      <c r="A1500" s="91"/>
      <c r="B1500" s="13" t="s">
        <v>1017</v>
      </c>
      <c r="C1500" s="13" t="s">
        <v>1018</v>
      </c>
      <c r="D1500" s="13">
        <v>51</v>
      </c>
      <c r="E1500" s="13" t="s">
        <v>101</v>
      </c>
      <c r="F1500" s="13">
        <v>1</v>
      </c>
      <c r="G1500" s="13" t="s">
        <v>16</v>
      </c>
      <c r="H1500" s="13" t="s">
        <v>17</v>
      </c>
      <c r="I1500" s="14">
        <v>4013835</v>
      </c>
      <c r="J1500" s="13" t="s">
        <v>1021</v>
      </c>
      <c r="K1500" s="13">
        <v>99</v>
      </c>
      <c r="L1500" s="13" t="s">
        <v>15</v>
      </c>
      <c r="M1500" s="15">
        <v>10000</v>
      </c>
      <c r="N1500" s="13" t="s">
        <v>1</v>
      </c>
      <c r="O1500" s="16">
        <f t="shared" si="367"/>
        <v>1</v>
      </c>
      <c r="P1500" s="22">
        <f t="shared" si="368"/>
        <v>0</v>
      </c>
    </row>
    <row r="1501" spans="1:16" ht="15.75" thickBot="1" x14ac:dyDescent="0.3">
      <c r="A1501" s="90"/>
      <c r="B1501" s="23" t="s">
        <v>1017</v>
      </c>
      <c r="C1501" s="23" t="s">
        <v>1018</v>
      </c>
      <c r="D1501" s="23">
        <v>51</v>
      </c>
      <c r="E1501" s="23" t="s">
        <v>101</v>
      </c>
      <c r="F1501" s="23">
        <v>1</v>
      </c>
      <c r="G1501" s="23" t="s">
        <v>16</v>
      </c>
      <c r="H1501" s="23" t="s">
        <v>17</v>
      </c>
      <c r="I1501" s="24">
        <v>4016160</v>
      </c>
      <c r="J1501" s="23" t="s">
        <v>69</v>
      </c>
      <c r="K1501" s="23">
        <v>99</v>
      </c>
      <c r="L1501" s="23" t="s">
        <v>15</v>
      </c>
      <c r="M1501" s="23">
        <v>50</v>
      </c>
      <c r="N1501" s="23" t="s">
        <v>3</v>
      </c>
      <c r="O1501" s="26">
        <f t="shared" si="367"/>
        <v>5.0000000000000001E-3</v>
      </c>
      <c r="P1501" s="27">
        <f t="shared" si="368"/>
        <v>0</v>
      </c>
    </row>
    <row r="1502" spans="1:16" x14ac:dyDescent="0.25">
      <c r="B1502" s="1"/>
      <c r="C1502" s="1"/>
      <c r="D1502" s="1"/>
      <c r="E1502" s="1"/>
      <c r="F1502" s="1"/>
      <c r="G1502" s="1"/>
      <c r="H1502" s="1"/>
      <c r="I1502" s="2"/>
      <c r="J1502" s="1"/>
      <c r="K1502" s="1"/>
      <c r="L1502" s="1"/>
      <c r="M1502" s="1"/>
      <c r="N1502" s="1"/>
    </row>
    <row r="1503" spans="1:16" s="29" customFormat="1" ht="15.75" thickBot="1" x14ac:dyDescent="0.3">
      <c r="P1503" s="11">
        <f>IFERROR(VLOOKUP($A1504,'PROGRAMA MES '!$A:$B,2,0),0)</f>
        <v>0</v>
      </c>
    </row>
    <row r="1504" spans="1:16" x14ac:dyDescent="0.25">
      <c r="A1504" s="89" t="str">
        <f>B1504</f>
        <v>SP410BRC</v>
      </c>
      <c r="B1504" s="17" t="s">
        <v>1022</v>
      </c>
      <c r="C1504" s="17" t="s">
        <v>1023</v>
      </c>
      <c r="D1504" s="17">
        <v>54</v>
      </c>
      <c r="E1504" s="17" t="s">
        <v>769</v>
      </c>
      <c r="F1504" s="17">
        <v>1</v>
      </c>
      <c r="G1504" s="17" t="s">
        <v>16</v>
      </c>
      <c r="H1504" s="17" t="s">
        <v>17</v>
      </c>
      <c r="I1504" s="18">
        <v>4013770</v>
      </c>
      <c r="J1504" s="17" t="s">
        <v>742</v>
      </c>
      <c r="K1504" s="17">
        <v>99</v>
      </c>
      <c r="L1504" s="17" t="s">
        <v>15</v>
      </c>
      <c r="M1504" s="17">
        <v>500</v>
      </c>
      <c r="N1504" s="17" t="s">
        <v>1</v>
      </c>
      <c r="O1504" s="20">
        <f t="shared" ref="O1504:O1505" si="369">M1504/10000</f>
        <v>0.05</v>
      </c>
      <c r="P1504" s="21">
        <f>O1504*$P$1503</f>
        <v>0</v>
      </c>
    </row>
    <row r="1505" spans="1:16" ht="15.75" thickBot="1" x14ac:dyDescent="0.3">
      <c r="A1505" s="90"/>
      <c r="B1505" s="23" t="s">
        <v>1022</v>
      </c>
      <c r="C1505" s="23" t="s">
        <v>1023</v>
      </c>
      <c r="D1505" s="23">
        <v>54</v>
      </c>
      <c r="E1505" s="23" t="s">
        <v>769</v>
      </c>
      <c r="F1505" s="23">
        <v>1</v>
      </c>
      <c r="G1505" s="23" t="s">
        <v>21</v>
      </c>
      <c r="H1505" s="23" t="s">
        <v>17</v>
      </c>
      <c r="I1505" s="24" t="s">
        <v>1024</v>
      </c>
      <c r="J1505" s="23" t="s">
        <v>1023</v>
      </c>
      <c r="K1505" s="23">
        <v>56</v>
      </c>
      <c r="L1505" s="23" t="s">
        <v>772</v>
      </c>
      <c r="M1505" s="25">
        <v>10000</v>
      </c>
      <c r="N1505" s="23" t="s">
        <v>1</v>
      </c>
      <c r="O1505" s="26">
        <f t="shared" si="369"/>
        <v>1</v>
      </c>
      <c r="P1505" s="27">
        <f>O1505*$P$1503</f>
        <v>0</v>
      </c>
    </row>
    <row r="1506" spans="1:16" x14ac:dyDescent="0.25">
      <c r="B1506" s="1"/>
      <c r="C1506" s="1"/>
      <c r="D1506" s="1"/>
      <c r="E1506" s="1"/>
      <c r="F1506" s="1"/>
      <c r="G1506" s="1"/>
      <c r="H1506" s="1"/>
      <c r="I1506" s="2"/>
      <c r="J1506" s="1"/>
      <c r="K1506" s="1"/>
      <c r="L1506" s="1"/>
      <c r="M1506" s="3"/>
      <c r="N1506" s="1"/>
    </row>
    <row r="1507" spans="1:16" s="29" customFormat="1" ht="15.75" thickBot="1" x14ac:dyDescent="0.3">
      <c r="P1507" s="11">
        <f>IFERROR(VLOOKUP($A1508,'PROGRAMA MES '!$A:$B,2,0),0)</f>
        <v>1000</v>
      </c>
    </row>
    <row r="1508" spans="1:16" x14ac:dyDescent="0.25">
      <c r="A1508" s="89" t="str">
        <f>B1508</f>
        <v>SP410PTC</v>
      </c>
      <c r="B1508" s="17" t="s">
        <v>1025</v>
      </c>
      <c r="C1508" s="17" t="s">
        <v>1026</v>
      </c>
      <c r="D1508" s="17">
        <v>54</v>
      </c>
      <c r="E1508" s="17" t="s">
        <v>769</v>
      </c>
      <c r="F1508" s="17">
        <v>1</v>
      </c>
      <c r="G1508" s="17" t="s">
        <v>16</v>
      </c>
      <c r="H1508" s="17" t="s">
        <v>17</v>
      </c>
      <c r="I1508" s="18">
        <v>4003642</v>
      </c>
      <c r="J1508" s="17" t="s">
        <v>751</v>
      </c>
      <c r="K1508" s="17">
        <v>99</v>
      </c>
      <c r="L1508" s="17" t="s">
        <v>15</v>
      </c>
      <c r="M1508" s="17">
        <v>500</v>
      </c>
      <c r="N1508" s="17" t="s">
        <v>1</v>
      </c>
      <c r="O1508" s="20">
        <f t="shared" ref="O1508:O1509" si="370">M1508/10000</f>
        <v>0.05</v>
      </c>
      <c r="P1508" s="21">
        <f>O1508*$P$1507</f>
        <v>50</v>
      </c>
    </row>
    <row r="1509" spans="1:16" ht="15.75" thickBot="1" x14ac:dyDescent="0.3">
      <c r="A1509" s="90"/>
      <c r="B1509" s="23" t="s">
        <v>1025</v>
      </c>
      <c r="C1509" s="23" t="s">
        <v>1026</v>
      </c>
      <c r="D1509" s="23">
        <v>54</v>
      </c>
      <c r="E1509" s="23" t="s">
        <v>769</v>
      </c>
      <c r="F1509" s="23">
        <v>1</v>
      </c>
      <c r="G1509" s="23" t="s">
        <v>21</v>
      </c>
      <c r="H1509" s="23" t="s">
        <v>17</v>
      </c>
      <c r="I1509" s="24" t="s">
        <v>1027</v>
      </c>
      <c r="J1509" s="23" t="s">
        <v>1026</v>
      </c>
      <c r="K1509" s="23">
        <v>3</v>
      </c>
      <c r="L1509" s="23" t="s">
        <v>24</v>
      </c>
      <c r="M1509" s="25">
        <v>10000</v>
      </c>
      <c r="N1509" s="23" t="s">
        <v>1</v>
      </c>
      <c r="O1509" s="26">
        <f t="shared" si="370"/>
        <v>1</v>
      </c>
      <c r="P1509" s="27">
        <f>O1509*$P$1507</f>
        <v>1000</v>
      </c>
    </row>
    <row r="1510" spans="1:16" x14ac:dyDescent="0.25">
      <c r="B1510" s="1"/>
      <c r="C1510" s="1"/>
      <c r="D1510" s="1"/>
      <c r="E1510" s="1"/>
      <c r="F1510" s="1"/>
      <c r="G1510" s="1"/>
      <c r="H1510" s="1"/>
      <c r="I1510" s="2"/>
      <c r="J1510" s="1"/>
      <c r="K1510" s="1"/>
      <c r="L1510" s="1"/>
      <c r="M1510" s="3"/>
      <c r="N1510" s="1"/>
    </row>
    <row r="1511" spans="1:16" s="29" customFormat="1" ht="15.75" thickBot="1" x14ac:dyDescent="0.3">
      <c r="P1511" s="11">
        <f>IFERROR(VLOOKUP($A1512,'PROGRAMA MES '!$A:$B,2,0),0)</f>
        <v>2600</v>
      </c>
    </row>
    <row r="1512" spans="1:16" x14ac:dyDescent="0.25">
      <c r="A1512" s="89" t="str">
        <f>B1512</f>
        <v>SP410VDC</v>
      </c>
      <c r="B1512" s="17" t="s">
        <v>1028</v>
      </c>
      <c r="C1512" s="17" t="s">
        <v>1029</v>
      </c>
      <c r="D1512" s="17">
        <v>54</v>
      </c>
      <c r="E1512" s="17" t="s">
        <v>769</v>
      </c>
      <c r="F1512" s="17">
        <v>1</v>
      </c>
      <c r="G1512" s="17" t="s">
        <v>16</v>
      </c>
      <c r="H1512" s="17" t="s">
        <v>17</v>
      </c>
      <c r="I1512" s="18">
        <v>4003642</v>
      </c>
      <c r="J1512" s="17" t="s">
        <v>751</v>
      </c>
      <c r="K1512" s="17">
        <v>99</v>
      </c>
      <c r="L1512" s="17" t="s">
        <v>15</v>
      </c>
      <c r="M1512" s="17">
        <v>500</v>
      </c>
      <c r="N1512" s="17" t="s">
        <v>1</v>
      </c>
      <c r="O1512" s="20">
        <f t="shared" ref="O1512:O1513" si="371">M1512/10000</f>
        <v>0.05</v>
      </c>
      <c r="P1512" s="21">
        <f>O1512*$P$1511</f>
        <v>130</v>
      </c>
    </row>
    <row r="1513" spans="1:16" ht="15.75" thickBot="1" x14ac:dyDescent="0.3">
      <c r="A1513" s="90"/>
      <c r="B1513" s="23" t="s">
        <v>1028</v>
      </c>
      <c r="C1513" s="23" t="s">
        <v>1029</v>
      </c>
      <c r="D1513" s="23">
        <v>54</v>
      </c>
      <c r="E1513" s="23" t="s">
        <v>769</v>
      </c>
      <c r="F1513" s="23">
        <v>1</v>
      </c>
      <c r="G1513" s="23" t="s">
        <v>21</v>
      </c>
      <c r="H1513" s="23" t="s">
        <v>17</v>
      </c>
      <c r="I1513" s="24" t="s">
        <v>1030</v>
      </c>
      <c r="J1513" s="23" t="s">
        <v>1029</v>
      </c>
      <c r="K1513" s="23">
        <v>3</v>
      </c>
      <c r="L1513" s="23" t="s">
        <v>24</v>
      </c>
      <c r="M1513" s="25">
        <v>10000</v>
      </c>
      <c r="N1513" s="23" t="s">
        <v>1</v>
      </c>
      <c r="O1513" s="26">
        <f t="shared" si="371"/>
        <v>1</v>
      </c>
      <c r="P1513" s="27">
        <f>O1513*$P$1511</f>
        <v>2600</v>
      </c>
    </row>
    <row r="1514" spans="1:16" x14ac:dyDescent="0.25">
      <c r="B1514" s="1"/>
      <c r="C1514" s="1"/>
      <c r="D1514" s="1"/>
      <c r="E1514" s="1"/>
      <c r="F1514" s="1"/>
      <c r="G1514" s="1"/>
      <c r="H1514" s="1"/>
      <c r="I1514" s="2"/>
      <c r="J1514" s="1"/>
      <c r="K1514" s="1"/>
      <c r="L1514" s="1"/>
      <c r="M1514" s="3"/>
      <c r="N1514" s="1"/>
    </row>
    <row r="1515" spans="1:16" s="29" customFormat="1" ht="15.75" thickBot="1" x14ac:dyDescent="0.3">
      <c r="P1515" s="11">
        <f>IFERROR(VLOOKUP($A1516,'PROGRAMA MES '!$A:$B,2,0),0)</f>
        <v>0</v>
      </c>
    </row>
    <row r="1516" spans="1:16" x14ac:dyDescent="0.25">
      <c r="A1516" s="89" t="str">
        <f>B1516</f>
        <v>SP410VRC</v>
      </c>
      <c r="B1516" s="17" t="s">
        <v>1031</v>
      </c>
      <c r="C1516" s="17" t="s">
        <v>1032</v>
      </c>
      <c r="D1516" s="17">
        <v>54</v>
      </c>
      <c r="E1516" s="17" t="s">
        <v>769</v>
      </c>
      <c r="F1516" s="17">
        <v>1</v>
      </c>
      <c r="G1516" s="17" t="s">
        <v>16</v>
      </c>
      <c r="H1516" s="17" t="s">
        <v>17</v>
      </c>
      <c r="I1516" s="18">
        <v>4013770</v>
      </c>
      <c r="J1516" s="17" t="s">
        <v>742</v>
      </c>
      <c r="K1516" s="17">
        <v>99</v>
      </c>
      <c r="L1516" s="17" t="s">
        <v>15</v>
      </c>
      <c r="M1516" s="17">
        <v>500</v>
      </c>
      <c r="N1516" s="17" t="s">
        <v>1</v>
      </c>
      <c r="O1516" s="20">
        <f t="shared" ref="O1516:O1597" si="372">M1516/10000</f>
        <v>0.05</v>
      </c>
      <c r="P1516" s="21">
        <f>O1516*$P$1515</f>
        <v>0</v>
      </c>
    </row>
    <row r="1517" spans="1:16" ht="15.75" thickBot="1" x14ac:dyDescent="0.3">
      <c r="A1517" s="90"/>
      <c r="B1517" s="23" t="s">
        <v>1031</v>
      </c>
      <c r="C1517" s="23" t="s">
        <v>1032</v>
      </c>
      <c r="D1517" s="23">
        <v>54</v>
      </c>
      <c r="E1517" s="23" t="s">
        <v>769</v>
      </c>
      <c r="F1517" s="23">
        <v>1</v>
      </c>
      <c r="G1517" s="23" t="s">
        <v>21</v>
      </c>
      <c r="H1517" s="23" t="s">
        <v>17</v>
      </c>
      <c r="I1517" s="24" t="s">
        <v>1033</v>
      </c>
      <c r="J1517" s="23" t="s">
        <v>1032</v>
      </c>
      <c r="K1517" s="23">
        <v>56</v>
      </c>
      <c r="L1517" s="23" t="s">
        <v>772</v>
      </c>
      <c r="M1517" s="25">
        <v>10000</v>
      </c>
      <c r="N1517" s="23" t="s">
        <v>1</v>
      </c>
      <c r="O1517" s="26">
        <f t="shared" si="372"/>
        <v>1</v>
      </c>
      <c r="P1517" s="27">
        <f>O1517*$P$1515</f>
        <v>0</v>
      </c>
    </row>
    <row r="1518" spans="1:16" x14ac:dyDescent="0.25">
      <c r="B1518" s="1"/>
      <c r="C1518" s="1"/>
      <c r="D1518" s="1"/>
      <c r="E1518" s="1"/>
      <c r="F1518" s="1"/>
      <c r="G1518" s="1"/>
      <c r="H1518" s="1"/>
      <c r="I1518" s="2"/>
      <c r="J1518" s="1"/>
      <c r="K1518" s="1"/>
      <c r="L1518" s="1"/>
      <c r="M1518" s="3"/>
      <c r="N1518" s="1"/>
    </row>
    <row r="1519" spans="1:16" s="29" customFormat="1" ht="15.75" thickBot="1" x14ac:dyDescent="0.3">
      <c r="P1519" s="11">
        <f>IFERROR(VLOOKUP($A1520,'PROGRAMA MES '!$A:$B,2,0),0)</f>
        <v>0</v>
      </c>
    </row>
    <row r="1520" spans="1:16" x14ac:dyDescent="0.25">
      <c r="A1520" s="89" t="str">
        <f>B1520</f>
        <v>SP440BRC</v>
      </c>
      <c r="B1520" s="17" t="s">
        <v>1034</v>
      </c>
      <c r="C1520" s="17" t="s">
        <v>1035</v>
      </c>
      <c r="D1520" s="17">
        <v>54</v>
      </c>
      <c r="E1520" s="17" t="s">
        <v>769</v>
      </c>
      <c r="F1520" s="17">
        <v>1</v>
      </c>
      <c r="G1520" s="17" t="s">
        <v>16</v>
      </c>
      <c r="H1520" s="17" t="s">
        <v>17</v>
      </c>
      <c r="I1520" s="18">
        <v>4013770</v>
      </c>
      <c r="J1520" s="17" t="s">
        <v>742</v>
      </c>
      <c r="K1520" s="17">
        <v>99</v>
      </c>
      <c r="L1520" s="17" t="s">
        <v>15</v>
      </c>
      <c r="M1520" s="17">
        <v>500</v>
      </c>
      <c r="N1520" s="17" t="s">
        <v>1</v>
      </c>
      <c r="O1520" s="20">
        <f t="shared" si="372"/>
        <v>0.05</v>
      </c>
      <c r="P1520" s="21">
        <f>O1520*$P$1519</f>
        <v>0</v>
      </c>
    </row>
    <row r="1521" spans="1:16" ht="15.75" thickBot="1" x14ac:dyDescent="0.3">
      <c r="A1521" s="90"/>
      <c r="B1521" s="23" t="s">
        <v>1034</v>
      </c>
      <c r="C1521" s="23" t="s">
        <v>1035</v>
      </c>
      <c r="D1521" s="23">
        <v>54</v>
      </c>
      <c r="E1521" s="23" t="s">
        <v>769</v>
      </c>
      <c r="F1521" s="23">
        <v>1</v>
      </c>
      <c r="G1521" s="23" t="s">
        <v>21</v>
      </c>
      <c r="H1521" s="23" t="s">
        <v>17</v>
      </c>
      <c r="I1521" s="24" t="s">
        <v>1036</v>
      </c>
      <c r="J1521" s="23" t="s">
        <v>1035</v>
      </c>
      <c r="K1521" s="23">
        <v>56</v>
      </c>
      <c r="L1521" s="23" t="s">
        <v>772</v>
      </c>
      <c r="M1521" s="25">
        <v>10000</v>
      </c>
      <c r="N1521" s="23" t="s">
        <v>1</v>
      </c>
      <c r="O1521" s="26">
        <f t="shared" si="372"/>
        <v>1</v>
      </c>
      <c r="P1521" s="27">
        <f>O1521*$P$1519</f>
        <v>0</v>
      </c>
    </row>
    <row r="1522" spans="1:16" x14ac:dyDescent="0.25">
      <c r="B1522" s="1"/>
      <c r="C1522" s="1"/>
      <c r="D1522" s="1"/>
      <c r="E1522" s="1"/>
      <c r="F1522" s="1"/>
      <c r="G1522" s="1"/>
      <c r="H1522" s="1"/>
      <c r="I1522" s="2"/>
      <c r="J1522" s="1"/>
      <c r="K1522" s="1"/>
      <c r="L1522" s="1"/>
      <c r="M1522" s="3"/>
      <c r="N1522" s="1"/>
    </row>
    <row r="1523" spans="1:16" s="29" customFormat="1" ht="15.75" thickBot="1" x14ac:dyDescent="0.3">
      <c r="P1523" s="11">
        <f>IFERROR(VLOOKUP($A1524,'PROGRAMA MES '!$A:$B,2,0),0)</f>
        <v>200</v>
      </c>
    </row>
    <row r="1524" spans="1:16" x14ac:dyDescent="0.25">
      <c r="A1524" s="89" t="str">
        <f>B1524</f>
        <v>SP440PTC</v>
      </c>
      <c r="B1524" s="17" t="s">
        <v>1037</v>
      </c>
      <c r="C1524" s="17" t="s">
        <v>1038</v>
      </c>
      <c r="D1524" s="17">
        <v>54</v>
      </c>
      <c r="E1524" s="17" t="s">
        <v>769</v>
      </c>
      <c r="F1524" s="17">
        <v>1</v>
      </c>
      <c r="G1524" s="17" t="s">
        <v>16</v>
      </c>
      <c r="H1524" s="17" t="s">
        <v>17</v>
      </c>
      <c r="I1524" s="18">
        <v>4013770</v>
      </c>
      <c r="J1524" s="17" t="s">
        <v>742</v>
      </c>
      <c r="K1524" s="17">
        <v>99</v>
      </c>
      <c r="L1524" s="17" t="s">
        <v>15</v>
      </c>
      <c r="M1524" s="17">
        <v>500</v>
      </c>
      <c r="N1524" s="17" t="s">
        <v>1</v>
      </c>
      <c r="O1524" s="20">
        <f t="shared" si="372"/>
        <v>0.05</v>
      </c>
      <c r="P1524" s="21">
        <f>O1524*$P$1523</f>
        <v>10</v>
      </c>
    </row>
    <row r="1525" spans="1:16" ht="15.75" thickBot="1" x14ac:dyDescent="0.3">
      <c r="A1525" s="90"/>
      <c r="B1525" s="23" t="s">
        <v>1037</v>
      </c>
      <c r="C1525" s="23" t="s">
        <v>1038</v>
      </c>
      <c r="D1525" s="23">
        <v>54</v>
      </c>
      <c r="E1525" s="23" t="s">
        <v>769</v>
      </c>
      <c r="F1525" s="23">
        <v>1</v>
      </c>
      <c r="G1525" s="23" t="s">
        <v>21</v>
      </c>
      <c r="H1525" s="23" t="s">
        <v>17</v>
      </c>
      <c r="I1525" s="24" t="s">
        <v>1039</v>
      </c>
      <c r="J1525" s="23" t="s">
        <v>1038</v>
      </c>
      <c r="K1525" s="23">
        <v>3</v>
      </c>
      <c r="L1525" s="23" t="s">
        <v>24</v>
      </c>
      <c r="M1525" s="25">
        <v>10000</v>
      </c>
      <c r="N1525" s="23" t="s">
        <v>1</v>
      </c>
      <c r="O1525" s="26">
        <f t="shared" si="372"/>
        <v>1</v>
      </c>
      <c r="P1525" s="27">
        <f>O1525*$P$1523</f>
        <v>200</v>
      </c>
    </row>
    <row r="1526" spans="1:16" x14ac:dyDescent="0.25">
      <c r="B1526" s="1"/>
      <c r="C1526" s="1"/>
      <c r="D1526" s="1"/>
      <c r="E1526" s="1"/>
      <c r="F1526" s="1"/>
      <c r="G1526" s="1"/>
      <c r="H1526" s="1"/>
      <c r="I1526" s="2"/>
      <c r="J1526" s="1"/>
      <c r="K1526" s="1"/>
      <c r="L1526" s="1"/>
      <c r="M1526" s="3"/>
      <c r="N1526" s="1"/>
    </row>
    <row r="1527" spans="1:16" s="29" customFormat="1" ht="15.75" thickBot="1" x14ac:dyDescent="0.3">
      <c r="P1527" s="11">
        <f>IFERROR(VLOOKUP($A1528,'PROGRAMA MES '!$A:$B,2,0),0)</f>
        <v>0</v>
      </c>
    </row>
    <row r="1528" spans="1:16" x14ac:dyDescent="0.25">
      <c r="A1528" s="89" t="str">
        <f>B1528</f>
        <v>SP440VDC</v>
      </c>
      <c r="B1528" s="17" t="s">
        <v>1040</v>
      </c>
      <c r="C1528" s="17" t="s">
        <v>1041</v>
      </c>
      <c r="D1528" s="17">
        <v>54</v>
      </c>
      <c r="E1528" s="17" t="s">
        <v>769</v>
      </c>
      <c r="F1528" s="17">
        <v>1</v>
      </c>
      <c r="G1528" s="17" t="s">
        <v>16</v>
      </c>
      <c r="H1528" s="17" t="s">
        <v>17</v>
      </c>
      <c r="I1528" s="18">
        <v>4013770</v>
      </c>
      <c r="J1528" s="17" t="s">
        <v>742</v>
      </c>
      <c r="K1528" s="17">
        <v>99</v>
      </c>
      <c r="L1528" s="17" t="s">
        <v>15</v>
      </c>
      <c r="M1528" s="17">
        <v>500</v>
      </c>
      <c r="N1528" s="17" t="s">
        <v>1</v>
      </c>
      <c r="O1528" s="20">
        <f t="shared" si="372"/>
        <v>0.05</v>
      </c>
      <c r="P1528" s="21">
        <f>O1528*$P$1527</f>
        <v>0</v>
      </c>
    </row>
    <row r="1529" spans="1:16" ht="15.75" thickBot="1" x14ac:dyDescent="0.3">
      <c r="A1529" s="90"/>
      <c r="B1529" s="23" t="s">
        <v>1040</v>
      </c>
      <c r="C1529" s="23" t="s">
        <v>1041</v>
      </c>
      <c r="D1529" s="23">
        <v>54</v>
      </c>
      <c r="E1529" s="23" t="s">
        <v>769</v>
      </c>
      <c r="F1529" s="23">
        <v>1</v>
      </c>
      <c r="G1529" s="23" t="s">
        <v>21</v>
      </c>
      <c r="H1529" s="23" t="s">
        <v>17</v>
      </c>
      <c r="I1529" s="24" t="s">
        <v>1042</v>
      </c>
      <c r="J1529" s="23" t="s">
        <v>1041</v>
      </c>
      <c r="K1529" s="23">
        <v>3</v>
      </c>
      <c r="L1529" s="23" t="s">
        <v>24</v>
      </c>
      <c r="M1529" s="25">
        <v>10000</v>
      </c>
      <c r="N1529" s="23" t="s">
        <v>1</v>
      </c>
      <c r="O1529" s="26">
        <f t="shared" si="372"/>
        <v>1</v>
      </c>
      <c r="P1529" s="27">
        <f>O1529*$P$1527</f>
        <v>0</v>
      </c>
    </row>
    <row r="1530" spans="1:16" x14ac:dyDescent="0.25">
      <c r="B1530" s="1"/>
      <c r="C1530" s="1"/>
      <c r="D1530" s="1"/>
      <c r="E1530" s="1"/>
      <c r="F1530" s="1"/>
      <c r="G1530" s="1"/>
      <c r="H1530" s="1"/>
      <c r="I1530" s="2"/>
      <c r="J1530" s="1"/>
      <c r="K1530" s="1"/>
      <c r="L1530" s="1"/>
      <c r="M1530" s="3"/>
      <c r="N1530" s="1"/>
    </row>
    <row r="1531" spans="1:16" s="29" customFormat="1" ht="15.75" thickBot="1" x14ac:dyDescent="0.3">
      <c r="P1531" s="11">
        <f>IFERROR(VLOOKUP($A1532,'PROGRAMA MES '!$A:$B,2,0),0)</f>
        <v>0</v>
      </c>
    </row>
    <row r="1532" spans="1:16" x14ac:dyDescent="0.25">
      <c r="A1532" s="89" t="str">
        <f>B1532</f>
        <v>SP440VRC</v>
      </c>
      <c r="B1532" s="17" t="s">
        <v>1043</v>
      </c>
      <c r="C1532" s="17" t="s">
        <v>1044</v>
      </c>
      <c r="D1532" s="17">
        <v>54</v>
      </c>
      <c r="E1532" s="17" t="s">
        <v>769</v>
      </c>
      <c r="F1532" s="17">
        <v>1</v>
      </c>
      <c r="G1532" s="17" t="s">
        <v>16</v>
      </c>
      <c r="H1532" s="17" t="s">
        <v>17</v>
      </c>
      <c r="I1532" s="18">
        <v>4013770</v>
      </c>
      <c r="J1532" s="17" t="s">
        <v>742</v>
      </c>
      <c r="K1532" s="17">
        <v>99</v>
      </c>
      <c r="L1532" s="17" t="s">
        <v>15</v>
      </c>
      <c r="M1532" s="17">
        <v>500</v>
      </c>
      <c r="N1532" s="17" t="s">
        <v>1</v>
      </c>
      <c r="O1532" s="20">
        <f t="shared" si="372"/>
        <v>0.05</v>
      </c>
      <c r="P1532" s="21">
        <f>O1532*$P$1531</f>
        <v>0</v>
      </c>
    </row>
    <row r="1533" spans="1:16" ht="15.75" thickBot="1" x14ac:dyDescent="0.3">
      <c r="A1533" s="90"/>
      <c r="B1533" s="23" t="s">
        <v>1043</v>
      </c>
      <c r="C1533" s="23" t="s">
        <v>1044</v>
      </c>
      <c r="D1533" s="23">
        <v>54</v>
      </c>
      <c r="E1533" s="23" t="s">
        <v>769</v>
      </c>
      <c r="F1533" s="23">
        <v>1</v>
      </c>
      <c r="G1533" s="23" t="s">
        <v>21</v>
      </c>
      <c r="H1533" s="23" t="s">
        <v>17</v>
      </c>
      <c r="I1533" s="24" t="s">
        <v>1045</v>
      </c>
      <c r="J1533" s="23" t="s">
        <v>1044</v>
      </c>
      <c r="K1533" s="23">
        <v>56</v>
      </c>
      <c r="L1533" s="23" t="s">
        <v>772</v>
      </c>
      <c r="M1533" s="25">
        <v>10000</v>
      </c>
      <c r="N1533" s="23" t="s">
        <v>1</v>
      </c>
      <c r="O1533" s="26">
        <f t="shared" si="372"/>
        <v>1</v>
      </c>
      <c r="P1533" s="27">
        <f>O1533*$P$1531</f>
        <v>0</v>
      </c>
    </row>
    <row r="1534" spans="1:16" x14ac:dyDescent="0.25">
      <c r="B1534" s="1"/>
      <c r="C1534" s="1"/>
      <c r="D1534" s="1"/>
      <c r="E1534" s="1"/>
      <c r="F1534" s="1"/>
      <c r="G1534" s="1"/>
      <c r="H1534" s="1"/>
      <c r="I1534" s="2"/>
      <c r="J1534" s="1"/>
      <c r="K1534" s="1"/>
      <c r="L1534" s="1"/>
      <c r="M1534" s="3"/>
      <c r="N1534" s="1"/>
    </row>
    <row r="1535" spans="1:16" s="29" customFormat="1" ht="15.75" thickBot="1" x14ac:dyDescent="0.3">
      <c r="P1535" s="11">
        <f>IFERROR(VLOOKUP($A1536,'PROGRAMA MES '!$A:$B,2,0),0)</f>
        <v>200</v>
      </c>
    </row>
    <row r="1536" spans="1:16" x14ac:dyDescent="0.25">
      <c r="A1536" s="89" t="str">
        <f>B1536</f>
        <v>SP510BRC</v>
      </c>
      <c r="B1536" s="17" t="s">
        <v>1046</v>
      </c>
      <c r="C1536" s="17" t="s">
        <v>1047</v>
      </c>
      <c r="D1536" s="17">
        <v>54</v>
      </c>
      <c r="E1536" s="17" t="s">
        <v>769</v>
      </c>
      <c r="F1536" s="17">
        <v>1</v>
      </c>
      <c r="G1536" s="17" t="s">
        <v>16</v>
      </c>
      <c r="H1536" s="17" t="s">
        <v>17</v>
      </c>
      <c r="I1536" s="18">
        <v>4012306</v>
      </c>
      <c r="J1536" s="17" t="s">
        <v>1048</v>
      </c>
      <c r="K1536" s="17">
        <v>99</v>
      </c>
      <c r="L1536" s="17" t="s">
        <v>15</v>
      </c>
      <c r="M1536" s="17">
        <v>500</v>
      </c>
      <c r="N1536" s="17" t="s">
        <v>1</v>
      </c>
      <c r="O1536" s="20">
        <f t="shared" si="372"/>
        <v>0.05</v>
      </c>
      <c r="P1536" s="21">
        <f>O1536*$P$1535</f>
        <v>10</v>
      </c>
    </row>
    <row r="1537" spans="1:16" ht="15.75" thickBot="1" x14ac:dyDescent="0.3">
      <c r="A1537" s="90"/>
      <c r="B1537" s="23" t="s">
        <v>1046</v>
      </c>
      <c r="C1537" s="23" t="s">
        <v>1047</v>
      </c>
      <c r="D1537" s="23">
        <v>54</v>
      </c>
      <c r="E1537" s="23" t="s">
        <v>769</v>
      </c>
      <c r="F1537" s="23">
        <v>1</v>
      </c>
      <c r="G1537" s="23" t="s">
        <v>21</v>
      </c>
      <c r="H1537" s="23" t="s">
        <v>17</v>
      </c>
      <c r="I1537" s="24" t="s">
        <v>1049</v>
      </c>
      <c r="J1537" s="23" t="s">
        <v>1047</v>
      </c>
      <c r="K1537" s="23">
        <v>56</v>
      </c>
      <c r="L1537" s="23" t="s">
        <v>772</v>
      </c>
      <c r="M1537" s="25">
        <v>10000</v>
      </c>
      <c r="N1537" s="23" t="s">
        <v>1</v>
      </c>
      <c r="O1537" s="26">
        <f t="shared" si="372"/>
        <v>1</v>
      </c>
      <c r="P1537" s="27">
        <f>O1537*$P$1535</f>
        <v>200</v>
      </c>
    </row>
    <row r="1538" spans="1:16" x14ac:dyDescent="0.25">
      <c r="B1538" s="1"/>
      <c r="C1538" s="1"/>
      <c r="D1538" s="1"/>
      <c r="E1538" s="1"/>
      <c r="F1538" s="1"/>
      <c r="G1538" s="1"/>
      <c r="H1538" s="1"/>
      <c r="I1538" s="2"/>
      <c r="J1538" s="1"/>
      <c r="K1538" s="1"/>
      <c r="L1538" s="1"/>
      <c r="M1538" s="3"/>
      <c r="N1538" s="1"/>
    </row>
    <row r="1539" spans="1:16" s="29" customFormat="1" ht="15.75" thickBot="1" x14ac:dyDescent="0.3">
      <c r="P1539" s="11">
        <f>IFERROR(VLOOKUP($A1540,'PROGRAMA MES '!$A:$B,2,0),0)</f>
        <v>1800</v>
      </c>
    </row>
    <row r="1540" spans="1:16" x14ac:dyDescent="0.25">
      <c r="A1540" s="89" t="str">
        <f>B1540</f>
        <v>SP510PTC</v>
      </c>
      <c r="B1540" s="17" t="s">
        <v>1050</v>
      </c>
      <c r="C1540" s="17" t="s">
        <v>1051</v>
      </c>
      <c r="D1540" s="17">
        <v>54</v>
      </c>
      <c r="E1540" s="17" t="s">
        <v>769</v>
      </c>
      <c r="F1540" s="17">
        <v>1</v>
      </c>
      <c r="G1540" s="17" t="s">
        <v>16</v>
      </c>
      <c r="H1540" s="17" t="s">
        <v>17</v>
      </c>
      <c r="I1540" s="18">
        <v>4012306</v>
      </c>
      <c r="J1540" s="17" t="s">
        <v>1048</v>
      </c>
      <c r="K1540" s="17">
        <v>99</v>
      </c>
      <c r="L1540" s="17" t="s">
        <v>15</v>
      </c>
      <c r="M1540" s="17">
        <v>500</v>
      </c>
      <c r="N1540" s="17" t="s">
        <v>1</v>
      </c>
      <c r="O1540" s="20">
        <f t="shared" si="372"/>
        <v>0.05</v>
      </c>
      <c r="P1540" s="21">
        <f>O1540*$P$1539</f>
        <v>90</v>
      </c>
    </row>
    <row r="1541" spans="1:16" ht="15.75" thickBot="1" x14ac:dyDescent="0.3">
      <c r="A1541" s="90"/>
      <c r="B1541" s="23" t="s">
        <v>1050</v>
      </c>
      <c r="C1541" s="23" t="s">
        <v>1051</v>
      </c>
      <c r="D1541" s="23">
        <v>54</v>
      </c>
      <c r="E1541" s="23" t="s">
        <v>769</v>
      </c>
      <c r="F1541" s="23">
        <v>1</v>
      </c>
      <c r="G1541" s="23" t="s">
        <v>21</v>
      </c>
      <c r="H1541" s="23" t="s">
        <v>17</v>
      </c>
      <c r="I1541" s="24" t="s">
        <v>1052</v>
      </c>
      <c r="J1541" s="23" t="s">
        <v>1051</v>
      </c>
      <c r="K1541" s="23">
        <v>3</v>
      </c>
      <c r="L1541" s="23" t="s">
        <v>24</v>
      </c>
      <c r="M1541" s="25">
        <v>10000</v>
      </c>
      <c r="N1541" s="23" t="s">
        <v>1</v>
      </c>
      <c r="O1541" s="26">
        <f t="shared" si="372"/>
        <v>1</v>
      </c>
      <c r="P1541" s="27">
        <f>O1541*$P$1539</f>
        <v>1800</v>
      </c>
    </row>
    <row r="1542" spans="1:16" x14ac:dyDescent="0.25">
      <c r="B1542" s="1"/>
      <c r="C1542" s="1"/>
      <c r="D1542" s="1"/>
      <c r="E1542" s="1"/>
      <c r="F1542" s="1"/>
      <c r="G1542" s="1"/>
      <c r="H1542" s="1"/>
      <c r="I1542" s="2"/>
      <c r="J1542" s="1"/>
      <c r="K1542" s="1"/>
      <c r="L1542" s="1"/>
      <c r="M1542" s="3"/>
      <c r="N1542" s="1"/>
    </row>
    <row r="1543" spans="1:16" s="29" customFormat="1" ht="15.75" thickBot="1" x14ac:dyDescent="0.3">
      <c r="P1543" s="11">
        <f>IFERROR(VLOOKUP($A1544,'PROGRAMA MES '!$A:$B,2,0),0)</f>
        <v>2000</v>
      </c>
    </row>
    <row r="1544" spans="1:16" x14ac:dyDescent="0.25">
      <c r="A1544" s="89" t="str">
        <f>B1544</f>
        <v>SP510VDC</v>
      </c>
      <c r="B1544" s="17" t="s">
        <v>1053</v>
      </c>
      <c r="C1544" s="17" t="s">
        <v>1054</v>
      </c>
      <c r="D1544" s="17">
        <v>54</v>
      </c>
      <c r="E1544" s="17" t="s">
        <v>769</v>
      </c>
      <c r="F1544" s="17">
        <v>1</v>
      </c>
      <c r="G1544" s="17" t="s">
        <v>16</v>
      </c>
      <c r="H1544" s="17" t="s">
        <v>17</v>
      </c>
      <c r="I1544" s="18">
        <v>4012306</v>
      </c>
      <c r="J1544" s="17" t="s">
        <v>1048</v>
      </c>
      <c r="K1544" s="17">
        <v>99</v>
      </c>
      <c r="L1544" s="17" t="s">
        <v>15</v>
      </c>
      <c r="M1544" s="17">
        <v>500</v>
      </c>
      <c r="N1544" s="17" t="s">
        <v>1</v>
      </c>
      <c r="O1544" s="20">
        <f t="shared" si="372"/>
        <v>0.05</v>
      </c>
      <c r="P1544" s="21">
        <f>O1544*$P$1543</f>
        <v>100</v>
      </c>
    </row>
    <row r="1545" spans="1:16" ht="15.75" thickBot="1" x14ac:dyDescent="0.3">
      <c r="A1545" s="90"/>
      <c r="B1545" s="23" t="s">
        <v>1053</v>
      </c>
      <c r="C1545" s="23" t="s">
        <v>1054</v>
      </c>
      <c r="D1545" s="23">
        <v>54</v>
      </c>
      <c r="E1545" s="23" t="s">
        <v>769</v>
      </c>
      <c r="F1545" s="23">
        <v>1</v>
      </c>
      <c r="G1545" s="23" t="s">
        <v>21</v>
      </c>
      <c r="H1545" s="23" t="s">
        <v>17</v>
      </c>
      <c r="I1545" s="24" t="s">
        <v>1055</v>
      </c>
      <c r="J1545" s="23" t="s">
        <v>1054</v>
      </c>
      <c r="K1545" s="23">
        <v>3</v>
      </c>
      <c r="L1545" s="23" t="s">
        <v>24</v>
      </c>
      <c r="M1545" s="25">
        <v>10000</v>
      </c>
      <c r="N1545" s="23" t="s">
        <v>1</v>
      </c>
      <c r="O1545" s="26">
        <f t="shared" si="372"/>
        <v>1</v>
      </c>
      <c r="P1545" s="27">
        <f>O1545*$P$1543</f>
        <v>2000</v>
      </c>
    </row>
    <row r="1546" spans="1:16" x14ac:dyDescent="0.25">
      <c r="B1546" s="1"/>
      <c r="C1546" s="1"/>
      <c r="D1546" s="1"/>
      <c r="E1546" s="1"/>
      <c r="F1546" s="1"/>
      <c r="G1546" s="1"/>
      <c r="H1546" s="1"/>
      <c r="I1546" s="2"/>
      <c r="J1546" s="1"/>
      <c r="K1546" s="1"/>
      <c r="L1546" s="1"/>
      <c r="M1546" s="3"/>
      <c r="N1546" s="1"/>
    </row>
    <row r="1547" spans="1:16" s="29" customFormat="1" ht="15.75" thickBot="1" x14ac:dyDescent="0.3">
      <c r="P1547" s="11">
        <f>IFERROR(VLOOKUP($A1548,'PROGRAMA MES '!$A:$B,2,0),0)</f>
        <v>200</v>
      </c>
    </row>
    <row r="1548" spans="1:16" x14ac:dyDescent="0.25">
      <c r="A1548" s="89" t="str">
        <f>B1548</f>
        <v>SP510VRC</v>
      </c>
      <c r="B1548" s="17" t="s">
        <v>1056</v>
      </c>
      <c r="C1548" s="17" t="s">
        <v>1057</v>
      </c>
      <c r="D1548" s="17">
        <v>54</v>
      </c>
      <c r="E1548" s="17" t="s">
        <v>769</v>
      </c>
      <c r="F1548" s="17">
        <v>1</v>
      </c>
      <c r="G1548" s="17" t="s">
        <v>16</v>
      </c>
      <c r="H1548" s="17" t="s">
        <v>17</v>
      </c>
      <c r="I1548" s="18">
        <v>4012306</v>
      </c>
      <c r="J1548" s="17" t="s">
        <v>1048</v>
      </c>
      <c r="K1548" s="17">
        <v>99</v>
      </c>
      <c r="L1548" s="17" t="s">
        <v>15</v>
      </c>
      <c r="M1548" s="17">
        <v>500</v>
      </c>
      <c r="N1548" s="17" t="s">
        <v>1</v>
      </c>
      <c r="O1548" s="20">
        <f t="shared" si="372"/>
        <v>0.05</v>
      </c>
      <c r="P1548" s="21">
        <f>O1548*$P$1547</f>
        <v>10</v>
      </c>
    </row>
    <row r="1549" spans="1:16" ht="15.75" thickBot="1" x14ac:dyDescent="0.3">
      <c r="A1549" s="90"/>
      <c r="B1549" s="23" t="s">
        <v>1056</v>
      </c>
      <c r="C1549" s="23" t="s">
        <v>1057</v>
      </c>
      <c r="D1549" s="23">
        <v>54</v>
      </c>
      <c r="E1549" s="23" t="s">
        <v>769</v>
      </c>
      <c r="F1549" s="23">
        <v>1</v>
      </c>
      <c r="G1549" s="23" t="s">
        <v>21</v>
      </c>
      <c r="H1549" s="23" t="s">
        <v>17</v>
      </c>
      <c r="I1549" s="24" t="s">
        <v>1058</v>
      </c>
      <c r="J1549" s="23" t="s">
        <v>1057</v>
      </c>
      <c r="K1549" s="23">
        <v>56</v>
      </c>
      <c r="L1549" s="23" t="s">
        <v>772</v>
      </c>
      <c r="M1549" s="25">
        <v>10000</v>
      </c>
      <c r="N1549" s="23" t="s">
        <v>1</v>
      </c>
      <c r="O1549" s="26">
        <f t="shared" si="372"/>
        <v>1</v>
      </c>
      <c r="P1549" s="27">
        <f>O1549*$P$1547</f>
        <v>200</v>
      </c>
    </row>
    <row r="1550" spans="1:16" x14ac:dyDescent="0.25">
      <c r="B1550" s="1"/>
      <c r="C1550" s="1"/>
      <c r="D1550" s="1"/>
      <c r="E1550" s="1"/>
      <c r="F1550" s="1"/>
      <c r="G1550" s="1"/>
      <c r="H1550" s="1"/>
      <c r="I1550" s="2"/>
      <c r="J1550" s="1"/>
      <c r="K1550" s="1"/>
      <c r="L1550" s="1"/>
      <c r="M1550" s="3"/>
      <c r="N1550" s="1"/>
    </row>
    <row r="1551" spans="1:16" s="29" customFormat="1" ht="15.75" thickBot="1" x14ac:dyDescent="0.3">
      <c r="P1551" s="11">
        <f>IFERROR(VLOOKUP($A1552,'PROGRAMA MES '!$A:$B,2,0),0)</f>
        <v>400</v>
      </c>
    </row>
    <row r="1552" spans="1:16" x14ac:dyDescent="0.25">
      <c r="A1552" s="89" t="str">
        <f>B1552</f>
        <v>SP60190BR</v>
      </c>
      <c r="B1552" s="17" t="s">
        <v>1059</v>
      </c>
      <c r="C1552" s="17" t="s">
        <v>1060</v>
      </c>
      <c r="D1552" s="17">
        <v>99</v>
      </c>
      <c r="E1552" s="17" t="s">
        <v>15</v>
      </c>
      <c r="F1552" s="17">
        <v>1</v>
      </c>
      <c r="G1552" s="17" t="s">
        <v>35</v>
      </c>
      <c r="H1552" s="17" t="s">
        <v>17</v>
      </c>
      <c r="I1552" s="18">
        <v>3004961</v>
      </c>
      <c r="J1552" s="17" t="s">
        <v>1061</v>
      </c>
      <c r="K1552" s="17">
        <v>99</v>
      </c>
      <c r="L1552" s="17" t="s">
        <v>15</v>
      </c>
      <c r="M1552" s="19">
        <v>31000</v>
      </c>
      <c r="N1552" s="17" t="s">
        <v>3</v>
      </c>
      <c r="O1552" s="20">
        <f t="shared" si="372"/>
        <v>3.1</v>
      </c>
      <c r="P1552" s="21">
        <f>O1552*$P$1551</f>
        <v>1240</v>
      </c>
    </row>
    <row r="1553" spans="1:16" x14ac:dyDescent="0.25">
      <c r="A1553" s="91"/>
      <c r="B1553" s="13" t="s">
        <v>1059</v>
      </c>
      <c r="C1553" s="13" t="s">
        <v>1060</v>
      </c>
      <c r="D1553" s="13">
        <v>99</v>
      </c>
      <c r="E1553" s="13" t="s">
        <v>15</v>
      </c>
      <c r="F1553" s="13">
        <v>1</v>
      </c>
      <c r="G1553" s="13" t="s">
        <v>16</v>
      </c>
      <c r="H1553" s="13" t="s">
        <v>17</v>
      </c>
      <c r="I1553" s="14">
        <v>4013120</v>
      </c>
      <c r="J1553" s="13" t="s">
        <v>1062</v>
      </c>
      <c r="K1553" s="13">
        <v>99</v>
      </c>
      <c r="L1553" s="13" t="s">
        <v>15</v>
      </c>
      <c r="M1553" s="15">
        <v>10000</v>
      </c>
      <c r="N1553" s="13" t="s">
        <v>1</v>
      </c>
      <c r="O1553" s="16">
        <f t="shared" si="372"/>
        <v>1</v>
      </c>
      <c r="P1553" s="22">
        <f t="shared" ref="P1553:P1556" si="373">O1553*$P$1551</f>
        <v>400</v>
      </c>
    </row>
    <row r="1554" spans="1:16" x14ac:dyDescent="0.25">
      <c r="A1554" s="91"/>
      <c r="B1554" s="13" t="s">
        <v>1059</v>
      </c>
      <c r="C1554" s="13" t="s">
        <v>1060</v>
      </c>
      <c r="D1554" s="13">
        <v>99</v>
      </c>
      <c r="E1554" s="13" t="s">
        <v>15</v>
      </c>
      <c r="F1554" s="13">
        <v>1</v>
      </c>
      <c r="G1554" s="13" t="s">
        <v>16</v>
      </c>
      <c r="H1554" s="13" t="s">
        <v>17</v>
      </c>
      <c r="I1554" s="14">
        <v>4013310</v>
      </c>
      <c r="J1554" s="13" t="s">
        <v>909</v>
      </c>
      <c r="K1554" s="13">
        <v>99</v>
      </c>
      <c r="L1554" s="13" t="s">
        <v>15</v>
      </c>
      <c r="M1554" s="15">
        <v>10000</v>
      </c>
      <c r="N1554" s="13" t="s">
        <v>1</v>
      </c>
      <c r="O1554" s="16">
        <f t="shared" si="372"/>
        <v>1</v>
      </c>
      <c r="P1554" s="22">
        <f t="shared" si="373"/>
        <v>400</v>
      </c>
    </row>
    <row r="1555" spans="1:16" x14ac:dyDescent="0.25">
      <c r="A1555" s="91"/>
      <c r="B1555" s="13" t="s">
        <v>1059</v>
      </c>
      <c r="C1555" s="13" t="s">
        <v>1060</v>
      </c>
      <c r="D1555" s="13">
        <v>99</v>
      </c>
      <c r="E1555" s="13" t="s">
        <v>15</v>
      </c>
      <c r="F1555" s="13">
        <v>1</v>
      </c>
      <c r="G1555" s="13" t="s">
        <v>16</v>
      </c>
      <c r="H1555" s="13" t="s">
        <v>17</v>
      </c>
      <c r="I1555" s="14">
        <v>4015174</v>
      </c>
      <c r="J1555" s="13" t="s">
        <v>871</v>
      </c>
      <c r="K1555" s="13">
        <v>99</v>
      </c>
      <c r="L1555" s="13" t="s">
        <v>15</v>
      </c>
      <c r="M1555" s="15">
        <v>10000</v>
      </c>
      <c r="N1555" s="13" t="s">
        <v>1</v>
      </c>
      <c r="O1555" s="16">
        <f t="shared" si="372"/>
        <v>1</v>
      </c>
      <c r="P1555" s="22">
        <f t="shared" si="373"/>
        <v>400</v>
      </c>
    </row>
    <row r="1556" spans="1:16" ht="15.75" thickBot="1" x14ac:dyDescent="0.3">
      <c r="A1556" s="90"/>
      <c r="B1556" s="23" t="s">
        <v>1059</v>
      </c>
      <c r="C1556" s="23" t="s">
        <v>1060</v>
      </c>
      <c r="D1556" s="23">
        <v>99</v>
      </c>
      <c r="E1556" s="23" t="s">
        <v>15</v>
      </c>
      <c r="F1556" s="23">
        <v>1</v>
      </c>
      <c r="G1556" s="23" t="s">
        <v>16</v>
      </c>
      <c r="H1556" s="23" t="s">
        <v>17</v>
      </c>
      <c r="I1556" s="24">
        <v>4016160</v>
      </c>
      <c r="J1556" s="23" t="s">
        <v>69</v>
      </c>
      <c r="K1556" s="23">
        <v>99</v>
      </c>
      <c r="L1556" s="23" t="s">
        <v>15</v>
      </c>
      <c r="M1556" s="23">
        <v>10</v>
      </c>
      <c r="N1556" s="23" t="s">
        <v>3</v>
      </c>
      <c r="O1556" s="26">
        <f t="shared" si="372"/>
        <v>1E-3</v>
      </c>
      <c r="P1556" s="27">
        <f t="shared" si="373"/>
        <v>0.4</v>
      </c>
    </row>
    <row r="1557" spans="1:16" x14ac:dyDescent="0.25">
      <c r="B1557" s="1"/>
      <c r="C1557" s="1"/>
      <c r="D1557" s="1"/>
      <c r="E1557" s="1"/>
      <c r="F1557" s="1"/>
      <c r="G1557" s="1"/>
      <c r="H1557" s="1"/>
      <c r="I1557" s="2"/>
      <c r="J1557" s="1"/>
      <c r="K1557" s="1"/>
      <c r="L1557" s="1"/>
      <c r="M1557" s="1"/>
      <c r="N1557" s="1"/>
    </row>
    <row r="1558" spans="1:16" s="29" customFormat="1" ht="15.75" thickBot="1" x14ac:dyDescent="0.3">
      <c r="P1558" s="11">
        <f>IFERROR(VLOOKUP($A1559,'PROGRAMA MES '!$A:$B,2,0),0)</f>
        <v>60</v>
      </c>
    </row>
    <row r="1559" spans="1:16" x14ac:dyDescent="0.25">
      <c r="A1559" s="89" t="str">
        <f>B1559</f>
        <v>SP6440AM</v>
      </c>
      <c r="B1559" s="17" t="s">
        <v>1063</v>
      </c>
      <c r="C1559" s="17" t="s">
        <v>1064</v>
      </c>
      <c r="D1559" s="17">
        <v>51</v>
      </c>
      <c r="E1559" s="17" t="s">
        <v>101</v>
      </c>
      <c r="F1559" s="17">
        <v>1</v>
      </c>
      <c r="G1559" s="17" t="s">
        <v>35</v>
      </c>
      <c r="H1559" s="17" t="s">
        <v>17</v>
      </c>
      <c r="I1559" s="18">
        <v>3002941</v>
      </c>
      <c r="J1559" s="17" t="s">
        <v>1065</v>
      </c>
      <c r="K1559" s="17">
        <v>99</v>
      </c>
      <c r="L1559" s="17" t="s">
        <v>15</v>
      </c>
      <c r="M1559" s="19">
        <v>10000</v>
      </c>
      <c r="N1559" s="17" t="s">
        <v>1</v>
      </c>
      <c r="O1559" s="20">
        <f t="shared" si="372"/>
        <v>1</v>
      </c>
      <c r="P1559" s="21">
        <f>O1559*$P$1558</f>
        <v>60</v>
      </c>
    </row>
    <row r="1560" spans="1:16" x14ac:dyDescent="0.25">
      <c r="A1560" s="91"/>
      <c r="B1560" s="13" t="s">
        <v>1063</v>
      </c>
      <c r="C1560" s="13" t="s">
        <v>1064</v>
      </c>
      <c r="D1560" s="13">
        <v>51</v>
      </c>
      <c r="E1560" s="13" t="s">
        <v>101</v>
      </c>
      <c r="F1560" s="13">
        <v>1</v>
      </c>
      <c r="G1560" s="13" t="s">
        <v>16</v>
      </c>
      <c r="H1560" s="13" t="s">
        <v>17</v>
      </c>
      <c r="I1560" s="14">
        <v>4002546</v>
      </c>
      <c r="J1560" s="13" t="s">
        <v>179</v>
      </c>
      <c r="K1560" s="13">
        <v>99</v>
      </c>
      <c r="L1560" s="13" t="s">
        <v>15</v>
      </c>
      <c r="M1560" s="15">
        <v>10000</v>
      </c>
      <c r="N1560" s="13" t="s">
        <v>1</v>
      </c>
      <c r="O1560" s="16">
        <f t="shared" si="372"/>
        <v>1</v>
      </c>
      <c r="P1560" s="22">
        <f t="shared" ref="P1560:P1562" si="374">O1560*$P$1558</f>
        <v>60</v>
      </c>
    </row>
    <row r="1561" spans="1:16" x14ac:dyDescent="0.25">
      <c r="A1561" s="91"/>
      <c r="B1561" s="13" t="s">
        <v>1063</v>
      </c>
      <c r="C1561" s="13" t="s">
        <v>1064</v>
      </c>
      <c r="D1561" s="13">
        <v>51</v>
      </c>
      <c r="E1561" s="13" t="s">
        <v>101</v>
      </c>
      <c r="F1561" s="13">
        <v>1</v>
      </c>
      <c r="G1561" s="13" t="s">
        <v>16</v>
      </c>
      <c r="H1561" s="13" t="s">
        <v>17</v>
      </c>
      <c r="I1561" s="14">
        <v>4002826</v>
      </c>
      <c r="J1561" s="13" t="s">
        <v>4</v>
      </c>
      <c r="K1561" s="13">
        <v>99</v>
      </c>
      <c r="L1561" s="13" t="s">
        <v>15</v>
      </c>
      <c r="M1561" s="13">
        <v>200</v>
      </c>
      <c r="N1561" s="13" t="s">
        <v>1</v>
      </c>
      <c r="O1561" s="16">
        <f t="shared" si="372"/>
        <v>0.02</v>
      </c>
      <c r="P1561" s="22">
        <f t="shared" si="374"/>
        <v>1.2</v>
      </c>
    </row>
    <row r="1562" spans="1:16" ht="15.75" thickBot="1" x14ac:dyDescent="0.3">
      <c r="A1562" s="90"/>
      <c r="B1562" s="23" t="s">
        <v>1063</v>
      </c>
      <c r="C1562" s="23" t="s">
        <v>1064</v>
      </c>
      <c r="D1562" s="23">
        <v>51</v>
      </c>
      <c r="E1562" s="23" t="s">
        <v>101</v>
      </c>
      <c r="F1562" s="23">
        <v>1</v>
      </c>
      <c r="G1562" s="23" t="s">
        <v>16</v>
      </c>
      <c r="H1562" s="23" t="s">
        <v>17</v>
      </c>
      <c r="I1562" s="24">
        <v>4016160</v>
      </c>
      <c r="J1562" s="23" t="s">
        <v>69</v>
      </c>
      <c r="K1562" s="23">
        <v>99</v>
      </c>
      <c r="L1562" s="23" t="s">
        <v>15</v>
      </c>
      <c r="M1562" s="23">
        <v>20</v>
      </c>
      <c r="N1562" s="23" t="s">
        <v>3</v>
      </c>
      <c r="O1562" s="26">
        <f t="shared" si="372"/>
        <v>2E-3</v>
      </c>
      <c r="P1562" s="27">
        <f t="shared" si="374"/>
        <v>0.12</v>
      </c>
    </row>
    <row r="1563" spans="1:16" x14ac:dyDescent="0.25">
      <c r="B1563" s="1"/>
      <c r="C1563" s="1"/>
      <c r="D1563" s="1"/>
      <c r="E1563" s="1"/>
      <c r="F1563" s="1"/>
      <c r="G1563" s="1"/>
      <c r="H1563" s="1"/>
      <c r="I1563" s="2"/>
      <c r="J1563" s="1"/>
      <c r="K1563" s="1"/>
      <c r="L1563" s="1"/>
      <c r="M1563" s="1"/>
      <c r="N1563" s="1"/>
    </row>
    <row r="1564" spans="1:16" s="29" customFormat="1" ht="15.75" thickBot="1" x14ac:dyDescent="0.3">
      <c r="P1564" s="11">
        <f>IFERROR(VLOOKUP($A1565,'PROGRAMA MES '!$A:$B,2,0),0)</f>
        <v>60</v>
      </c>
    </row>
    <row r="1565" spans="1:16" x14ac:dyDescent="0.25">
      <c r="A1565" s="89" t="str">
        <f>B1565</f>
        <v>SP6440AZ</v>
      </c>
      <c r="B1565" s="17" t="s">
        <v>1066</v>
      </c>
      <c r="C1565" s="17" t="s">
        <v>1067</v>
      </c>
      <c r="D1565" s="17">
        <v>51</v>
      </c>
      <c r="E1565" s="17" t="s">
        <v>101</v>
      </c>
      <c r="F1565" s="17">
        <v>1</v>
      </c>
      <c r="G1565" s="17" t="s">
        <v>35</v>
      </c>
      <c r="H1565" s="17" t="s">
        <v>17</v>
      </c>
      <c r="I1565" s="18">
        <v>3002955</v>
      </c>
      <c r="J1565" s="17" t="s">
        <v>1068</v>
      </c>
      <c r="K1565" s="17">
        <v>99</v>
      </c>
      <c r="L1565" s="17" t="s">
        <v>15</v>
      </c>
      <c r="M1565" s="19">
        <v>10000</v>
      </c>
      <c r="N1565" s="17" t="s">
        <v>1</v>
      </c>
      <c r="O1565" s="20">
        <f t="shared" si="372"/>
        <v>1</v>
      </c>
      <c r="P1565" s="21">
        <f>O1565*$P$1564</f>
        <v>60</v>
      </c>
    </row>
    <row r="1566" spans="1:16" x14ac:dyDescent="0.25">
      <c r="A1566" s="91"/>
      <c r="B1566" s="13" t="s">
        <v>1066</v>
      </c>
      <c r="C1566" s="13" t="s">
        <v>1067</v>
      </c>
      <c r="D1566" s="13">
        <v>51</v>
      </c>
      <c r="E1566" s="13" t="s">
        <v>101</v>
      </c>
      <c r="F1566" s="13">
        <v>1</v>
      </c>
      <c r="G1566" s="13" t="s">
        <v>16</v>
      </c>
      <c r="H1566" s="13" t="s">
        <v>17</v>
      </c>
      <c r="I1566" s="14">
        <v>4002546</v>
      </c>
      <c r="J1566" s="13" t="s">
        <v>179</v>
      </c>
      <c r="K1566" s="13">
        <v>99</v>
      </c>
      <c r="L1566" s="13" t="s">
        <v>15</v>
      </c>
      <c r="M1566" s="15">
        <v>10000</v>
      </c>
      <c r="N1566" s="13" t="s">
        <v>1</v>
      </c>
      <c r="O1566" s="16">
        <f t="shared" si="372"/>
        <v>1</v>
      </c>
      <c r="P1566" s="22">
        <f t="shared" ref="P1566:P1568" si="375">O1566*$P$1564</f>
        <v>60</v>
      </c>
    </row>
    <row r="1567" spans="1:16" x14ac:dyDescent="0.25">
      <c r="A1567" s="91"/>
      <c r="B1567" s="13" t="s">
        <v>1066</v>
      </c>
      <c r="C1567" s="13" t="s">
        <v>1067</v>
      </c>
      <c r="D1567" s="13">
        <v>51</v>
      </c>
      <c r="E1567" s="13" t="s">
        <v>101</v>
      </c>
      <c r="F1567" s="13">
        <v>1</v>
      </c>
      <c r="G1567" s="13" t="s">
        <v>16</v>
      </c>
      <c r="H1567" s="13" t="s">
        <v>17</v>
      </c>
      <c r="I1567" s="14">
        <v>4002826</v>
      </c>
      <c r="J1567" s="13" t="s">
        <v>4</v>
      </c>
      <c r="K1567" s="13">
        <v>99</v>
      </c>
      <c r="L1567" s="13" t="s">
        <v>15</v>
      </c>
      <c r="M1567" s="13">
        <v>200</v>
      </c>
      <c r="N1567" s="13" t="s">
        <v>1</v>
      </c>
      <c r="O1567" s="16">
        <f t="shared" si="372"/>
        <v>0.02</v>
      </c>
      <c r="P1567" s="22">
        <f t="shared" si="375"/>
        <v>1.2</v>
      </c>
    </row>
    <row r="1568" spans="1:16" ht="15.75" thickBot="1" x14ac:dyDescent="0.3">
      <c r="A1568" s="90"/>
      <c r="B1568" s="23" t="s">
        <v>1066</v>
      </c>
      <c r="C1568" s="23" t="s">
        <v>1067</v>
      </c>
      <c r="D1568" s="23">
        <v>51</v>
      </c>
      <c r="E1568" s="23" t="s">
        <v>101</v>
      </c>
      <c r="F1568" s="23">
        <v>1</v>
      </c>
      <c r="G1568" s="23" t="s">
        <v>16</v>
      </c>
      <c r="H1568" s="23" t="s">
        <v>17</v>
      </c>
      <c r="I1568" s="24">
        <v>4016160</v>
      </c>
      <c r="J1568" s="23" t="s">
        <v>69</v>
      </c>
      <c r="K1568" s="23">
        <v>99</v>
      </c>
      <c r="L1568" s="23" t="s">
        <v>15</v>
      </c>
      <c r="M1568" s="23">
        <v>20</v>
      </c>
      <c r="N1568" s="23" t="s">
        <v>3</v>
      </c>
      <c r="O1568" s="26">
        <f t="shared" si="372"/>
        <v>2E-3</v>
      </c>
      <c r="P1568" s="27">
        <f t="shared" si="375"/>
        <v>0.12</v>
      </c>
    </row>
    <row r="1569" spans="1:16" x14ac:dyDescent="0.25">
      <c r="B1569" s="1"/>
      <c r="C1569" s="1"/>
      <c r="D1569" s="1"/>
      <c r="E1569" s="1"/>
      <c r="F1569" s="1"/>
      <c r="G1569" s="1"/>
      <c r="H1569" s="1"/>
      <c r="I1569" s="2"/>
      <c r="J1569" s="1"/>
      <c r="K1569" s="1"/>
      <c r="L1569" s="1"/>
      <c r="M1569" s="1"/>
      <c r="N1569" s="1"/>
    </row>
    <row r="1570" spans="1:16" s="29" customFormat="1" ht="15.75" thickBot="1" x14ac:dyDescent="0.3">
      <c r="P1570" s="11">
        <f>IFERROR(VLOOKUP($A1571,'PROGRAMA MES '!$A:$B,2,0),0)</f>
        <v>0</v>
      </c>
    </row>
    <row r="1571" spans="1:16" x14ac:dyDescent="0.25">
      <c r="A1571" s="89" t="str">
        <f>B1571</f>
        <v>SP6440CC</v>
      </c>
      <c r="B1571" s="17" t="s">
        <v>1069</v>
      </c>
      <c r="C1571" s="17" t="s">
        <v>1070</v>
      </c>
      <c r="D1571" s="17">
        <v>3</v>
      </c>
      <c r="E1571" s="17" t="s">
        <v>24</v>
      </c>
      <c r="F1571" s="17">
        <v>1</v>
      </c>
      <c r="G1571" s="17" t="s">
        <v>35</v>
      </c>
      <c r="H1571" s="17" t="s">
        <v>17</v>
      </c>
      <c r="I1571" s="18">
        <v>3002941</v>
      </c>
      <c r="J1571" s="17" t="s">
        <v>1065</v>
      </c>
      <c r="K1571" s="17">
        <v>99</v>
      </c>
      <c r="L1571" s="17" t="s">
        <v>15</v>
      </c>
      <c r="M1571" s="19">
        <v>10000</v>
      </c>
      <c r="N1571" s="17" t="s">
        <v>1</v>
      </c>
      <c r="O1571" s="20">
        <f t="shared" si="372"/>
        <v>1</v>
      </c>
      <c r="P1571" s="21">
        <f>O1571*$P$1570</f>
        <v>0</v>
      </c>
    </row>
    <row r="1572" spans="1:16" x14ac:dyDescent="0.25">
      <c r="A1572" s="91"/>
      <c r="B1572" s="13" t="s">
        <v>1069</v>
      </c>
      <c r="C1572" s="13" t="s">
        <v>1070</v>
      </c>
      <c r="D1572" s="13">
        <v>3</v>
      </c>
      <c r="E1572" s="13" t="s">
        <v>24</v>
      </c>
      <c r="F1572" s="13">
        <v>1</v>
      </c>
      <c r="G1572" s="13" t="s">
        <v>35</v>
      </c>
      <c r="H1572" s="13" t="s">
        <v>17</v>
      </c>
      <c r="I1572" s="14">
        <v>3002942</v>
      </c>
      <c r="J1572" s="13" t="s">
        <v>1071</v>
      </c>
      <c r="K1572" s="13">
        <v>99</v>
      </c>
      <c r="L1572" s="13" t="s">
        <v>15</v>
      </c>
      <c r="M1572" s="15">
        <v>10000</v>
      </c>
      <c r="N1572" s="13" t="s">
        <v>1</v>
      </c>
      <c r="O1572" s="16">
        <f t="shared" si="372"/>
        <v>1</v>
      </c>
      <c r="P1572" s="22">
        <f t="shared" ref="P1572:P1576" si="376">O1572*$P$1570</f>
        <v>0</v>
      </c>
    </row>
    <row r="1573" spans="1:16" x14ac:dyDescent="0.25">
      <c r="A1573" s="91"/>
      <c r="B1573" s="13" t="s">
        <v>1069</v>
      </c>
      <c r="C1573" s="13" t="s">
        <v>1070</v>
      </c>
      <c r="D1573" s="13">
        <v>3</v>
      </c>
      <c r="E1573" s="13" t="s">
        <v>24</v>
      </c>
      <c r="F1573" s="13">
        <v>1</v>
      </c>
      <c r="G1573" s="13" t="s">
        <v>35</v>
      </c>
      <c r="H1573" s="13" t="s">
        <v>17</v>
      </c>
      <c r="I1573" s="14">
        <v>3002943</v>
      </c>
      <c r="J1573" s="13" t="s">
        <v>1072</v>
      </c>
      <c r="K1573" s="13">
        <v>99</v>
      </c>
      <c r="L1573" s="13" t="s">
        <v>15</v>
      </c>
      <c r="M1573" s="15">
        <v>10000</v>
      </c>
      <c r="N1573" s="13" t="s">
        <v>1</v>
      </c>
      <c r="O1573" s="16">
        <f t="shared" si="372"/>
        <v>1</v>
      </c>
      <c r="P1573" s="22">
        <f t="shared" si="376"/>
        <v>0</v>
      </c>
    </row>
    <row r="1574" spans="1:16" x14ac:dyDescent="0.25">
      <c r="A1574" s="91"/>
      <c r="B1574" s="13" t="s">
        <v>1069</v>
      </c>
      <c r="C1574" s="13" t="s">
        <v>1070</v>
      </c>
      <c r="D1574" s="13">
        <v>3</v>
      </c>
      <c r="E1574" s="13" t="s">
        <v>24</v>
      </c>
      <c r="F1574" s="13">
        <v>1</v>
      </c>
      <c r="G1574" s="13" t="s">
        <v>35</v>
      </c>
      <c r="H1574" s="13" t="s">
        <v>17</v>
      </c>
      <c r="I1574" s="14">
        <v>3002955</v>
      </c>
      <c r="J1574" s="13" t="s">
        <v>1068</v>
      </c>
      <c r="K1574" s="13">
        <v>99</v>
      </c>
      <c r="L1574" s="13" t="s">
        <v>15</v>
      </c>
      <c r="M1574" s="15">
        <v>10000</v>
      </c>
      <c r="N1574" s="13" t="s">
        <v>1</v>
      </c>
      <c r="O1574" s="16">
        <f t="shared" si="372"/>
        <v>1</v>
      </c>
      <c r="P1574" s="22">
        <f t="shared" si="376"/>
        <v>0</v>
      </c>
    </row>
    <row r="1575" spans="1:16" x14ac:dyDescent="0.25">
      <c r="A1575" s="91"/>
      <c r="B1575" s="13" t="s">
        <v>1069</v>
      </c>
      <c r="C1575" s="13" t="s">
        <v>1070</v>
      </c>
      <c r="D1575" s="13">
        <v>3</v>
      </c>
      <c r="E1575" s="13" t="s">
        <v>24</v>
      </c>
      <c r="F1575" s="13">
        <v>1</v>
      </c>
      <c r="G1575" s="13" t="s">
        <v>35</v>
      </c>
      <c r="H1575" s="13" t="s">
        <v>17</v>
      </c>
      <c r="I1575" s="14">
        <v>3002956</v>
      </c>
      <c r="J1575" s="13" t="s">
        <v>1073</v>
      </c>
      <c r="K1575" s="13">
        <v>99</v>
      </c>
      <c r="L1575" s="13" t="s">
        <v>15</v>
      </c>
      <c r="M1575" s="15">
        <v>10000</v>
      </c>
      <c r="N1575" s="13" t="s">
        <v>1</v>
      </c>
      <c r="O1575" s="16">
        <f t="shared" si="372"/>
        <v>1</v>
      </c>
      <c r="P1575" s="22">
        <f t="shared" si="376"/>
        <v>0</v>
      </c>
    </row>
    <row r="1576" spans="1:16" ht="15.75" thickBot="1" x14ac:dyDescent="0.3">
      <c r="A1576" s="90"/>
      <c r="B1576" s="23" t="s">
        <v>1069</v>
      </c>
      <c r="C1576" s="23" t="s">
        <v>1070</v>
      </c>
      <c r="D1576" s="23">
        <v>3</v>
      </c>
      <c r="E1576" s="23" t="s">
        <v>24</v>
      </c>
      <c r="F1576" s="23">
        <v>1</v>
      </c>
      <c r="G1576" s="23" t="s">
        <v>16</v>
      </c>
      <c r="H1576" s="23" t="s">
        <v>17</v>
      </c>
      <c r="I1576" s="24">
        <v>4016160</v>
      </c>
      <c r="J1576" s="23" t="s">
        <v>69</v>
      </c>
      <c r="K1576" s="23">
        <v>99</v>
      </c>
      <c r="L1576" s="23" t="s">
        <v>15</v>
      </c>
      <c r="M1576" s="23">
        <v>20</v>
      </c>
      <c r="N1576" s="23" t="s">
        <v>3</v>
      </c>
      <c r="O1576" s="26">
        <f t="shared" si="372"/>
        <v>2E-3</v>
      </c>
      <c r="P1576" s="27">
        <f t="shared" si="376"/>
        <v>0</v>
      </c>
    </row>
    <row r="1577" spans="1:16" x14ac:dyDescent="0.25">
      <c r="B1577" s="1"/>
      <c r="C1577" s="1"/>
      <c r="D1577" s="1"/>
      <c r="E1577" s="1"/>
      <c r="F1577" s="1"/>
      <c r="G1577" s="1"/>
      <c r="H1577" s="1"/>
      <c r="I1577" s="2"/>
      <c r="J1577" s="1"/>
      <c r="K1577" s="1"/>
      <c r="L1577" s="1"/>
      <c r="M1577" s="1"/>
      <c r="N1577" s="1"/>
    </row>
    <row r="1578" spans="1:16" s="29" customFormat="1" ht="15.75" thickBot="1" x14ac:dyDescent="0.3">
      <c r="P1578" s="11">
        <f>IFERROR(VLOOKUP($A1579,'PROGRAMA MES '!$A:$B,2,0),0)</f>
        <v>60</v>
      </c>
    </row>
    <row r="1579" spans="1:16" x14ac:dyDescent="0.25">
      <c r="A1579" s="89" t="str">
        <f>B1579</f>
        <v>SP6440MR</v>
      </c>
      <c r="B1579" s="17" t="s">
        <v>1074</v>
      </c>
      <c r="C1579" s="17" t="s">
        <v>1075</v>
      </c>
      <c r="D1579" s="17">
        <v>51</v>
      </c>
      <c r="E1579" s="17" t="s">
        <v>101</v>
      </c>
      <c r="F1579" s="17">
        <v>1</v>
      </c>
      <c r="G1579" s="17" t="s">
        <v>35</v>
      </c>
      <c r="H1579" s="17" t="s">
        <v>17</v>
      </c>
      <c r="I1579" s="18">
        <v>3002943</v>
      </c>
      <c r="J1579" s="17" t="s">
        <v>1072</v>
      </c>
      <c r="K1579" s="17">
        <v>99</v>
      </c>
      <c r="L1579" s="17" t="s">
        <v>15</v>
      </c>
      <c r="M1579" s="19">
        <v>10000</v>
      </c>
      <c r="N1579" s="17" t="s">
        <v>1</v>
      </c>
      <c r="O1579" s="20">
        <f t="shared" si="372"/>
        <v>1</v>
      </c>
      <c r="P1579" s="21">
        <f>O1579*$P$1578</f>
        <v>60</v>
      </c>
    </row>
    <row r="1580" spans="1:16" x14ac:dyDescent="0.25">
      <c r="A1580" s="91"/>
      <c r="B1580" s="13" t="s">
        <v>1074</v>
      </c>
      <c r="C1580" s="13" t="s">
        <v>1075</v>
      </c>
      <c r="D1580" s="13">
        <v>51</v>
      </c>
      <c r="E1580" s="13" t="s">
        <v>101</v>
      </c>
      <c r="F1580" s="13">
        <v>1</v>
      </c>
      <c r="G1580" s="13" t="s">
        <v>16</v>
      </c>
      <c r="H1580" s="13" t="s">
        <v>17</v>
      </c>
      <c r="I1580" s="14">
        <v>4002546</v>
      </c>
      <c r="J1580" s="13" t="s">
        <v>179</v>
      </c>
      <c r="K1580" s="13">
        <v>99</v>
      </c>
      <c r="L1580" s="13" t="s">
        <v>15</v>
      </c>
      <c r="M1580" s="15">
        <v>10000</v>
      </c>
      <c r="N1580" s="13" t="s">
        <v>1</v>
      </c>
      <c r="O1580" s="16">
        <f t="shared" si="372"/>
        <v>1</v>
      </c>
      <c r="P1580" s="22">
        <f t="shared" ref="P1580:P1582" si="377">O1580*$P$1578</f>
        <v>60</v>
      </c>
    </row>
    <row r="1581" spans="1:16" x14ac:dyDescent="0.25">
      <c r="A1581" s="91"/>
      <c r="B1581" s="13" t="s">
        <v>1074</v>
      </c>
      <c r="C1581" s="13" t="s">
        <v>1075</v>
      </c>
      <c r="D1581" s="13">
        <v>51</v>
      </c>
      <c r="E1581" s="13" t="s">
        <v>101</v>
      </c>
      <c r="F1581" s="13">
        <v>1</v>
      </c>
      <c r="G1581" s="13" t="s">
        <v>16</v>
      </c>
      <c r="H1581" s="13" t="s">
        <v>17</v>
      </c>
      <c r="I1581" s="14">
        <v>4002826</v>
      </c>
      <c r="J1581" s="13" t="s">
        <v>4</v>
      </c>
      <c r="K1581" s="13">
        <v>99</v>
      </c>
      <c r="L1581" s="13" t="s">
        <v>15</v>
      </c>
      <c r="M1581" s="13">
        <v>200</v>
      </c>
      <c r="N1581" s="13" t="s">
        <v>1</v>
      </c>
      <c r="O1581" s="16">
        <f t="shared" si="372"/>
        <v>0.02</v>
      </c>
      <c r="P1581" s="22">
        <f t="shared" si="377"/>
        <v>1.2</v>
      </c>
    </row>
    <row r="1582" spans="1:16" ht="15.75" thickBot="1" x14ac:dyDescent="0.3">
      <c r="A1582" s="90"/>
      <c r="B1582" s="23" t="s">
        <v>1074</v>
      </c>
      <c r="C1582" s="23" t="s">
        <v>1075</v>
      </c>
      <c r="D1582" s="23">
        <v>51</v>
      </c>
      <c r="E1582" s="23" t="s">
        <v>101</v>
      </c>
      <c r="F1582" s="23">
        <v>1</v>
      </c>
      <c r="G1582" s="23" t="s">
        <v>16</v>
      </c>
      <c r="H1582" s="23" t="s">
        <v>17</v>
      </c>
      <c r="I1582" s="24">
        <v>4016160</v>
      </c>
      <c r="J1582" s="23" t="s">
        <v>69</v>
      </c>
      <c r="K1582" s="23">
        <v>99</v>
      </c>
      <c r="L1582" s="23" t="s">
        <v>15</v>
      </c>
      <c r="M1582" s="23">
        <v>20</v>
      </c>
      <c r="N1582" s="23" t="s">
        <v>3</v>
      </c>
      <c r="O1582" s="26">
        <f t="shared" si="372"/>
        <v>2E-3</v>
      </c>
      <c r="P1582" s="27">
        <f t="shared" si="377"/>
        <v>0.12</v>
      </c>
    </row>
    <row r="1583" spans="1:16" x14ac:dyDescent="0.25">
      <c r="B1583" s="1"/>
      <c r="C1583" s="1"/>
      <c r="D1583" s="1"/>
      <c r="E1583" s="1"/>
      <c r="F1583" s="1"/>
      <c r="G1583" s="1"/>
      <c r="H1583" s="1"/>
      <c r="I1583" s="2"/>
      <c r="J1583" s="1"/>
      <c r="K1583" s="1"/>
      <c r="L1583" s="1"/>
      <c r="M1583" s="1"/>
      <c r="N1583" s="1"/>
    </row>
    <row r="1584" spans="1:16" s="29" customFormat="1" ht="15.75" thickBot="1" x14ac:dyDescent="0.3">
      <c r="P1584" s="11">
        <f>IFERROR(VLOOKUP($A1585,'PROGRAMA MES '!$A:$B,2,0),0)</f>
        <v>32</v>
      </c>
    </row>
    <row r="1585" spans="1:16" x14ac:dyDescent="0.25">
      <c r="A1585" s="89" t="str">
        <f>B1585</f>
        <v>SP6440VD</v>
      </c>
      <c r="B1585" s="17" t="s">
        <v>1076</v>
      </c>
      <c r="C1585" s="17" t="s">
        <v>1077</v>
      </c>
      <c r="D1585" s="17">
        <v>51</v>
      </c>
      <c r="E1585" s="17" t="s">
        <v>101</v>
      </c>
      <c r="F1585" s="17">
        <v>1</v>
      </c>
      <c r="G1585" s="17" t="s">
        <v>35</v>
      </c>
      <c r="H1585" s="17" t="s">
        <v>17</v>
      </c>
      <c r="I1585" s="18">
        <v>3002956</v>
      </c>
      <c r="J1585" s="17" t="s">
        <v>1073</v>
      </c>
      <c r="K1585" s="17">
        <v>99</v>
      </c>
      <c r="L1585" s="17" t="s">
        <v>15</v>
      </c>
      <c r="M1585" s="19">
        <v>10000</v>
      </c>
      <c r="N1585" s="17" t="s">
        <v>1</v>
      </c>
      <c r="O1585" s="20">
        <f t="shared" si="372"/>
        <v>1</v>
      </c>
      <c r="P1585" s="21">
        <f>O1585*$P$1584</f>
        <v>32</v>
      </c>
    </row>
    <row r="1586" spans="1:16" x14ac:dyDescent="0.25">
      <c r="A1586" s="91"/>
      <c r="B1586" s="13" t="s">
        <v>1076</v>
      </c>
      <c r="C1586" s="13" t="s">
        <v>1077</v>
      </c>
      <c r="D1586" s="13">
        <v>51</v>
      </c>
      <c r="E1586" s="13" t="s">
        <v>101</v>
      </c>
      <c r="F1586" s="13">
        <v>1</v>
      </c>
      <c r="G1586" s="13" t="s">
        <v>16</v>
      </c>
      <c r="H1586" s="13" t="s">
        <v>17</v>
      </c>
      <c r="I1586" s="14">
        <v>4002546</v>
      </c>
      <c r="J1586" s="13" t="s">
        <v>179</v>
      </c>
      <c r="K1586" s="13">
        <v>99</v>
      </c>
      <c r="L1586" s="13" t="s">
        <v>15</v>
      </c>
      <c r="M1586" s="15">
        <v>10000</v>
      </c>
      <c r="N1586" s="13" t="s">
        <v>1</v>
      </c>
      <c r="O1586" s="16">
        <f t="shared" si="372"/>
        <v>1</v>
      </c>
      <c r="P1586" s="22">
        <f t="shared" ref="P1586:P1588" si="378">O1586*$P$1584</f>
        <v>32</v>
      </c>
    </row>
    <row r="1587" spans="1:16" x14ac:dyDescent="0.25">
      <c r="A1587" s="91"/>
      <c r="B1587" s="13" t="s">
        <v>1076</v>
      </c>
      <c r="C1587" s="13" t="s">
        <v>1077</v>
      </c>
      <c r="D1587" s="13">
        <v>51</v>
      </c>
      <c r="E1587" s="13" t="s">
        <v>101</v>
      </c>
      <c r="F1587" s="13">
        <v>1</v>
      </c>
      <c r="G1587" s="13" t="s">
        <v>16</v>
      </c>
      <c r="H1587" s="13" t="s">
        <v>17</v>
      </c>
      <c r="I1587" s="14">
        <v>4002826</v>
      </c>
      <c r="J1587" s="13" t="s">
        <v>4</v>
      </c>
      <c r="K1587" s="13">
        <v>99</v>
      </c>
      <c r="L1587" s="13" t="s">
        <v>15</v>
      </c>
      <c r="M1587" s="13">
        <v>200</v>
      </c>
      <c r="N1587" s="13" t="s">
        <v>1</v>
      </c>
      <c r="O1587" s="16">
        <f t="shared" si="372"/>
        <v>0.02</v>
      </c>
      <c r="P1587" s="22">
        <f t="shared" si="378"/>
        <v>0.64</v>
      </c>
    </row>
    <row r="1588" spans="1:16" ht="15.75" thickBot="1" x14ac:dyDescent="0.3">
      <c r="A1588" s="90"/>
      <c r="B1588" s="23" t="s">
        <v>1076</v>
      </c>
      <c r="C1588" s="23" t="s">
        <v>1077</v>
      </c>
      <c r="D1588" s="23">
        <v>51</v>
      </c>
      <c r="E1588" s="23" t="s">
        <v>101</v>
      </c>
      <c r="F1588" s="23">
        <v>1</v>
      </c>
      <c r="G1588" s="23" t="s">
        <v>16</v>
      </c>
      <c r="H1588" s="23" t="s">
        <v>17</v>
      </c>
      <c r="I1588" s="24">
        <v>4016160</v>
      </c>
      <c r="J1588" s="23" t="s">
        <v>69</v>
      </c>
      <c r="K1588" s="23">
        <v>99</v>
      </c>
      <c r="L1588" s="23" t="s">
        <v>15</v>
      </c>
      <c r="M1588" s="23">
        <v>20</v>
      </c>
      <c r="N1588" s="23" t="s">
        <v>3</v>
      </c>
      <c r="O1588" s="26">
        <f t="shared" si="372"/>
        <v>2E-3</v>
      </c>
      <c r="P1588" s="27">
        <f t="shared" si="378"/>
        <v>6.4000000000000001E-2</v>
      </c>
    </row>
    <row r="1589" spans="1:16" x14ac:dyDescent="0.25">
      <c r="B1589" s="1"/>
      <c r="C1589" s="1"/>
      <c r="D1589" s="1"/>
      <c r="E1589" s="1"/>
      <c r="F1589" s="1"/>
      <c r="G1589" s="1"/>
      <c r="H1589" s="1"/>
      <c r="I1589" s="2"/>
      <c r="J1589" s="1"/>
      <c r="K1589" s="1"/>
      <c r="L1589" s="1"/>
      <c r="M1589" s="1"/>
      <c r="N1589" s="1"/>
    </row>
    <row r="1590" spans="1:16" s="29" customFormat="1" ht="15.75" thickBot="1" x14ac:dyDescent="0.3">
      <c r="P1590" s="11">
        <f>IFERROR(VLOOKUP($A1591,'PROGRAMA MES '!$A:$B,2,0),0)</f>
        <v>60</v>
      </c>
    </row>
    <row r="1591" spans="1:16" x14ac:dyDescent="0.25">
      <c r="A1591" s="89" t="str">
        <f>B1591</f>
        <v>SP6440VR</v>
      </c>
      <c r="B1591" s="17" t="s">
        <v>1078</v>
      </c>
      <c r="C1591" s="17" t="s">
        <v>1079</v>
      </c>
      <c r="D1591" s="17">
        <v>51</v>
      </c>
      <c r="E1591" s="17" t="s">
        <v>101</v>
      </c>
      <c r="F1591" s="17">
        <v>1</v>
      </c>
      <c r="G1591" s="17" t="s">
        <v>35</v>
      </c>
      <c r="H1591" s="17" t="s">
        <v>17</v>
      </c>
      <c r="I1591" s="18">
        <v>3002942</v>
      </c>
      <c r="J1591" s="17" t="s">
        <v>1071</v>
      </c>
      <c r="K1591" s="17">
        <v>99</v>
      </c>
      <c r="L1591" s="17" t="s">
        <v>15</v>
      </c>
      <c r="M1591" s="19">
        <v>10000</v>
      </c>
      <c r="N1591" s="17" t="s">
        <v>1</v>
      </c>
      <c r="O1591" s="20">
        <f t="shared" si="372"/>
        <v>1</v>
      </c>
      <c r="P1591" s="21">
        <f>O1591*$P$1590</f>
        <v>60</v>
      </c>
    </row>
    <row r="1592" spans="1:16" x14ac:dyDescent="0.25">
      <c r="A1592" s="91"/>
      <c r="B1592" s="13" t="s">
        <v>1078</v>
      </c>
      <c r="C1592" s="13" t="s">
        <v>1079</v>
      </c>
      <c r="D1592" s="13">
        <v>51</v>
      </c>
      <c r="E1592" s="13" t="s">
        <v>101</v>
      </c>
      <c r="F1592" s="13">
        <v>1</v>
      </c>
      <c r="G1592" s="13" t="s">
        <v>16</v>
      </c>
      <c r="H1592" s="13" t="s">
        <v>17</v>
      </c>
      <c r="I1592" s="14">
        <v>4002546</v>
      </c>
      <c r="J1592" s="13" t="s">
        <v>179</v>
      </c>
      <c r="K1592" s="13">
        <v>99</v>
      </c>
      <c r="L1592" s="13" t="s">
        <v>15</v>
      </c>
      <c r="M1592" s="15">
        <v>10000</v>
      </c>
      <c r="N1592" s="13" t="s">
        <v>1</v>
      </c>
      <c r="O1592" s="16">
        <f t="shared" si="372"/>
        <v>1</v>
      </c>
      <c r="P1592" s="22">
        <f t="shared" ref="P1592:P1594" si="379">O1592*$P$1590</f>
        <v>60</v>
      </c>
    </row>
    <row r="1593" spans="1:16" x14ac:dyDescent="0.25">
      <c r="A1593" s="91"/>
      <c r="B1593" s="13" t="s">
        <v>1078</v>
      </c>
      <c r="C1593" s="13" t="s">
        <v>1079</v>
      </c>
      <c r="D1593" s="13">
        <v>51</v>
      </c>
      <c r="E1593" s="13" t="s">
        <v>101</v>
      </c>
      <c r="F1593" s="13">
        <v>1</v>
      </c>
      <c r="G1593" s="13" t="s">
        <v>16</v>
      </c>
      <c r="H1593" s="13" t="s">
        <v>17</v>
      </c>
      <c r="I1593" s="14">
        <v>4002826</v>
      </c>
      <c r="J1593" s="13" t="s">
        <v>4</v>
      </c>
      <c r="K1593" s="13">
        <v>99</v>
      </c>
      <c r="L1593" s="13" t="s">
        <v>15</v>
      </c>
      <c r="M1593" s="13">
        <v>200</v>
      </c>
      <c r="N1593" s="13" t="s">
        <v>1</v>
      </c>
      <c r="O1593" s="16">
        <f t="shared" si="372"/>
        <v>0.02</v>
      </c>
      <c r="P1593" s="22">
        <f t="shared" si="379"/>
        <v>1.2</v>
      </c>
    </row>
    <row r="1594" spans="1:16" ht="15.75" thickBot="1" x14ac:dyDescent="0.3">
      <c r="A1594" s="90"/>
      <c r="B1594" s="23" t="s">
        <v>1078</v>
      </c>
      <c r="C1594" s="23" t="s">
        <v>1079</v>
      </c>
      <c r="D1594" s="23">
        <v>51</v>
      </c>
      <c r="E1594" s="23" t="s">
        <v>101</v>
      </c>
      <c r="F1594" s="23">
        <v>1</v>
      </c>
      <c r="G1594" s="23" t="s">
        <v>16</v>
      </c>
      <c r="H1594" s="23" t="s">
        <v>17</v>
      </c>
      <c r="I1594" s="24">
        <v>4016160</v>
      </c>
      <c r="J1594" s="23" t="s">
        <v>69</v>
      </c>
      <c r="K1594" s="23">
        <v>99</v>
      </c>
      <c r="L1594" s="23" t="s">
        <v>15</v>
      </c>
      <c r="M1594" s="23">
        <v>20</v>
      </c>
      <c r="N1594" s="23" t="s">
        <v>3</v>
      </c>
      <c r="O1594" s="26">
        <f t="shared" si="372"/>
        <v>2E-3</v>
      </c>
      <c r="P1594" s="27">
        <f t="shared" si="379"/>
        <v>0.12</v>
      </c>
    </row>
    <row r="1595" spans="1:16" x14ac:dyDescent="0.25">
      <c r="B1595" s="1"/>
      <c r="C1595" s="1"/>
      <c r="D1595" s="1"/>
      <c r="E1595" s="1"/>
      <c r="F1595" s="1"/>
      <c r="G1595" s="1"/>
      <c r="H1595" s="1"/>
      <c r="I1595" s="2"/>
      <c r="J1595" s="1"/>
      <c r="K1595" s="1"/>
      <c r="L1595" s="1"/>
      <c r="M1595" s="1"/>
      <c r="N1595" s="1"/>
    </row>
    <row r="1596" spans="1:16" s="29" customFormat="1" ht="15.75" thickBot="1" x14ac:dyDescent="0.3">
      <c r="P1596" s="11">
        <f>IFERROR(VLOOKUP($A1597,'PROGRAMA MES '!$A:$B,2,0),0)</f>
        <v>6000</v>
      </c>
    </row>
    <row r="1597" spans="1:16" x14ac:dyDescent="0.25">
      <c r="A1597" s="89" t="str">
        <f>B1597</f>
        <v>SP7526MCX</v>
      </c>
      <c r="B1597" s="17" t="s">
        <v>1080</v>
      </c>
      <c r="C1597" s="17" t="s">
        <v>1081</v>
      </c>
      <c r="D1597" s="17">
        <v>99</v>
      </c>
      <c r="E1597" s="17" t="s">
        <v>15</v>
      </c>
      <c r="F1597" s="17">
        <v>1</v>
      </c>
      <c r="G1597" s="17" t="s">
        <v>16</v>
      </c>
      <c r="H1597" s="17" t="s">
        <v>17</v>
      </c>
      <c r="I1597" s="18">
        <v>4010730</v>
      </c>
      <c r="J1597" s="17" t="s">
        <v>1082</v>
      </c>
      <c r="K1597" s="17">
        <v>99</v>
      </c>
      <c r="L1597" s="17" t="s">
        <v>15</v>
      </c>
      <c r="M1597" s="17">
        <v>167</v>
      </c>
      <c r="N1597" s="17" t="s">
        <v>1</v>
      </c>
      <c r="O1597" s="20">
        <f t="shared" si="372"/>
        <v>1.67E-2</v>
      </c>
      <c r="P1597" s="21">
        <f>O1597*$P$1596</f>
        <v>100.2</v>
      </c>
    </row>
    <row r="1598" spans="1:16" x14ac:dyDescent="0.25">
      <c r="A1598" s="91"/>
      <c r="B1598" s="13" t="s">
        <v>1080</v>
      </c>
      <c r="C1598" s="13" t="s">
        <v>1081</v>
      </c>
      <c r="D1598" s="13">
        <v>99</v>
      </c>
      <c r="E1598" s="13" t="s">
        <v>15</v>
      </c>
      <c r="F1598" s="13">
        <v>1</v>
      </c>
      <c r="G1598" s="13" t="s">
        <v>16</v>
      </c>
      <c r="H1598" s="13" t="s">
        <v>17</v>
      </c>
      <c r="I1598" s="14">
        <v>4016160</v>
      </c>
      <c r="J1598" s="13" t="s">
        <v>69</v>
      </c>
      <c r="K1598" s="13">
        <v>99</v>
      </c>
      <c r="L1598" s="13" t="s">
        <v>15</v>
      </c>
      <c r="M1598" s="13">
        <v>20</v>
      </c>
      <c r="N1598" s="13" t="s">
        <v>3</v>
      </c>
      <c r="O1598" s="16">
        <f t="shared" ref="O1598:O1599" si="380">M1598/10000</f>
        <v>2E-3</v>
      </c>
      <c r="P1598" s="22">
        <f t="shared" ref="P1598:P1599" si="381">O1598*$P$1596</f>
        <v>12</v>
      </c>
    </row>
    <row r="1599" spans="1:16" ht="15.75" thickBot="1" x14ac:dyDescent="0.3">
      <c r="A1599" s="90"/>
      <c r="B1599" s="23" t="s">
        <v>1080</v>
      </c>
      <c r="C1599" s="23" t="s">
        <v>1081</v>
      </c>
      <c r="D1599" s="23">
        <v>99</v>
      </c>
      <c r="E1599" s="23" t="s">
        <v>15</v>
      </c>
      <c r="F1599" s="23">
        <v>1</v>
      </c>
      <c r="G1599" s="23" t="s">
        <v>21</v>
      </c>
      <c r="H1599" s="23" t="s">
        <v>17</v>
      </c>
      <c r="I1599" s="24" t="s">
        <v>1083</v>
      </c>
      <c r="J1599" s="23" t="s">
        <v>1084</v>
      </c>
      <c r="K1599" s="23">
        <v>3</v>
      </c>
      <c r="L1599" s="23" t="s">
        <v>24</v>
      </c>
      <c r="M1599" s="25">
        <v>10000</v>
      </c>
      <c r="N1599" s="23" t="s">
        <v>1</v>
      </c>
      <c r="O1599" s="26">
        <f t="shared" si="380"/>
        <v>1</v>
      </c>
      <c r="P1599" s="27">
        <f t="shared" si="381"/>
        <v>6000</v>
      </c>
    </row>
    <row r="1600" spans="1:16" x14ac:dyDescent="0.25">
      <c r="B1600" s="1"/>
      <c r="C1600" s="1"/>
      <c r="D1600" s="1"/>
      <c r="E1600" s="1"/>
      <c r="F1600" s="1"/>
      <c r="G1600" s="1"/>
      <c r="H1600" s="1"/>
      <c r="I1600" s="2"/>
      <c r="J1600" s="1"/>
      <c r="K1600" s="1"/>
      <c r="L1600" s="1"/>
      <c r="M1600" s="3"/>
      <c r="N1600" s="1"/>
    </row>
    <row r="1601" spans="1:16" s="29" customFormat="1" ht="15.75" thickBot="1" x14ac:dyDescent="0.3">
      <c r="P1601" s="11">
        <f>IFERROR(VLOOKUP($A1602,'PROGRAMA MES '!$A:$B,2,0),0)</f>
        <v>0</v>
      </c>
    </row>
    <row r="1602" spans="1:16" x14ac:dyDescent="0.25">
      <c r="A1602" s="89" t="str">
        <f>B1602</f>
        <v>SP8712BT</v>
      </c>
      <c r="B1602" s="17" t="s">
        <v>1085</v>
      </c>
      <c r="C1602" s="17" t="s">
        <v>1086</v>
      </c>
      <c r="D1602" s="17">
        <v>99</v>
      </c>
      <c r="E1602" s="17" t="s">
        <v>15</v>
      </c>
      <c r="F1602" s="17">
        <v>1</v>
      </c>
      <c r="G1602" s="17" t="s">
        <v>16</v>
      </c>
      <c r="H1602" s="17" t="s">
        <v>17</v>
      </c>
      <c r="I1602" s="18">
        <v>4003642</v>
      </c>
      <c r="J1602" s="17" t="s">
        <v>751</v>
      </c>
      <c r="K1602" s="17">
        <v>99</v>
      </c>
      <c r="L1602" s="17" t="s">
        <v>15</v>
      </c>
      <c r="M1602" s="17">
        <v>84</v>
      </c>
      <c r="N1602" s="17" t="s">
        <v>1</v>
      </c>
      <c r="O1602" s="20">
        <f t="shared" ref="O1602:O1604" si="382">M1602/10000</f>
        <v>8.3999999999999995E-3</v>
      </c>
      <c r="P1602" s="21">
        <f>O1602*$P$1601</f>
        <v>0</v>
      </c>
    </row>
    <row r="1603" spans="1:16" x14ac:dyDescent="0.25">
      <c r="A1603" s="91"/>
      <c r="B1603" s="13" t="s">
        <v>1085</v>
      </c>
      <c r="C1603" s="13" t="s">
        <v>1086</v>
      </c>
      <c r="D1603" s="13">
        <v>99</v>
      </c>
      <c r="E1603" s="13" t="s">
        <v>15</v>
      </c>
      <c r="F1603" s="13">
        <v>1</v>
      </c>
      <c r="G1603" s="13" t="s">
        <v>16</v>
      </c>
      <c r="H1603" s="13" t="s">
        <v>17</v>
      </c>
      <c r="I1603" s="14">
        <v>4016160</v>
      </c>
      <c r="J1603" s="13" t="s">
        <v>69</v>
      </c>
      <c r="K1603" s="13">
        <v>99</v>
      </c>
      <c r="L1603" s="13" t="s">
        <v>15</v>
      </c>
      <c r="M1603" s="13">
        <v>20</v>
      </c>
      <c r="N1603" s="13" t="s">
        <v>3</v>
      </c>
      <c r="O1603" s="16">
        <f t="shared" si="382"/>
        <v>2E-3</v>
      </c>
      <c r="P1603" s="22">
        <f t="shared" ref="P1603:P1604" si="383">O1603*$P$1601</f>
        <v>0</v>
      </c>
    </row>
    <row r="1604" spans="1:16" ht="15.75" thickBot="1" x14ac:dyDescent="0.3">
      <c r="A1604" s="90"/>
      <c r="B1604" s="23" t="s">
        <v>1085</v>
      </c>
      <c r="C1604" s="23" t="s">
        <v>1086</v>
      </c>
      <c r="D1604" s="23">
        <v>99</v>
      </c>
      <c r="E1604" s="23" t="s">
        <v>15</v>
      </c>
      <c r="F1604" s="23">
        <v>1</v>
      </c>
      <c r="G1604" s="23" t="s">
        <v>21</v>
      </c>
      <c r="H1604" s="23" t="s">
        <v>17</v>
      </c>
      <c r="I1604" s="24" t="s">
        <v>1087</v>
      </c>
      <c r="J1604" s="23" t="s">
        <v>1088</v>
      </c>
      <c r="K1604" s="23">
        <v>3</v>
      </c>
      <c r="L1604" s="23" t="s">
        <v>24</v>
      </c>
      <c r="M1604" s="25">
        <v>10000</v>
      </c>
      <c r="N1604" s="23" t="s">
        <v>1</v>
      </c>
      <c r="O1604" s="26">
        <f t="shared" si="382"/>
        <v>1</v>
      </c>
      <c r="P1604" s="27">
        <f t="shared" si="383"/>
        <v>0</v>
      </c>
    </row>
    <row r="1605" spans="1:16" x14ac:dyDescent="0.25">
      <c r="B1605" s="1"/>
      <c r="C1605" s="1"/>
      <c r="D1605" s="1"/>
      <c r="E1605" s="1"/>
      <c r="F1605" s="1"/>
      <c r="G1605" s="1"/>
      <c r="H1605" s="1"/>
      <c r="I1605" s="2"/>
      <c r="J1605" s="1"/>
      <c r="K1605" s="1"/>
      <c r="L1605" s="1"/>
      <c r="M1605" s="3"/>
      <c r="N1605" s="1"/>
    </row>
    <row r="1606" spans="1:16" s="29" customFormat="1" ht="15.75" thickBot="1" x14ac:dyDescent="0.3">
      <c r="P1606" s="11">
        <f>IFERROR(VLOOKUP($A1607,'PROGRAMA MES '!$A:$B,2,0),0)</f>
        <v>48000</v>
      </c>
    </row>
    <row r="1607" spans="1:16" x14ac:dyDescent="0.25">
      <c r="A1607" s="89" t="str">
        <f>B1607</f>
        <v>SP8712BTS</v>
      </c>
      <c r="B1607" s="17" t="s">
        <v>1089</v>
      </c>
      <c r="C1607" s="17" t="s">
        <v>1086</v>
      </c>
      <c r="D1607" s="17">
        <v>99</v>
      </c>
      <c r="E1607" s="17" t="s">
        <v>15</v>
      </c>
      <c r="F1607" s="17">
        <v>1</v>
      </c>
      <c r="G1607" s="17" t="s">
        <v>16</v>
      </c>
      <c r="H1607" s="17" t="s">
        <v>17</v>
      </c>
      <c r="I1607" s="18">
        <v>4003642</v>
      </c>
      <c r="J1607" s="17" t="s">
        <v>751</v>
      </c>
      <c r="K1607" s="17">
        <v>99</v>
      </c>
      <c r="L1607" s="17" t="s">
        <v>15</v>
      </c>
      <c r="M1607" s="17">
        <v>84</v>
      </c>
      <c r="N1607" s="17" t="s">
        <v>1</v>
      </c>
      <c r="O1607" s="20">
        <f t="shared" ref="O1607:O1609" si="384">M1607/10000</f>
        <v>8.3999999999999995E-3</v>
      </c>
      <c r="P1607" s="21">
        <f>O1607*$P$1606</f>
        <v>403.2</v>
      </c>
    </row>
    <row r="1608" spans="1:16" x14ac:dyDescent="0.25">
      <c r="A1608" s="91"/>
      <c r="B1608" s="13" t="s">
        <v>1089</v>
      </c>
      <c r="C1608" s="13" t="s">
        <v>1086</v>
      </c>
      <c r="D1608" s="13">
        <v>99</v>
      </c>
      <c r="E1608" s="13" t="s">
        <v>15</v>
      </c>
      <c r="F1608" s="13">
        <v>1</v>
      </c>
      <c r="G1608" s="13" t="s">
        <v>16</v>
      </c>
      <c r="H1608" s="13" t="s">
        <v>17</v>
      </c>
      <c r="I1608" s="14">
        <v>4016160</v>
      </c>
      <c r="J1608" s="13" t="s">
        <v>69</v>
      </c>
      <c r="K1608" s="13">
        <v>99</v>
      </c>
      <c r="L1608" s="13" t="s">
        <v>15</v>
      </c>
      <c r="M1608" s="13">
        <v>20</v>
      </c>
      <c r="N1608" s="13" t="s">
        <v>3</v>
      </c>
      <c r="O1608" s="16">
        <f t="shared" si="384"/>
        <v>2E-3</v>
      </c>
      <c r="P1608" s="22">
        <f t="shared" ref="P1608:P1609" si="385">O1608*$P$1606</f>
        <v>96</v>
      </c>
    </row>
    <row r="1609" spans="1:16" ht="15.75" thickBot="1" x14ac:dyDescent="0.3">
      <c r="A1609" s="90"/>
      <c r="B1609" s="23" t="s">
        <v>1089</v>
      </c>
      <c r="C1609" s="23" t="s">
        <v>1086</v>
      </c>
      <c r="D1609" s="23">
        <v>99</v>
      </c>
      <c r="E1609" s="23" t="s">
        <v>15</v>
      </c>
      <c r="F1609" s="23">
        <v>1</v>
      </c>
      <c r="G1609" s="23" t="s">
        <v>21</v>
      </c>
      <c r="H1609" s="23" t="s">
        <v>17</v>
      </c>
      <c r="I1609" s="24" t="s">
        <v>1090</v>
      </c>
      <c r="J1609" s="23" t="s">
        <v>1091</v>
      </c>
      <c r="K1609" s="23">
        <v>3</v>
      </c>
      <c r="L1609" s="23" t="s">
        <v>24</v>
      </c>
      <c r="M1609" s="25">
        <v>10000</v>
      </c>
      <c r="N1609" s="23" t="s">
        <v>1</v>
      </c>
      <c r="O1609" s="26">
        <f t="shared" si="384"/>
        <v>1</v>
      </c>
      <c r="P1609" s="27">
        <f t="shared" si="385"/>
        <v>48000</v>
      </c>
    </row>
    <row r="1610" spans="1:16" x14ac:dyDescent="0.25">
      <c r="B1610" s="1"/>
      <c r="C1610" s="1"/>
      <c r="D1610" s="1"/>
      <c r="E1610" s="1"/>
      <c r="F1610" s="1"/>
      <c r="G1610" s="1"/>
      <c r="H1610" s="1"/>
      <c r="I1610" s="2"/>
      <c r="J1610" s="1"/>
      <c r="K1610" s="1"/>
      <c r="L1610" s="1"/>
      <c r="M1610" s="3"/>
      <c r="N1610" s="1"/>
    </row>
    <row r="1611" spans="1:16" s="29" customFormat="1" ht="15.75" thickBot="1" x14ac:dyDescent="0.3">
      <c r="P1611" s="11">
        <f>IFERROR(VLOOKUP($A1612,'PROGRAMA MES '!$A:$B,2,0),0)</f>
        <v>0</v>
      </c>
    </row>
    <row r="1612" spans="1:16" x14ac:dyDescent="0.25">
      <c r="A1612" s="89" t="str">
        <f>B1612</f>
        <v>SP90103</v>
      </c>
      <c r="B1612" s="17" t="s">
        <v>1092</v>
      </c>
      <c r="C1612" s="17" t="s">
        <v>1093</v>
      </c>
      <c r="D1612" s="17">
        <v>99</v>
      </c>
      <c r="E1612" s="17" t="s">
        <v>15</v>
      </c>
      <c r="F1612" s="17">
        <v>1</v>
      </c>
      <c r="G1612" s="17" t="s">
        <v>16</v>
      </c>
      <c r="H1612" s="17" t="s">
        <v>17</v>
      </c>
      <c r="I1612" s="18">
        <v>4001221</v>
      </c>
      <c r="J1612" s="17" t="s">
        <v>716</v>
      </c>
      <c r="K1612" s="17">
        <v>99</v>
      </c>
      <c r="L1612" s="17" t="s">
        <v>15</v>
      </c>
      <c r="M1612" s="17">
        <v>715</v>
      </c>
      <c r="N1612" s="17" t="s">
        <v>1</v>
      </c>
      <c r="O1612" s="20">
        <f t="shared" ref="O1612:O1616" si="386">M1612/10000</f>
        <v>7.1499999999999994E-2</v>
      </c>
      <c r="P1612" s="21">
        <f>O1612*$P$1611</f>
        <v>0</v>
      </c>
    </row>
    <row r="1613" spans="1:16" x14ac:dyDescent="0.25">
      <c r="A1613" s="91"/>
      <c r="B1613" s="13" t="s">
        <v>1092</v>
      </c>
      <c r="C1613" s="13" t="s">
        <v>1093</v>
      </c>
      <c r="D1613" s="13">
        <v>99</v>
      </c>
      <c r="E1613" s="13" t="s">
        <v>15</v>
      </c>
      <c r="F1613" s="13">
        <v>1</v>
      </c>
      <c r="G1613" s="13" t="s">
        <v>16</v>
      </c>
      <c r="H1613" s="13" t="s">
        <v>17</v>
      </c>
      <c r="I1613" s="14">
        <v>4002827</v>
      </c>
      <c r="J1613" s="13" t="s">
        <v>0</v>
      </c>
      <c r="K1613" s="13">
        <v>99</v>
      </c>
      <c r="L1613" s="13" t="s">
        <v>15</v>
      </c>
      <c r="M1613" s="15">
        <v>1321.8</v>
      </c>
      <c r="N1613" s="13" t="s">
        <v>2</v>
      </c>
      <c r="O1613" s="16">
        <f t="shared" si="386"/>
        <v>0.13217999999999999</v>
      </c>
      <c r="P1613" s="22">
        <f t="shared" ref="P1613:P1616" si="387">O1613*$P$1611</f>
        <v>0</v>
      </c>
    </row>
    <row r="1614" spans="1:16" x14ac:dyDescent="0.25">
      <c r="A1614" s="91"/>
      <c r="B1614" s="13" t="s">
        <v>1092</v>
      </c>
      <c r="C1614" s="13" t="s">
        <v>1093</v>
      </c>
      <c r="D1614" s="13">
        <v>99</v>
      </c>
      <c r="E1614" s="13" t="s">
        <v>15</v>
      </c>
      <c r="F1614" s="13">
        <v>1</v>
      </c>
      <c r="G1614" s="13" t="s">
        <v>16</v>
      </c>
      <c r="H1614" s="13" t="s">
        <v>17</v>
      </c>
      <c r="I1614" s="14">
        <v>4013164</v>
      </c>
      <c r="J1614" s="13" t="s">
        <v>718</v>
      </c>
      <c r="K1614" s="13">
        <v>99</v>
      </c>
      <c r="L1614" s="13" t="s">
        <v>15</v>
      </c>
      <c r="M1614" s="13">
        <v>715</v>
      </c>
      <c r="N1614" s="13" t="s">
        <v>1</v>
      </c>
      <c r="O1614" s="16">
        <f t="shared" si="386"/>
        <v>7.1499999999999994E-2</v>
      </c>
      <c r="P1614" s="22">
        <f t="shared" si="387"/>
        <v>0</v>
      </c>
    </row>
    <row r="1615" spans="1:16" x14ac:dyDescent="0.25">
      <c r="A1615" s="91"/>
      <c r="B1615" s="13" t="s">
        <v>1092</v>
      </c>
      <c r="C1615" s="13" t="s">
        <v>1093</v>
      </c>
      <c r="D1615" s="13">
        <v>99</v>
      </c>
      <c r="E1615" s="13" t="s">
        <v>15</v>
      </c>
      <c r="F1615" s="13">
        <v>1</v>
      </c>
      <c r="G1615" s="13" t="s">
        <v>16</v>
      </c>
      <c r="H1615" s="13" t="s">
        <v>17</v>
      </c>
      <c r="I1615" s="14">
        <v>4016568</v>
      </c>
      <c r="J1615" s="13" t="s">
        <v>1094</v>
      </c>
      <c r="K1615" s="13">
        <v>99</v>
      </c>
      <c r="L1615" s="13" t="s">
        <v>15</v>
      </c>
      <c r="M1615" s="15">
        <v>10000</v>
      </c>
      <c r="N1615" s="13" t="s">
        <v>1</v>
      </c>
      <c r="O1615" s="16">
        <f t="shared" si="386"/>
        <v>1</v>
      </c>
      <c r="P1615" s="22">
        <f t="shared" si="387"/>
        <v>0</v>
      </c>
    </row>
    <row r="1616" spans="1:16" ht="15.75" thickBot="1" x14ac:dyDescent="0.3">
      <c r="A1616" s="90"/>
      <c r="B1616" s="23" t="s">
        <v>1092</v>
      </c>
      <c r="C1616" s="23" t="s">
        <v>1093</v>
      </c>
      <c r="D1616" s="23">
        <v>99</v>
      </c>
      <c r="E1616" s="23" t="s">
        <v>15</v>
      </c>
      <c r="F1616" s="23">
        <v>1</v>
      </c>
      <c r="G1616" s="23" t="s">
        <v>21</v>
      </c>
      <c r="H1616" s="23" t="s">
        <v>17</v>
      </c>
      <c r="I1616" s="24" t="s">
        <v>1095</v>
      </c>
      <c r="J1616" s="23" t="s">
        <v>1096</v>
      </c>
      <c r="K1616" s="23">
        <v>56</v>
      </c>
      <c r="L1616" s="23" t="s">
        <v>772</v>
      </c>
      <c r="M1616" s="25">
        <v>10000</v>
      </c>
      <c r="N1616" s="23" t="s">
        <v>1</v>
      </c>
      <c r="O1616" s="26">
        <f t="shared" si="386"/>
        <v>1</v>
      </c>
      <c r="P1616" s="27">
        <f t="shared" si="387"/>
        <v>0</v>
      </c>
    </row>
    <row r="1617" spans="1:16" x14ac:dyDescent="0.25">
      <c r="B1617" s="1"/>
      <c r="C1617" s="1"/>
      <c r="D1617" s="1"/>
      <c r="E1617" s="1"/>
      <c r="F1617" s="1"/>
      <c r="G1617" s="1"/>
      <c r="H1617" s="1"/>
      <c r="I1617" s="2"/>
      <c r="J1617" s="1"/>
      <c r="K1617" s="1"/>
      <c r="L1617" s="1"/>
      <c r="M1617" s="3"/>
      <c r="N1617" s="1"/>
    </row>
    <row r="1618" spans="1:16" ht="15.75" thickBot="1" x14ac:dyDescent="0.3">
      <c r="B1618" s="1"/>
      <c r="C1618" s="1"/>
      <c r="D1618" s="1"/>
      <c r="E1618" s="1"/>
      <c r="F1618" s="1"/>
      <c r="G1618" s="1"/>
      <c r="H1618" s="1"/>
      <c r="I1618" s="2"/>
      <c r="J1618" s="1"/>
      <c r="K1618" s="1"/>
      <c r="L1618" s="1"/>
      <c r="M1618" s="3"/>
      <c r="N1618" s="1"/>
      <c r="P1618" s="11">
        <f>IFERROR(VLOOKUP($A1619,'PROGRAMA MES '!$A:$B,2,0),0)</f>
        <v>1200</v>
      </c>
    </row>
    <row r="1619" spans="1:16" x14ac:dyDescent="0.25">
      <c r="A1619" s="89" t="str">
        <f>B1619</f>
        <v>SP9020AM</v>
      </c>
      <c r="B1619" s="17" t="s">
        <v>1097</v>
      </c>
      <c r="C1619" s="17" t="s">
        <v>1098</v>
      </c>
      <c r="D1619" s="17">
        <v>99</v>
      </c>
      <c r="E1619" s="17" t="s">
        <v>15</v>
      </c>
      <c r="F1619" s="17">
        <v>1</v>
      </c>
      <c r="G1619" s="17" t="s">
        <v>16</v>
      </c>
      <c r="H1619" s="17" t="s">
        <v>17</v>
      </c>
      <c r="I1619" s="18">
        <v>4010777</v>
      </c>
      <c r="J1619" s="17" t="s">
        <v>1099</v>
      </c>
      <c r="K1619" s="17">
        <v>99</v>
      </c>
      <c r="L1619" s="17" t="s">
        <v>15</v>
      </c>
      <c r="M1619" s="19">
        <v>10000</v>
      </c>
      <c r="N1619" s="17" t="s">
        <v>1</v>
      </c>
      <c r="O1619" s="20">
        <f t="shared" ref="O1619:O1621" si="388">M1619/10000</f>
        <v>1</v>
      </c>
      <c r="P1619" s="21">
        <f>O1619*$P$1618</f>
        <v>1200</v>
      </c>
    </row>
    <row r="1620" spans="1:16" x14ac:dyDescent="0.25">
      <c r="A1620" s="91"/>
      <c r="B1620" s="13" t="s">
        <v>1097</v>
      </c>
      <c r="C1620" s="13" t="s">
        <v>1098</v>
      </c>
      <c r="D1620" s="13">
        <v>99</v>
      </c>
      <c r="E1620" s="13" t="s">
        <v>15</v>
      </c>
      <c r="F1620" s="13">
        <v>1</v>
      </c>
      <c r="G1620" s="13" t="s">
        <v>16</v>
      </c>
      <c r="H1620" s="13" t="s">
        <v>17</v>
      </c>
      <c r="I1620" s="14">
        <v>4012138</v>
      </c>
      <c r="J1620" s="13" t="s">
        <v>27</v>
      </c>
      <c r="K1620" s="13">
        <v>99</v>
      </c>
      <c r="L1620" s="13" t="s">
        <v>15</v>
      </c>
      <c r="M1620" s="13">
        <v>44.17</v>
      </c>
      <c r="N1620" s="13" t="s">
        <v>3</v>
      </c>
      <c r="O1620" s="16">
        <f t="shared" si="388"/>
        <v>4.4169999999999999E-3</v>
      </c>
      <c r="P1620" s="22">
        <f t="shared" ref="P1620:P1621" si="389">O1620*$P$1618</f>
        <v>5.3003999999999998</v>
      </c>
    </row>
    <row r="1621" spans="1:16" ht="15.75" thickBot="1" x14ac:dyDescent="0.3">
      <c r="A1621" s="90"/>
      <c r="B1621" s="23" t="s">
        <v>1097</v>
      </c>
      <c r="C1621" s="23" t="s">
        <v>1098</v>
      </c>
      <c r="D1621" s="23">
        <v>99</v>
      </c>
      <c r="E1621" s="23" t="s">
        <v>15</v>
      </c>
      <c r="F1621" s="23">
        <v>1</v>
      </c>
      <c r="G1621" s="23" t="s">
        <v>21</v>
      </c>
      <c r="H1621" s="23" t="s">
        <v>17</v>
      </c>
      <c r="I1621" s="24" t="s">
        <v>1100</v>
      </c>
      <c r="J1621" s="23" t="s">
        <v>1101</v>
      </c>
      <c r="K1621" s="23">
        <v>3</v>
      </c>
      <c r="L1621" s="23" t="s">
        <v>24</v>
      </c>
      <c r="M1621" s="25">
        <v>10000</v>
      </c>
      <c r="N1621" s="23" t="s">
        <v>1</v>
      </c>
      <c r="O1621" s="26">
        <f t="shared" si="388"/>
        <v>1</v>
      </c>
      <c r="P1621" s="27">
        <f t="shared" si="389"/>
        <v>1200</v>
      </c>
    </row>
    <row r="1622" spans="1:16" x14ac:dyDescent="0.25">
      <c r="B1622" s="1"/>
      <c r="C1622" s="1"/>
      <c r="D1622" s="1"/>
      <c r="E1622" s="1"/>
      <c r="F1622" s="1"/>
      <c r="G1622" s="1"/>
      <c r="H1622" s="1"/>
      <c r="I1622" s="2"/>
      <c r="J1622" s="1"/>
      <c r="K1622" s="1"/>
      <c r="L1622" s="1"/>
      <c r="M1622" s="3"/>
      <c r="N1622" s="1"/>
    </row>
    <row r="1623" spans="1:16" ht="15.75" thickBot="1" x14ac:dyDescent="0.3">
      <c r="B1623" s="1"/>
      <c r="C1623" s="1"/>
      <c r="D1623" s="1"/>
      <c r="E1623" s="1"/>
      <c r="F1623" s="1"/>
      <c r="G1623" s="1"/>
      <c r="H1623" s="1"/>
      <c r="I1623" s="2"/>
      <c r="J1623" s="1"/>
      <c r="K1623" s="1"/>
      <c r="L1623" s="1"/>
      <c r="M1623" s="3"/>
      <c r="N1623" s="1"/>
      <c r="P1623" s="11">
        <f>IFERROR(VLOOKUP($A1624,'PROGRAMA MES '!$A:$B,2,0),0)</f>
        <v>2160</v>
      </c>
    </row>
    <row r="1624" spans="1:16" x14ac:dyDescent="0.25">
      <c r="A1624" s="89" t="str">
        <f>B1624</f>
        <v>SP9020AZ</v>
      </c>
      <c r="B1624" s="17" t="s">
        <v>1102</v>
      </c>
      <c r="C1624" s="17" t="s">
        <v>1103</v>
      </c>
      <c r="D1624" s="17">
        <v>99</v>
      </c>
      <c r="E1624" s="17" t="s">
        <v>15</v>
      </c>
      <c r="F1624" s="17">
        <v>1</v>
      </c>
      <c r="G1624" s="17" t="s">
        <v>16</v>
      </c>
      <c r="H1624" s="17" t="s">
        <v>17</v>
      </c>
      <c r="I1624" s="18">
        <v>4008404</v>
      </c>
      <c r="J1624" s="17" t="s">
        <v>1104</v>
      </c>
      <c r="K1624" s="17">
        <v>99</v>
      </c>
      <c r="L1624" s="17" t="s">
        <v>15</v>
      </c>
      <c r="M1624" s="19">
        <v>10000</v>
      </c>
      <c r="N1624" s="17" t="s">
        <v>1</v>
      </c>
      <c r="O1624" s="20">
        <f t="shared" ref="O1624:O1626" si="390">M1624/10000</f>
        <v>1</v>
      </c>
      <c r="P1624" s="21">
        <f>O1624*$P$1623</f>
        <v>2160</v>
      </c>
    </row>
    <row r="1625" spans="1:16" x14ac:dyDescent="0.25">
      <c r="A1625" s="91"/>
      <c r="B1625" s="13" t="s">
        <v>1102</v>
      </c>
      <c r="C1625" s="13" t="s">
        <v>1103</v>
      </c>
      <c r="D1625" s="13">
        <v>99</v>
      </c>
      <c r="E1625" s="13" t="s">
        <v>15</v>
      </c>
      <c r="F1625" s="13">
        <v>1</v>
      </c>
      <c r="G1625" s="13" t="s">
        <v>16</v>
      </c>
      <c r="H1625" s="13" t="s">
        <v>17</v>
      </c>
      <c r="I1625" s="14">
        <v>4012138</v>
      </c>
      <c r="J1625" s="13" t="s">
        <v>27</v>
      </c>
      <c r="K1625" s="13">
        <v>99</v>
      </c>
      <c r="L1625" s="13" t="s">
        <v>15</v>
      </c>
      <c r="M1625" s="13">
        <v>44.17</v>
      </c>
      <c r="N1625" s="13" t="s">
        <v>3</v>
      </c>
      <c r="O1625" s="16">
        <f t="shared" si="390"/>
        <v>4.4169999999999999E-3</v>
      </c>
      <c r="P1625" s="22">
        <f>O1625*$P$1623</f>
        <v>9.5407200000000003</v>
      </c>
    </row>
    <row r="1626" spans="1:16" ht="15.75" thickBot="1" x14ac:dyDescent="0.3">
      <c r="A1626" s="90"/>
      <c r="B1626" s="23" t="s">
        <v>1102</v>
      </c>
      <c r="C1626" s="23" t="s">
        <v>1103</v>
      </c>
      <c r="D1626" s="23">
        <v>99</v>
      </c>
      <c r="E1626" s="23" t="s">
        <v>15</v>
      </c>
      <c r="F1626" s="23">
        <v>1</v>
      </c>
      <c r="G1626" s="23" t="s">
        <v>21</v>
      </c>
      <c r="H1626" s="23" t="s">
        <v>17</v>
      </c>
      <c r="I1626" s="24" t="s">
        <v>1105</v>
      </c>
      <c r="J1626" s="23" t="s">
        <v>1106</v>
      </c>
      <c r="K1626" s="23">
        <v>3</v>
      </c>
      <c r="L1626" s="23" t="s">
        <v>24</v>
      </c>
      <c r="M1626" s="25">
        <v>10000</v>
      </c>
      <c r="N1626" s="23" t="s">
        <v>1</v>
      </c>
      <c r="O1626" s="26">
        <f t="shared" si="390"/>
        <v>1</v>
      </c>
      <c r="P1626" s="27">
        <f>O1626*$P$1623</f>
        <v>2160</v>
      </c>
    </row>
    <row r="1627" spans="1:16" x14ac:dyDescent="0.25">
      <c r="B1627" s="1"/>
      <c r="C1627" s="1"/>
      <c r="D1627" s="1"/>
      <c r="E1627" s="1"/>
      <c r="F1627" s="1"/>
      <c r="G1627" s="1"/>
      <c r="H1627" s="1"/>
      <c r="I1627" s="2"/>
      <c r="J1627" s="1"/>
      <c r="K1627" s="1"/>
      <c r="L1627" s="1"/>
      <c r="M1627" s="3"/>
      <c r="N1627" s="1"/>
    </row>
    <row r="1628" spans="1:16" ht="15.75" thickBot="1" x14ac:dyDescent="0.3">
      <c r="B1628" s="1"/>
      <c r="C1628" s="1"/>
      <c r="D1628" s="1"/>
      <c r="E1628" s="1"/>
      <c r="F1628" s="1"/>
      <c r="G1628" s="1"/>
      <c r="H1628" s="1"/>
      <c r="I1628" s="2"/>
      <c r="J1628" s="1"/>
      <c r="K1628" s="1"/>
      <c r="L1628" s="1"/>
      <c r="M1628" s="3"/>
      <c r="N1628" s="1"/>
      <c r="P1628" s="11">
        <f>IFERROR(VLOOKUP($A1629,'PROGRAMA MES '!$A:$B,2,0),0)</f>
        <v>5400</v>
      </c>
    </row>
    <row r="1629" spans="1:16" x14ac:dyDescent="0.25">
      <c r="A1629" s="89" t="str">
        <f>B1629</f>
        <v>SP9020CZ</v>
      </c>
      <c r="B1629" s="17" t="s">
        <v>1107</v>
      </c>
      <c r="C1629" s="17" t="s">
        <v>1108</v>
      </c>
      <c r="D1629" s="17">
        <v>99</v>
      </c>
      <c r="E1629" s="17" t="s">
        <v>15</v>
      </c>
      <c r="F1629" s="17">
        <v>1</v>
      </c>
      <c r="G1629" s="17" t="s">
        <v>16</v>
      </c>
      <c r="H1629" s="17" t="s">
        <v>17</v>
      </c>
      <c r="I1629" s="18">
        <v>4010520</v>
      </c>
      <c r="J1629" s="17" t="s">
        <v>1109</v>
      </c>
      <c r="K1629" s="17">
        <v>99</v>
      </c>
      <c r="L1629" s="17" t="s">
        <v>15</v>
      </c>
      <c r="M1629" s="19">
        <v>10000</v>
      </c>
      <c r="N1629" s="17" t="s">
        <v>1</v>
      </c>
      <c r="O1629" s="20">
        <f t="shared" ref="O1629:O1631" si="391">M1629/10000</f>
        <v>1</v>
      </c>
      <c r="P1629" s="21">
        <f>O1629*$P$1628</f>
        <v>5400</v>
      </c>
    </row>
    <row r="1630" spans="1:16" x14ac:dyDescent="0.25">
      <c r="A1630" s="91"/>
      <c r="B1630" s="13" t="s">
        <v>1107</v>
      </c>
      <c r="C1630" s="13" t="s">
        <v>1108</v>
      </c>
      <c r="D1630" s="13">
        <v>99</v>
      </c>
      <c r="E1630" s="13" t="s">
        <v>15</v>
      </c>
      <c r="F1630" s="13">
        <v>1</v>
      </c>
      <c r="G1630" s="13" t="s">
        <v>16</v>
      </c>
      <c r="H1630" s="13" t="s">
        <v>17</v>
      </c>
      <c r="I1630" s="14">
        <v>4012138</v>
      </c>
      <c r="J1630" s="13" t="s">
        <v>27</v>
      </c>
      <c r="K1630" s="13">
        <v>99</v>
      </c>
      <c r="L1630" s="13" t="s">
        <v>15</v>
      </c>
      <c r="M1630" s="13">
        <v>44.17</v>
      </c>
      <c r="N1630" s="13" t="s">
        <v>3</v>
      </c>
      <c r="O1630" s="16">
        <f t="shared" si="391"/>
        <v>4.4169999999999999E-3</v>
      </c>
      <c r="P1630" s="22">
        <f t="shared" ref="P1630:P1631" si="392">O1630*$P$1628</f>
        <v>23.851800000000001</v>
      </c>
    </row>
    <row r="1631" spans="1:16" ht="15.75" thickBot="1" x14ac:dyDescent="0.3">
      <c r="A1631" s="90"/>
      <c r="B1631" s="23" t="s">
        <v>1107</v>
      </c>
      <c r="C1631" s="23" t="s">
        <v>1108</v>
      </c>
      <c r="D1631" s="23">
        <v>99</v>
      </c>
      <c r="E1631" s="23" t="s">
        <v>15</v>
      </c>
      <c r="F1631" s="23">
        <v>1</v>
      </c>
      <c r="G1631" s="23" t="s">
        <v>21</v>
      </c>
      <c r="H1631" s="23" t="s">
        <v>17</v>
      </c>
      <c r="I1631" s="24" t="s">
        <v>578</v>
      </c>
      <c r="J1631" s="23" t="s">
        <v>579</v>
      </c>
      <c r="K1631" s="23">
        <v>3</v>
      </c>
      <c r="L1631" s="23" t="s">
        <v>24</v>
      </c>
      <c r="M1631" s="25">
        <v>10000</v>
      </c>
      <c r="N1631" s="23" t="s">
        <v>1</v>
      </c>
      <c r="O1631" s="26">
        <f t="shared" si="391"/>
        <v>1</v>
      </c>
      <c r="P1631" s="27">
        <f t="shared" si="392"/>
        <v>5400</v>
      </c>
    </row>
    <row r="1632" spans="1:16" x14ac:dyDescent="0.25">
      <c r="B1632" s="1"/>
      <c r="C1632" s="1"/>
      <c r="D1632" s="1"/>
      <c r="E1632" s="1"/>
      <c r="F1632" s="1"/>
      <c r="G1632" s="1"/>
      <c r="H1632" s="1"/>
      <c r="I1632" s="2"/>
      <c r="J1632" s="1"/>
      <c r="K1632" s="1"/>
      <c r="L1632" s="1"/>
      <c r="M1632" s="3"/>
      <c r="N1632" s="1"/>
    </row>
    <row r="1633" spans="1:16" ht="15.75" thickBot="1" x14ac:dyDescent="0.3">
      <c r="B1633" s="1"/>
      <c r="C1633" s="1"/>
      <c r="D1633" s="1"/>
      <c r="E1633" s="1"/>
      <c r="F1633" s="1"/>
      <c r="G1633" s="1"/>
      <c r="H1633" s="1"/>
      <c r="I1633" s="2"/>
      <c r="J1633" s="1"/>
      <c r="K1633" s="1"/>
      <c r="L1633" s="1"/>
      <c r="M1633" s="3"/>
      <c r="N1633" s="1"/>
      <c r="P1633" s="11">
        <f>IFERROR(VLOOKUP($A1634,'PROGRAMA MES '!$A:$B,2,0),0)</f>
        <v>1200</v>
      </c>
    </row>
    <row r="1634" spans="1:16" x14ac:dyDescent="0.25">
      <c r="A1634" s="89" t="str">
        <f>B1634</f>
        <v>SP9020VD</v>
      </c>
      <c r="B1634" s="17" t="s">
        <v>1110</v>
      </c>
      <c r="C1634" s="17" t="s">
        <v>1111</v>
      </c>
      <c r="D1634" s="17">
        <v>99</v>
      </c>
      <c r="E1634" s="17" t="s">
        <v>15</v>
      </c>
      <c r="F1634" s="17">
        <v>1</v>
      </c>
      <c r="G1634" s="17" t="s">
        <v>16</v>
      </c>
      <c r="H1634" s="17" t="s">
        <v>17</v>
      </c>
      <c r="I1634" s="18">
        <v>4008406</v>
      </c>
      <c r="J1634" s="17" t="s">
        <v>1112</v>
      </c>
      <c r="K1634" s="17">
        <v>99</v>
      </c>
      <c r="L1634" s="17" t="s">
        <v>15</v>
      </c>
      <c r="M1634" s="19">
        <v>10000</v>
      </c>
      <c r="N1634" s="17" t="s">
        <v>1</v>
      </c>
      <c r="O1634" s="20">
        <f t="shared" ref="O1634:O1636" si="393">M1634/10000</f>
        <v>1</v>
      </c>
      <c r="P1634" s="21">
        <f>O1634*$P$1633</f>
        <v>1200</v>
      </c>
    </row>
    <row r="1635" spans="1:16" x14ac:dyDescent="0.25">
      <c r="A1635" s="91"/>
      <c r="B1635" s="13" t="s">
        <v>1110</v>
      </c>
      <c r="C1635" s="13" t="s">
        <v>1111</v>
      </c>
      <c r="D1635" s="13">
        <v>99</v>
      </c>
      <c r="E1635" s="13" t="s">
        <v>15</v>
      </c>
      <c r="F1635" s="13">
        <v>1</v>
      </c>
      <c r="G1635" s="13" t="s">
        <v>16</v>
      </c>
      <c r="H1635" s="13" t="s">
        <v>17</v>
      </c>
      <c r="I1635" s="14">
        <v>4012138</v>
      </c>
      <c r="J1635" s="13" t="s">
        <v>27</v>
      </c>
      <c r="K1635" s="13">
        <v>99</v>
      </c>
      <c r="L1635" s="13" t="s">
        <v>15</v>
      </c>
      <c r="M1635" s="13">
        <v>44.17</v>
      </c>
      <c r="N1635" s="13" t="s">
        <v>3</v>
      </c>
      <c r="O1635" s="16">
        <f t="shared" si="393"/>
        <v>4.4169999999999999E-3</v>
      </c>
      <c r="P1635" s="22">
        <f t="shared" ref="P1635:P1636" si="394">O1635*$P$1633</f>
        <v>5.3003999999999998</v>
      </c>
    </row>
    <row r="1636" spans="1:16" ht="15.75" thickBot="1" x14ac:dyDescent="0.3">
      <c r="A1636" s="90"/>
      <c r="B1636" s="23" t="s">
        <v>1110</v>
      </c>
      <c r="C1636" s="23" t="s">
        <v>1111</v>
      </c>
      <c r="D1636" s="23">
        <v>99</v>
      </c>
      <c r="E1636" s="23" t="s">
        <v>15</v>
      </c>
      <c r="F1636" s="23">
        <v>1</v>
      </c>
      <c r="G1636" s="23" t="s">
        <v>21</v>
      </c>
      <c r="H1636" s="23" t="s">
        <v>17</v>
      </c>
      <c r="I1636" s="24" t="s">
        <v>1113</v>
      </c>
      <c r="J1636" s="23" t="s">
        <v>1114</v>
      </c>
      <c r="K1636" s="23">
        <v>3</v>
      </c>
      <c r="L1636" s="23" t="s">
        <v>24</v>
      </c>
      <c r="M1636" s="25">
        <v>10000</v>
      </c>
      <c r="N1636" s="23" t="s">
        <v>1</v>
      </c>
      <c r="O1636" s="26">
        <f t="shared" si="393"/>
        <v>1</v>
      </c>
      <c r="P1636" s="27">
        <f t="shared" si="394"/>
        <v>1200</v>
      </c>
    </row>
    <row r="1637" spans="1:16" x14ac:dyDescent="0.25">
      <c r="B1637" s="1"/>
      <c r="C1637" s="1"/>
      <c r="D1637" s="1"/>
      <c r="E1637" s="1"/>
      <c r="F1637" s="1"/>
      <c r="G1637" s="1"/>
      <c r="H1637" s="1"/>
      <c r="I1637" s="2"/>
      <c r="J1637" s="1"/>
      <c r="K1637" s="1"/>
      <c r="L1637" s="1"/>
      <c r="M1637" s="3"/>
      <c r="N1637" s="1"/>
    </row>
    <row r="1638" spans="1:16" ht="15.75" thickBot="1" x14ac:dyDescent="0.3">
      <c r="B1638" s="1"/>
      <c r="C1638" s="1"/>
      <c r="D1638" s="1"/>
      <c r="E1638" s="1"/>
      <c r="F1638" s="1"/>
      <c r="G1638" s="1"/>
      <c r="H1638" s="1"/>
      <c r="I1638" s="2"/>
      <c r="J1638" s="1"/>
      <c r="K1638" s="1"/>
      <c r="L1638" s="1"/>
      <c r="M1638" s="3"/>
      <c r="N1638" s="1"/>
      <c r="P1638" s="11">
        <f>IFERROR(VLOOKUP($A1639,'PROGRAMA MES '!$A:$B,2,0),0)</f>
        <v>0</v>
      </c>
    </row>
    <row r="1639" spans="1:16" x14ac:dyDescent="0.25">
      <c r="A1639" s="89" t="str">
        <f>B1639</f>
        <v>SP9020VR</v>
      </c>
      <c r="B1639" s="17" t="s">
        <v>1115</v>
      </c>
      <c r="C1639" s="17" t="s">
        <v>1116</v>
      </c>
      <c r="D1639" s="17">
        <v>99</v>
      </c>
      <c r="E1639" s="17" t="s">
        <v>15</v>
      </c>
      <c r="F1639" s="17">
        <v>1</v>
      </c>
      <c r="G1639" s="17" t="s">
        <v>16</v>
      </c>
      <c r="H1639" s="17" t="s">
        <v>17</v>
      </c>
      <c r="I1639" s="18">
        <v>4008407</v>
      </c>
      <c r="J1639" s="17" t="s">
        <v>1117</v>
      </c>
      <c r="K1639" s="17">
        <v>99</v>
      </c>
      <c r="L1639" s="17" t="s">
        <v>15</v>
      </c>
      <c r="M1639" s="19">
        <v>10000</v>
      </c>
      <c r="N1639" s="17" t="s">
        <v>1</v>
      </c>
      <c r="O1639" s="20">
        <f t="shared" ref="O1639:O1641" si="395">M1639/10000</f>
        <v>1</v>
      </c>
      <c r="P1639" s="21">
        <f>O1639*$P$1638</f>
        <v>0</v>
      </c>
    </row>
    <row r="1640" spans="1:16" x14ac:dyDescent="0.25">
      <c r="A1640" s="91"/>
      <c r="B1640" s="13" t="s">
        <v>1115</v>
      </c>
      <c r="C1640" s="13" t="s">
        <v>1116</v>
      </c>
      <c r="D1640" s="13">
        <v>99</v>
      </c>
      <c r="E1640" s="13" t="s">
        <v>15</v>
      </c>
      <c r="F1640" s="13">
        <v>1</v>
      </c>
      <c r="G1640" s="13" t="s">
        <v>16</v>
      </c>
      <c r="H1640" s="13" t="s">
        <v>17</v>
      </c>
      <c r="I1640" s="14">
        <v>4012138</v>
      </c>
      <c r="J1640" s="13" t="s">
        <v>27</v>
      </c>
      <c r="K1640" s="13">
        <v>99</v>
      </c>
      <c r="L1640" s="13" t="s">
        <v>15</v>
      </c>
      <c r="M1640" s="13">
        <v>44.17</v>
      </c>
      <c r="N1640" s="13" t="s">
        <v>3</v>
      </c>
      <c r="O1640" s="16">
        <f t="shared" si="395"/>
        <v>4.4169999999999999E-3</v>
      </c>
      <c r="P1640" s="22">
        <f t="shared" ref="P1640:P1641" si="396">O1640*$P$1638</f>
        <v>0</v>
      </c>
    </row>
    <row r="1641" spans="1:16" ht="15.75" thickBot="1" x14ac:dyDescent="0.3">
      <c r="A1641" s="90"/>
      <c r="B1641" s="23" t="s">
        <v>1115</v>
      </c>
      <c r="C1641" s="23" t="s">
        <v>1116</v>
      </c>
      <c r="D1641" s="23">
        <v>99</v>
      </c>
      <c r="E1641" s="23" t="s">
        <v>15</v>
      </c>
      <c r="F1641" s="23">
        <v>1</v>
      </c>
      <c r="G1641" s="23" t="s">
        <v>21</v>
      </c>
      <c r="H1641" s="23" t="s">
        <v>17</v>
      </c>
      <c r="I1641" s="24" t="s">
        <v>1118</v>
      </c>
      <c r="J1641" s="23" t="s">
        <v>1119</v>
      </c>
      <c r="K1641" s="23">
        <v>3</v>
      </c>
      <c r="L1641" s="23" t="s">
        <v>24</v>
      </c>
      <c r="M1641" s="25">
        <v>10000</v>
      </c>
      <c r="N1641" s="23" t="s">
        <v>1</v>
      </c>
      <c r="O1641" s="26">
        <f t="shared" si="395"/>
        <v>1</v>
      </c>
      <c r="P1641" s="27">
        <f t="shared" si="396"/>
        <v>0</v>
      </c>
    </row>
    <row r="1642" spans="1:16" x14ac:dyDescent="0.25">
      <c r="B1642" s="1"/>
      <c r="C1642" s="1"/>
      <c r="D1642" s="1"/>
      <c r="E1642" s="1"/>
      <c r="F1642" s="1"/>
      <c r="G1642" s="1"/>
      <c r="H1642" s="1"/>
      <c r="I1642" s="2"/>
      <c r="J1642" s="1"/>
      <c r="K1642" s="1"/>
      <c r="L1642" s="1"/>
      <c r="M1642" s="3"/>
      <c r="N1642" s="1"/>
    </row>
    <row r="1643" spans="1:16" ht="15.75" thickBot="1" x14ac:dyDescent="0.3">
      <c r="B1643" s="1"/>
      <c r="C1643" s="1"/>
      <c r="D1643" s="1"/>
      <c r="E1643" s="1"/>
      <c r="F1643" s="1"/>
      <c r="G1643" s="1"/>
      <c r="H1643" s="1"/>
      <c r="I1643" s="2"/>
      <c r="J1643" s="1"/>
      <c r="K1643" s="1"/>
      <c r="L1643" s="1"/>
      <c r="M1643" s="3"/>
      <c r="N1643" s="1"/>
      <c r="P1643" s="11">
        <f>IFERROR(VLOOKUP($A1644,'PROGRAMA MES '!$A:$B,2,0),0)</f>
        <v>2160</v>
      </c>
    </row>
    <row r="1644" spans="1:16" x14ac:dyDescent="0.25">
      <c r="A1644" s="89" t="str">
        <f>B1644</f>
        <v>SP9022</v>
      </c>
      <c r="B1644" s="17" t="s">
        <v>1120</v>
      </c>
      <c r="C1644" s="17" t="s">
        <v>1121</v>
      </c>
      <c r="D1644" s="17">
        <v>54</v>
      </c>
      <c r="E1644" s="17" t="s">
        <v>769</v>
      </c>
      <c r="F1644" s="17">
        <v>1</v>
      </c>
      <c r="G1644" s="17" t="s">
        <v>16</v>
      </c>
      <c r="H1644" s="17" t="s">
        <v>17</v>
      </c>
      <c r="I1644" s="18">
        <v>4012138</v>
      </c>
      <c r="J1644" s="17" t="s">
        <v>27</v>
      </c>
      <c r="K1644" s="17">
        <v>99</v>
      </c>
      <c r="L1644" s="17" t="s">
        <v>15</v>
      </c>
      <c r="M1644" s="17">
        <v>44.17</v>
      </c>
      <c r="N1644" s="17" t="s">
        <v>3</v>
      </c>
      <c r="O1644" s="20">
        <f t="shared" ref="O1644:O1646" si="397">M1644/10000</f>
        <v>4.4169999999999999E-3</v>
      </c>
      <c r="P1644" s="21">
        <f>O1644*$P$1643</f>
        <v>9.5407200000000003</v>
      </c>
    </row>
    <row r="1645" spans="1:16" x14ac:dyDescent="0.25">
      <c r="A1645" s="91"/>
      <c r="B1645" s="13" t="s">
        <v>1120</v>
      </c>
      <c r="C1645" s="13" t="s">
        <v>1121</v>
      </c>
      <c r="D1645" s="13">
        <v>54</v>
      </c>
      <c r="E1645" s="13" t="s">
        <v>769</v>
      </c>
      <c r="F1645" s="13">
        <v>1</v>
      </c>
      <c r="G1645" s="13" t="s">
        <v>16</v>
      </c>
      <c r="H1645" s="13" t="s">
        <v>17</v>
      </c>
      <c r="I1645" s="14">
        <v>4016390</v>
      </c>
      <c r="J1645" s="13" t="s">
        <v>1122</v>
      </c>
      <c r="K1645" s="13">
        <v>99</v>
      </c>
      <c r="L1645" s="13" t="s">
        <v>15</v>
      </c>
      <c r="M1645" s="15">
        <v>10000</v>
      </c>
      <c r="N1645" s="13" t="s">
        <v>1</v>
      </c>
      <c r="O1645" s="16">
        <f t="shared" si="397"/>
        <v>1</v>
      </c>
      <c r="P1645" s="22">
        <f t="shared" ref="P1645:P1646" si="398">O1645*$P$1643</f>
        <v>2160</v>
      </c>
    </row>
    <row r="1646" spans="1:16" ht="15.75" thickBot="1" x14ac:dyDescent="0.3">
      <c r="A1646" s="90"/>
      <c r="B1646" s="23" t="s">
        <v>1120</v>
      </c>
      <c r="C1646" s="23" t="s">
        <v>1121</v>
      </c>
      <c r="D1646" s="23">
        <v>54</v>
      </c>
      <c r="E1646" s="23" t="s">
        <v>769</v>
      </c>
      <c r="F1646" s="23">
        <v>1</v>
      </c>
      <c r="G1646" s="23" t="s">
        <v>21</v>
      </c>
      <c r="H1646" s="23" t="s">
        <v>17</v>
      </c>
      <c r="I1646" s="24" t="s">
        <v>1123</v>
      </c>
      <c r="J1646" s="23" t="s">
        <v>579</v>
      </c>
      <c r="K1646" s="23">
        <v>56</v>
      </c>
      <c r="L1646" s="23" t="s">
        <v>772</v>
      </c>
      <c r="M1646" s="25">
        <v>10000</v>
      </c>
      <c r="N1646" s="23" t="s">
        <v>1</v>
      </c>
      <c r="O1646" s="26">
        <f t="shared" si="397"/>
        <v>1</v>
      </c>
      <c r="P1646" s="27">
        <f t="shared" si="398"/>
        <v>2160</v>
      </c>
    </row>
    <row r="1647" spans="1:16" x14ac:dyDescent="0.25">
      <c r="B1647" s="1"/>
      <c r="C1647" s="1"/>
      <c r="D1647" s="1"/>
      <c r="E1647" s="1"/>
      <c r="F1647" s="1"/>
      <c r="G1647" s="1"/>
      <c r="H1647" s="1"/>
      <c r="I1647" s="2"/>
      <c r="J1647" s="1"/>
      <c r="K1647" s="1"/>
      <c r="L1647" s="1"/>
      <c r="M1647" s="3"/>
      <c r="N1647" s="1"/>
    </row>
    <row r="1648" spans="1:16" ht="15.75" thickBot="1" x14ac:dyDescent="0.3">
      <c r="B1648" s="1"/>
      <c r="C1648" s="1"/>
      <c r="D1648" s="1"/>
      <c r="E1648" s="1"/>
      <c r="F1648" s="1"/>
      <c r="G1648" s="1"/>
      <c r="H1648" s="1"/>
      <c r="I1648" s="2"/>
      <c r="J1648" s="1"/>
      <c r="K1648" s="1"/>
      <c r="L1648" s="1"/>
      <c r="M1648" s="3"/>
      <c r="N1648" s="1"/>
      <c r="P1648" s="11">
        <f>IFERROR(VLOOKUP($A1649,'PROGRAMA MES '!$A:$B,2,0),0)</f>
        <v>0</v>
      </c>
    </row>
    <row r="1649" spans="1:16" x14ac:dyDescent="0.25">
      <c r="A1649" s="89" t="str">
        <f>B1649</f>
        <v>SP9024B</v>
      </c>
      <c r="B1649" s="17" t="s">
        <v>1124</v>
      </c>
      <c r="C1649" s="17" t="s">
        <v>1125</v>
      </c>
      <c r="D1649" s="17">
        <v>99</v>
      </c>
      <c r="E1649" s="17" t="s">
        <v>15</v>
      </c>
      <c r="F1649" s="17">
        <v>1</v>
      </c>
      <c r="G1649" s="17" t="s">
        <v>16</v>
      </c>
      <c r="H1649" s="17" t="s">
        <v>17</v>
      </c>
      <c r="I1649" s="18">
        <v>4010730</v>
      </c>
      <c r="J1649" s="17" t="s">
        <v>1082</v>
      </c>
      <c r="K1649" s="17">
        <v>99</v>
      </c>
      <c r="L1649" s="17" t="s">
        <v>15</v>
      </c>
      <c r="M1649" s="17">
        <v>167</v>
      </c>
      <c r="N1649" s="17" t="s">
        <v>1</v>
      </c>
      <c r="O1649" s="20">
        <f t="shared" ref="O1649:O1651" si="399">M1649/10000</f>
        <v>1.67E-2</v>
      </c>
      <c r="P1649" s="21">
        <f>O1649*$P$1648</f>
        <v>0</v>
      </c>
    </row>
    <row r="1650" spans="1:16" x14ac:dyDescent="0.25">
      <c r="A1650" s="91"/>
      <c r="B1650" s="13" t="s">
        <v>1124</v>
      </c>
      <c r="C1650" s="13" t="s">
        <v>1125</v>
      </c>
      <c r="D1650" s="13">
        <v>99</v>
      </c>
      <c r="E1650" s="13" t="s">
        <v>15</v>
      </c>
      <c r="F1650" s="13">
        <v>1</v>
      </c>
      <c r="G1650" s="13" t="s">
        <v>16</v>
      </c>
      <c r="H1650" s="13" t="s">
        <v>17</v>
      </c>
      <c r="I1650" s="14">
        <v>4016160</v>
      </c>
      <c r="J1650" s="13" t="s">
        <v>69</v>
      </c>
      <c r="K1650" s="13">
        <v>99</v>
      </c>
      <c r="L1650" s="13" t="s">
        <v>15</v>
      </c>
      <c r="M1650" s="13">
        <v>20</v>
      </c>
      <c r="N1650" s="13" t="s">
        <v>3</v>
      </c>
      <c r="O1650" s="16">
        <f t="shared" si="399"/>
        <v>2E-3</v>
      </c>
      <c r="P1650" s="22">
        <f t="shared" ref="P1650:P1651" si="400">O1650*$P$1648</f>
        <v>0</v>
      </c>
    </row>
    <row r="1651" spans="1:16" ht="15.75" thickBot="1" x14ac:dyDescent="0.3">
      <c r="A1651" s="90"/>
      <c r="B1651" s="23" t="s">
        <v>1124</v>
      </c>
      <c r="C1651" s="23" t="s">
        <v>1125</v>
      </c>
      <c r="D1651" s="23">
        <v>99</v>
      </c>
      <c r="E1651" s="23" t="s">
        <v>15</v>
      </c>
      <c r="F1651" s="23">
        <v>1</v>
      </c>
      <c r="G1651" s="23" t="s">
        <v>21</v>
      </c>
      <c r="H1651" s="23" t="s">
        <v>17</v>
      </c>
      <c r="I1651" s="24" t="s">
        <v>1126</v>
      </c>
      <c r="J1651" s="23" t="s">
        <v>1127</v>
      </c>
      <c r="K1651" s="23">
        <v>3</v>
      </c>
      <c r="L1651" s="23" t="s">
        <v>24</v>
      </c>
      <c r="M1651" s="25">
        <v>10000</v>
      </c>
      <c r="N1651" s="23" t="s">
        <v>1</v>
      </c>
      <c r="O1651" s="26">
        <f t="shared" si="399"/>
        <v>1</v>
      </c>
      <c r="P1651" s="27">
        <f t="shared" si="400"/>
        <v>0</v>
      </c>
    </row>
    <row r="1652" spans="1:16" x14ac:dyDescent="0.25">
      <c r="B1652" s="1"/>
      <c r="C1652" s="1"/>
      <c r="D1652" s="1"/>
      <c r="E1652" s="1"/>
      <c r="F1652" s="1"/>
      <c r="G1652" s="1"/>
      <c r="H1652" s="1"/>
      <c r="I1652" s="2"/>
      <c r="J1652" s="1"/>
      <c r="K1652" s="1"/>
      <c r="L1652" s="1"/>
      <c r="M1652" s="3"/>
      <c r="N1652" s="1"/>
    </row>
    <row r="1653" spans="1:16" ht="15.75" thickBot="1" x14ac:dyDescent="0.3">
      <c r="B1653" s="1"/>
      <c r="C1653" s="1"/>
      <c r="D1653" s="1"/>
      <c r="E1653" s="1"/>
      <c r="F1653" s="1"/>
      <c r="G1653" s="1"/>
      <c r="H1653" s="1"/>
      <c r="I1653" s="2"/>
      <c r="J1653" s="1"/>
      <c r="K1653" s="1"/>
      <c r="L1653" s="1"/>
      <c r="M1653" s="3"/>
      <c r="N1653" s="1"/>
      <c r="P1653" s="11">
        <f>IFERROR(VLOOKUP($A1654,'PROGRAMA MES '!$A:$B,2,0),0)</f>
        <v>0</v>
      </c>
    </row>
    <row r="1654" spans="1:16" x14ac:dyDescent="0.25">
      <c r="A1654" s="89" t="str">
        <f>B1654</f>
        <v>SP9028</v>
      </c>
      <c r="B1654" s="17" t="s">
        <v>1128</v>
      </c>
      <c r="C1654" s="17" t="s">
        <v>1129</v>
      </c>
      <c r="D1654" s="17">
        <v>3</v>
      </c>
      <c r="E1654" s="17" t="s">
        <v>24</v>
      </c>
      <c r="F1654" s="17">
        <v>1</v>
      </c>
      <c r="G1654" s="17" t="s">
        <v>16</v>
      </c>
      <c r="H1654" s="17" t="s">
        <v>17</v>
      </c>
      <c r="I1654" s="18">
        <v>4002826</v>
      </c>
      <c r="J1654" s="17" t="s">
        <v>4</v>
      </c>
      <c r="K1654" s="17">
        <v>99</v>
      </c>
      <c r="L1654" s="17" t="s">
        <v>15</v>
      </c>
      <c r="M1654" s="17">
        <v>12</v>
      </c>
      <c r="N1654" s="17" t="s">
        <v>1</v>
      </c>
      <c r="O1654" s="20">
        <f t="shared" ref="O1654:O1657" si="401">M1654/10000</f>
        <v>1.1999999999999999E-3</v>
      </c>
      <c r="P1654" s="21">
        <f>O1654*$P$1653</f>
        <v>0</v>
      </c>
    </row>
    <row r="1655" spans="1:16" x14ac:dyDescent="0.25">
      <c r="A1655" s="91"/>
      <c r="B1655" s="13" t="s">
        <v>1128</v>
      </c>
      <c r="C1655" s="13" t="s">
        <v>1129</v>
      </c>
      <c r="D1655" s="13">
        <v>3</v>
      </c>
      <c r="E1655" s="13" t="s">
        <v>24</v>
      </c>
      <c r="F1655" s="13">
        <v>1</v>
      </c>
      <c r="G1655" s="13" t="s">
        <v>16</v>
      </c>
      <c r="H1655" s="13" t="s">
        <v>17</v>
      </c>
      <c r="I1655" s="14">
        <v>4010765</v>
      </c>
      <c r="J1655" s="13" t="s">
        <v>1130</v>
      </c>
      <c r="K1655" s="13">
        <v>99</v>
      </c>
      <c r="L1655" s="13" t="s">
        <v>15</v>
      </c>
      <c r="M1655" s="13">
        <v>834</v>
      </c>
      <c r="N1655" s="13" t="s">
        <v>1</v>
      </c>
      <c r="O1655" s="16">
        <f t="shared" si="401"/>
        <v>8.3400000000000002E-2</v>
      </c>
      <c r="P1655" s="22">
        <f t="shared" ref="P1655:P1657" si="402">O1655*$P$1653</f>
        <v>0</v>
      </c>
    </row>
    <row r="1656" spans="1:16" x14ac:dyDescent="0.25">
      <c r="A1656" s="91"/>
      <c r="B1656" s="13" t="s">
        <v>1128</v>
      </c>
      <c r="C1656" s="13" t="s">
        <v>1129</v>
      </c>
      <c r="D1656" s="13">
        <v>3</v>
      </c>
      <c r="E1656" s="13" t="s">
        <v>24</v>
      </c>
      <c r="F1656" s="13">
        <v>1</v>
      </c>
      <c r="G1656" s="13" t="s">
        <v>16</v>
      </c>
      <c r="H1656" s="13" t="s">
        <v>17</v>
      </c>
      <c r="I1656" s="14">
        <v>4010766</v>
      </c>
      <c r="J1656" s="13" t="s">
        <v>1131</v>
      </c>
      <c r="K1656" s="13">
        <v>99</v>
      </c>
      <c r="L1656" s="13" t="s">
        <v>15</v>
      </c>
      <c r="M1656" s="15">
        <v>10000</v>
      </c>
      <c r="N1656" s="13" t="s">
        <v>1</v>
      </c>
      <c r="O1656" s="16">
        <f t="shared" si="401"/>
        <v>1</v>
      </c>
      <c r="P1656" s="22">
        <f t="shared" si="402"/>
        <v>0</v>
      </c>
    </row>
    <row r="1657" spans="1:16" ht="15.75" thickBot="1" x14ac:dyDescent="0.3">
      <c r="A1657" s="90"/>
      <c r="B1657" s="23" t="s">
        <v>1128</v>
      </c>
      <c r="C1657" s="23" t="s">
        <v>1129</v>
      </c>
      <c r="D1657" s="23">
        <v>3</v>
      </c>
      <c r="E1657" s="23" t="s">
        <v>24</v>
      </c>
      <c r="F1657" s="23">
        <v>1</v>
      </c>
      <c r="G1657" s="23" t="s">
        <v>21</v>
      </c>
      <c r="H1657" s="23" t="s">
        <v>17</v>
      </c>
      <c r="I1657" s="24" t="s">
        <v>1132</v>
      </c>
      <c r="J1657" s="23" t="s">
        <v>1129</v>
      </c>
      <c r="K1657" s="23">
        <v>3</v>
      </c>
      <c r="L1657" s="23" t="s">
        <v>24</v>
      </c>
      <c r="M1657" s="25">
        <v>10000</v>
      </c>
      <c r="N1657" s="23" t="s">
        <v>1</v>
      </c>
      <c r="O1657" s="26">
        <f t="shared" si="401"/>
        <v>1</v>
      </c>
      <c r="P1657" s="27">
        <f t="shared" si="402"/>
        <v>0</v>
      </c>
    </row>
    <row r="1658" spans="1:16" x14ac:dyDescent="0.25">
      <c r="B1658" s="1"/>
      <c r="C1658" s="1"/>
      <c r="D1658" s="1"/>
      <c r="E1658" s="1"/>
      <c r="F1658" s="1"/>
      <c r="G1658" s="1"/>
      <c r="H1658" s="1"/>
      <c r="I1658" s="2"/>
      <c r="J1658" s="1"/>
      <c r="K1658" s="1"/>
      <c r="L1658" s="1"/>
      <c r="M1658" s="3"/>
      <c r="N1658" s="1"/>
    </row>
    <row r="1659" spans="1:16" ht="15.75" thickBot="1" x14ac:dyDescent="0.3">
      <c r="B1659" s="1"/>
      <c r="C1659" s="1"/>
      <c r="D1659" s="1"/>
      <c r="E1659" s="1"/>
      <c r="F1659" s="1"/>
      <c r="G1659" s="1"/>
      <c r="H1659" s="1"/>
      <c r="I1659" s="2"/>
      <c r="J1659" s="1"/>
      <c r="K1659" s="1"/>
      <c r="L1659" s="1"/>
      <c r="M1659" s="3"/>
      <c r="N1659" s="1"/>
      <c r="P1659" s="11">
        <f>IFERROR(VLOOKUP($A1660,'PROGRAMA MES '!$A:$B,2,0),0)</f>
        <v>0</v>
      </c>
    </row>
    <row r="1660" spans="1:16" x14ac:dyDescent="0.25">
      <c r="A1660" s="89" t="str">
        <f>B1660</f>
        <v>SP9050</v>
      </c>
      <c r="B1660" s="17" t="s">
        <v>1133</v>
      </c>
      <c r="C1660" s="17" t="s">
        <v>1134</v>
      </c>
      <c r="D1660" s="17">
        <v>51</v>
      </c>
      <c r="E1660" s="17" t="s">
        <v>101</v>
      </c>
      <c r="F1660" s="17">
        <v>1</v>
      </c>
      <c r="G1660" s="17" t="s">
        <v>35</v>
      </c>
      <c r="H1660" s="17" t="s">
        <v>17</v>
      </c>
      <c r="I1660" s="18">
        <v>3001451</v>
      </c>
      <c r="J1660" s="17" t="s">
        <v>1135</v>
      </c>
      <c r="K1660" s="17">
        <v>99</v>
      </c>
      <c r="L1660" s="17" t="s">
        <v>15</v>
      </c>
      <c r="M1660" s="19">
        <v>10000</v>
      </c>
      <c r="N1660" s="17" t="s">
        <v>1</v>
      </c>
      <c r="O1660" s="20">
        <f t="shared" ref="O1660:O1663" si="403">M1660/10000</f>
        <v>1</v>
      </c>
      <c r="P1660" s="21">
        <f>O1660*$P$1659</f>
        <v>0</v>
      </c>
    </row>
    <row r="1661" spans="1:16" x14ac:dyDescent="0.25">
      <c r="A1661" s="91"/>
      <c r="B1661" s="13" t="s">
        <v>1133</v>
      </c>
      <c r="C1661" s="13" t="s">
        <v>1134</v>
      </c>
      <c r="D1661" s="13">
        <v>51</v>
      </c>
      <c r="E1661" s="13" t="s">
        <v>101</v>
      </c>
      <c r="F1661" s="13">
        <v>1</v>
      </c>
      <c r="G1661" s="13" t="s">
        <v>16</v>
      </c>
      <c r="H1661" s="13" t="s">
        <v>17</v>
      </c>
      <c r="I1661" s="14">
        <v>4002546</v>
      </c>
      <c r="J1661" s="13" t="s">
        <v>179</v>
      </c>
      <c r="K1661" s="13">
        <v>99</v>
      </c>
      <c r="L1661" s="13" t="s">
        <v>15</v>
      </c>
      <c r="M1661" s="13">
        <v>834</v>
      </c>
      <c r="N1661" s="13" t="s">
        <v>1</v>
      </c>
      <c r="O1661" s="16">
        <f t="shared" si="403"/>
        <v>8.3400000000000002E-2</v>
      </c>
      <c r="P1661" s="22">
        <f t="shared" ref="P1661:P1663" si="404">O1661*$P$1659</f>
        <v>0</v>
      </c>
    </row>
    <row r="1662" spans="1:16" x14ac:dyDescent="0.25">
      <c r="A1662" s="91"/>
      <c r="B1662" s="13" t="s">
        <v>1133</v>
      </c>
      <c r="C1662" s="13" t="s">
        <v>1134</v>
      </c>
      <c r="D1662" s="13">
        <v>51</v>
      </c>
      <c r="E1662" s="13" t="s">
        <v>101</v>
      </c>
      <c r="F1662" s="13">
        <v>1</v>
      </c>
      <c r="G1662" s="13" t="s">
        <v>16</v>
      </c>
      <c r="H1662" s="13" t="s">
        <v>17</v>
      </c>
      <c r="I1662" s="14">
        <v>4002827</v>
      </c>
      <c r="J1662" s="13" t="s">
        <v>0</v>
      </c>
      <c r="K1662" s="13">
        <v>99</v>
      </c>
      <c r="L1662" s="13" t="s">
        <v>15</v>
      </c>
      <c r="M1662" s="13">
        <v>100</v>
      </c>
      <c r="N1662" s="13" t="s">
        <v>2</v>
      </c>
      <c r="O1662" s="16">
        <f t="shared" si="403"/>
        <v>0.01</v>
      </c>
      <c r="P1662" s="22">
        <f t="shared" si="404"/>
        <v>0</v>
      </c>
    </row>
    <row r="1663" spans="1:16" ht="15.75" thickBot="1" x14ac:dyDescent="0.3">
      <c r="A1663" s="90"/>
      <c r="B1663" s="23" t="s">
        <v>1133</v>
      </c>
      <c r="C1663" s="23" t="s">
        <v>1134</v>
      </c>
      <c r="D1663" s="23">
        <v>51</v>
      </c>
      <c r="E1663" s="23" t="s">
        <v>101</v>
      </c>
      <c r="F1663" s="23">
        <v>1</v>
      </c>
      <c r="G1663" s="23" t="s">
        <v>16</v>
      </c>
      <c r="H1663" s="23" t="s">
        <v>17</v>
      </c>
      <c r="I1663" s="24">
        <v>4004598</v>
      </c>
      <c r="J1663" s="23" t="s">
        <v>1136</v>
      </c>
      <c r="K1663" s="23">
        <v>99</v>
      </c>
      <c r="L1663" s="23" t="s">
        <v>15</v>
      </c>
      <c r="M1663" s="23">
        <v>834</v>
      </c>
      <c r="N1663" s="23" t="s">
        <v>1</v>
      </c>
      <c r="O1663" s="26">
        <f t="shared" si="403"/>
        <v>8.3400000000000002E-2</v>
      </c>
      <c r="P1663" s="27">
        <f t="shared" si="404"/>
        <v>0</v>
      </c>
    </row>
    <row r="1664" spans="1:16" x14ac:dyDescent="0.25">
      <c r="B1664" s="1"/>
      <c r="C1664" s="1"/>
      <c r="D1664" s="1"/>
      <c r="E1664" s="1"/>
      <c r="F1664" s="1"/>
      <c r="G1664" s="1"/>
      <c r="H1664" s="1"/>
      <c r="I1664" s="2"/>
      <c r="J1664" s="1"/>
      <c r="K1664" s="1"/>
      <c r="L1664" s="1"/>
      <c r="M1664" s="1"/>
      <c r="N1664" s="1"/>
    </row>
    <row r="1665" spans="1:16" ht="15.75" thickBot="1" x14ac:dyDescent="0.3">
      <c r="B1665" s="1"/>
      <c r="C1665" s="1"/>
      <c r="D1665" s="1"/>
      <c r="E1665" s="1"/>
      <c r="F1665" s="1"/>
      <c r="G1665" s="1"/>
      <c r="H1665" s="1"/>
      <c r="I1665" s="2"/>
      <c r="J1665" s="1"/>
      <c r="K1665" s="1"/>
      <c r="L1665" s="1"/>
      <c r="M1665" s="1"/>
      <c r="N1665" s="1"/>
      <c r="P1665" s="11">
        <f>IFERROR(VLOOKUP($A1666,'PROGRAMA MES '!$A:$B,2,0),0)</f>
        <v>0</v>
      </c>
    </row>
    <row r="1666" spans="1:16" ht="15.75" thickBot="1" x14ac:dyDescent="0.3">
      <c r="A1666" s="30" t="str">
        <f>B1666</f>
        <v>SP9077/1</v>
      </c>
      <c r="B1666" s="31" t="s">
        <v>1137</v>
      </c>
      <c r="C1666" s="31" t="s">
        <v>1138</v>
      </c>
      <c r="D1666" s="31">
        <v>99</v>
      </c>
      <c r="E1666" s="31" t="s">
        <v>15</v>
      </c>
      <c r="F1666" s="31">
        <v>1</v>
      </c>
      <c r="G1666" s="31" t="s">
        <v>35</v>
      </c>
      <c r="H1666" s="31" t="s">
        <v>17</v>
      </c>
      <c r="I1666" s="32">
        <v>3003181</v>
      </c>
      <c r="J1666" s="31" t="s">
        <v>1139</v>
      </c>
      <c r="K1666" s="31">
        <v>99</v>
      </c>
      <c r="L1666" s="31" t="s">
        <v>15</v>
      </c>
      <c r="M1666" s="33">
        <v>10000</v>
      </c>
      <c r="N1666" s="31" t="s">
        <v>1</v>
      </c>
      <c r="O1666" s="34">
        <f t="shared" ref="O1666" si="405">M1666/10000</f>
        <v>1</v>
      </c>
      <c r="P1666" s="35">
        <f>O1666*$P$1665</f>
        <v>0</v>
      </c>
    </row>
    <row r="1667" spans="1:16" x14ac:dyDescent="0.25">
      <c r="B1667" s="1"/>
      <c r="C1667" s="1"/>
      <c r="D1667" s="1"/>
      <c r="E1667" s="1"/>
      <c r="F1667" s="1"/>
      <c r="G1667" s="1"/>
      <c r="H1667" s="1"/>
      <c r="I1667" s="2"/>
      <c r="J1667" s="1"/>
      <c r="K1667" s="1"/>
      <c r="L1667" s="1"/>
      <c r="M1667" s="3"/>
      <c r="N1667" s="1"/>
    </row>
    <row r="1668" spans="1:16" ht="15.75" thickBot="1" x14ac:dyDescent="0.3">
      <c r="B1668" s="1"/>
      <c r="C1668" s="1"/>
      <c r="D1668" s="1"/>
      <c r="E1668" s="1"/>
      <c r="F1668" s="1"/>
      <c r="G1668" s="1"/>
      <c r="H1668" s="1"/>
      <c r="I1668" s="2"/>
      <c r="J1668" s="1"/>
      <c r="K1668" s="1"/>
      <c r="L1668" s="1"/>
      <c r="M1668" s="3"/>
      <c r="N1668" s="1"/>
      <c r="P1668" s="11">
        <f>IFERROR(VLOOKUP($A1669,'PROGRAMA MES '!$A:$B,2,0),0)</f>
        <v>0</v>
      </c>
    </row>
    <row r="1669" spans="1:16" ht="15.75" thickBot="1" x14ac:dyDescent="0.3">
      <c r="A1669" s="30" t="str">
        <f>B1669</f>
        <v>SP9098B</v>
      </c>
      <c r="B1669" s="31" t="s">
        <v>1140</v>
      </c>
      <c r="C1669" s="31" t="s">
        <v>1141</v>
      </c>
      <c r="D1669" s="31">
        <v>99</v>
      </c>
      <c r="E1669" s="31" t="s">
        <v>15</v>
      </c>
      <c r="F1669" s="31">
        <v>1</v>
      </c>
      <c r="G1669" s="31" t="s">
        <v>35</v>
      </c>
      <c r="H1669" s="31" t="s">
        <v>17</v>
      </c>
      <c r="I1669" s="32">
        <v>3006048</v>
      </c>
      <c r="J1669" s="31" t="s">
        <v>1142</v>
      </c>
      <c r="K1669" s="31">
        <v>99</v>
      </c>
      <c r="L1669" s="31" t="s">
        <v>15</v>
      </c>
      <c r="M1669" s="33">
        <v>10000</v>
      </c>
      <c r="N1669" s="31" t="s">
        <v>1</v>
      </c>
      <c r="O1669" s="34">
        <f t="shared" ref="O1669" si="406">M1669/10000</f>
        <v>1</v>
      </c>
      <c r="P1669" s="35">
        <f>O1669*$P$1668</f>
        <v>0</v>
      </c>
    </row>
    <row r="1670" spans="1:16" x14ac:dyDescent="0.25">
      <c r="B1670" s="1"/>
      <c r="C1670" s="1"/>
      <c r="D1670" s="1"/>
      <c r="E1670" s="1"/>
      <c r="F1670" s="1"/>
      <c r="G1670" s="1"/>
      <c r="H1670" s="1"/>
      <c r="I1670" s="2"/>
      <c r="J1670" s="1"/>
      <c r="K1670" s="1"/>
      <c r="L1670" s="1"/>
      <c r="M1670" s="3"/>
      <c r="N1670" s="1"/>
    </row>
    <row r="1671" spans="1:16" ht="15.75" thickBot="1" x14ac:dyDescent="0.3">
      <c r="B1671" s="1"/>
      <c r="C1671" s="1"/>
      <c r="D1671" s="1"/>
      <c r="E1671" s="1"/>
      <c r="F1671" s="1"/>
      <c r="G1671" s="1"/>
      <c r="H1671" s="1"/>
      <c r="I1671" s="2"/>
      <c r="J1671" s="1"/>
      <c r="K1671" s="1"/>
      <c r="L1671" s="1"/>
      <c r="M1671" s="3"/>
      <c r="N1671" s="1"/>
      <c r="P1671" s="11">
        <f>IFERROR(VLOOKUP($A1672,'PROGRAMA MES '!$A:$B,2,0),0)</f>
        <v>0</v>
      </c>
    </row>
    <row r="1672" spans="1:16" x14ac:dyDescent="0.25">
      <c r="A1672" s="89" t="str">
        <f>B1672</f>
        <v>SP9102LA</v>
      </c>
      <c r="B1672" s="17" t="s">
        <v>1143</v>
      </c>
      <c r="C1672" s="17" t="s">
        <v>1144</v>
      </c>
      <c r="D1672" s="17">
        <v>54</v>
      </c>
      <c r="E1672" s="17" t="s">
        <v>769</v>
      </c>
      <c r="F1672" s="17">
        <v>1</v>
      </c>
      <c r="G1672" s="17" t="s">
        <v>360</v>
      </c>
      <c r="H1672" s="17" t="s">
        <v>17</v>
      </c>
      <c r="I1672" s="18">
        <v>2005223</v>
      </c>
      <c r="J1672" s="17" t="s">
        <v>1145</v>
      </c>
      <c r="K1672" s="17">
        <v>99</v>
      </c>
      <c r="L1672" s="17" t="s">
        <v>15</v>
      </c>
      <c r="M1672" s="19">
        <v>10000</v>
      </c>
      <c r="N1672" s="17" t="s">
        <v>1</v>
      </c>
      <c r="O1672" s="20">
        <f t="shared" ref="O1672:O1679" si="407">M1672/10000</f>
        <v>1</v>
      </c>
      <c r="P1672" s="21">
        <f>O1672*$P$1671</f>
        <v>0</v>
      </c>
    </row>
    <row r="1673" spans="1:16" x14ac:dyDescent="0.25">
      <c r="A1673" s="91"/>
      <c r="B1673" s="13" t="s">
        <v>1143</v>
      </c>
      <c r="C1673" s="13" t="s">
        <v>1144</v>
      </c>
      <c r="D1673" s="13">
        <v>54</v>
      </c>
      <c r="E1673" s="13" t="s">
        <v>769</v>
      </c>
      <c r="F1673" s="13">
        <v>1</v>
      </c>
      <c r="G1673" s="13" t="s">
        <v>35</v>
      </c>
      <c r="H1673" s="13" t="s">
        <v>17</v>
      </c>
      <c r="I1673" s="14">
        <v>3001155</v>
      </c>
      <c r="J1673" s="13" t="s">
        <v>1146</v>
      </c>
      <c r="K1673" s="13">
        <v>99</v>
      </c>
      <c r="L1673" s="13" t="s">
        <v>15</v>
      </c>
      <c r="M1673" s="13">
        <v>149.6</v>
      </c>
      <c r="N1673" s="13" t="s">
        <v>3</v>
      </c>
      <c r="O1673" s="16">
        <f t="shared" si="407"/>
        <v>1.4959999999999999E-2</v>
      </c>
      <c r="P1673" s="22">
        <f t="shared" ref="P1673:P1679" si="408">O1673*$P$1671</f>
        <v>0</v>
      </c>
    </row>
    <row r="1674" spans="1:16" x14ac:dyDescent="0.25">
      <c r="A1674" s="91"/>
      <c r="B1674" s="13" t="s">
        <v>1143</v>
      </c>
      <c r="C1674" s="13" t="s">
        <v>1144</v>
      </c>
      <c r="D1674" s="13">
        <v>54</v>
      </c>
      <c r="E1674" s="13" t="s">
        <v>769</v>
      </c>
      <c r="F1674" s="13">
        <v>1</v>
      </c>
      <c r="G1674" s="13" t="s">
        <v>35</v>
      </c>
      <c r="H1674" s="13" t="s">
        <v>17</v>
      </c>
      <c r="I1674" s="14">
        <v>3003473</v>
      </c>
      <c r="J1674" s="13" t="s">
        <v>1147</v>
      </c>
      <c r="K1674" s="13">
        <v>99</v>
      </c>
      <c r="L1674" s="13" t="s">
        <v>15</v>
      </c>
      <c r="M1674" s="13">
        <v>4.5</v>
      </c>
      <c r="N1674" s="13" t="s">
        <v>3</v>
      </c>
      <c r="O1674" s="16">
        <f t="shared" si="407"/>
        <v>4.4999999999999999E-4</v>
      </c>
      <c r="P1674" s="22">
        <f t="shared" si="408"/>
        <v>0</v>
      </c>
    </row>
    <row r="1675" spans="1:16" x14ac:dyDescent="0.25">
      <c r="A1675" s="91"/>
      <c r="B1675" s="13" t="s">
        <v>1143</v>
      </c>
      <c r="C1675" s="13" t="s">
        <v>1144</v>
      </c>
      <c r="D1675" s="13">
        <v>54</v>
      </c>
      <c r="E1675" s="13" t="s">
        <v>769</v>
      </c>
      <c r="F1675" s="13">
        <v>1</v>
      </c>
      <c r="G1675" s="13" t="s">
        <v>35</v>
      </c>
      <c r="H1675" s="13" t="s">
        <v>17</v>
      </c>
      <c r="I1675" s="14">
        <v>3005650</v>
      </c>
      <c r="J1675" s="13" t="s">
        <v>1148</v>
      </c>
      <c r="K1675" s="13">
        <v>99</v>
      </c>
      <c r="L1675" s="13" t="s">
        <v>15</v>
      </c>
      <c r="M1675" s="13">
        <v>12</v>
      </c>
      <c r="N1675" s="13" t="s">
        <v>3</v>
      </c>
      <c r="O1675" s="16">
        <f t="shared" si="407"/>
        <v>1.1999999999999999E-3</v>
      </c>
      <c r="P1675" s="22">
        <f t="shared" si="408"/>
        <v>0</v>
      </c>
    </row>
    <row r="1676" spans="1:16" x14ac:dyDescent="0.25">
      <c r="A1676" s="91"/>
      <c r="B1676" s="13" t="s">
        <v>1143</v>
      </c>
      <c r="C1676" s="13" t="s">
        <v>1144</v>
      </c>
      <c r="D1676" s="13">
        <v>54</v>
      </c>
      <c r="E1676" s="13" t="s">
        <v>769</v>
      </c>
      <c r="F1676" s="13">
        <v>1</v>
      </c>
      <c r="G1676" s="13" t="s">
        <v>16</v>
      </c>
      <c r="H1676" s="13" t="s">
        <v>17</v>
      </c>
      <c r="I1676" s="14">
        <v>4003879</v>
      </c>
      <c r="J1676" s="13" t="s">
        <v>1149</v>
      </c>
      <c r="K1676" s="13">
        <v>99</v>
      </c>
      <c r="L1676" s="13" t="s">
        <v>15</v>
      </c>
      <c r="M1676" s="13">
        <v>834</v>
      </c>
      <c r="N1676" s="13" t="s">
        <v>1</v>
      </c>
      <c r="O1676" s="16">
        <f t="shared" si="407"/>
        <v>8.3400000000000002E-2</v>
      </c>
      <c r="P1676" s="22">
        <f t="shared" si="408"/>
        <v>0</v>
      </c>
    </row>
    <row r="1677" spans="1:16" x14ac:dyDescent="0.25">
      <c r="A1677" s="91"/>
      <c r="B1677" s="13" t="s">
        <v>1143</v>
      </c>
      <c r="C1677" s="13" t="s">
        <v>1144</v>
      </c>
      <c r="D1677" s="13">
        <v>54</v>
      </c>
      <c r="E1677" s="13" t="s">
        <v>769</v>
      </c>
      <c r="F1677" s="13">
        <v>1</v>
      </c>
      <c r="G1677" s="13" t="s">
        <v>16</v>
      </c>
      <c r="H1677" s="13" t="s">
        <v>17</v>
      </c>
      <c r="I1677" s="14">
        <v>4015410</v>
      </c>
      <c r="J1677" s="13" t="s">
        <v>1150</v>
      </c>
      <c r="K1677" s="13">
        <v>99</v>
      </c>
      <c r="L1677" s="13" t="s">
        <v>15</v>
      </c>
      <c r="M1677" s="15">
        <v>10000</v>
      </c>
      <c r="N1677" s="13" t="s">
        <v>1</v>
      </c>
      <c r="O1677" s="16">
        <f t="shared" si="407"/>
        <v>1</v>
      </c>
      <c r="P1677" s="22">
        <f t="shared" si="408"/>
        <v>0</v>
      </c>
    </row>
    <row r="1678" spans="1:16" x14ac:dyDescent="0.25">
      <c r="A1678" s="91"/>
      <c r="B1678" s="13" t="s">
        <v>1143</v>
      </c>
      <c r="C1678" s="13" t="s">
        <v>1144</v>
      </c>
      <c r="D1678" s="13">
        <v>54</v>
      </c>
      <c r="E1678" s="13" t="s">
        <v>769</v>
      </c>
      <c r="F1678" s="13">
        <v>1</v>
      </c>
      <c r="G1678" s="13" t="s">
        <v>16</v>
      </c>
      <c r="H1678" s="13" t="s">
        <v>17</v>
      </c>
      <c r="I1678" s="14">
        <v>4016160</v>
      </c>
      <c r="J1678" s="13" t="s">
        <v>69</v>
      </c>
      <c r="K1678" s="13">
        <v>99</v>
      </c>
      <c r="L1678" s="13" t="s">
        <v>15</v>
      </c>
      <c r="M1678" s="13">
        <v>10</v>
      </c>
      <c r="N1678" s="13" t="s">
        <v>3</v>
      </c>
      <c r="O1678" s="16">
        <f t="shared" si="407"/>
        <v>1E-3</v>
      </c>
      <c r="P1678" s="22">
        <f t="shared" si="408"/>
        <v>0</v>
      </c>
    </row>
    <row r="1679" spans="1:16" ht="15.75" thickBot="1" x14ac:dyDescent="0.3">
      <c r="A1679" s="90"/>
      <c r="B1679" s="23" t="s">
        <v>1143</v>
      </c>
      <c r="C1679" s="23" t="s">
        <v>1144</v>
      </c>
      <c r="D1679" s="23">
        <v>54</v>
      </c>
      <c r="E1679" s="23" t="s">
        <v>769</v>
      </c>
      <c r="F1679" s="23">
        <v>1</v>
      </c>
      <c r="G1679" s="23" t="s">
        <v>21</v>
      </c>
      <c r="H1679" s="23" t="s">
        <v>17</v>
      </c>
      <c r="I1679" s="24" t="s">
        <v>1151</v>
      </c>
      <c r="J1679" s="23" t="s">
        <v>1152</v>
      </c>
      <c r="K1679" s="23">
        <v>51</v>
      </c>
      <c r="L1679" s="23" t="s">
        <v>101</v>
      </c>
      <c r="M1679" s="23">
        <v>100</v>
      </c>
      <c r="N1679" s="23" t="s">
        <v>1</v>
      </c>
      <c r="O1679" s="26">
        <f t="shared" si="407"/>
        <v>0.01</v>
      </c>
      <c r="P1679" s="27">
        <f t="shared" si="408"/>
        <v>0</v>
      </c>
    </row>
    <row r="1680" spans="1:16" x14ac:dyDescent="0.25">
      <c r="B1680" s="1"/>
      <c r="C1680" s="1"/>
      <c r="D1680" s="1"/>
      <c r="E1680" s="1"/>
      <c r="F1680" s="1"/>
      <c r="G1680" s="1"/>
      <c r="H1680" s="1"/>
      <c r="I1680" s="2"/>
      <c r="J1680" s="1"/>
      <c r="K1680" s="1"/>
      <c r="L1680" s="1"/>
      <c r="M1680" s="1"/>
      <c r="N1680" s="1"/>
    </row>
    <row r="1681" spans="1:16" ht="15.75" thickBot="1" x14ac:dyDescent="0.3">
      <c r="B1681" s="1"/>
      <c r="C1681" s="1"/>
      <c r="D1681" s="1"/>
      <c r="E1681" s="1"/>
      <c r="F1681" s="1"/>
      <c r="G1681" s="1"/>
      <c r="H1681" s="1"/>
      <c r="I1681" s="2"/>
      <c r="J1681" s="1"/>
      <c r="K1681" s="1"/>
      <c r="L1681" s="1"/>
      <c r="M1681" s="1"/>
      <c r="N1681" s="1"/>
      <c r="P1681" s="11">
        <f>IFERROR(VLOOKUP($A1682,'PROGRAMA MES '!$A:$B,2,0),0)</f>
        <v>0</v>
      </c>
    </row>
    <row r="1682" spans="1:16" x14ac:dyDescent="0.25">
      <c r="A1682" s="89" t="str">
        <f>B1682</f>
        <v>SP9102VD</v>
      </c>
      <c r="B1682" s="17" t="s">
        <v>1153</v>
      </c>
      <c r="C1682" s="17" t="s">
        <v>1154</v>
      </c>
      <c r="D1682" s="17">
        <v>54</v>
      </c>
      <c r="E1682" s="17" t="s">
        <v>769</v>
      </c>
      <c r="F1682" s="17">
        <v>1</v>
      </c>
      <c r="G1682" s="17" t="s">
        <v>360</v>
      </c>
      <c r="H1682" s="17" t="s">
        <v>17</v>
      </c>
      <c r="I1682" s="18">
        <v>2005225</v>
      </c>
      <c r="J1682" s="17" t="s">
        <v>1155</v>
      </c>
      <c r="K1682" s="17">
        <v>99</v>
      </c>
      <c r="L1682" s="17" t="s">
        <v>15</v>
      </c>
      <c r="M1682" s="19">
        <v>10000</v>
      </c>
      <c r="N1682" s="17" t="s">
        <v>1</v>
      </c>
      <c r="O1682" s="20">
        <f t="shared" ref="O1682:O1688" si="409">M1682/10000</f>
        <v>1</v>
      </c>
      <c r="P1682" s="21">
        <f>O1682*$P$1681</f>
        <v>0</v>
      </c>
    </row>
    <row r="1683" spans="1:16" x14ac:dyDescent="0.25">
      <c r="A1683" s="91"/>
      <c r="B1683" s="13" t="s">
        <v>1153</v>
      </c>
      <c r="C1683" s="13" t="s">
        <v>1154</v>
      </c>
      <c r="D1683" s="13">
        <v>54</v>
      </c>
      <c r="E1683" s="13" t="s">
        <v>769</v>
      </c>
      <c r="F1683" s="13">
        <v>1</v>
      </c>
      <c r="G1683" s="13" t="s">
        <v>35</v>
      </c>
      <c r="H1683" s="13" t="s">
        <v>17</v>
      </c>
      <c r="I1683" s="14">
        <v>3000848</v>
      </c>
      <c r="J1683" s="13" t="s">
        <v>1156</v>
      </c>
      <c r="K1683" s="13">
        <v>99</v>
      </c>
      <c r="L1683" s="13" t="s">
        <v>15</v>
      </c>
      <c r="M1683" s="13">
        <v>9.9</v>
      </c>
      <c r="N1683" s="13" t="s">
        <v>3</v>
      </c>
      <c r="O1683" s="16">
        <f t="shared" si="409"/>
        <v>9.8999999999999999E-4</v>
      </c>
      <c r="P1683" s="22">
        <f t="shared" ref="P1683:P1688" si="410">O1683*$P$1681</f>
        <v>0</v>
      </c>
    </row>
    <row r="1684" spans="1:16" x14ac:dyDescent="0.25">
      <c r="A1684" s="91"/>
      <c r="B1684" s="13" t="s">
        <v>1153</v>
      </c>
      <c r="C1684" s="13" t="s">
        <v>1154</v>
      </c>
      <c r="D1684" s="13">
        <v>54</v>
      </c>
      <c r="E1684" s="13" t="s">
        <v>769</v>
      </c>
      <c r="F1684" s="13">
        <v>1</v>
      </c>
      <c r="G1684" s="13" t="s">
        <v>35</v>
      </c>
      <c r="H1684" s="13" t="s">
        <v>17</v>
      </c>
      <c r="I1684" s="14">
        <v>3001155</v>
      </c>
      <c r="J1684" s="13" t="s">
        <v>1146</v>
      </c>
      <c r="K1684" s="13">
        <v>99</v>
      </c>
      <c r="L1684" s="13" t="s">
        <v>15</v>
      </c>
      <c r="M1684" s="13">
        <v>156.80000000000001</v>
      </c>
      <c r="N1684" s="13" t="s">
        <v>3</v>
      </c>
      <c r="O1684" s="16">
        <f t="shared" si="409"/>
        <v>1.5679999999999999E-2</v>
      </c>
      <c r="P1684" s="22">
        <f t="shared" si="410"/>
        <v>0</v>
      </c>
    </row>
    <row r="1685" spans="1:16" x14ac:dyDescent="0.25">
      <c r="A1685" s="91"/>
      <c r="B1685" s="13" t="s">
        <v>1153</v>
      </c>
      <c r="C1685" s="13" t="s">
        <v>1154</v>
      </c>
      <c r="D1685" s="13">
        <v>54</v>
      </c>
      <c r="E1685" s="13" t="s">
        <v>769</v>
      </c>
      <c r="F1685" s="13">
        <v>1</v>
      </c>
      <c r="G1685" s="13" t="s">
        <v>35</v>
      </c>
      <c r="H1685" s="13" t="s">
        <v>17</v>
      </c>
      <c r="I1685" s="14">
        <v>3006194</v>
      </c>
      <c r="J1685" s="13" t="s">
        <v>1157</v>
      </c>
      <c r="K1685" s="13">
        <v>99</v>
      </c>
      <c r="L1685" s="13" t="s">
        <v>15</v>
      </c>
      <c r="M1685" s="13">
        <v>12</v>
      </c>
      <c r="N1685" s="13" t="s">
        <v>3</v>
      </c>
      <c r="O1685" s="16">
        <f t="shared" si="409"/>
        <v>1.1999999999999999E-3</v>
      </c>
      <c r="P1685" s="22">
        <f t="shared" si="410"/>
        <v>0</v>
      </c>
    </row>
    <row r="1686" spans="1:16" x14ac:dyDescent="0.25">
      <c r="A1686" s="91"/>
      <c r="B1686" s="13" t="s">
        <v>1153</v>
      </c>
      <c r="C1686" s="13" t="s">
        <v>1154</v>
      </c>
      <c r="D1686" s="13">
        <v>54</v>
      </c>
      <c r="E1686" s="13" t="s">
        <v>769</v>
      </c>
      <c r="F1686" s="13">
        <v>1</v>
      </c>
      <c r="G1686" s="13" t="s">
        <v>16</v>
      </c>
      <c r="H1686" s="13" t="s">
        <v>17</v>
      </c>
      <c r="I1686" s="14">
        <v>4003879</v>
      </c>
      <c r="J1686" s="13" t="s">
        <v>1149</v>
      </c>
      <c r="K1686" s="13">
        <v>99</v>
      </c>
      <c r="L1686" s="13" t="s">
        <v>15</v>
      </c>
      <c r="M1686" s="13">
        <v>834</v>
      </c>
      <c r="N1686" s="13" t="s">
        <v>1</v>
      </c>
      <c r="O1686" s="16">
        <f t="shared" si="409"/>
        <v>8.3400000000000002E-2</v>
      </c>
      <c r="P1686" s="22">
        <f t="shared" si="410"/>
        <v>0</v>
      </c>
    </row>
    <row r="1687" spans="1:16" x14ac:dyDescent="0.25">
      <c r="A1687" s="91"/>
      <c r="B1687" s="13" t="s">
        <v>1153</v>
      </c>
      <c r="C1687" s="13" t="s">
        <v>1154</v>
      </c>
      <c r="D1687" s="13">
        <v>54</v>
      </c>
      <c r="E1687" s="13" t="s">
        <v>769</v>
      </c>
      <c r="F1687" s="13">
        <v>1</v>
      </c>
      <c r="G1687" s="13" t="s">
        <v>16</v>
      </c>
      <c r="H1687" s="13" t="s">
        <v>17</v>
      </c>
      <c r="I1687" s="14">
        <v>4016809</v>
      </c>
      <c r="J1687" s="13" t="s">
        <v>1158</v>
      </c>
      <c r="K1687" s="13">
        <v>99</v>
      </c>
      <c r="L1687" s="13" t="s">
        <v>15</v>
      </c>
      <c r="M1687" s="15">
        <v>10000</v>
      </c>
      <c r="N1687" s="13" t="s">
        <v>1</v>
      </c>
      <c r="O1687" s="16">
        <f t="shared" si="409"/>
        <v>1</v>
      </c>
      <c r="P1687" s="22">
        <f t="shared" si="410"/>
        <v>0</v>
      </c>
    </row>
    <row r="1688" spans="1:16" ht="15.75" thickBot="1" x14ac:dyDescent="0.3">
      <c r="A1688" s="90"/>
      <c r="B1688" s="23" t="s">
        <v>1153</v>
      </c>
      <c r="C1688" s="23" t="s">
        <v>1154</v>
      </c>
      <c r="D1688" s="23">
        <v>54</v>
      </c>
      <c r="E1688" s="23" t="s">
        <v>769</v>
      </c>
      <c r="F1688" s="23">
        <v>1</v>
      </c>
      <c r="G1688" s="23" t="s">
        <v>21</v>
      </c>
      <c r="H1688" s="23" t="s">
        <v>17</v>
      </c>
      <c r="I1688" s="24" t="s">
        <v>1151</v>
      </c>
      <c r="J1688" s="23" t="s">
        <v>1152</v>
      </c>
      <c r="K1688" s="23">
        <v>51</v>
      </c>
      <c r="L1688" s="23" t="s">
        <v>101</v>
      </c>
      <c r="M1688" s="23">
        <v>100</v>
      </c>
      <c r="N1688" s="23" t="s">
        <v>1</v>
      </c>
      <c r="O1688" s="26">
        <f t="shared" si="409"/>
        <v>0.01</v>
      </c>
      <c r="P1688" s="27">
        <f t="shared" si="410"/>
        <v>0</v>
      </c>
    </row>
    <row r="1689" spans="1:16" x14ac:dyDescent="0.25">
      <c r="B1689" s="1"/>
      <c r="C1689" s="1"/>
      <c r="D1689" s="1"/>
      <c r="E1689" s="1"/>
      <c r="F1689" s="1"/>
      <c r="G1689" s="1"/>
      <c r="H1689" s="1"/>
      <c r="I1689" s="2"/>
      <c r="J1689" s="1"/>
      <c r="K1689" s="1"/>
      <c r="L1689" s="1"/>
      <c r="M1689" s="1"/>
      <c r="N1689" s="1"/>
    </row>
    <row r="1690" spans="1:16" ht="15.75" thickBot="1" x14ac:dyDescent="0.3">
      <c r="B1690" s="1"/>
      <c r="C1690" s="1"/>
      <c r="D1690" s="1"/>
      <c r="E1690" s="1"/>
      <c r="F1690" s="1"/>
      <c r="G1690" s="1"/>
      <c r="H1690" s="1"/>
      <c r="I1690" s="2"/>
      <c r="J1690" s="1"/>
      <c r="K1690" s="1"/>
      <c r="L1690" s="1"/>
      <c r="M1690" s="1"/>
      <c r="N1690" s="1"/>
      <c r="P1690" s="11">
        <f>IFERROR(VLOOKUP($A1691,'PROGRAMA MES '!$A:$B,2,0),0)</f>
        <v>0</v>
      </c>
    </row>
    <row r="1691" spans="1:16" x14ac:dyDescent="0.25">
      <c r="A1691" s="89" t="str">
        <f>B1691</f>
        <v>SP9110AZ</v>
      </c>
      <c r="B1691" s="17" t="s">
        <v>1159</v>
      </c>
      <c r="C1691" s="17" t="s">
        <v>1160</v>
      </c>
      <c r="D1691" s="17">
        <v>54</v>
      </c>
      <c r="E1691" s="17" t="s">
        <v>769</v>
      </c>
      <c r="F1691" s="17">
        <v>1</v>
      </c>
      <c r="G1691" s="17" t="s">
        <v>35</v>
      </c>
      <c r="H1691" s="17" t="s">
        <v>17</v>
      </c>
      <c r="I1691" s="18">
        <v>3000551</v>
      </c>
      <c r="J1691" s="17" t="s">
        <v>1161</v>
      </c>
      <c r="K1691" s="17">
        <v>99</v>
      </c>
      <c r="L1691" s="17" t="s">
        <v>15</v>
      </c>
      <c r="M1691" s="19">
        <v>10000</v>
      </c>
      <c r="N1691" s="17" t="s">
        <v>1</v>
      </c>
      <c r="O1691" s="20">
        <f t="shared" ref="O1691:O1692" si="411">M1691/10000</f>
        <v>1</v>
      </c>
      <c r="P1691" s="21">
        <f>O1691*$P$1690</f>
        <v>0</v>
      </c>
    </row>
    <row r="1692" spans="1:16" ht="15.75" thickBot="1" x14ac:dyDescent="0.3">
      <c r="A1692" s="90"/>
      <c r="B1692" s="23" t="s">
        <v>1159</v>
      </c>
      <c r="C1692" s="23" t="s">
        <v>1160</v>
      </c>
      <c r="D1692" s="23">
        <v>54</v>
      </c>
      <c r="E1692" s="23" t="s">
        <v>769</v>
      </c>
      <c r="F1692" s="23">
        <v>1</v>
      </c>
      <c r="G1692" s="23" t="s">
        <v>16</v>
      </c>
      <c r="H1692" s="23" t="s">
        <v>17</v>
      </c>
      <c r="I1692" s="24">
        <v>4002546</v>
      </c>
      <c r="J1692" s="23" t="s">
        <v>179</v>
      </c>
      <c r="K1692" s="23">
        <v>99</v>
      </c>
      <c r="L1692" s="23" t="s">
        <v>15</v>
      </c>
      <c r="M1692" s="23">
        <v>834</v>
      </c>
      <c r="N1692" s="23" t="s">
        <v>1</v>
      </c>
      <c r="O1692" s="26">
        <f t="shared" si="411"/>
        <v>8.3400000000000002E-2</v>
      </c>
      <c r="P1692" s="27">
        <f>O1692*$P$1690</f>
        <v>0</v>
      </c>
    </row>
    <row r="1693" spans="1:16" x14ac:dyDescent="0.25">
      <c r="B1693" s="1"/>
      <c r="C1693" s="1"/>
      <c r="D1693" s="1"/>
      <c r="E1693" s="1"/>
      <c r="F1693" s="1"/>
      <c r="G1693" s="1"/>
      <c r="H1693" s="1"/>
      <c r="I1693" s="2"/>
      <c r="J1693" s="1"/>
      <c r="K1693" s="1"/>
      <c r="L1693" s="1"/>
      <c r="M1693" s="1"/>
      <c r="N1693" s="1"/>
    </row>
    <row r="1694" spans="1:16" ht="15.75" thickBot="1" x14ac:dyDescent="0.3">
      <c r="B1694" s="1"/>
      <c r="C1694" s="1"/>
      <c r="D1694" s="1"/>
      <c r="E1694" s="1"/>
      <c r="F1694" s="1"/>
      <c r="G1694" s="1"/>
      <c r="H1694" s="1"/>
      <c r="I1694" s="2"/>
      <c r="J1694" s="1"/>
      <c r="K1694" s="1"/>
      <c r="L1694" s="1"/>
      <c r="M1694" s="1"/>
      <c r="N1694" s="1"/>
      <c r="P1694" s="11">
        <f>IFERROR(VLOOKUP($A1695,'PROGRAMA MES '!$A:$B,2,0),0)</f>
        <v>3600</v>
      </c>
    </row>
    <row r="1695" spans="1:16" x14ac:dyDescent="0.25">
      <c r="A1695" s="89" t="str">
        <f>B1695</f>
        <v>SP9110P</v>
      </c>
      <c r="B1695" s="17" t="s">
        <v>1162</v>
      </c>
      <c r="C1695" s="17" t="s">
        <v>1163</v>
      </c>
      <c r="D1695" s="17">
        <v>99</v>
      </c>
      <c r="E1695" s="17" t="s">
        <v>15</v>
      </c>
      <c r="F1695" s="17">
        <v>1</v>
      </c>
      <c r="G1695" s="17" t="s">
        <v>35</v>
      </c>
      <c r="H1695" s="17" t="s">
        <v>17</v>
      </c>
      <c r="I1695" s="18">
        <v>3000555</v>
      </c>
      <c r="J1695" s="17" t="s">
        <v>1164</v>
      </c>
      <c r="K1695" s="17">
        <v>99</v>
      </c>
      <c r="L1695" s="17" t="s">
        <v>15</v>
      </c>
      <c r="M1695" s="19">
        <v>10000</v>
      </c>
      <c r="N1695" s="17" t="s">
        <v>1</v>
      </c>
      <c r="O1695" s="20">
        <f t="shared" ref="O1695:O1697" si="412">M1695/10000</f>
        <v>1</v>
      </c>
      <c r="P1695" s="21">
        <f>O1695*$P$1694</f>
        <v>3600</v>
      </c>
    </row>
    <row r="1696" spans="1:16" x14ac:dyDescent="0.25">
      <c r="A1696" s="91"/>
      <c r="B1696" s="13" t="s">
        <v>1162</v>
      </c>
      <c r="C1696" s="13" t="s">
        <v>1163</v>
      </c>
      <c r="D1696" s="13">
        <v>99</v>
      </c>
      <c r="E1696" s="13" t="s">
        <v>15</v>
      </c>
      <c r="F1696" s="13">
        <v>1</v>
      </c>
      <c r="G1696" s="13" t="s">
        <v>16</v>
      </c>
      <c r="H1696" s="13" t="s">
        <v>17</v>
      </c>
      <c r="I1696" s="14">
        <v>4002546</v>
      </c>
      <c r="J1696" s="13" t="s">
        <v>179</v>
      </c>
      <c r="K1696" s="13">
        <v>99</v>
      </c>
      <c r="L1696" s="13" t="s">
        <v>15</v>
      </c>
      <c r="M1696" s="13">
        <v>834</v>
      </c>
      <c r="N1696" s="13" t="s">
        <v>1</v>
      </c>
      <c r="O1696" s="16">
        <f t="shared" si="412"/>
        <v>8.3400000000000002E-2</v>
      </c>
      <c r="P1696" s="22">
        <f>O1696*$P$1694</f>
        <v>300.24</v>
      </c>
    </row>
    <row r="1697" spans="1:16" ht="15.75" thickBot="1" x14ac:dyDescent="0.3">
      <c r="A1697" s="90"/>
      <c r="B1697" s="23" t="s">
        <v>1162</v>
      </c>
      <c r="C1697" s="23" t="s">
        <v>1163</v>
      </c>
      <c r="D1697" s="23">
        <v>99</v>
      </c>
      <c r="E1697" s="23" t="s">
        <v>15</v>
      </c>
      <c r="F1697" s="23">
        <v>1</v>
      </c>
      <c r="G1697" s="23" t="s">
        <v>16</v>
      </c>
      <c r="H1697" s="23" t="s">
        <v>17</v>
      </c>
      <c r="I1697" s="24">
        <v>4016160</v>
      </c>
      <c r="J1697" s="23" t="s">
        <v>69</v>
      </c>
      <c r="K1697" s="23">
        <v>99</v>
      </c>
      <c r="L1697" s="23" t="s">
        <v>15</v>
      </c>
      <c r="M1697" s="23">
        <v>70</v>
      </c>
      <c r="N1697" s="23" t="s">
        <v>3</v>
      </c>
      <c r="O1697" s="26">
        <f t="shared" si="412"/>
        <v>7.0000000000000001E-3</v>
      </c>
      <c r="P1697" s="27">
        <f>O1697*$P$1694</f>
        <v>25.2</v>
      </c>
    </row>
    <row r="1698" spans="1:16" x14ac:dyDescent="0.25">
      <c r="B1698" s="1"/>
      <c r="C1698" s="1"/>
      <c r="D1698" s="1"/>
      <c r="E1698" s="1"/>
      <c r="F1698" s="1"/>
      <c r="G1698" s="1"/>
      <c r="H1698" s="1"/>
      <c r="I1698" s="2"/>
      <c r="J1698" s="1"/>
      <c r="K1698" s="1"/>
      <c r="L1698" s="1"/>
      <c r="M1698" s="1"/>
      <c r="N1698" s="1"/>
    </row>
    <row r="1699" spans="1:16" ht="15.75" thickBot="1" x14ac:dyDescent="0.3">
      <c r="B1699" s="1"/>
      <c r="C1699" s="1"/>
      <c r="D1699" s="1"/>
      <c r="E1699" s="1"/>
      <c r="F1699" s="1"/>
      <c r="G1699" s="1"/>
      <c r="H1699" s="1"/>
      <c r="I1699" s="2"/>
      <c r="J1699" s="1"/>
      <c r="K1699" s="1"/>
      <c r="L1699" s="1"/>
      <c r="M1699" s="1"/>
      <c r="N1699" s="1"/>
      <c r="P1699" s="11">
        <f>IFERROR(VLOOKUP($A1700,'PROGRAMA MES '!$A:$B,2,0),0)</f>
        <v>3600</v>
      </c>
    </row>
    <row r="1700" spans="1:16" x14ac:dyDescent="0.25">
      <c r="A1700" s="89" t="str">
        <f>B1700</f>
        <v>SP9111P</v>
      </c>
      <c r="B1700" s="17" t="s">
        <v>1165</v>
      </c>
      <c r="C1700" s="17" t="s">
        <v>1166</v>
      </c>
      <c r="D1700" s="17">
        <v>99</v>
      </c>
      <c r="E1700" s="17" t="s">
        <v>15</v>
      </c>
      <c r="F1700" s="17">
        <v>1</v>
      </c>
      <c r="G1700" s="17" t="s">
        <v>35</v>
      </c>
      <c r="H1700" s="17" t="s">
        <v>17</v>
      </c>
      <c r="I1700" s="18">
        <v>3000560</v>
      </c>
      <c r="J1700" s="17" t="s">
        <v>1167</v>
      </c>
      <c r="K1700" s="17">
        <v>99</v>
      </c>
      <c r="L1700" s="17" t="s">
        <v>15</v>
      </c>
      <c r="M1700" s="19">
        <v>10000</v>
      </c>
      <c r="N1700" s="17" t="s">
        <v>1</v>
      </c>
      <c r="O1700" s="20">
        <f t="shared" ref="O1700:O1702" si="413">M1700/10000</f>
        <v>1</v>
      </c>
      <c r="P1700" s="21">
        <f>O1700*$P$1699</f>
        <v>3600</v>
      </c>
    </row>
    <row r="1701" spans="1:16" x14ac:dyDescent="0.25">
      <c r="A1701" s="91"/>
      <c r="B1701" s="13" t="s">
        <v>1165</v>
      </c>
      <c r="C1701" s="13" t="s">
        <v>1166</v>
      </c>
      <c r="D1701" s="13">
        <v>99</v>
      </c>
      <c r="E1701" s="13" t="s">
        <v>15</v>
      </c>
      <c r="F1701" s="13">
        <v>1</v>
      </c>
      <c r="G1701" s="13" t="s">
        <v>16</v>
      </c>
      <c r="H1701" s="13" t="s">
        <v>17</v>
      </c>
      <c r="I1701" s="14">
        <v>4002546</v>
      </c>
      <c r="J1701" s="13" t="s">
        <v>179</v>
      </c>
      <c r="K1701" s="13">
        <v>99</v>
      </c>
      <c r="L1701" s="13" t="s">
        <v>15</v>
      </c>
      <c r="M1701" s="13">
        <v>834</v>
      </c>
      <c r="N1701" s="13" t="s">
        <v>1</v>
      </c>
      <c r="O1701" s="16">
        <f t="shared" si="413"/>
        <v>8.3400000000000002E-2</v>
      </c>
      <c r="P1701" s="22">
        <f t="shared" ref="P1701:P1702" si="414">O1701*$P$1699</f>
        <v>300.24</v>
      </c>
    </row>
    <row r="1702" spans="1:16" ht="15.75" thickBot="1" x14ac:dyDescent="0.3">
      <c r="A1702" s="90"/>
      <c r="B1702" s="23" t="s">
        <v>1165</v>
      </c>
      <c r="C1702" s="23" t="s">
        <v>1166</v>
      </c>
      <c r="D1702" s="23">
        <v>99</v>
      </c>
      <c r="E1702" s="23" t="s">
        <v>15</v>
      </c>
      <c r="F1702" s="23">
        <v>1</v>
      </c>
      <c r="G1702" s="23" t="s">
        <v>16</v>
      </c>
      <c r="H1702" s="23" t="s">
        <v>17</v>
      </c>
      <c r="I1702" s="24">
        <v>4016160</v>
      </c>
      <c r="J1702" s="23" t="s">
        <v>69</v>
      </c>
      <c r="K1702" s="23">
        <v>99</v>
      </c>
      <c r="L1702" s="23" t="s">
        <v>15</v>
      </c>
      <c r="M1702" s="23">
        <v>70</v>
      </c>
      <c r="N1702" s="23" t="s">
        <v>3</v>
      </c>
      <c r="O1702" s="26">
        <f t="shared" si="413"/>
        <v>7.0000000000000001E-3</v>
      </c>
      <c r="P1702" s="27">
        <f t="shared" si="414"/>
        <v>25.2</v>
      </c>
    </row>
    <row r="1703" spans="1:16" x14ac:dyDescent="0.25">
      <c r="B1703" s="1"/>
      <c r="C1703" s="1"/>
      <c r="D1703" s="1"/>
      <c r="E1703" s="1"/>
      <c r="F1703" s="1"/>
      <c r="G1703" s="1"/>
      <c r="H1703" s="1"/>
      <c r="I1703" s="2"/>
      <c r="J1703" s="1"/>
      <c r="K1703" s="1"/>
      <c r="L1703" s="1"/>
      <c r="M1703" s="1"/>
      <c r="N1703" s="1"/>
    </row>
    <row r="1704" spans="1:16" ht="15.75" thickBot="1" x14ac:dyDescent="0.3">
      <c r="B1704" s="1"/>
      <c r="C1704" s="1"/>
      <c r="D1704" s="1"/>
      <c r="E1704" s="1"/>
      <c r="F1704" s="1"/>
      <c r="G1704" s="1"/>
      <c r="H1704" s="1"/>
      <c r="I1704" s="2"/>
      <c r="J1704" s="1"/>
      <c r="K1704" s="1"/>
      <c r="L1704" s="1"/>
      <c r="M1704" s="1"/>
      <c r="N1704" s="1"/>
      <c r="P1704" s="11">
        <f>IFERROR(VLOOKUP($A1705,'PROGRAMA MES '!$A:$B,2,0),0)</f>
        <v>0</v>
      </c>
    </row>
    <row r="1705" spans="1:16" x14ac:dyDescent="0.25">
      <c r="A1705" s="89" t="str">
        <f>B1705</f>
        <v>SP9117AM</v>
      </c>
      <c r="B1705" s="17" t="s">
        <v>1168</v>
      </c>
      <c r="C1705" s="17" t="s">
        <v>1169</v>
      </c>
      <c r="D1705" s="17">
        <v>51</v>
      </c>
      <c r="E1705" s="17" t="s">
        <v>101</v>
      </c>
      <c r="F1705" s="17">
        <v>1</v>
      </c>
      <c r="G1705" s="17" t="s">
        <v>16</v>
      </c>
      <c r="H1705" s="17" t="s">
        <v>17</v>
      </c>
      <c r="I1705" s="18">
        <v>4001283</v>
      </c>
      <c r="J1705" s="17" t="s">
        <v>602</v>
      </c>
      <c r="K1705" s="17">
        <v>99</v>
      </c>
      <c r="L1705" s="17" t="s">
        <v>15</v>
      </c>
      <c r="M1705" s="17">
        <v>834</v>
      </c>
      <c r="N1705" s="17" t="s">
        <v>1</v>
      </c>
      <c r="O1705" s="20">
        <f t="shared" ref="O1705:O1709" si="415">M1705/10000</f>
        <v>8.3400000000000002E-2</v>
      </c>
      <c r="P1705" s="21">
        <f>O1705*$P$1704</f>
        <v>0</v>
      </c>
    </row>
    <row r="1706" spans="1:16" x14ac:dyDescent="0.25">
      <c r="A1706" s="91"/>
      <c r="B1706" s="13" t="s">
        <v>1168</v>
      </c>
      <c r="C1706" s="13" t="s">
        <v>1169</v>
      </c>
      <c r="D1706" s="13">
        <v>51</v>
      </c>
      <c r="E1706" s="13" t="s">
        <v>101</v>
      </c>
      <c r="F1706" s="13">
        <v>1</v>
      </c>
      <c r="G1706" s="13" t="s">
        <v>16</v>
      </c>
      <c r="H1706" s="13" t="s">
        <v>17</v>
      </c>
      <c r="I1706" s="14">
        <v>4002546</v>
      </c>
      <c r="J1706" s="13" t="s">
        <v>179</v>
      </c>
      <c r="K1706" s="13">
        <v>99</v>
      </c>
      <c r="L1706" s="13" t="s">
        <v>15</v>
      </c>
      <c r="M1706" s="13">
        <v>834</v>
      </c>
      <c r="N1706" s="13" t="s">
        <v>1</v>
      </c>
      <c r="O1706" s="16">
        <f t="shared" si="415"/>
        <v>8.3400000000000002E-2</v>
      </c>
      <c r="P1706" s="22">
        <f t="shared" ref="P1706:P1709" si="416">O1706*$P$1704</f>
        <v>0</v>
      </c>
    </row>
    <row r="1707" spans="1:16" x14ac:dyDescent="0.25">
      <c r="A1707" s="91"/>
      <c r="B1707" s="13" t="s">
        <v>1168</v>
      </c>
      <c r="C1707" s="13" t="s">
        <v>1169</v>
      </c>
      <c r="D1707" s="13">
        <v>51</v>
      </c>
      <c r="E1707" s="13" t="s">
        <v>101</v>
      </c>
      <c r="F1707" s="13">
        <v>1</v>
      </c>
      <c r="G1707" s="13" t="s">
        <v>16</v>
      </c>
      <c r="H1707" s="13" t="s">
        <v>17</v>
      </c>
      <c r="I1707" s="14">
        <v>4002826</v>
      </c>
      <c r="J1707" s="13" t="s">
        <v>4</v>
      </c>
      <c r="K1707" s="13">
        <v>99</v>
      </c>
      <c r="L1707" s="13" t="s">
        <v>15</v>
      </c>
      <c r="M1707" s="13">
        <v>11</v>
      </c>
      <c r="N1707" s="13" t="s">
        <v>1</v>
      </c>
      <c r="O1707" s="16">
        <f t="shared" si="415"/>
        <v>1.1000000000000001E-3</v>
      </c>
      <c r="P1707" s="22">
        <f t="shared" si="416"/>
        <v>0</v>
      </c>
    </row>
    <row r="1708" spans="1:16" x14ac:dyDescent="0.25">
      <c r="A1708" s="91"/>
      <c r="B1708" s="13" t="s">
        <v>1168</v>
      </c>
      <c r="C1708" s="13" t="s">
        <v>1169</v>
      </c>
      <c r="D1708" s="13">
        <v>51</v>
      </c>
      <c r="E1708" s="13" t="s">
        <v>101</v>
      </c>
      <c r="F1708" s="13">
        <v>1</v>
      </c>
      <c r="G1708" s="13" t="s">
        <v>16</v>
      </c>
      <c r="H1708" s="13" t="s">
        <v>17</v>
      </c>
      <c r="I1708" s="14">
        <v>4003643</v>
      </c>
      <c r="J1708" s="13" t="s">
        <v>603</v>
      </c>
      <c r="K1708" s="13">
        <v>99</v>
      </c>
      <c r="L1708" s="13" t="s">
        <v>15</v>
      </c>
      <c r="M1708" s="15">
        <v>10000</v>
      </c>
      <c r="N1708" s="13" t="s">
        <v>1</v>
      </c>
      <c r="O1708" s="16">
        <f t="shared" si="415"/>
        <v>1</v>
      </c>
      <c r="P1708" s="22">
        <f t="shared" si="416"/>
        <v>0</v>
      </c>
    </row>
    <row r="1709" spans="1:16" ht="15.75" thickBot="1" x14ac:dyDescent="0.3">
      <c r="A1709" s="90"/>
      <c r="B1709" s="23" t="s">
        <v>1168</v>
      </c>
      <c r="C1709" s="23" t="s">
        <v>1169</v>
      </c>
      <c r="D1709" s="23">
        <v>51</v>
      </c>
      <c r="E1709" s="23" t="s">
        <v>101</v>
      </c>
      <c r="F1709" s="23">
        <v>1</v>
      </c>
      <c r="G1709" s="23" t="s">
        <v>21</v>
      </c>
      <c r="H1709" s="23" t="s">
        <v>17</v>
      </c>
      <c r="I1709" s="24" t="s">
        <v>1170</v>
      </c>
      <c r="J1709" s="23" t="s">
        <v>1171</v>
      </c>
      <c r="K1709" s="23">
        <v>3</v>
      </c>
      <c r="L1709" s="23" t="s">
        <v>24</v>
      </c>
      <c r="M1709" s="25">
        <v>10000</v>
      </c>
      <c r="N1709" s="23" t="s">
        <v>1</v>
      </c>
      <c r="O1709" s="26">
        <f t="shared" si="415"/>
        <v>1</v>
      </c>
      <c r="P1709" s="27">
        <f t="shared" si="416"/>
        <v>0</v>
      </c>
    </row>
    <row r="1710" spans="1:16" x14ac:dyDescent="0.25">
      <c r="B1710" s="1"/>
      <c r="C1710" s="1"/>
      <c r="D1710" s="1"/>
      <c r="E1710" s="1"/>
      <c r="F1710" s="1"/>
      <c r="G1710" s="1"/>
      <c r="H1710" s="1"/>
      <c r="I1710" s="2"/>
      <c r="J1710" s="1"/>
      <c r="K1710" s="1"/>
      <c r="L1710" s="1"/>
      <c r="M1710" s="3"/>
      <c r="N1710" s="1"/>
    </row>
    <row r="1711" spans="1:16" ht="15.75" thickBot="1" x14ac:dyDescent="0.3">
      <c r="B1711" s="1"/>
      <c r="C1711" s="1"/>
      <c r="D1711" s="1"/>
      <c r="E1711" s="1"/>
      <c r="F1711" s="1"/>
      <c r="G1711" s="1"/>
      <c r="H1711" s="1"/>
      <c r="I1711" s="2"/>
      <c r="J1711" s="1"/>
      <c r="K1711" s="1"/>
      <c r="L1711" s="1"/>
      <c r="M1711" s="3"/>
      <c r="N1711" s="1"/>
      <c r="P1711" s="11">
        <f>IFERROR(VLOOKUP($A1712,'PROGRAMA MES '!$A:$B,2,0),0)</f>
        <v>0</v>
      </c>
    </row>
    <row r="1712" spans="1:16" x14ac:dyDescent="0.25">
      <c r="A1712" s="89" t="str">
        <f>B1712</f>
        <v>SP9117AZ</v>
      </c>
      <c r="B1712" s="17" t="s">
        <v>1172</v>
      </c>
      <c r="C1712" s="17" t="s">
        <v>1173</v>
      </c>
      <c r="D1712" s="17">
        <v>3</v>
      </c>
      <c r="E1712" s="17" t="s">
        <v>24</v>
      </c>
      <c r="F1712" s="17">
        <v>1</v>
      </c>
      <c r="G1712" s="17" t="s">
        <v>16</v>
      </c>
      <c r="H1712" s="17" t="s">
        <v>17</v>
      </c>
      <c r="I1712" s="18">
        <v>4001283</v>
      </c>
      <c r="J1712" s="17" t="s">
        <v>602</v>
      </c>
      <c r="K1712" s="17">
        <v>99</v>
      </c>
      <c r="L1712" s="17" t="s">
        <v>15</v>
      </c>
      <c r="M1712" s="17">
        <v>834</v>
      </c>
      <c r="N1712" s="17" t="s">
        <v>1</v>
      </c>
      <c r="O1712" s="20">
        <f t="shared" ref="O1712:O1716" si="417">M1712/10000</f>
        <v>8.3400000000000002E-2</v>
      </c>
      <c r="P1712" s="21">
        <f>O1712*$P$1711</f>
        <v>0</v>
      </c>
    </row>
    <row r="1713" spans="1:16" x14ac:dyDescent="0.25">
      <c r="A1713" s="91"/>
      <c r="B1713" s="13" t="s">
        <v>1172</v>
      </c>
      <c r="C1713" s="13" t="s">
        <v>1173</v>
      </c>
      <c r="D1713" s="13">
        <v>3</v>
      </c>
      <c r="E1713" s="13" t="s">
        <v>24</v>
      </c>
      <c r="F1713" s="13">
        <v>1</v>
      </c>
      <c r="G1713" s="13" t="s">
        <v>16</v>
      </c>
      <c r="H1713" s="13" t="s">
        <v>17</v>
      </c>
      <c r="I1713" s="14">
        <v>4002546</v>
      </c>
      <c r="J1713" s="13" t="s">
        <v>179</v>
      </c>
      <c r="K1713" s="13">
        <v>99</v>
      </c>
      <c r="L1713" s="13" t="s">
        <v>15</v>
      </c>
      <c r="M1713" s="13">
        <v>834</v>
      </c>
      <c r="N1713" s="13" t="s">
        <v>1</v>
      </c>
      <c r="O1713" s="16">
        <f t="shared" si="417"/>
        <v>8.3400000000000002E-2</v>
      </c>
      <c r="P1713" s="22">
        <f t="shared" ref="P1713:P1716" si="418">O1713*$P$1711</f>
        <v>0</v>
      </c>
    </row>
    <row r="1714" spans="1:16" x14ac:dyDescent="0.25">
      <c r="A1714" s="91"/>
      <c r="B1714" s="13" t="s">
        <v>1172</v>
      </c>
      <c r="C1714" s="13" t="s">
        <v>1173</v>
      </c>
      <c r="D1714" s="13">
        <v>3</v>
      </c>
      <c r="E1714" s="13" t="s">
        <v>24</v>
      </c>
      <c r="F1714" s="13">
        <v>1</v>
      </c>
      <c r="G1714" s="13" t="s">
        <v>16</v>
      </c>
      <c r="H1714" s="13" t="s">
        <v>17</v>
      </c>
      <c r="I1714" s="14">
        <v>4002826</v>
      </c>
      <c r="J1714" s="13" t="s">
        <v>4</v>
      </c>
      <c r="K1714" s="13">
        <v>99</v>
      </c>
      <c r="L1714" s="13" t="s">
        <v>15</v>
      </c>
      <c r="M1714" s="13">
        <v>11</v>
      </c>
      <c r="N1714" s="13" t="s">
        <v>1</v>
      </c>
      <c r="O1714" s="16">
        <f t="shared" si="417"/>
        <v>1.1000000000000001E-3</v>
      </c>
      <c r="P1714" s="22">
        <f t="shared" si="418"/>
        <v>0</v>
      </c>
    </row>
    <row r="1715" spans="1:16" x14ac:dyDescent="0.25">
      <c r="A1715" s="91"/>
      <c r="B1715" s="13" t="s">
        <v>1172</v>
      </c>
      <c r="C1715" s="13" t="s">
        <v>1173</v>
      </c>
      <c r="D1715" s="13">
        <v>3</v>
      </c>
      <c r="E1715" s="13" t="s">
        <v>24</v>
      </c>
      <c r="F1715" s="13">
        <v>1</v>
      </c>
      <c r="G1715" s="13" t="s">
        <v>16</v>
      </c>
      <c r="H1715" s="13" t="s">
        <v>17</v>
      </c>
      <c r="I1715" s="14">
        <v>4003643</v>
      </c>
      <c r="J1715" s="13" t="s">
        <v>603</v>
      </c>
      <c r="K1715" s="13">
        <v>99</v>
      </c>
      <c r="L1715" s="13" t="s">
        <v>15</v>
      </c>
      <c r="M1715" s="15">
        <v>10000</v>
      </c>
      <c r="N1715" s="13" t="s">
        <v>1</v>
      </c>
      <c r="O1715" s="16">
        <f t="shared" si="417"/>
        <v>1</v>
      </c>
      <c r="P1715" s="22">
        <f t="shared" si="418"/>
        <v>0</v>
      </c>
    </row>
    <row r="1716" spans="1:16" ht="15.75" thickBot="1" x14ac:dyDescent="0.3">
      <c r="A1716" s="90"/>
      <c r="B1716" s="23" t="s">
        <v>1172</v>
      </c>
      <c r="C1716" s="23" t="s">
        <v>1173</v>
      </c>
      <c r="D1716" s="23">
        <v>3</v>
      </c>
      <c r="E1716" s="23" t="s">
        <v>24</v>
      </c>
      <c r="F1716" s="23">
        <v>1</v>
      </c>
      <c r="G1716" s="23" t="s">
        <v>21</v>
      </c>
      <c r="H1716" s="23" t="s">
        <v>17</v>
      </c>
      <c r="I1716" s="24" t="s">
        <v>1174</v>
      </c>
      <c r="J1716" s="23" t="s">
        <v>1175</v>
      </c>
      <c r="K1716" s="23">
        <v>3</v>
      </c>
      <c r="L1716" s="23" t="s">
        <v>24</v>
      </c>
      <c r="M1716" s="25">
        <v>10000</v>
      </c>
      <c r="N1716" s="23" t="s">
        <v>1</v>
      </c>
      <c r="O1716" s="26">
        <f t="shared" si="417"/>
        <v>1</v>
      </c>
      <c r="P1716" s="27">
        <f t="shared" si="418"/>
        <v>0</v>
      </c>
    </row>
    <row r="1717" spans="1:16" x14ac:dyDescent="0.25">
      <c r="B1717" s="1"/>
      <c r="C1717" s="1"/>
      <c r="D1717" s="1"/>
      <c r="E1717" s="1"/>
      <c r="F1717" s="1"/>
      <c r="G1717" s="1"/>
      <c r="H1717" s="1"/>
      <c r="I1717" s="2"/>
      <c r="J1717" s="1"/>
      <c r="K1717" s="1"/>
      <c r="L1717" s="1"/>
      <c r="M1717" s="3"/>
      <c r="N1717" s="1"/>
    </row>
    <row r="1718" spans="1:16" ht="15.75" thickBot="1" x14ac:dyDescent="0.3">
      <c r="B1718" s="1"/>
      <c r="C1718" s="1"/>
      <c r="D1718" s="1"/>
      <c r="E1718" s="1"/>
      <c r="F1718" s="1"/>
      <c r="G1718" s="1"/>
      <c r="H1718" s="1"/>
      <c r="I1718" s="2"/>
      <c r="J1718" s="1"/>
      <c r="K1718" s="1"/>
      <c r="L1718" s="1"/>
      <c r="M1718" s="3"/>
      <c r="N1718" s="1"/>
      <c r="P1718" s="11">
        <f>IFERROR(VLOOKUP($A1719,'PROGRAMA MES '!$A:$B,2,0),0)</f>
        <v>0</v>
      </c>
    </row>
    <row r="1719" spans="1:16" x14ac:dyDescent="0.25">
      <c r="A1719" s="89" t="str">
        <f>B1719</f>
        <v>SP9117VD</v>
      </c>
      <c r="B1719" s="17" t="s">
        <v>1176</v>
      </c>
      <c r="C1719" s="17" t="s">
        <v>1177</v>
      </c>
      <c r="D1719" s="17">
        <v>51</v>
      </c>
      <c r="E1719" s="17" t="s">
        <v>101</v>
      </c>
      <c r="F1719" s="17">
        <v>1</v>
      </c>
      <c r="G1719" s="17" t="s">
        <v>16</v>
      </c>
      <c r="H1719" s="17" t="s">
        <v>17</v>
      </c>
      <c r="I1719" s="18">
        <v>4001283</v>
      </c>
      <c r="J1719" s="17" t="s">
        <v>602</v>
      </c>
      <c r="K1719" s="17">
        <v>99</v>
      </c>
      <c r="L1719" s="17" t="s">
        <v>15</v>
      </c>
      <c r="M1719" s="17">
        <v>834</v>
      </c>
      <c r="N1719" s="17" t="s">
        <v>1</v>
      </c>
      <c r="O1719" s="20">
        <f t="shared" ref="O1719:O1723" si="419">M1719/10000</f>
        <v>8.3400000000000002E-2</v>
      </c>
      <c r="P1719" s="21">
        <f>O1719*$P$1718</f>
        <v>0</v>
      </c>
    </row>
    <row r="1720" spans="1:16" x14ac:dyDescent="0.25">
      <c r="A1720" s="91"/>
      <c r="B1720" s="13" t="s">
        <v>1176</v>
      </c>
      <c r="C1720" s="13" t="s">
        <v>1177</v>
      </c>
      <c r="D1720" s="13">
        <v>51</v>
      </c>
      <c r="E1720" s="13" t="s">
        <v>101</v>
      </c>
      <c r="F1720" s="13">
        <v>1</v>
      </c>
      <c r="G1720" s="13" t="s">
        <v>16</v>
      </c>
      <c r="H1720" s="13" t="s">
        <v>17</v>
      </c>
      <c r="I1720" s="14">
        <v>4002546</v>
      </c>
      <c r="J1720" s="13" t="s">
        <v>179</v>
      </c>
      <c r="K1720" s="13">
        <v>99</v>
      </c>
      <c r="L1720" s="13" t="s">
        <v>15</v>
      </c>
      <c r="M1720" s="13">
        <v>834</v>
      </c>
      <c r="N1720" s="13" t="s">
        <v>1</v>
      </c>
      <c r="O1720" s="16">
        <f t="shared" si="419"/>
        <v>8.3400000000000002E-2</v>
      </c>
      <c r="P1720" s="22">
        <f t="shared" ref="P1720:P1723" si="420">O1720*$P$1718</f>
        <v>0</v>
      </c>
    </row>
    <row r="1721" spans="1:16" x14ac:dyDescent="0.25">
      <c r="A1721" s="91"/>
      <c r="B1721" s="13" t="s">
        <v>1176</v>
      </c>
      <c r="C1721" s="13" t="s">
        <v>1177</v>
      </c>
      <c r="D1721" s="13">
        <v>51</v>
      </c>
      <c r="E1721" s="13" t="s">
        <v>101</v>
      </c>
      <c r="F1721" s="13">
        <v>1</v>
      </c>
      <c r="G1721" s="13" t="s">
        <v>16</v>
      </c>
      <c r="H1721" s="13" t="s">
        <v>17</v>
      </c>
      <c r="I1721" s="14">
        <v>4002826</v>
      </c>
      <c r="J1721" s="13" t="s">
        <v>4</v>
      </c>
      <c r="K1721" s="13">
        <v>99</v>
      </c>
      <c r="L1721" s="13" t="s">
        <v>15</v>
      </c>
      <c r="M1721" s="13">
        <v>11</v>
      </c>
      <c r="N1721" s="13" t="s">
        <v>1</v>
      </c>
      <c r="O1721" s="16">
        <f t="shared" si="419"/>
        <v>1.1000000000000001E-3</v>
      </c>
      <c r="P1721" s="22">
        <f t="shared" si="420"/>
        <v>0</v>
      </c>
    </row>
    <row r="1722" spans="1:16" x14ac:dyDescent="0.25">
      <c r="A1722" s="91"/>
      <c r="B1722" s="13" t="s">
        <v>1176</v>
      </c>
      <c r="C1722" s="13" t="s">
        <v>1177</v>
      </c>
      <c r="D1722" s="13">
        <v>51</v>
      </c>
      <c r="E1722" s="13" t="s">
        <v>101</v>
      </c>
      <c r="F1722" s="13">
        <v>1</v>
      </c>
      <c r="G1722" s="13" t="s">
        <v>16</v>
      </c>
      <c r="H1722" s="13" t="s">
        <v>17</v>
      </c>
      <c r="I1722" s="14">
        <v>4003643</v>
      </c>
      <c r="J1722" s="13" t="s">
        <v>603</v>
      </c>
      <c r="K1722" s="13">
        <v>99</v>
      </c>
      <c r="L1722" s="13" t="s">
        <v>15</v>
      </c>
      <c r="M1722" s="15">
        <v>10000</v>
      </c>
      <c r="N1722" s="13" t="s">
        <v>1</v>
      </c>
      <c r="O1722" s="16">
        <f t="shared" si="419"/>
        <v>1</v>
      </c>
      <c r="P1722" s="22">
        <f t="shared" si="420"/>
        <v>0</v>
      </c>
    </row>
    <row r="1723" spans="1:16" ht="15.75" thickBot="1" x14ac:dyDescent="0.3">
      <c r="A1723" s="90"/>
      <c r="B1723" s="23" t="s">
        <v>1176</v>
      </c>
      <c r="C1723" s="23" t="s">
        <v>1177</v>
      </c>
      <c r="D1723" s="23">
        <v>51</v>
      </c>
      <c r="E1723" s="23" t="s">
        <v>101</v>
      </c>
      <c r="F1723" s="23">
        <v>1</v>
      </c>
      <c r="G1723" s="23" t="s">
        <v>21</v>
      </c>
      <c r="H1723" s="23" t="s">
        <v>17</v>
      </c>
      <c r="I1723" s="24" t="s">
        <v>1178</v>
      </c>
      <c r="J1723" s="23" t="s">
        <v>1179</v>
      </c>
      <c r="K1723" s="23">
        <v>3</v>
      </c>
      <c r="L1723" s="23" t="s">
        <v>24</v>
      </c>
      <c r="M1723" s="25">
        <v>10000</v>
      </c>
      <c r="N1723" s="23" t="s">
        <v>1</v>
      </c>
      <c r="O1723" s="26">
        <f t="shared" si="419"/>
        <v>1</v>
      </c>
      <c r="P1723" s="27">
        <f t="shared" si="420"/>
        <v>0</v>
      </c>
    </row>
    <row r="1724" spans="1:16" x14ac:dyDescent="0.25">
      <c r="B1724" s="1"/>
      <c r="C1724" s="1"/>
      <c r="D1724" s="1"/>
      <c r="E1724" s="1"/>
      <c r="F1724" s="1"/>
      <c r="G1724" s="1"/>
      <c r="H1724" s="1"/>
      <c r="I1724" s="2"/>
      <c r="J1724" s="1"/>
      <c r="K1724" s="1"/>
      <c r="L1724" s="1"/>
      <c r="M1724" s="3"/>
      <c r="N1724" s="1"/>
    </row>
    <row r="1725" spans="1:16" ht="15.75" thickBot="1" x14ac:dyDescent="0.3">
      <c r="B1725" s="1"/>
      <c r="C1725" s="1"/>
      <c r="D1725" s="1"/>
      <c r="E1725" s="1"/>
      <c r="F1725" s="1"/>
      <c r="G1725" s="1"/>
      <c r="H1725" s="1"/>
      <c r="I1725" s="2"/>
      <c r="J1725" s="1"/>
      <c r="K1725" s="1"/>
      <c r="L1725" s="1"/>
      <c r="M1725" s="3"/>
      <c r="N1725" s="1"/>
      <c r="P1725" s="11">
        <f>IFERROR(VLOOKUP($A1726,'PROGRAMA MES '!$A:$B,2,0),0)</f>
        <v>0</v>
      </c>
    </row>
    <row r="1726" spans="1:16" x14ac:dyDescent="0.25">
      <c r="A1726" s="89" t="str">
        <f>B1726</f>
        <v>SP9117VR</v>
      </c>
      <c r="B1726" s="17" t="s">
        <v>1180</v>
      </c>
      <c r="C1726" s="17" t="s">
        <v>1181</v>
      </c>
      <c r="D1726" s="17">
        <v>51</v>
      </c>
      <c r="E1726" s="17" t="s">
        <v>101</v>
      </c>
      <c r="F1726" s="17">
        <v>1</v>
      </c>
      <c r="G1726" s="17" t="s">
        <v>16</v>
      </c>
      <c r="H1726" s="17" t="s">
        <v>17</v>
      </c>
      <c r="I1726" s="18">
        <v>4001283</v>
      </c>
      <c r="J1726" s="17" t="s">
        <v>602</v>
      </c>
      <c r="K1726" s="17">
        <v>99</v>
      </c>
      <c r="L1726" s="17" t="s">
        <v>15</v>
      </c>
      <c r="M1726" s="17">
        <v>834</v>
      </c>
      <c r="N1726" s="17" t="s">
        <v>1</v>
      </c>
      <c r="O1726" s="20">
        <f t="shared" ref="O1726:O1730" si="421">M1726/10000</f>
        <v>8.3400000000000002E-2</v>
      </c>
      <c r="P1726" s="21">
        <f>O1726*$P$1725</f>
        <v>0</v>
      </c>
    </row>
    <row r="1727" spans="1:16" x14ac:dyDescent="0.25">
      <c r="A1727" s="91"/>
      <c r="B1727" s="13" t="s">
        <v>1180</v>
      </c>
      <c r="C1727" s="13" t="s">
        <v>1181</v>
      </c>
      <c r="D1727" s="13">
        <v>51</v>
      </c>
      <c r="E1727" s="13" t="s">
        <v>101</v>
      </c>
      <c r="F1727" s="13">
        <v>1</v>
      </c>
      <c r="G1727" s="13" t="s">
        <v>16</v>
      </c>
      <c r="H1727" s="13" t="s">
        <v>17</v>
      </c>
      <c r="I1727" s="14">
        <v>4002546</v>
      </c>
      <c r="J1727" s="13" t="s">
        <v>179</v>
      </c>
      <c r="K1727" s="13">
        <v>99</v>
      </c>
      <c r="L1727" s="13" t="s">
        <v>15</v>
      </c>
      <c r="M1727" s="13">
        <v>834</v>
      </c>
      <c r="N1727" s="13" t="s">
        <v>1</v>
      </c>
      <c r="O1727" s="16">
        <f t="shared" si="421"/>
        <v>8.3400000000000002E-2</v>
      </c>
      <c r="P1727" s="22">
        <f t="shared" ref="P1727:P1730" si="422">O1727*$P$1725</f>
        <v>0</v>
      </c>
    </row>
    <row r="1728" spans="1:16" x14ac:dyDescent="0.25">
      <c r="A1728" s="91"/>
      <c r="B1728" s="13" t="s">
        <v>1180</v>
      </c>
      <c r="C1728" s="13" t="s">
        <v>1181</v>
      </c>
      <c r="D1728" s="13">
        <v>51</v>
      </c>
      <c r="E1728" s="13" t="s">
        <v>101</v>
      </c>
      <c r="F1728" s="13">
        <v>1</v>
      </c>
      <c r="G1728" s="13" t="s">
        <v>16</v>
      </c>
      <c r="H1728" s="13" t="s">
        <v>17</v>
      </c>
      <c r="I1728" s="14">
        <v>4002826</v>
      </c>
      <c r="J1728" s="13" t="s">
        <v>4</v>
      </c>
      <c r="K1728" s="13">
        <v>99</v>
      </c>
      <c r="L1728" s="13" t="s">
        <v>15</v>
      </c>
      <c r="M1728" s="13">
        <v>11</v>
      </c>
      <c r="N1728" s="13" t="s">
        <v>1</v>
      </c>
      <c r="O1728" s="16">
        <f t="shared" si="421"/>
        <v>1.1000000000000001E-3</v>
      </c>
      <c r="P1728" s="22">
        <f t="shared" si="422"/>
        <v>0</v>
      </c>
    </row>
    <row r="1729" spans="1:16" x14ac:dyDescent="0.25">
      <c r="A1729" s="91"/>
      <c r="B1729" s="13" t="s">
        <v>1180</v>
      </c>
      <c r="C1729" s="13" t="s">
        <v>1181</v>
      </c>
      <c r="D1729" s="13">
        <v>51</v>
      </c>
      <c r="E1729" s="13" t="s">
        <v>101</v>
      </c>
      <c r="F1729" s="13">
        <v>1</v>
      </c>
      <c r="G1729" s="13" t="s">
        <v>16</v>
      </c>
      <c r="H1729" s="13" t="s">
        <v>17</v>
      </c>
      <c r="I1729" s="14">
        <v>4003643</v>
      </c>
      <c r="J1729" s="13" t="s">
        <v>603</v>
      </c>
      <c r="K1729" s="13">
        <v>99</v>
      </c>
      <c r="L1729" s="13" t="s">
        <v>15</v>
      </c>
      <c r="M1729" s="15">
        <v>10000</v>
      </c>
      <c r="N1729" s="13" t="s">
        <v>1</v>
      </c>
      <c r="O1729" s="16">
        <f t="shared" si="421"/>
        <v>1</v>
      </c>
      <c r="P1729" s="22">
        <f t="shared" si="422"/>
        <v>0</v>
      </c>
    </row>
    <row r="1730" spans="1:16" ht="15.75" thickBot="1" x14ac:dyDescent="0.3">
      <c r="A1730" s="90"/>
      <c r="B1730" s="23" t="s">
        <v>1180</v>
      </c>
      <c r="C1730" s="23" t="s">
        <v>1181</v>
      </c>
      <c r="D1730" s="23">
        <v>51</v>
      </c>
      <c r="E1730" s="23" t="s">
        <v>101</v>
      </c>
      <c r="F1730" s="23">
        <v>1</v>
      </c>
      <c r="G1730" s="23" t="s">
        <v>21</v>
      </c>
      <c r="H1730" s="23" t="s">
        <v>17</v>
      </c>
      <c r="I1730" s="24" t="s">
        <v>1182</v>
      </c>
      <c r="J1730" s="23" t="s">
        <v>1183</v>
      </c>
      <c r="K1730" s="23">
        <v>3</v>
      </c>
      <c r="L1730" s="23" t="s">
        <v>24</v>
      </c>
      <c r="M1730" s="25">
        <v>10000</v>
      </c>
      <c r="N1730" s="23" t="s">
        <v>1</v>
      </c>
      <c r="O1730" s="26">
        <f t="shared" si="421"/>
        <v>1</v>
      </c>
      <c r="P1730" s="27">
        <f t="shared" si="422"/>
        <v>0</v>
      </c>
    </row>
    <row r="1731" spans="1:16" x14ac:dyDescent="0.25">
      <c r="B1731" s="1"/>
      <c r="C1731" s="1"/>
      <c r="D1731" s="1"/>
      <c r="E1731" s="1"/>
      <c r="F1731" s="1"/>
      <c r="G1731" s="1"/>
      <c r="H1731" s="1"/>
      <c r="I1731" s="2"/>
      <c r="J1731" s="1"/>
      <c r="K1731" s="1"/>
      <c r="L1731" s="1"/>
      <c r="M1731" s="3"/>
      <c r="N1731" s="1"/>
    </row>
    <row r="1732" spans="1:16" ht="15.75" thickBot="1" x14ac:dyDescent="0.3">
      <c r="B1732" s="1"/>
      <c r="C1732" s="1"/>
      <c r="D1732" s="1"/>
      <c r="E1732" s="1"/>
      <c r="F1732" s="1"/>
      <c r="G1732" s="1"/>
      <c r="H1732" s="1"/>
      <c r="I1732" s="2"/>
      <c r="J1732" s="1"/>
      <c r="K1732" s="1"/>
      <c r="L1732" s="1"/>
      <c r="M1732" s="3"/>
      <c r="N1732" s="1"/>
      <c r="P1732" s="11">
        <f>IFERROR(VLOOKUP($A1733,'PROGRAMA MES '!$A:$B,2,0),0)</f>
        <v>0</v>
      </c>
    </row>
    <row r="1733" spans="1:16" x14ac:dyDescent="0.25">
      <c r="A1733" s="89" t="str">
        <f>B1733</f>
        <v>SP9127P</v>
      </c>
      <c r="B1733" s="17" t="s">
        <v>1184</v>
      </c>
      <c r="C1733" s="17" t="s">
        <v>1185</v>
      </c>
      <c r="D1733" s="17">
        <v>99</v>
      </c>
      <c r="E1733" s="17" t="s">
        <v>15</v>
      </c>
      <c r="F1733" s="17">
        <v>1</v>
      </c>
      <c r="G1733" s="17" t="s">
        <v>35</v>
      </c>
      <c r="H1733" s="17" t="s">
        <v>17</v>
      </c>
      <c r="I1733" s="18">
        <v>3001056</v>
      </c>
      <c r="J1733" s="17" t="s">
        <v>1186</v>
      </c>
      <c r="K1733" s="17">
        <v>99</v>
      </c>
      <c r="L1733" s="17" t="s">
        <v>15</v>
      </c>
      <c r="M1733" s="19">
        <v>10000</v>
      </c>
      <c r="N1733" s="17" t="s">
        <v>1</v>
      </c>
      <c r="O1733" s="20">
        <f t="shared" ref="O1733:O1735" si="423">M1733/10000</f>
        <v>1</v>
      </c>
      <c r="P1733" s="21">
        <f>O1733*$P$1732</f>
        <v>0</v>
      </c>
    </row>
    <row r="1734" spans="1:16" x14ac:dyDescent="0.25">
      <c r="A1734" s="91"/>
      <c r="B1734" s="13" t="s">
        <v>1184</v>
      </c>
      <c r="C1734" s="13" t="s">
        <v>1185</v>
      </c>
      <c r="D1734" s="13">
        <v>99</v>
      </c>
      <c r="E1734" s="13" t="s">
        <v>15</v>
      </c>
      <c r="F1734" s="13">
        <v>1</v>
      </c>
      <c r="G1734" s="13" t="s">
        <v>16</v>
      </c>
      <c r="H1734" s="13" t="s">
        <v>17</v>
      </c>
      <c r="I1734" s="14">
        <v>4002546</v>
      </c>
      <c r="J1734" s="13" t="s">
        <v>179</v>
      </c>
      <c r="K1734" s="13">
        <v>99</v>
      </c>
      <c r="L1734" s="13" t="s">
        <v>15</v>
      </c>
      <c r="M1734" s="13">
        <v>834</v>
      </c>
      <c r="N1734" s="13" t="s">
        <v>1</v>
      </c>
      <c r="O1734" s="16">
        <f t="shared" si="423"/>
        <v>8.3400000000000002E-2</v>
      </c>
      <c r="P1734" s="22">
        <f t="shared" ref="P1734:P1735" si="424">O1734*$P$1732</f>
        <v>0</v>
      </c>
    </row>
    <row r="1735" spans="1:16" ht="15.75" thickBot="1" x14ac:dyDescent="0.3">
      <c r="A1735" s="90"/>
      <c r="B1735" s="23" t="s">
        <v>1184</v>
      </c>
      <c r="C1735" s="23" t="s">
        <v>1185</v>
      </c>
      <c r="D1735" s="23">
        <v>99</v>
      </c>
      <c r="E1735" s="23" t="s">
        <v>15</v>
      </c>
      <c r="F1735" s="23">
        <v>1</v>
      </c>
      <c r="G1735" s="23" t="s">
        <v>16</v>
      </c>
      <c r="H1735" s="23" t="s">
        <v>17</v>
      </c>
      <c r="I1735" s="24">
        <v>4016160</v>
      </c>
      <c r="J1735" s="23" t="s">
        <v>69</v>
      </c>
      <c r="K1735" s="23">
        <v>99</v>
      </c>
      <c r="L1735" s="23" t="s">
        <v>15</v>
      </c>
      <c r="M1735" s="23">
        <v>70</v>
      </c>
      <c r="N1735" s="23" t="s">
        <v>3</v>
      </c>
      <c r="O1735" s="26">
        <f t="shared" si="423"/>
        <v>7.0000000000000001E-3</v>
      </c>
      <c r="P1735" s="27">
        <f t="shared" si="424"/>
        <v>0</v>
      </c>
    </row>
    <row r="1736" spans="1:16" x14ac:dyDescent="0.25">
      <c r="B1736" s="1"/>
      <c r="C1736" s="1"/>
      <c r="D1736" s="1"/>
      <c r="E1736" s="1"/>
      <c r="F1736" s="1"/>
      <c r="G1736" s="1"/>
      <c r="H1736" s="1"/>
      <c r="I1736" s="2"/>
      <c r="J1736" s="1"/>
      <c r="K1736" s="1"/>
      <c r="L1736" s="1"/>
      <c r="M1736" s="1"/>
      <c r="N1736" s="1"/>
    </row>
    <row r="1737" spans="1:16" ht="15.75" thickBot="1" x14ac:dyDescent="0.3">
      <c r="B1737" s="1"/>
      <c r="C1737" s="1"/>
      <c r="D1737" s="1"/>
      <c r="E1737" s="1"/>
      <c r="F1737" s="1"/>
      <c r="G1737" s="1"/>
      <c r="H1737" s="1"/>
      <c r="I1737" s="2"/>
      <c r="J1737" s="1"/>
      <c r="K1737" s="1"/>
      <c r="L1737" s="1"/>
      <c r="M1737" s="1"/>
      <c r="N1737" s="1"/>
      <c r="P1737" s="11">
        <f>IFERROR(VLOOKUP($A1738,'PROGRAMA MES '!$A:$B,2,0),0)</f>
        <v>2304</v>
      </c>
    </row>
    <row r="1738" spans="1:16" x14ac:dyDescent="0.25">
      <c r="A1738" s="89" t="str">
        <f>B1738</f>
        <v>SP9128P</v>
      </c>
      <c r="B1738" s="17" t="s">
        <v>1187</v>
      </c>
      <c r="C1738" s="17" t="s">
        <v>1188</v>
      </c>
      <c r="D1738" s="17">
        <v>99</v>
      </c>
      <c r="E1738" s="17" t="s">
        <v>15</v>
      </c>
      <c r="F1738" s="17">
        <v>1</v>
      </c>
      <c r="G1738" s="17" t="s">
        <v>35</v>
      </c>
      <c r="H1738" s="17" t="s">
        <v>17</v>
      </c>
      <c r="I1738" s="18">
        <v>3001057</v>
      </c>
      <c r="J1738" s="17" t="s">
        <v>1189</v>
      </c>
      <c r="K1738" s="17">
        <v>99</v>
      </c>
      <c r="L1738" s="17" t="s">
        <v>15</v>
      </c>
      <c r="M1738" s="19">
        <v>10000</v>
      </c>
      <c r="N1738" s="17" t="s">
        <v>1</v>
      </c>
      <c r="O1738" s="20">
        <f t="shared" ref="O1738:O1740" si="425">M1738/10000</f>
        <v>1</v>
      </c>
      <c r="P1738" s="21">
        <f>O1738*$P$1737</f>
        <v>2304</v>
      </c>
    </row>
    <row r="1739" spans="1:16" x14ac:dyDescent="0.25">
      <c r="A1739" s="91"/>
      <c r="B1739" s="13" t="s">
        <v>1187</v>
      </c>
      <c r="C1739" s="13" t="s">
        <v>1188</v>
      </c>
      <c r="D1739" s="13">
        <v>99</v>
      </c>
      <c r="E1739" s="13" t="s">
        <v>15</v>
      </c>
      <c r="F1739" s="13">
        <v>1</v>
      </c>
      <c r="G1739" s="13" t="s">
        <v>16</v>
      </c>
      <c r="H1739" s="13" t="s">
        <v>17</v>
      </c>
      <c r="I1739" s="14">
        <v>4002546</v>
      </c>
      <c r="J1739" s="13" t="s">
        <v>179</v>
      </c>
      <c r="K1739" s="13">
        <v>99</v>
      </c>
      <c r="L1739" s="13" t="s">
        <v>15</v>
      </c>
      <c r="M1739" s="13">
        <v>834</v>
      </c>
      <c r="N1739" s="13" t="s">
        <v>1</v>
      </c>
      <c r="O1739" s="16">
        <f t="shared" si="425"/>
        <v>8.3400000000000002E-2</v>
      </c>
      <c r="P1739" s="22">
        <f t="shared" ref="P1739:P1740" si="426">O1739*$P$1737</f>
        <v>192.15360000000001</v>
      </c>
    </row>
    <row r="1740" spans="1:16" ht="15.75" thickBot="1" x14ac:dyDescent="0.3">
      <c r="A1740" s="90"/>
      <c r="B1740" s="23" t="s">
        <v>1187</v>
      </c>
      <c r="C1740" s="23" t="s">
        <v>1188</v>
      </c>
      <c r="D1740" s="23">
        <v>99</v>
      </c>
      <c r="E1740" s="23" t="s">
        <v>15</v>
      </c>
      <c r="F1740" s="23">
        <v>1</v>
      </c>
      <c r="G1740" s="23" t="s">
        <v>16</v>
      </c>
      <c r="H1740" s="23" t="s">
        <v>17</v>
      </c>
      <c r="I1740" s="24">
        <v>4016160</v>
      </c>
      <c r="J1740" s="23" t="s">
        <v>69</v>
      </c>
      <c r="K1740" s="23">
        <v>99</v>
      </c>
      <c r="L1740" s="23" t="s">
        <v>15</v>
      </c>
      <c r="M1740" s="23">
        <v>70</v>
      </c>
      <c r="N1740" s="23" t="s">
        <v>3</v>
      </c>
      <c r="O1740" s="26">
        <f t="shared" si="425"/>
        <v>7.0000000000000001E-3</v>
      </c>
      <c r="P1740" s="27">
        <f t="shared" si="426"/>
        <v>16.128</v>
      </c>
    </row>
    <row r="1741" spans="1:16" x14ac:dyDescent="0.25">
      <c r="B1741" s="1"/>
      <c r="C1741" s="1"/>
      <c r="D1741" s="1"/>
      <c r="E1741" s="1"/>
      <c r="F1741" s="1"/>
      <c r="G1741" s="1"/>
      <c r="H1741" s="1"/>
      <c r="I1741" s="2"/>
      <c r="J1741" s="1"/>
      <c r="K1741" s="1"/>
      <c r="L1741" s="1"/>
      <c r="M1741" s="1"/>
      <c r="N1741" s="1"/>
    </row>
    <row r="1742" spans="1:16" ht="15.75" thickBot="1" x14ac:dyDescent="0.3">
      <c r="B1742" s="1"/>
      <c r="C1742" s="1"/>
      <c r="D1742" s="1"/>
      <c r="E1742" s="1"/>
      <c r="F1742" s="1"/>
      <c r="G1742" s="1"/>
      <c r="H1742" s="1"/>
      <c r="I1742" s="2"/>
      <c r="J1742" s="1"/>
      <c r="K1742" s="1"/>
      <c r="L1742" s="1"/>
      <c r="M1742" s="1"/>
      <c r="N1742" s="1"/>
      <c r="P1742" s="11">
        <f>IFERROR(VLOOKUP($A1743,'PROGRAMA MES '!$A:$B,2,0),0)</f>
        <v>0</v>
      </c>
    </row>
    <row r="1743" spans="1:16" x14ac:dyDescent="0.25">
      <c r="A1743" s="89" t="str">
        <f>B1743</f>
        <v>SP9131P</v>
      </c>
      <c r="B1743" s="17" t="s">
        <v>1190</v>
      </c>
      <c r="C1743" s="17" t="s">
        <v>1191</v>
      </c>
      <c r="D1743" s="17">
        <v>51</v>
      </c>
      <c r="E1743" s="17" t="s">
        <v>101</v>
      </c>
      <c r="F1743" s="17">
        <v>1</v>
      </c>
      <c r="G1743" s="17" t="s">
        <v>16</v>
      </c>
      <c r="H1743" s="17" t="s">
        <v>17</v>
      </c>
      <c r="I1743" s="18">
        <v>4002546</v>
      </c>
      <c r="J1743" s="17" t="s">
        <v>179</v>
      </c>
      <c r="K1743" s="17">
        <v>99</v>
      </c>
      <c r="L1743" s="17" t="s">
        <v>15</v>
      </c>
      <c r="M1743" s="17">
        <v>834</v>
      </c>
      <c r="N1743" s="17" t="s">
        <v>1</v>
      </c>
      <c r="O1743" s="20">
        <f t="shared" ref="O1743:O1747" si="427">M1743/10000</f>
        <v>8.3400000000000002E-2</v>
      </c>
      <c r="P1743" s="21">
        <f>O1743*$P$1742</f>
        <v>0</v>
      </c>
    </row>
    <row r="1744" spans="1:16" x14ac:dyDescent="0.25">
      <c r="A1744" s="91"/>
      <c r="B1744" s="13" t="s">
        <v>1190</v>
      </c>
      <c r="C1744" s="13" t="s">
        <v>1191</v>
      </c>
      <c r="D1744" s="13">
        <v>51</v>
      </c>
      <c r="E1744" s="13" t="s">
        <v>101</v>
      </c>
      <c r="F1744" s="13">
        <v>1</v>
      </c>
      <c r="G1744" s="13" t="s">
        <v>16</v>
      </c>
      <c r="H1744" s="13" t="s">
        <v>17</v>
      </c>
      <c r="I1744" s="14">
        <v>4002826</v>
      </c>
      <c r="J1744" s="13" t="s">
        <v>4</v>
      </c>
      <c r="K1744" s="13">
        <v>99</v>
      </c>
      <c r="L1744" s="13" t="s">
        <v>15</v>
      </c>
      <c r="M1744" s="13">
        <v>7</v>
      </c>
      <c r="N1744" s="13" t="s">
        <v>1</v>
      </c>
      <c r="O1744" s="16">
        <f t="shared" si="427"/>
        <v>6.9999999999999999E-4</v>
      </c>
      <c r="P1744" s="22">
        <f t="shared" ref="P1744:P1747" si="428">O1744*$P$1742</f>
        <v>0</v>
      </c>
    </row>
    <row r="1745" spans="1:16" x14ac:dyDescent="0.25">
      <c r="A1745" s="91"/>
      <c r="B1745" s="13" t="s">
        <v>1190</v>
      </c>
      <c r="C1745" s="13" t="s">
        <v>1191</v>
      </c>
      <c r="D1745" s="13">
        <v>51</v>
      </c>
      <c r="E1745" s="13" t="s">
        <v>101</v>
      </c>
      <c r="F1745" s="13">
        <v>1</v>
      </c>
      <c r="G1745" s="13" t="s">
        <v>16</v>
      </c>
      <c r="H1745" s="13" t="s">
        <v>17</v>
      </c>
      <c r="I1745" s="14">
        <v>4013206</v>
      </c>
      <c r="J1745" s="13" t="s">
        <v>1192</v>
      </c>
      <c r="K1745" s="13">
        <v>99</v>
      </c>
      <c r="L1745" s="13" t="s">
        <v>15</v>
      </c>
      <c r="M1745" s="15">
        <v>10000</v>
      </c>
      <c r="N1745" s="13" t="s">
        <v>1</v>
      </c>
      <c r="O1745" s="16">
        <f t="shared" si="427"/>
        <v>1</v>
      </c>
      <c r="P1745" s="22">
        <f t="shared" si="428"/>
        <v>0</v>
      </c>
    </row>
    <row r="1746" spans="1:16" x14ac:dyDescent="0.25">
      <c r="A1746" s="91"/>
      <c r="B1746" s="13" t="s">
        <v>1190</v>
      </c>
      <c r="C1746" s="13" t="s">
        <v>1191</v>
      </c>
      <c r="D1746" s="13">
        <v>51</v>
      </c>
      <c r="E1746" s="13" t="s">
        <v>101</v>
      </c>
      <c r="F1746" s="13">
        <v>1</v>
      </c>
      <c r="G1746" s="13" t="s">
        <v>16</v>
      </c>
      <c r="H1746" s="13" t="s">
        <v>17</v>
      </c>
      <c r="I1746" s="14">
        <v>4013310</v>
      </c>
      <c r="J1746" s="13" t="s">
        <v>909</v>
      </c>
      <c r="K1746" s="13">
        <v>99</v>
      </c>
      <c r="L1746" s="13" t="s">
        <v>15</v>
      </c>
      <c r="M1746" s="13">
        <v>834</v>
      </c>
      <c r="N1746" s="13" t="s">
        <v>1</v>
      </c>
      <c r="O1746" s="16">
        <f t="shared" si="427"/>
        <v>8.3400000000000002E-2</v>
      </c>
      <c r="P1746" s="22">
        <f t="shared" si="428"/>
        <v>0</v>
      </c>
    </row>
    <row r="1747" spans="1:16" ht="15.75" thickBot="1" x14ac:dyDescent="0.3">
      <c r="A1747" s="90"/>
      <c r="B1747" s="23" t="s">
        <v>1190</v>
      </c>
      <c r="C1747" s="23" t="s">
        <v>1191</v>
      </c>
      <c r="D1747" s="23">
        <v>51</v>
      </c>
      <c r="E1747" s="23" t="s">
        <v>101</v>
      </c>
      <c r="F1747" s="23">
        <v>1</v>
      </c>
      <c r="G1747" s="23" t="s">
        <v>21</v>
      </c>
      <c r="H1747" s="23" t="s">
        <v>17</v>
      </c>
      <c r="I1747" s="24" t="s">
        <v>1193</v>
      </c>
      <c r="J1747" s="23" t="s">
        <v>1194</v>
      </c>
      <c r="K1747" s="23">
        <v>3</v>
      </c>
      <c r="L1747" s="23" t="s">
        <v>24</v>
      </c>
      <c r="M1747" s="25">
        <v>10000</v>
      </c>
      <c r="N1747" s="23" t="s">
        <v>1</v>
      </c>
      <c r="O1747" s="26">
        <f t="shared" si="427"/>
        <v>1</v>
      </c>
      <c r="P1747" s="27">
        <f t="shared" si="428"/>
        <v>0</v>
      </c>
    </row>
    <row r="1748" spans="1:16" x14ac:dyDescent="0.25">
      <c r="B1748" s="1"/>
      <c r="C1748" s="1"/>
      <c r="D1748" s="1"/>
      <c r="E1748" s="1"/>
      <c r="F1748" s="1"/>
      <c r="G1748" s="1"/>
      <c r="H1748" s="1"/>
      <c r="I1748" s="2"/>
      <c r="J1748" s="1"/>
      <c r="K1748" s="1"/>
      <c r="L1748" s="1"/>
      <c r="M1748" s="3"/>
      <c r="N1748" s="1"/>
    </row>
    <row r="1749" spans="1:16" ht="15.75" thickBot="1" x14ac:dyDescent="0.3">
      <c r="B1749" s="1"/>
      <c r="C1749" s="1"/>
      <c r="D1749" s="1"/>
      <c r="E1749" s="1"/>
      <c r="F1749" s="1"/>
      <c r="G1749" s="1"/>
      <c r="H1749" s="1"/>
      <c r="I1749" s="2"/>
      <c r="J1749" s="1"/>
      <c r="K1749" s="1"/>
      <c r="L1749" s="1"/>
      <c r="M1749" s="3"/>
      <c r="N1749" s="1"/>
      <c r="P1749" s="11">
        <f>IFERROR(VLOOKUP($A1750,'PROGRAMA MES '!$A:$B,2,0),0)</f>
        <v>0</v>
      </c>
    </row>
    <row r="1750" spans="1:16" x14ac:dyDescent="0.25">
      <c r="A1750" s="89" t="str">
        <f>B1750</f>
        <v>SP9134P</v>
      </c>
      <c r="B1750" s="17" t="s">
        <v>1195</v>
      </c>
      <c r="C1750" s="17" t="s">
        <v>1196</v>
      </c>
      <c r="D1750" s="17">
        <v>51</v>
      </c>
      <c r="E1750" s="17" t="s">
        <v>101</v>
      </c>
      <c r="F1750" s="17">
        <v>1</v>
      </c>
      <c r="G1750" s="17" t="s">
        <v>35</v>
      </c>
      <c r="H1750" s="17" t="s">
        <v>17</v>
      </c>
      <c r="I1750" s="18">
        <v>3005132</v>
      </c>
      <c r="J1750" s="17" t="s">
        <v>1197</v>
      </c>
      <c r="K1750" s="17">
        <v>99</v>
      </c>
      <c r="L1750" s="17" t="s">
        <v>15</v>
      </c>
      <c r="M1750" s="19">
        <v>1000</v>
      </c>
      <c r="N1750" s="17" t="s">
        <v>3</v>
      </c>
      <c r="O1750" s="20">
        <f t="shared" ref="O1750:O1753" si="429">M1750/10000</f>
        <v>0.1</v>
      </c>
      <c r="P1750" s="21">
        <f>O1750*$P$1749</f>
        <v>0</v>
      </c>
    </row>
    <row r="1751" spans="1:16" x14ac:dyDescent="0.25">
      <c r="A1751" s="91"/>
      <c r="B1751" s="13" t="s">
        <v>1195</v>
      </c>
      <c r="C1751" s="13" t="s">
        <v>1196</v>
      </c>
      <c r="D1751" s="13">
        <v>51</v>
      </c>
      <c r="E1751" s="13" t="s">
        <v>101</v>
      </c>
      <c r="F1751" s="13">
        <v>1</v>
      </c>
      <c r="G1751" s="13" t="s">
        <v>16</v>
      </c>
      <c r="H1751" s="13" t="s">
        <v>17</v>
      </c>
      <c r="I1751" s="14">
        <v>4013310</v>
      </c>
      <c r="J1751" s="13" t="s">
        <v>909</v>
      </c>
      <c r="K1751" s="13">
        <v>99</v>
      </c>
      <c r="L1751" s="13" t="s">
        <v>15</v>
      </c>
      <c r="M1751" s="13">
        <v>834</v>
      </c>
      <c r="N1751" s="13" t="s">
        <v>1</v>
      </c>
      <c r="O1751" s="16">
        <f t="shared" si="429"/>
        <v>8.3400000000000002E-2</v>
      </c>
      <c r="P1751" s="22">
        <f t="shared" ref="P1751:P1753" si="430">O1751*$P$1749</f>
        <v>0</v>
      </c>
    </row>
    <row r="1752" spans="1:16" x14ac:dyDescent="0.25">
      <c r="A1752" s="91"/>
      <c r="B1752" s="13" t="s">
        <v>1195</v>
      </c>
      <c r="C1752" s="13" t="s">
        <v>1196</v>
      </c>
      <c r="D1752" s="13">
        <v>51</v>
      </c>
      <c r="E1752" s="13" t="s">
        <v>101</v>
      </c>
      <c r="F1752" s="13">
        <v>1</v>
      </c>
      <c r="G1752" s="13" t="s">
        <v>16</v>
      </c>
      <c r="H1752" s="13" t="s">
        <v>17</v>
      </c>
      <c r="I1752" s="14">
        <v>4013886</v>
      </c>
      <c r="J1752" s="13" t="s">
        <v>1198</v>
      </c>
      <c r="K1752" s="13">
        <v>99</v>
      </c>
      <c r="L1752" s="13" t="s">
        <v>15</v>
      </c>
      <c r="M1752" s="15">
        <v>10000</v>
      </c>
      <c r="N1752" s="13" t="s">
        <v>1</v>
      </c>
      <c r="O1752" s="16">
        <f t="shared" si="429"/>
        <v>1</v>
      </c>
      <c r="P1752" s="22">
        <f t="shared" si="430"/>
        <v>0</v>
      </c>
    </row>
    <row r="1753" spans="1:16" ht="15.75" thickBot="1" x14ac:dyDescent="0.3">
      <c r="A1753" s="90"/>
      <c r="B1753" s="23" t="s">
        <v>1195</v>
      </c>
      <c r="C1753" s="23" t="s">
        <v>1196</v>
      </c>
      <c r="D1753" s="23">
        <v>51</v>
      </c>
      <c r="E1753" s="23" t="s">
        <v>101</v>
      </c>
      <c r="F1753" s="23">
        <v>1</v>
      </c>
      <c r="G1753" s="23" t="s">
        <v>21</v>
      </c>
      <c r="H1753" s="23" t="s">
        <v>17</v>
      </c>
      <c r="I1753" s="24" t="s">
        <v>1199</v>
      </c>
      <c r="J1753" s="23" t="s">
        <v>1200</v>
      </c>
      <c r="K1753" s="23">
        <v>3</v>
      </c>
      <c r="L1753" s="23" t="s">
        <v>24</v>
      </c>
      <c r="M1753" s="25">
        <v>10000</v>
      </c>
      <c r="N1753" s="23" t="s">
        <v>1</v>
      </c>
      <c r="O1753" s="26">
        <f t="shared" si="429"/>
        <v>1</v>
      </c>
      <c r="P1753" s="27">
        <f t="shared" si="430"/>
        <v>0</v>
      </c>
    </row>
    <row r="1754" spans="1:16" x14ac:dyDescent="0.25">
      <c r="B1754" s="1"/>
      <c r="C1754" s="1"/>
      <c r="D1754" s="1"/>
      <c r="E1754" s="1"/>
      <c r="F1754" s="1"/>
      <c r="G1754" s="1"/>
      <c r="H1754" s="1"/>
      <c r="I1754" s="2"/>
      <c r="J1754" s="1"/>
      <c r="K1754" s="1"/>
      <c r="L1754" s="1"/>
      <c r="M1754" s="3"/>
      <c r="N1754" s="1"/>
    </row>
    <row r="1755" spans="1:16" ht="15.75" thickBot="1" x14ac:dyDescent="0.3">
      <c r="B1755" s="1"/>
      <c r="C1755" s="1"/>
      <c r="D1755" s="1"/>
      <c r="E1755" s="1"/>
      <c r="F1755" s="1"/>
      <c r="G1755" s="1"/>
      <c r="H1755" s="1"/>
      <c r="I1755" s="2"/>
      <c r="J1755" s="1"/>
      <c r="K1755" s="1"/>
      <c r="L1755" s="1"/>
      <c r="M1755" s="3"/>
      <c r="N1755" s="1"/>
      <c r="P1755" s="11">
        <f>IFERROR(VLOOKUP($A1756,'PROGRAMA MES '!$A:$B,2,0),0)</f>
        <v>3600</v>
      </c>
    </row>
    <row r="1756" spans="1:16" x14ac:dyDescent="0.25">
      <c r="A1756" s="89" t="str">
        <f>B1756</f>
        <v>SP9135P</v>
      </c>
      <c r="B1756" s="17" t="s">
        <v>1201</v>
      </c>
      <c r="C1756" s="17" t="s">
        <v>1202</v>
      </c>
      <c r="D1756" s="17">
        <v>99</v>
      </c>
      <c r="E1756" s="17" t="s">
        <v>15</v>
      </c>
      <c r="F1756" s="17">
        <v>1</v>
      </c>
      <c r="G1756" s="17" t="s">
        <v>35</v>
      </c>
      <c r="H1756" s="17" t="s">
        <v>17</v>
      </c>
      <c r="I1756" s="18">
        <v>3005114</v>
      </c>
      <c r="J1756" s="17" t="s">
        <v>1203</v>
      </c>
      <c r="K1756" s="17">
        <v>99</v>
      </c>
      <c r="L1756" s="17" t="s">
        <v>15</v>
      </c>
      <c r="M1756" s="19">
        <v>1240</v>
      </c>
      <c r="N1756" s="17" t="s">
        <v>3</v>
      </c>
      <c r="O1756" s="20">
        <f t="shared" ref="O1756:O1759" si="431">M1756/10000</f>
        <v>0.124</v>
      </c>
      <c r="P1756" s="21">
        <f>O1756*$P$1755</f>
        <v>446.4</v>
      </c>
    </row>
    <row r="1757" spans="1:16" x14ac:dyDescent="0.25">
      <c r="A1757" s="91"/>
      <c r="B1757" s="13" t="s">
        <v>1201</v>
      </c>
      <c r="C1757" s="13" t="s">
        <v>1202</v>
      </c>
      <c r="D1757" s="13">
        <v>99</v>
      </c>
      <c r="E1757" s="13" t="s">
        <v>15</v>
      </c>
      <c r="F1757" s="13">
        <v>1</v>
      </c>
      <c r="G1757" s="13" t="s">
        <v>16</v>
      </c>
      <c r="H1757" s="13" t="s">
        <v>17</v>
      </c>
      <c r="I1757" s="14">
        <v>4013310</v>
      </c>
      <c r="J1757" s="13" t="s">
        <v>909</v>
      </c>
      <c r="K1757" s="13">
        <v>99</v>
      </c>
      <c r="L1757" s="13" t="s">
        <v>15</v>
      </c>
      <c r="M1757" s="13">
        <v>834</v>
      </c>
      <c r="N1757" s="13" t="s">
        <v>1</v>
      </c>
      <c r="O1757" s="16">
        <f t="shared" si="431"/>
        <v>8.3400000000000002E-2</v>
      </c>
      <c r="P1757" s="22">
        <f t="shared" ref="P1757:P1759" si="432">O1757*$P$1755</f>
        <v>300.24</v>
      </c>
    </row>
    <row r="1758" spans="1:16" x14ac:dyDescent="0.25">
      <c r="A1758" s="91"/>
      <c r="B1758" s="13" t="s">
        <v>1201</v>
      </c>
      <c r="C1758" s="13" t="s">
        <v>1202</v>
      </c>
      <c r="D1758" s="13">
        <v>99</v>
      </c>
      <c r="E1758" s="13" t="s">
        <v>15</v>
      </c>
      <c r="F1758" s="13">
        <v>1</v>
      </c>
      <c r="G1758" s="13" t="s">
        <v>16</v>
      </c>
      <c r="H1758" s="13" t="s">
        <v>17</v>
      </c>
      <c r="I1758" s="14">
        <v>4013821</v>
      </c>
      <c r="J1758" s="13" t="s">
        <v>1204</v>
      </c>
      <c r="K1758" s="13">
        <v>99</v>
      </c>
      <c r="L1758" s="13" t="s">
        <v>15</v>
      </c>
      <c r="M1758" s="15">
        <v>10000</v>
      </c>
      <c r="N1758" s="13" t="s">
        <v>1</v>
      </c>
      <c r="O1758" s="16">
        <f t="shared" si="431"/>
        <v>1</v>
      </c>
      <c r="P1758" s="22">
        <f t="shared" si="432"/>
        <v>3600</v>
      </c>
    </row>
    <row r="1759" spans="1:16" ht="15.75" thickBot="1" x14ac:dyDescent="0.3">
      <c r="A1759" s="90"/>
      <c r="B1759" s="23" t="s">
        <v>1201</v>
      </c>
      <c r="C1759" s="23" t="s">
        <v>1202</v>
      </c>
      <c r="D1759" s="23">
        <v>99</v>
      </c>
      <c r="E1759" s="23" t="s">
        <v>15</v>
      </c>
      <c r="F1759" s="23">
        <v>1</v>
      </c>
      <c r="G1759" s="23" t="s">
        <v>21</v>
      </c>
      <c r="H1759" s="23" t="s">
        <v>17</v>
      </c>
      <c r="I1759" s="24" t="s">
        <v>1205</v>
      </c>
      <c r="J1759" s="23" t="s">
        <v>1206</v>
      </c>
      <c r="K1759" s="23">
        <v>56</v>
      </c>
      <c r="L1759" s="23" t="s">
        <v>772</v>
      </c>
      <c r="M1759" s="25">
        <v>10000</v>
      </c>
      <c r="N1759" s="23" t="s">
        <v>1</v>
      </c>
      <c r="O1759" s="26">
        <f t="shared" si="431"/>
        <v>1</v>
      </c>
      <c r="P1759" s="27">
        <f t="shared" si="432"/>
        <v>3600</v>
      </c>
    </row>
    <row r="1760" spans="1:16" x14ac:dyDescent="0.25">
      <c r="B1760" s="1"/>
      <c r="C1760" s="1"/>
      <c r="D1760" s="1"/>
      <c r="E1760" s="1"/>
      <c r="F1760" s="1"/>
      <c r="G1760" s="1"/>
      <c r="H1760" s="1"/>
      <c r="I1760" s="2"/>
      <c r="J1760" s="1"/>
      <c r="K1760" s="1"/>
      <c r="L1760" s="1"/>
      <c r="M1760" s="3"/>
      <c r="N1760" s="1"/>
    </row>
    <row r="1761" spans="1:16" ht="15.75" thickBot="1" x14ac:dyDescent="0.3">
      <c r="B1761" s="1"/>
      <c r="C1761" s="1"/>
      <c r="D1761" s="1"/>
      <c r="E1761" s="1"/>
      <c r="F1761" s="1"/>
      <c r="G1761" s="1"/>
      <c r="H1761" s="1"/>
      <c r="I1761" s="2"/>
      <c r="J1761" s="1"/>
      <c r="K1761" s="1"/>
      <c r="L1761" s="1"/>
      <c r="M1761" s="3"/>
      <c r="N1761" s="1"/>
      <c r="P1761" s="11">
        <f>IFERROR(VLOOKUP($A1762,'PROGRAMA MES '!$A:$B,2,0),0)</f>
        <v>1440</v>
      </c>
    </row>
    <row r="1762" spans="1:16" x14ac:dyDescent="0.25">
      <c r="A1762" s="89" t="str">
        <f>B1762</f>
        <v>SP9139AM</v>
      </c>
      <c r="B1762" s="17" t="s">
        <v>1207</v>
      </c>
      <c r="C1762" s="17" t="s">
        <v>1208</v>
      </c>
      <c r="D1762" s="17">
        <v>51</v>
      </c>
      <c r="E1762" s="17" t="s">
        <v>101</v>
      </c>
      <c r="F1762" s="17">
        <v>1</v>
      </c>
      <c r="G1762" s="17" t="s">
        <v>16</v>
      </c>
      <c r="H1762" s="17" t="s">
        <v>17</v>
      </c>
      <c r="I1762" s="18">
        <v>4000141</v>
      </c>
      <c r="J1762" s="17" t="s">
        <v>89</v>
      </c>
      <c r="K1762" s="17">
        <v>99</v>
      </c>
      <c r="L1762" s="17" t="s">
        <v>15</v>
      </c>
      <c r="M1762" s="17">
        <v>834</v>
      </c>
      <c r="N1762" s="17" t="s">
        <v>1</v>
      </c>
      <c r="O1762" s="20">
        <f t="shared" ref="O1762:O1766" si="433">M1762/10000</f>
        <v>8.3400000000000002E-2</v>
      </c>
      <c r="P1762" s="21">
        <f>O1762*$P$1761</f>
        <v>120.096</v>
      </c>
    </row>
    <row r="1763" spans="1:16" x14ac:dyDescent="0.25">
      <c r="A1763" s="91"/>
      <c r="B1763" s="13" t="s">
        <v>1207</v>
      </c>
      <c r="C1763" s="13" t="s">
        <v>1208</v>
      </c>
      <c r="D1763" s="13">
        <v>51</v>
      </c>
      <c r="E1763" s="13" t="s">
        <v>101</v>
      </c>
      <c r="F1763" s="13">
        <v>1</v>
      </c>
      <c r="G1763" s="13" t="s">
        <v>16</v>
      </c>
      <c r="H1763" s="13" t="s">
        <v>17</v>
      </c>
      <c r="I1763" s="14">
        <v>4001362</v>
      </c>
      <c r="J1763" s="13" t="s">
        <v>90</v>
      </c>
      <c r="K1763" s="13">
        <v>99</v>
      </c>
      <c r="L1763" s="13" t="s">
        <v>15</v>
      </c>
      <c r="M1763" s="13">
        <v>834</v>
      </c>
      <c r="N1763" s="13" t="s">
        <v>1</v>
      </c>
      <c r="O1763" s="16">
        <f t="shared" si="433"/>
        <v>8.3400000000000002E-2</v>
      </c>
      <c r="P1763" s="22">
        <f t="shared" ref="P1763:P1766" si="434">O1763*$P$1761</f>
        <v>120.096</v>
      </c>
    </row>
    <row r="1764" spans="1:16" x14ac:dyDescent="0.25">
      <c r="A1764" s="91"/>
      <c r="B1764" s="13" t="s">
        <v>1207</v>
      </c>
      <c r="C1764" s="13" t="s">
        <v>1208</v>
      </c>
      <c r="D1764" s="13">
        <v>51</v>
      </c>
      <c r="E1764" s="13" t="s">
        <v>101</v>
      </c>
      <c r="F1764" s="13">
        <v>1</v>
      </c>
      <c r="G1764" s="13" t="s">
        <v>16</v>
      </c>
      <c r="H1764" s="13" t="s">
        <v>17</v>
      </c>
      <c r="I1764" s="14">
        <v>4002826</v>
      </c>
      <c r="J1764" s="13" t="s">
        <v>4</v>
      </c>
      <c r="K1764" s="13">
        <v>99</v>
      </c>
      <c r="L1764" s="13" t="s">
        <v>15</v>
      </c>
      <c r="M1764" s="13">
        <v>10</v>
      </c>
      <c r="N1764" s="13" t="s">
        <v>1</v>
      </c>
      <c r="O1764" s="16">
        <f t="shared" si="433"/>
        <v>1E-3</v>
      </c>
      <c r="P1764" s="22">
        <f t="shared" si="434"/>
        <v>1.44</v>
      </c>
    </row>
    <row r="1765" spans="1:16" x14ac:dyDescent="0.25">
      <c r="A1765" s="91"/>
      <c r="B1765" s="13" t="s">
        <v>1207</v>
      </c>
      <c r="C1765" s="13" t="s">
        <v>1208</v>
      </c>
      <c r="D1765" s="13">
        <v>51</v>
      </c>
      <c r="E1765" s="13" t="s">
        <v>101</v>
      </c>
      <c r="F1765" s="13">
        <v>1</v>
      </c>
      <c r="G1765" s="13" t="s">
        <v>16</v>
      </c>
      <c r="H1765" s="13" t="s">
        <v>17</v>
      </c>
      <c r="I1765" s="14">
        <v>4014911</v>
      </c>
      <c r="J1765" s="13" t="s">
        <v>1209</v>
      </c>
      <c r="K1765" s="13">
        <v>99</v>
      </c>
      <c r="L1765" s="13" t="s">
        <v>15</v>
      </c>
      <c r="M1765" s="15">
        <v>10000</v>
      </c>
      <c r="N1765" s="13" t="s">
        <v>1</v>
      </c>
      <c r="O1765" s="16">
        <f t="shared" si="433"/>
        <v>1</v>
      </c>
      <c r="P1765" s="22">
        <f t="shared" si="434"/>
        <v>1440</v>
      </c>
    </row>
    <row r="1766" spans="1:16" ht="15.75" thickBot="1" x14ac:dyDescent="0.3">
      <c r="A1766" s="90"/>
      <c r="B1766" s="23" t="s">
        <v>1207</v>
      </c>
      <c r="C1766" s="23" t="s">
        <v>1208</v>
      </c>
      <c r="D1766" s="23">
        <v>51</v>
      </c>
      <c r="E1766" s="23" t="s">
        <v>101</v>
      </c>
      <c r="F1766" s="23">
        <v>1</v>
      </c>
      <c r="G1766" s="23" t="s">
        <v>21</v>
      </c>
      <c r="H1766" s="23" t="s">
        <v>17</v>
      </c>
      <c r="I1766" s="24" t="s">
        <v>1210</v>
      </c>
      <c r="J1766" s="23" t="s">
        <v>1211</v>
      </c>
      <c r="K1766" s="23">
        <v>3</v>
      </c>
      <c r="L1766" s="23" t="s">
        <v>24</v>
      </c>
      <c r="M1766" s="25">
        <v>10000</v>
      </c>
      <c r="N1766" s="23" t="s">
        <v>1</v>
      </c>
      <c r="O1766" s="26">
        <f t="shared" si="433"/>
        <v>1</v>
      </c>
      <c r="P1766" s="27">
        <f t="shared" si="434"/>
        <v>1440</v>
      </c>
    </row>
    <row r="1767" spans="1:16" x14ac:dyDescent="0.25">
      <c r="B1767" s="1"/>
      <c r="C1767" s="1"/>
      <c r="D1767" s="1"/>
      <c r="E1767" s="1"/>
      <c r="F1767" s="1"/>
      <c r="G1767" s="1"/>
      <c r="H1767" s="1"/>
      <c r="I1767" s="2"/>
      <c r="J1767" s="1"/>
      <c r="K1767" s="1"/>
      <c r="L1767" s="1"/>
      <c r="M1767" s="3"/>
      <c r="N1767" s="1"/>
    </row>
    <row r="1768" spans="1:16" ht="15.75" thickBot="1" x14ac:dyDescent="0.3">
      <c r="B1768" s="1"/>
      <c r="C1768" s="1"/>
      <c r="D1768" s="1"/>
      <c r="E1768" s="1"/>
      <c r="F1768" s="1"/>
      <c r="G1768" s="1"/>
      <c r="H1768" s="1"/>
      <c r="I1768" s="2"/>
      <c r="J1768" s="1"/>
      <c r="K1768" s="1"/>
      <c r="L1768" s="1"/>
      <c r="M1768" s="3"/>
      <c r="N1768" s="1"/>
      <c r="P1768" s="11">
        <f>IFERROR(VLOOKUP($A1769,'PROGRAMA MES '!$A:$B,2,0),0)</f>
        <v>0</v>
      </c>
    </row>
    <row r="1769" spans="1:16" x14ac:dyDescent="0.25">
      <c r="A1769" s="89" t="str">
        <f>B1769</f>
        <v>SP9139AZ</v>
      </c>
      <c r="B1769" s="17" t="s">
        <v>1212</v>
      </c>
      <c r="C1769" s="17" t="s">
        <v>1213</v>
      </c>
      <c r="D1769" s="17">
        <v>51</v>
      </c>
      <c r="E1769" s="17" t="s">
        <v>101</v>
      </c>
      <c r="F1769" s="17">
        <v>1</v>
      </c>
      <c r="G1769" s="17" t="s">
        <v>16</v>
      </c>
      <c r="H1769" s="17" t="s">
        <v>17</v>
      </c>
      <c r="I1769" s="18">
        <v>4000141</v>
      </c>
      <c r="J1769" s="17" t="s">
        <v>89</v>
      </c>
      <c r="K1769" s="17">
        <v>99</v>
      </c>
      <c r="L1769" s="17" t="s">
        <v>15</v>
      </c>
      <c r="M1769" s="17">
        <v>834</v>
      </c>
      <c r="N1769" s="17" t="s">
        <v>1</v>
      </c>
      <c r="O1769" s="20">
        <f t="shared" ref="O1769:O1773" si="435">M1769/10000</f>
        <v>8.3400000000000002E-2</v>
      </c>
      <c r="P1769" s="21">
        <f>O1769*$P$1768</f>
        <v>0</v>
      </c>
    </row>
    <row r="1770" spans="1:16" x14ac:dyDescent="0.25">
      <c r="A1770" s="91"/>
      <c r="B1770" s="13" t="s">
        <v>1212</v>
      </c>
      <c r="C1770" s="13" t="s">
        <v>1213</v>
      </c>
      <c r="D1770" s="13">
        <v>51</v>
      </c>
      <c r="E1770" s="13" t="s">
        <v>101</v>
      </c>
      <c r="F1770" s="13">
        <v>1</v>
      </c>
      <c r="G1770" s="13" t="s">
        <v>16</v>
      </c>
      <c r="H1770" s="13" t="s">
        <v>17</v>
      </c>
      <c r="I1770" s="14">
        <v>4001362</v>
      </c>
      <c r="J1770" s="13" t="s">
        <v>90</v>
      </c>
      <c r="K1770" s="13">
        <v>99</v>
      </c>
      <c r="L1770" s="13" t="s">
        <v>15</v>
      </c>
      <c r="M1770" s="13">
        <v>834</v>
      </c>
      <c r="N1770" s="13" t="s">
        <v>1</v>
      </c>
      <c r="O1770" s="16">
        <f t="shared" si="435"/>
        <v>8.3400000000000002E-2</v>
      </c>
      <c r="P1770" s="22">
        <f t="shared" ref="P1770:P1773" si="436">O1770*$P$1768</f>
        <v>0</v>
      </c>
    </row>
    <row r="1771" spans="1:16" x14ac:dyDescent="0.25">
      <c r="A1771" s="91"/>
      <c r="B1771" s="13" t="s">
        <v>1212</v>
      </c>
      <c r="C1771" s="13" t="s">
        <v>1213</v>
      </c>
      <c r="D1771" s="13">
        <v>51</v>
      </c>
      <c r="E1771" s="13" t="s">
        <v>101</v>
      </c>
      <c r="F1771" s="13">
        <v>1</v>
      </c>
      <c r="G1771" s="13" t="s">
        <v>16</v>
      </c>
      <c r="H1771" s="13" t="s">
        <v>17</v>
      </c>
      <c r="I1771" s="14">
        <v>4002826</v>
      </c>
      <c r="J1771" s="13" t="s">
        <v>4</v>
      </c>
      <c r="K1771" s="13">
        <v>99</v>
      </c>
      <c r="L1771" s="13" t="s">
        <v>15</v>
      </c>
      <c r="M1771" s="13">
        <v>10</v>
      </c>
      <c r="N1771" s="13" t="s">
        <v>1</v>
      </c>
      <c r="O1771" s="16">
        <f t="shared" si="435"/>
        <v>1E-3</v>
      </c>
      <c r="P1771" s="22">
        <f t="shared" si="436"/>
        <v>0</v>
      </c>
    </row>
    <row r="1772" spans="1:16" x14ac:dyDescent="0.25">
      <c r="A1772" s="91"/>
      <c r="B1772" s="13" t="s">
        <v>1212</v>
      </c>
      <c r="C1772" s="13" t="s">
        <v>1213</v>
      </c>
      <c r="D1772" s="13">
        <v>51</v>
      </c>
      <c r="E1772" s="13" t="s">
        <v>101</v>
      </c>
      <c r="F1772" s="13">
        <v>1</v>
      </c>
      <c r="G1772" s="13" t="s">
        <v>16</v>
      </c>
      <c r="H1772" s="13" t="s">
        <v>17</v>
      </c>
      <c r="I1772" s="14">
        <v>4014910</v>
      </c>
      <c r="J1772" s="13" t="s">
        <v>1214</v>
      </c>
      <c r="K1772" s="13">
        <v>99</v>
      </c>
      <c r="L1772" s="13" t="s">
        <v>15</v>
      </c>
      <c r="M1772" s="15">
        <v>10000</v>
      </c>
      <c r="N1772" s="13" t="s">
        <v>1</v>
      </c>
      <c r="O1772" s="16">
        <f t="shared" si="435"/>
        <v>1</v>
      </c>
      <c r="P1772" s="22">
        <f t="shared" si="436"/>
        <v>0</v>
      </c>
    </row>
    <row r="1773" spans="1:16" ht="15.75" thickBot="1" x14ac:dyDescent="0.3">
      <c r="A1773" s="90"/>
      <c r="B1773" s="23" t="s">
        <v>1212</v>
      </c>
      <c r="C1773" s="23" t="s">
        <v>1213</v>
      </c>
      <c r="D1773" s="23">
        <v>51</v>
      </c>
      <c r="E1773" s="23" t="s">
        <v>101</v>
      </c>
      <c r="F1773" s="23">
        <v>1</v>
      </c>
      <c r="G1773" s="23" t="s">
        <v>21</v>
      </c>
      <c r="H1773" s="23" t="s">
        <v>17</v>
      </c>
      <c r="I1773" s="24" t="s">
        <v>1215</v>
      </c>
      <c r="J1773" s="23" t="s">
        <v>1216</v>
      </c>
      <c r="K1773" s="23">
        <v>3</v>
      </c>
      <c r="L1773" s="23" t="s">
        <v>24</v>
      </c>
      <c r="M1773" s="25">
        <v>10000</v>
      </c>
      <c r="N1773" s="23" t="s">
        <v>1</v>
      </c>
      <c r="O1773" s="26">
        <f t="shared" si="435"/>
        <v>1</v>
      </c>
      <c r="P1773" s="27">
        <f t="shared" si="436"/>
        <v>0</v>
      </c>
    </row>
    <row r="1774" spans="1:16" x14ac:dyDescent="0.25">
      <c r="B1774" s="1"/>
      <c r="C1774" s="1"/>
      <c r="D1774" s="1"/>
      <c r="E1774" s="1"/>
      <c r="F1774" s="1"/>
      <c r="G1774" s="1"/>
      <c r="H1774" s="1"/>
      <c r="I1774" s="2"/>
      <c r="J1774" s="1"/>
      <c r="K1774" s="1"/>
      <c r="L1774" s="1"/>
      <c r="M1774" s="3"/>
      <c r="N1774" s="1"/>
    </row>
    <row r="1775" spans="1:16" ht="15.75" thickBot="1" x14ac:dyDescent="0.3">
      <c r="B1775" s="1"/>
      <c r="C1775" s="1"/>
      <c r="D1775" s="1"/>
      <c r="E1775" s="1"/>
      <c r="F1775" s="1"/>
      <c r="G1775" s="1"/>
      <c r="H1775" s="1"/>
      <c r="I1775" s="2"/>
      <c r="J1775" s="1"/>
      <c r="K1775" s="1"/>
      <c r="L1775" s="1"/>
      <c r="M1775" s="3"/>
      <c r="N1775" s="1"/>
      <c r="P1775" s="11">
        <f>IFERROR(VLOOKUP($A1776,'PROGRAMA MES '!$A:$B,2,0),0)</f>
        <v>528</v>
      </c>
    </row>
    <row r="1776" spans="1:16" x14ac:dyDescent="0.25">
      <c r="A1776" s="89" t="str">
        <f>B1776</f>
        <v>SP9139VD</v>
      </c>
      <c r="B1776" s="17" t="s">
        <v>1217</v>
      </c>
      <c r="C1776" s="17" t="s">
        <v>1218</v>
      </c>
      <c r="D1776" s="17">
        <v>51</v>
      </c>
      <c r="E1776" s="17" t="s">
        <v>101</v>
      </c>
      <c r="F1776" s="17">
        <v>1</v>
      </c>
      <c r="G1776" s="17" t="s">
        <v>16</v>
      </c>
      <c r="H1776" s="17" t="s">
        <v>17</v>
      </c>
      <c r="I1776" s="18">
        <v>4000141</v>
      </c>
      <c r="J1776" s="17" t="s">
        <v>89</v>
      </c>
      <c r="K1776" s="17">
        <v>99</v>
      </c>
      <c r="L1776" s="17" t="s">
        <v>15</v>
      </c>
      <c r="M1776" s="17">
        <v>834</v>
      </c>
      <c r="N1776" s="17" t="s">
        <v>1</v>
      </c>
      <c r="O1776" s="20">
        <f t="shared" ref="O1776:O1780" si="437">M1776/10000</f>
        <v>8.3400000000000002E-2</v>
      </c>
      <c r="P1776" s="21">
        <f>O1776*$P$1775</f>
        <v>44.035200000000003</v>
      </c>
    </row>
    <row r="1777" spans="1:16" x14ac:dyDescent="0.25">
      <c r="A1777" s="91"/>
      <c r="B1777" s="13" t="s">
        <v>1217</v>
      </c>
      <c r="C1777" s="13" t="s">
        <v>1218</v>
      </c>
      <c r="D1777" s="13">
        <v>51</v>
      </c>
      <c r="E1777" s="13" t="s">
        <v>101</v>
      </c>
      <c r="F1777" s="13">
        <v>1</v>
      </c>
      <c r="G1777" s="13" t="s">
        <v>16</v>
      </c>
      <c r="H1777" s="13" t="s">
        <v>17</v>
      </c>
      <c r="I1777" s="14">
        <v>4001362</v>
      </c>
      <c r="J1777" s="13" t="s">
        <v>90</v>
      </c>
      <c r="K1777" s="13">
        <v>99</v>
      </c>
      <c r="L1777" s="13" t="s">
        <v>15</v>
      </c>
      <c r="M1777" s="13">
        <v>834</v>
      </c>
      <c r="N1777" s="13" t="s">
        <v>1</v>
      </c>
      <c r="O1777" s="16">
        <f t="shared" si="437"/>
        <v>8.3400000000000002E-2</v>
      </c>
      <c r="P1777" s="22">
        <f t="shared" ref="P1777:P1780" si="438">O1777*$P$1775</f>
        <v>44.035200000000003</v>
      </c>
    </row>
    <row r="1778" spans="1:16" x14ac:dyDescent="0.25">
      <c r="A1778" s="91"/>
      <c r="B1778" s="13" t="s">
        <v>1217</v>
      </c>
      <c r="C1778" s="13" t="s">
        <v>1218</v>
      </c>
      <c r="D1778" s="13">
        <v>51</v>
      </c>
      <c r="E1778" s="13" t="s">
        <v>101</v>
      </c>
      <c r="F1778" s="13">
        <v>1</v>
      </c>
      <c r="G1778" s="13" t="s">
        <v>16</v>
      </c>
      <c r="H1778" s="13" t="s">
        <v>17</v>
      </c>
      <c r="I1778" s="14">
        <v>4002826</v>
      </c>
      <c r="J1778" s="13" t="s">
        <v>4</v>
      </c>
      <c r="K1778" s="13">
        <v>99</v>
      </c>
      <c r="L1778" s="13" t="s">
        <v>15</v>
      </c>
      <c r="M1778" s="13">
        <v>10</v>
      </c>
      <c r="N1778" s="13" t="s">
        <v>1</v>
      </c>
      <c r="O1778" s="16">
        <f t="shared" si="437"/>
        <v>1E-3</v>
      </c>
      <c r="P1778" s="22">
        <f t="shared" si="438"/>
        <v>0.52800000000000002</v>
      </c>
    </row>
    <row r="1779" spans="1:16" x14ac:dyDescent="0.25">
      <c r="A1779" s="91"/>
      <c r="B1779" s="13" t="s">
        <v>1217</v>
      </c>
      <c r="C1779" s="13" t="s">
        <v>1218</v>
      </c>
      <c r="D1779" s="13">
        <v>51</v>
      </c>
      <c r="E1779" s="13" t="s">
        <v>101</v>
      </c>
      <c r="F1779" s="13">
        <v>1</v>
      </c>
      <c r="G1779" s="13" t="s">
        <v>16</v>
      </c>
      <c r="H1779" s="13" t="s">
        <v>17</v>
      </c>
      <c r="I1779" s="14">
        <v>4014913</v>
      </c>
      <c r="J1779" s="13" t="s">
        <v>1219</v>
      </c>
      <c r="K1779" s="13">
        <v>99</v>
      </c>
      <c r="L1779" s="13" t="s">
        <v>15</v>
      </c>
      <c r="M1779" s="15">
        <v>10000</v>
      </c>
      <c r="N1779" s="13" t="s">
        <v>1</v>
      </c>
      <c r="O1779" s="16">
        <f t="shared" si="437"/>
        <v>1</v>
      </c>
      <c r="P1779" s="22">
        <f t="shared" si="438"/>
        <v>528</v>
      </c>
    </row>
    <row r="1780" spans="1:16" ht="15.75" thickBot="1" x14ac:dyDescent="0.3">
      <c r="A1780" s="90"/>
      <c r="B1780" s="23" t="s">
        <v>1217</v>
      </c>
      <c r="C1780" s="23" t="s">
        <v>1218</v>
      </c>
      <c r="D1780" s="23">
        <v>51</v>
      </c>
      <c r="E1780" s="23" t="s">
        <v>101</v>
      </c>
      <c r="F1780" s="23">
        <v>1</v>
      </c>
      <c r="G1780" s="23" t="s">
        <v>21</v>
      </c>
      <c r="H1780" s="23" t="s">
        <v>17</v>
      </c>
      <c r="I1780" s="24" t="s">
        <v>1220</v>
      </c>
      <c r="J1780" s="23" t="s">
        <v>1221</v>
      </c>
      <c r="K1780" s="23">
        <v>3</v>
      </c>
      <c r="L1780" s="23" t="s">
        <v>24</v>
      </c>
      <c r="M1780" s="25">
        <v>10000</v>
      </c>
      <c r="N1780" s="23" t="s">
        <v>1</v>
      </c>
      <c r="O1780" s="26">
        <f t="shared" si="437"/>
        <v>1</v>
      </c>
      <c r="P1780" s="27">
        <f t="shared" si="438"/>
        <v>528</v>
      </c>
    </row>
    <row r="1781" spans="1:16" x14ac:dyDescent="0.25">
      <c r="B1781" s="1"/>
      <c r="C1781" s="1"/>
      <c r="D1781" s="1"/>
      <c r="E1781" s="1"/>
      <c r="F1781" s="1"/>
      <c r="G1781" s="1"/>
      <c r="H1781" s="1"/>
      <c r="I1781" s="2"/>
      <c r="J1781" s="1"/>
      <c r="K1781" s="1"/>
      <c r="L1781" s="1"/>
      <c r="M1781" s="3"/>
      <c r="N1781" s="1"/>
    </row>
    <row r="1782" spans="1:16" ht="15.75" thickBot="1" x14ac:dyDescent="0.3">
      <c r="B1782" s="1"/>
      <c r="C1782" s="1"/>
      <c r="D1782" s="1"/>
      <c r="E1782" s="1"/>
      <c r="F1782" s="1"/>
      <c r="G1782" s="1"/>
      <c r="H1782" s="1"/>
      <c r="I1782" s="2"/>
      <c r="J1782" s="1"/>
      <c r="K1782" s="1"/>
      <c r="L1782" s="1"/>
      <c r="M1782" s="3"/>
      <c r="N1782" s="1"/>
      <c r="P1782" s="11">
        <f>IFERROR(VLOOKUP($A1783,'PROGRAMA MES '!$A:$B,2,0),0)</f>
        <v>0</v>
      </c>
    </row>
    <row r="1783" spans="1:16" x14ac:dyDescent="0.25">
      <c r="A1783" s="89" t="str">
        <f>B1783</f>
        <v>SP9139VR</v>
      </c>
      <c r="B1783" s="17" t="s">
        <v>1222</v>
      </c>
      <c r="C1783" s="17" t="s">
        <v>1223</v>
      </c>
      <c r="D1783" s="17">
        <v>3</v>
      </c>
      <c r="E1783" s="17" t="s">
        <v>24</v>
      </c>
      <c r="F1783" s="17">
        <v>1</v>
      </c>
      <c r="G1783" s="17" t="s">
        <v>16</v>
      </c>
      <c r="H1783" s="17" t="s">
        <v>17</v>
      </c>
      <c r="I1783" s="18">
        <v>4000141</v>
      </c>
      <c r="J1783" s="17" t="s">
        <v>89</v>
      </c>
      <c r="K1783" s="17">
        <v>99</v>
      </c>
      <c r="L1783" s="17" t="s">
        <v>15</v>
      </c>
      <c r="M1783" s="17">
        <v>834</v>
      </c>
      <c r="N1783" s="17" t="s">
        <v>1</v>
      </c>
      <c r="O1783" s="20">
        <f t="shared" ref="O1783:O1787" si="439">M1783/10000</f>
        <v>8.3400000000000002E-2</v>
      </c>
      <c r="P1783" s="21">
        <f>O1783*$P$1782</f>
        <v>0</v>
      </c>
    </row>
    <row r="1784" spans="1:16" x14ac:dyDescent="0.25">
      <c r="A1784" s="91"/>
      <c r="B1784" s="13" t="s">
        <v>1222</v>
      </c>
      <c r="C1784" s="13" t="s">
        <v>1223</v>
      </c>
      <c r="D1784" s="13">
        <v>3</v>
      </c>
      <c r="E1784" s="13" t="s">
        <v>24</v>
      </c>
      <c r="F1784" s="13">
        <v>1</v>
      </c>
      <c r="G1784" s="13" t="s">
        <v>16</v>
      </c>
      <c r="H1784" s="13" t="s">
        <v>17</v>
      </c>
      <c r="I1784" s="14">
        <v>4001362</v>
      </c>
      <c r="J1784" s="13" t="s">
        <v>90</v>
      </c>
      <c r="K1784" s="13">
        <v>99</v>
      </c>
      <c r="L1784" s="13" t="s">
        <v>15</v>
      </c>
      <c r="M1784" s="13">
        <v>834</v>
      </c>
      <c r="N1784" s="13" t="s">
        <v>1</v>
      </c>
      <c r="O1784" s="16">
        <f t="shared" si="439"/>
        <v>8.3400000000000002E-2</v>
      </c>
      <c r="P1784" s="22">
        <f t="shared" ref="P1784:P1787" si="440">O1784*$P$1782</f>
        <v>0</v>
      </c>
    </row>
    <row r="1785" spans="1:16" x14ac:dyDescent="0.25">
      <c r="A1785" s="91"/>
      <c r="B1785" s="13" t="s">
        <v>1222</v>
      </c>
      <c r="C1785" s="13" t="s">
        <v>1223</v>
      </c>
      <c r="D1785" s="13">
        <v>3</v>
      </c>
      <c r="E1785" s="13" t="s">
        <v>24</v>
      </c>
      <c r="F1785" s="13">
        <v>1</v>
      </c>
      <c r="G1785" s="13" t="s">
        <v>16</v>
      </c>
      <c r="H1785" s="13" t="s">
        <v>17</v>
      </c>
      <c r="I1785" s="14">
        <v>4002826</v>
      </c>
      <c r="J1785" s="13" t="s">
        <v>4</v>
      </c>
      <c r="K1785" s="13">
        <v>99</v>
      </c>
      <c r="L1785" s="13" t="s">
        <v>15</v>
      </c>
      <c r="M1785" s="13">
        <v>10</v>
      </c>
      <c r="N1785" s="13" t="s">
        <v>1</v>
      </c>
      <c r="O1785" s="16">
        <f t="shared" si="439"/>
        <v>1E-3</v>
      </c>
      <c r="P1785" s="22">
        <f t="shared" si="440"/>
        <v>0</v>
      </c>
    </row>
    <row r="1786" spans="1:16" x14ac:dyDescent="0.25">
      <c r="A1786" s="91"/>
      <c r="B1786" s="13" t="s">
        <v>1222</v>
      </c>
      <c r="C1786" s="13" t="s">
        <v>1223</v>
      </c>
      <c r="D1786" s="13">
        <v>3</v>
      </c>
      <c r="E1786" s="13" t="s">
        <v>24</v>
      </c>
      <c r="F1786" s="13">
        <v>1</v>
      </c>
      <c r="G1786" s="13" t="s">
        <v>16</v>
      </c>
      <c r="H1786" s="13" t="s">
        <v>17</v>
      </c>
      <c r="I1786" s="14">
        <v>4014912</v>
      </c>
      <c r="J1786" s="13" t="s">
        <v>1224</v>
      </c>
      <c r="K1786" s="13">
        <v>99</v>
      </c>
      <c r="L1786" s="13" t="s">
        <v>15</v>
      </c>
      <c r="M1786" s="15">
        <v>10000</v>
      </c>
      <c r="N1786" s="13" t="s">
        <v>1</v>
      </c>
      <c r="O1786" s="16">
        <f t="shared" si="439"/>
        <v>1</v>
      </c>
      <c r="P1786" s="22">
        <f t="shared" si="440"/>
        <v>0</v>
      </c>
    </row>
    <row r="1787" spans="1:16" ht="15.75" thickBot="1" x14ac:dyDescent="0.3">
      <c r="A1787" s="90"/>
      <c r="B1787" s="23" t="s">
        <v>1222</v>
      </c>
      <c r="C1787" s="23" t="s">
        <v>1223</v>
      </c>
      <c r="D1787" s="23">
        <v>3</v>
      </c>
      <c r="E1787" s="23" t="s">
        <v>24</v>
      </c>
      <c r="F1787" s="23">
        <v>1</v>
      </c>
      <c r="G1787" s="23" t="s">
        <v>21</v>
      </c>
      <c r="H1787" s="23" t="s">
        <v>17</v>
      </c>
      <c r="I1787" s="24" t="s">
        <v>1225</v>
      </c>
      <c r="J1787" s="23" t="s">
        <v>1226</v>
      </c>
      <c r="K1787" s="23">
        <v>3</v>
      </c>
      <c r="L1787" s="23" t="s">
        <v>24</v>
      </c>
      <c r="M1787" s="25">
        <v>10000</v>
      </c>
      <c r="N1787" s="23" t="s">
        <v>1</v>
      </c>
      <c r="O1787" s="26">
        <f t="shared" si="439"/>
        <v>1</v>
      </c>
      <c r="P1787" s="27">
        <f t="shared" si="440"/>
        <v>0</v>
      </c>
    </row>
    <row r="1788" spans="1:16" x14ac:dyDescent="0.25">
      <c r="B1788" s="1"/>
      <c r="C1788" s="1"/>
      <c r="D1788" s="1"/>
      <c r="E1788" s="1"/>
      <c r="F1788" s="1"/>
      <c r="G1788" s="1"/>
      <c r="H1788" s="1"/>
      <c r="I1788" s="2"/>
      <c r="J1788" s="1"/>
      <c r="K1788" s="1"/>
      <c r="L1788" s="1"/>
      <c r="M1788" s="3"/>
      <c r="N1788" s="1"/>
    </row>
    <row r="1789" spans="1:16" ht="15.75" thickBot="1" x14ac:dyDescent="0.3">
      <c r="B1789" s="1"/>
      <c r="C1789" s="1"/>
      <c r="D1789" s="1"/>
      <c r="E1789" s="1"/>
      <c r="F1789" s="1"/>
      <c r="G1789" s="1"/>
      <c r="H1789" s="1"/>
      <c r="I1789" s="2"/>
      <c r="J1789" s="1"/>
      <c r="K1789" s="1"/>
      <c r="L1789" s="1"/>
      <c r="M1789" s="3"/>
      <c r="N1789" s="1"/>
      <c r="P1789" s="11">
        <f>IFERROR(VLOOKUP($A1790,'PROGRAMA MES '!$A:$B,2,0),0)</f>
        <v>6000</v>
      </c>
    </row>
    <row r="1790" spans="1:16" x14ac:dyDescent="0.25">
      <c r="A1790" s="89" t="str">
        <f>B1790</f>
        <v>SP9145AZ</v>
      </c>
      <c r="B1790" s="17" t="s">
        <v>1227</v>
      </c>
      <c r="C1790" s="17" t="s">
        <v>1228</v>
      </c>
      <c r="D1790" s="17">
        <v>99</v>
      </c>
      <c r="E1790" s="17" t="s">
        <v>15</v>
      </c>
      <c r="F1790" s="17">
        <v>1</v>
      </c>
      <c r="G1790" s="17" t="s">
        <v>16</v>
      </c>
      <c r="H1790" s="17" t="s">
        <v>17</v>
      </c>
      <c r="I1790" s="18">
        <v>4000133</v>
      </c>
      <c r="J1790" s="17" t="s">
        <v>1229</v>
      </c>
      <c r="K1790" s="17">
        <v>99</v>
      </c>
      <c r="L1790" s="17" t="s">
        <v>15</v>
      </c>
      <c r="M1790" s="17">
        <v>834</v>
      </c>
      <c r="N1790" s="17" t="s">
        <v>1</v>
      </c>
      <c r="O1790" s="20">
        <f t="shared" ref="O1790:O1796" si="441">M1790/10000</f>
        <v>8.3400000000000002E-2</v>
      </c>
      <c r="P1790" s="21">
        <f>O1790*$P$1789</f>
        <v>500.40000000000003</v>
      </c>
    </row>
    <row r="1791" spans="1:16" x14ac:dyDescent="0.25">
      <c r="A1791" s="91"/>
      <c r="B1791" s="13" t="s">
        <v>1227</v>
      </c>
      <c r="C1791" s="13" t="s">
        <v>1228</v>
      </c>
      <c r="D1791" s="13">
        <v>99</v>
      </c>
      <c r="E1791" s="13" t="s">
        <v>15</v>
      </c>
      <c r="F1791" s="13">
        <v>1</v>
      </c>
      <c r="G1791" s="13" t="s">
        <v>16</v>
      </c>
      <c r="H1791" s="13" t="s">
        <v>17</v>
      </c>
      <c r="I1791" s="14">
        <v>4001269</v>
      </c>
      <c r="J1791" s="13" t="s">
        <v>1230</v>
      </c>
      <c r="K1791" s="13">
        <v>99</v>
      </c>
      <c r="L1791" s="13" t="s">
        <v>15</v>
      </c>
      <c r="M1791" s="13">
        <v>834</v>
      </c>
      <c r="N1791" s="13" t="s">
        <v>1</v>
      </c>
      <c r="O1791" s="16">
        <f t="shared" si="441"/>
        <v>8.3400000000000002E-2</v>
      </c>
      <c r="P1791" s="22">
        <f t="shared" ref="P1791:P1796" si="442">O1791*$P$1789</f>
        <v>500.40000000000003</v>
      </c>
    </row>
    <row r="1792" spans="1:16" x14ac:dyDescent="0.25">
      <c r="A1792" s="91"/>
      <c r="B1792" s="13" t="s">
        <v>1227</v>
      </c>
      <c r="C1792" s="13" t="s">
        <v>1228</v>
      </c>
      <c r="D1792" s="13">
        <v>99</v>
      </c>
      <c r="E1792" s="13" t="s">
        <v>15</v>
      </c>
      <c r="F1792" s="13">
        <v>1</v>
      </c>
      <c r="G1792" s="13" t="s">
        <v>16</v>
      </c>
      <c r="H1792" s="13" t="s">
        <v>17</v>
      </c>
      <c r="I1792" s="14">
        <v>4002413</v>
      </c>
      <c r="J1792" s="13" t="s">
        <v>1231</v>
      </c>
      <c r="K1792" s="13">
        <v>99</v>
      </c>
      <c r="L1792" s="13" t="s">
        <v>15</v>
      </c>
      <c r="M1792" s="15">
        <v>10000</v>
      </c>
      <c r="N1792" s="13" t="s">
        <v>1</v>
      </c>
      <c r="O1792" s="16">
        <f t="shared" si="441"/>
        <v>1</v>
      </c>
      <c r="P1792" s="22">
        <f t="shared" si="442"/>
        <v>6000</v>
      </c>
    </row>
    <row r="1793" spans="1:16" x14ac:dyDescent="0.25">
      <c r="A1793" s="91"/>
      <c r="B1793" s="13" t="s">
        <v>1227</v>
      </c>
      <c r="C1793" s="13" t="s">
        <v>1228</v>
      </c>
      <c r="D1793" s="13">
        <v>99</v>
      </c>
      <c r="E1793" s="13" t="s">
        <v>15</v>
      </c>
      <c r="F1793" s="13">
        <v>1</v>
      </c>
      <c r="G1793" s="13" t="s">
        <v>16</v>
      </c>
      <c r="H1793" s="13" t="s">
        <v>17</v>
      </c>
      <c r="I1793" s="14">
        <v>4002546</v>
      </c>
      <c r="J1793" s="13" t="s">
        <v>179</v>
      </c>
      <c r="K1793" s="13">
        <v>99</v>
      </c>
      <c r="L1793" s="13" t="s">
        <v>15</v>
      </c>
      <c r="M1793" s="15">
        <v>1667</v>
      </c>
      <c r="N1793" s="13" t="s">
        <v>1</v>
      </c>
      <c r="O1793" s="16">
        <f t="shared" si="441"/>
        <v>0.16669999999999999</v>
      </c>
      <c r="P1793" s="22">
        <f t="shared" si="442"/>
        <v>1000.1999999999999</v>
      </c>
    </row>
    <row r="1794" spans="1:16" x14ac:dyDescent="0.25">
      <c r="A1794" s="91"/>
      <c r="B1794" s="13" t="s">
        <v>1227</v>
      </c>
      <c r="C1794" s="13" t="s">
        <v>1228</v>
      </c>
      <c r="D1794" s="13">
        <v>99</v>
      </c>
      <c r="E1794" s="13" t="s">
        <v>15</v>
      </c>
      <c r="F1794" s="13">
        <v>1</v>
      </c>
      <c r="G1794" s="13" t="s">
        <v>16</v>
      </c>
      <c r="H1794" s="13" t="s">
        <v>17</v>
      </c>
      <c r="I1794" s="14">
        <v>4002826</v>
      </c>
      <c r="J1794" s="13" t="s">
        <v>4</v>
      </c>
      <c r="K1794" s="13">
        <v>99</v>
      </c>
      <c r="L1794" s="13" t="s">
        <v>15</v>
      </c>
      <c r="M1794" s="13">
        <v>1</v>
      </c>
      <c r="N1794" s="13" t="s">
        <v>1</v>
      </c>
      <c r="O1794" s="16">
        <f t="shared" si="441"/>
        <v>1E-4</v>
      </c>
      <c r="P1794" s="22">
        <f t="shared" si="442"/>
        <v>0.6</v>
      </c>
    </row>
    <row r="1795" spans="1:16" x14ac:dyDescent="0.25">
      <c r="A1795" s="91"/>
      <c r="B1795" s="13" t="s">
        <v>1227</v>
      </c>
      <c r="C1795" s="13" t="s">
        <v>1228</v>
      </c>
      <c r="D1795" s="13">
        <v>99</v>
      </c>
      <c r="E1795" s="13" t="s">
        <v>15</v>
      </c>
      <c r="F1795" s="13">
        <v>1</v>
      </c>
      <c r="G1795" s="13" t="s">
        <v>16</v>
      </c>
      <c r="H1795" s="13" t="s">
        <v>17</v>
      </c>
      <c r="I1795" s="14">
        <v>4012869</v>
      </c>
      <c r="J1795" s="13" t="s">
        <v>1232</v>
      </c>
      <c r="K1795" s="13">
        <v>99</v>
      </c>
      <c r="L1795" s="13" t="s">
        <v>15</v>
      </c>
      <c r="M1795" s="15">
        <v>3334</v>
      </c>
      <c r="N1795" s="13" t="s">
        <v>1</v>
      </c>
      <c r="O1795" s="16">
        <f t="shared" si="441"/>
        <v>0.33339999999999997</v>
      </c>
      <c r="P1795" s="22">
        <f t="shared" si="442"/>
        <v>2000.3999999999999</v>
      </c>
    </row>
    <row r="1796" spans="1:16" ht="15.75" thickBot="1" x14ac:dyDescent="0.3">
      <c r="A1796" s="90"/>
      <c r="B1796" s="23" t="s">
        <v>1227</v>
      </c>
      <c r="C1796" s="23" t="s">
        <v>1228</v>
      </c>
      <c r="D1796" s="23">
        <v>99</v>
      </c>
      <c r="E1796" s="23" t="s">
        <v>15</v>
      </c>
      <c r="F1796" s="23">
        <v>1</v>
      </c>
      <c r="G1796" s="23" t="s">
        <v>21</v>
      </c>
      <c r="H1796" s="23" t="s">
        <v>17</v>
      </c>
      <c r="I1796" s="24" t="s">
        <v>1233</v>
      </c>
      <c r="J1796" s="23" t="s">
        <v>1234</v>
      </c>
      <c r="K1796" s="23">
        <v>3</v>
      </c>
      <c r="L1796" s="23" t="s">
        <v>24</v>
      </c>
      <c r="M1796" s="25">
        <v>10000</v>
      </c>
      <c r="N1796" s="23" t="s">
        <v>1</v>
      </c>
      <c r="O1796" s="26">
        <f t="shared" si="441"/>
        <v>1</v>
      </c>
      <c r="P1796" s="27">
        <f t="shared" si="442"/>
        <v>6000</v>
      </c>
    </row>
    <row r="1797" spans="1:16" x14ac:dyDescent="0.25">
      <c r="B1797" s="1"/>
      <c r="C1797" s="1"/>
      <c r="D1797" s="1"/>
      <c r="E1797" s="1"/>
      <c r="F1797" s="1"/>
      <c r="G1797" s="1"/>
      <c r="H1797" s="1"/>
      <c r="I1797" s="2"/>
      <c r="J1797" s="1"/>
      <c r="K1797" s="1"/>
      <c r="L1797" s="1"/>
      <c r="M1797" s="3"/>
      <c r="N1797" s="1"/>
    </row>
    <row r="1798" spans="1:16" ht="15.75" thickBot="1" x14ac:dyDescent="0.3">
      <c r="B1798" s="1"/>
      <c r="C1798" s="1"/>
      <c r="D1798" s="1"/>
      <c r="E1798" s="1"/>
      <c r="F1798" s="1"/>
      <c r="G1798" s="1"/>
      <c r="H1798" s="1"/>
      <c r="I1798" s="2"/>
      <c r="J1798" s="1"/>
      <c r="K1798" s="1"/>
      <c r="L1798" s="1"/>
      <c r="M1798" s="3"/>
      <c r="N1798" s="1"/>
      <c r="P1798" s="11">
        <f>IFERROR(VLOOKUP($A1799,'PROGRAMA MES '!$A:$B,2,0),0)</f>
        <v>0</v>
      </c>
    </row>
    <row r="1799" spans="1:16" x14ac:dyDescent="0.25">
      <c r="A1799" s="89" t="str">
        <f>B1799</f>
        <v>SP9148CZ</v>
      </c>
      <c r="B1799" s="17" t="s">
        <v>1235</v>
      </c>
      <c r="C1799" s="17" t="s">
        <v>1236</v>
      </c>
      <c r="D1799" s="17">
        <v>51</v>
      </c>
      <c r="E1799" s="17" t="s">
        <v>101</v>
      </c>
      <c r="F1799" s="17">
        <v>1</v>
      </c>
      <c r="G1799" s="17" t="s">
        <v>16</v>
      </c>
      <c r="H1799" s="17" t="s">
        <v>17</v>
      </c>
      <c r="I1799" s="18">
        <v>4002826</v>
      </c>
      <c r="J1799" s="17" t="s">
        <v>4</v>
      </c>
      <c r="K1799" s="17">
        <v>99</v>
      </c>
      <c r="L1799" s="17" t="s">
        <v>15</v>
      </c>
      <c r="M1799" s="17">
        <v>10</v>
      </c>
      <c r="N1799" s="17" t="s">
        <v>1</v>
      </c>
      <c r="O1799" s="20">
        <f t="shared" ref="O1799:O1802" si="443">M1799/10000</f>
        <v>1E-3</v>
      </c>
      <c r="P1799" s="21">
        <f>O1799*$P$1798</f>
        <v>0</v>
      </c>
    </row>
    <row r="1800" spans="1:16" x14ac:dyDescent="0.25">
      <c r="A1800" s="91"/>
      <c r="B1800" s="13" t="s">
        <v>1235</v>
      </c>
      <c r="C1800" s="13" t="s">
        <v>1236</v>
      </c>
      <c r="D1800" s="13">
        <v>51</v>
      </c>
      <c r="E1800" s="13" t="s">
        <v>101</v>
      </c>
      <c r="F1800" s="13">
        <v>1</v>
      </c>
      <c r="G1800" s="13" t="s">
        <v>16</v>
      </c>
      <c r="H1800" s="13" t="s">
        <v>17</v>
      </c>
      <c r="I1800" s="14">
        <v>4013371</v>
      </c>
      <c r="J1800" s="13" t="s">
        <v>1237</v>
      </c>
      <c r="K1800" s="13">
        <v>99</v>
      </c>
      <c r="L1800" s="13" t="s">
        <v>15</v>
      </c>
      <c r="M1800" s="15">
        <v>10000</v>
      </c>
      <c r="N1800" s="13" t="s">
        <v>1</v>
      </c>
      <c r="O1800" s="16">
        <f t="shared" si="443"/>
        <v>1</v>
      </c>
      <c r="P1800" s="22">
        <f t="shared" ref="P1800:P1802" si="444">O1800*$P$1798</f>
        <v>0</v>
      </c>
    </row>
    <row r="1801" spans="1:16" x14ac:dyDescent="0.25">
      <c r="A1801" s="91"/>
      <c r="B1801" s="13" t="s">
        <v>1235</v>
      </c>
      <c r="C1801" s="13" t="s">
        <v>1236</v>
      </c>
      <c r="D1801" s="13">
        <v>51</v>
      </c>
      <c r="E1801" s="13" t="s">
        <v>101</v>
      </c>
      <c r="F1801" s="13">
        <v>1</v>
      </c>
      <c r="G1801" s="13" t="s">
        <v>16</v>
      </c>
      <c r="H1801" s="13" t="s">
        <v>17</v>
      </c>
      <c r="I1801" s="14">
        <v>4013372</v>
      </c>
      <c r="J1801" s="13" t="s">
        <v>1238</v>
      </c>
      <c r="K1801" s="13">
        <v>99</v>
      </c>
      <c r="L1801" s="13" t="s">
        <v>15</v>
      </c>
      <c r="M1801" s="13">
        <v>834</v>
      </c>
      <c r="N1801" s="13" t="s">
        <v>1</v>
      </c>
      <c r="O1801" s="16">
        <f t="shared" si="443"/>
        <v>8.3400000000000002E-2</v>
      </c>
      <c r="P1801" s="22">
        <f t="shared" si="444"/>
        <v>0</v>
      </c>
    </row>
    <row r="1802" spans="1:16" ht="15.75" thickBot="1" x14ac:dyDescent="0.3">
      <c r="A1802" s="90"/>
      <c r="B1802" s="23" t="s">
        <v>1235</v>
      </c>
      <c r="C1802" s="23" t="s">
        <v>1236</v>
      </c>
      <c r="D1802" s="23">
        <v>51</v>
      </c>
      <c r="E1802" s="23" t="s">
        <v>101</v>
      </c>
      <c r="F1802" s="23">
        <v>1</v>
      </c>
      <c r="G1802" s="23" t="s">
        <v>21</v>
      </c>
      <c r="H1802" s="23" t="s">
        <v>17</v>
      </c>
      <c r="I1802" s="24" t="s">
        <v>1239</v>
      </c>
      <c r="J1802" s="23" t="s">
        <v>1240</v>
      </c>
      <c r="K1802" s="23">
        <v>3</v>
      </c>
      <c r="L1802" s="23" t="s">
        <v>24</v>
      </c>
      <c r="M1802" s="25">
        <v>10000</v>
      </c>
      <c r="N1802" s="23" t="s">
        <v>1</v>
      </c>
      <c r="O1802" s="26">
        <f t="shared" si="443"/>
        <v>1</v>
      </c>
      <c r="P1802" s="27">
        <f t="shared" si="444"/>
        <v>0</v>
      </c>
    </row>
    <row r="1803" spans="1:16" x14ac:dyDescent="0.25">
      <c r="B1803" s="1"/>
      <c r="C1803" s="1"/>
      <c r="D1803" s="1"/>
      <c r="E1803" s="1"/>
      <c r="F1803" s="1"/>
      <c r="G1803" s="1"/>
      <c r="H1803" s="1"/>
      <c r="I1803" s="2"/>
      <c r="J1803" s="1"/>
      <c r="K1803" s="1"/>
      <c r="L1803" s="1"/>
      <c r="M1803" s="3"/>
      <c r="N1803" s="1"/>
    </row>
    <row r="1804" spans="1:16" ht="15.75" thickBot="1" x14ac:dyDescent="0.3">
      <c r="B1804" s="1"/>
      <c r="C1804" s="1"/>
      <c r="D1804" s="1"/>
      <c r="E1804" s="1"/>
      <c r="F1804" s="1"/>
      <c r="G1804" s="1"/>
      <c r="H1804" s="1"/>
      <c r="I1804" s="2"/>
      <c r="J1804" s="1"/>
      <c r="K1804" s="1"/>
      <c r="L1804" s="1"/>
      <c r="M1804" s="3"/>
      <c r="N1804" s="1"/>
      <c r="P1804" s="11">
        <f>IFERROR(VLOOKUP($A1805,'PROGRAMA MES '!$A:$B,2,0),0)</f>
        <v>1200</v>
      </c>
    </row>
    <row r="1805" spans="1:16" x14ac:dyDescent="0.25">
      <c r="A1805" s="89" t="str">
        <f>B1805</f>
        <v>SP9149</v>
      </c>
      <c r="B1805" s="17" t="s">
        <v>1241</v>
      </c>
      <c r="C1805" s="17" t="s">
        <v>1242</v>
      </c>
      <c r="D1805" s="17">
        <v>99</v>
      </c>
      <c r="E1805" s="17" t="s">
        <v>15</v>
      </c>
      <c r="F1805" s="17">
        <v>1</v>
      </c>
      <c r="G1805" s="17" t="s">
        <v>16</v>
      </c>
      <c r="H1805" s="17" t="s">
        <v>17</v>
      </c>
      <c r="I1805" s="18">
        <v>4000056</v>
      </c>
      <c r="J1805" s="17" t="s">
        <v>1243</v>
      </c>
      <c r="K1805" s="17">
        <v>99</v>
      </c>
      <c r="L1805" s="17" t="s">
        <v>15</v>
      </c>
      <c r="M1805" s="19">
        <v>1660</v>
      </c>
      <c r="N1805" s="17" t="s">
        <v>1</v>
      </c>
      <c r="O1805" s="20">
        <f t="shared" ref="O1805:O1810" si="445">M1805/10000</f>
        <v>0.16600000000000001</v>
      </c>
      <c r="P1805" s="21">
        <f>O1805*$P$1804</f>
        <v>199.20000000000002</v>
      </c>
    </row>
    <row r="1806" spans="1:16" x14ac:dyDescent="0.25">
      <c r="A1806" s="91"/>
      <c r="B1806" s="13" t="s">
        <v>1241</v>
      </c>
      <c r="C1806" s="13" t="s">
        <v>1242</v>
      </c>
      <c r="D1806" s="13">
        <v>99</v>
      </c>
      <c r="E1806" s="13" t="s">
        <v>15</v>
      </c>
      <c r="F1806" s="13">
        <v>1</v>
      </c>
      <c r="G1806" s="13" t="s">
        <v>16</v>
      </c>
      <c r="H1806" s="13" t="s">
        <v>17</v>
      </c>
      <c r="I1806" s="14">
        <v>4002546</v>
      </c>
      <c r="J1806" s="13" t="s">
        <v>179</v>
      </c>
      <c r="K1806" s="13">
        <v>99</v>
      </c>
      <c r="L1806" s="13" t="s">
        <v>15</v>
      </c>
      <c r="M1806" s="13">
        <v>834</v>
      </c>
      <c r="N1806" s="13" t="s">
        <v>1</v>
      </c>
      <c r="O1806" s="16">
        <f t="shared" si="445"/>
        <v>8.3400000000000002E-2</v>
      </c>
      <c r="P1806" s="22">
        <f t="shared" ref="P1806:P1810" si="446">O1806*$P$1804</f>
        <v>100.08</v>
      </c>
    </row>
    <row r="1807" spans="1:16" x14ac:dyDescent="0.25">
      <c r="A1807" s="91"/>
      <c r="B1807" s="13" t="s">
        <v>1241</v>
      </c>
      <c r="C1807" s="13" t="s">
        <v>1242</v>
      </c>
      <c r="D1807" s="13">
        <v>99</v>
      </c>
      <c r="E1807" s="13" t="s">
        <v>15</v>
      </c>
      <c r="F1807" s="13">
        <v>1</v>
      </c>
      <c r="G1807" s="13" t="s">
        <v>16</v>
      </c>
      <c r="H1807" s="13" t="s">
        <v>17</v>
      </c>
      <c r="I1807" s="14">
        <v>4002826</v>
      </c>
      <c r="J1807" s="13" t="s">
        <v>4</v>
      </c>
      <c r="K1807" s="13">
        <v>99</v>
      </c>
      <c r="L1807" s="13" t="s">
        <v>15</v>
      </c>
      <c r="M1807" s="13">
        <v>10</v>
      </c>
      <c r="N1807" s="13" t="s">
        <v>1</v>
      </c>
      <c r="O1807" s="16">
        <f t="shared" si="445"/>
        <v>1E-3</v>
      </c>
      <c r="P1807" s="22">
        <f t="shared" si="446"/>
        <v>1.2</v>
      </c>
    </row>
    <row r="1808" spans="1:16" x14ac:dyDescent="0.25">
      <c r="A1808" s="91"/>
      <c r="B1808" s="13" t="s">
        <v>1241</v>
      </c>
      <c r="C1808" s="13" t="s">
        <v>1242</v>
      </c>
      <c r="D1808" s="13">
        <v>99</v>
      </c>
      <c r="E1808" s="13" t="s">
        <v>15</v>
      </c>
      <c r="F1808" s="13">
        <v>1</v>
      </c>
      <c r="G1808" s="13" t="s">
        <v>16</v>
      </c>
      <c r="H1808" s="13" t="s">
        <v>17</v>
      </c>
      <c r="I1808" s="14">
        <v>4003871</v>
      </c>
      <c r="J1808" s="13" t="s">
        <v>1244</v>
      </c>
      <c r="K1808" s="13">
        <v>99</v>
      </c>
      <c r="L1808" s="13" t="s">
        <v>15</v>
      </c>
      <c r="M1808" s="13">
        <v>834</v>
      </c>
      <c r="N1808" s="13" t="s">
        <v>1</v>
      </c>
      <c r="O1808" s="16">
        <f t="shared" si="445"/>
        <v>8.3400000000000002E-2</v>
      </c>
      <c r="P1808" s="22">
        <f t="shared" si="446"/>
        <v>100.08</v>
      </c>
    </row>
    <row r="1809" spans="1:16" x14ac:dyDescent="0.25">
      <c r="A1809" s="91"/>
      <c r="B1809" s="13" t="s">
        <v>1241</v>
      </c>
      <c r="C1809" s="13" t="s">
        <v>1242</v>
      </c>
      <c r="D1809" s="13">
        <v>99</v>
      </c>
      <c r="E1809" s="13" t="s">
        <v>15</v>
      </c>
      <c r="F1809" s="13">
        <v>1</v>
      </c>
      <c r="G1809" s="13" t="s">
        <v>16</v>
      </c>
      <c r="H1809" s="13" t="s">
        <v>17</v>
      </c>
      <c r="I1809" s="14">
        <v>4003958</v>
      </c>
      <c r="J1809" s="13" t="s">
        <v>1245</v>
      </c>
      <c r="K1809" s="13">
        <v>99</v>
      </c>
      <c r="L1809" s="13" t="s">
        <v>15</v>
      </c>
      <c r="M1809" s="15">
        <v>10000</v>
      </c>
      <c r="N1809" s="13" t="s">
        <v>1</v>
      </c>
      <c r="O1809" s="16">
        <f t="shared" si="445"/>
        <v>1</v>
      </c>
      <c r="P1809" s="22">
        <f t="shared" si="446"/>
        <v>1200</v>
      </c>
    </row>
    <row r="1810" spans="1:16" ht="15.75" thickBot="1" x14ac:dyDescent="0.3">
      <c r="A1810" s="90"/>
      <c r="B1810" s="23" t="s">
        <v>1241</v>
      </c>
      <c r="C1810" s="23" t="s">
        <v>1242</v>
      </c>
      <c r="D1810" s="23">
        <v>99</v>
      </c>
      <c r="E1810" s="23" t="s">
        <v>15</v>
      </c>
      <c r="F1810" s="23">
        <v>1</v>
      </c>
      <c r="G1810" s="23" t="s">
        <v>21</v>
      </c>
      <c r="H1810" s="23" t="s">
        <v>17</v>
      </c>
      <c r="I1810" s="24" t="s">
        <v>1246</v>
      </c>
      <c r="J1810" s="23" t="s">
        <v>1247</v>
      </c>
      <c r="K1810" s="23">
        <v>3</v>
      </c>
      <c r="L1810" s="23" t="s">
        <v>24</v>
      </c>
      <c r="M1810" s="25">
        <v>10000</v>
      </c>
      <c r="N1810" s="23" t="s">
        <v>1</v>
      </c>
      <c r="O1810" s="26">
        <f t="shared" si="445"/>
        <v>1</v>
      </c>
      <c r="P1810" s="27">
        <f t="shared" si="446"/>
        <v>1200</v>
      </c>
    </row>
    <row r="1811" spans="1:16" x14ac:dyDescent="0.25">
      <c r="B1811" s="1"/>
      <c r="C1811" s="1"/>
      <c r="D1811" s="1"/>
      <c r="E1811" s="1"/>
      <c r="F1811" s="1"/>
      <c r="G1811" s="1"/>
      <c r="H1811" s="1"/>
      <c r="I1811" s="2"/>
      <c r="J1811" s="1"/>
      <c r="K1811" s="1"/>
      <c r="L1811" s="1"/>
      <c r="M1811" s="3"/>
      <c r="N1811" s="1"/>
    </row>
    <row r="1812" spans="1:16" ht="15.75" thickBot="1" x14ac:dyDescent="0.3">
      <c r="B1812" s="1"/>
      <c r="C1812" s="1"/>
      <c r="D1812" s="1"/>
      <c r="E1812" s="1"/>
      <c r="F1812" s="1"/>
      <c r="G1812" s="1"/>
      <c r="H1812" s="1"/>
      <c r="I1812" s="2"/>
      <c r="J1812" s="1"/>
      <c r="K1812" s="1"/>
      <c r="L1812" s="1"/>
      <c r="M1812" s="3"/>
      <c r="N1812" s="1"/>
      <c r="P1812" s="11">
        <f>IFERROR(VLOOKUP($A1813,'PROGRAMA MES '!$A:$B,2,0),0)</f>
        <v>0</v>
      </c>
    </row>
    <row r="1813" spans="1:16" x14ac:dyDescent="0.25">
      <c r="A1813" s="89" t="str">
        <f>B1813</f>
        <v>SP9149AM</v>
      </c>
      <c r="B1813" s="17" t="s">
        <v>1248</v>
      </c>
      <c r="C1813" s="17" t="s">
        <v>1249</v>
      </c>
      <c r="D1813" s="17">
        <v>51</v>
      </c>
      <c r="E1813" s="17" t="s">
        <v>101</v>
      </c>
      <c r="F1813" s="17">
        <v>1</v>
      </c>
      <c r="G1813" s="17" t="s">
        <v>16</v>
      </c>
      <c r="H1813" s="17" t="s">
        <v>17</v>
      </c>
      <c r="I1813" s="18">
        <v>4000056</v>
      </c>
      <c r="J1813" s="17" t="s">
        <v>1243</v>
      </c>
      <c r="K1813" s="17">
        <v>99</v>
      </c>
      <c r="L1813" s="17" t="s">
        <v>15</v>
      </c>
      <c r="M1813" s="19">
        <v>1667</v>
      </c>
      <c r="N1813" s="17" t="s">
        <v>1</v>
      </c>
      <c r="O1813" s="20">
        <f t="shared" ref="O1813:O1817" si="447">M1813/10000</f>
        <v>0.16669999999999999</v>
      </c>
      <c r="P1813" s="21">
        <f>O1813*$P$1812</f>
        <v>0</v>
      </c>
    </row>
    <row r="1814" spans="1:16" x14ac:dyDescent="0.25">
      <c r="A1814" s="91"/>
      <c r="B1814" s="13" t="s">
        <v>1248</v>
      </c>
      <c r="C1814" s="13" t="s">
        <v>1249</v>
      </c>
      <c r="D1814" s="13">
        <v>51</v>
      </c>
      <c r="E1814" s="13" t="s">
        <v>101</v>
      </c>
      <c r="F1814" s="13">
        <v>1</v>
      </c>
      <c r="G1814" s="13" t="s">
        <v>16</v>
      </c>
      <c r="H1814" s="13" t="s">
        <v>17</v>
      </c>
      <c r="I1814" s="14">
        <v>4002826</v>
      </c>
      <c r="J1814" s="13" t="s">
        <v>4</v>
      </c>
      <c r="K1814" s="13">
        <v>99</v>
      </c>
      <c r="L1814" s="13" t="s">
        <v>15</v>
      </c>
      <c r="M1814" s="13">
        <v>10</v>
      </c>
      <c r="N1814" s="13" t="s">
        <v>1</v>
      </c>
      <c r="O1814" s="16">
        <f t="shared" si="447"/>
        <v>1E-3</v>
      </c>
      <c r="P1814" s="22">
        <f t="shared" ref="P1814:P1817" si="448">O1814*$P$1812</f>
        <v>0</v>
      </c>
    </row>
    <row r="1815" spans="1:16" x14ac:dyDescent="0.25">
      <c r="A1815" s="91"/>
      <c r="B1815" s="13" t="s">
        <v>1248</v>
      </c>
      <c r="C1815" s="13" t="s">
        <v>1249</v>
      </c>
      <c r="D1815" s="13">
        <v>51</v>
      </c>
      <c r="E1815" s="13" t="s">
        <v>101</v>
      </c>
      <c r="F1815" s="13">
        <v>1</v>
      </c>
      <c r="G1815" s="13" t="s">
        <v>16</v>
      </c>
      <c r="H1815" s="13" t="s">
        <v>17</v>
      </c>
      <c r="I1815" s="14">
        <v>4003871</v>
      </c>
      <c r="J1815" s="13" t="s">
        <v>1244</v>
      </c>
      <c r="K1815" s="13">
        <v>99</v>
      </c>
      <c r="L1815" s="13" t="s">
        <v>15</v>
      </c>
      <c r="M1815" s="13">
        <v>834</v>
      </c>
      <c r="N1815" s="13" t="s">
        <v>1</v>
      </c>
      <c r="O1815" s="16">
        <f t="shared" si="447"/>
        <v>8.3400000000000002E-2</v>
      </c>
      <c r="P1815" s="22">
        <f t="shared" si="448"/>
        <v>0</v>
      </c>
    </row>
    <row r="1816" spans="1:16" x14ac:dyDescent="0.25">
      <c r="A1816" s="91"/>
      <c r="B1816" s="13" t="s">
        <v>1248</v>
      </c>
      <c r="C1816" s="13" t="s">
        <v>1249</v>
      </c>
      <c r="D1816" s="13">
        <v>51</v>
      </c>
      <c r="E1816" s="13" t="s">
        <v>101</v>
      </c>
      <c r="F1816" s="13">
        <v>1</v>
      </c>
      <c r="G1816" s="13" t="s">
        <v>16</v>
      </c>
      <c r="H1816" s="13" t="s">
        <v>17</v>
      </c>
      <c r="I1816" s="14">
        <v>4014908</v>
      </c>
      <c r="J1816" s="13" t="s">
        <v>1250</v>
      </c>
      <c r="K1816" s="13">
        <v>99</v>
      </c>
      <c r="L1816" s="13" t="s">
        <v>15</v>
      </c>
      <c r="M1816" s="15">
        <v>10000</v>
      </c>
      <c r="N1816" s="13" t="s">
        <v>1</v>
      </c>
      <c r="O1816" s="16">
        <f t="shared" si="447"/>
        <v>1</v>
      </c>
      <c r="P1816" s="22">
        <f t="shared" si="448"/>
        <v>0</v>
      </c>
    </row>
    <row r="1817" spans="1:16" ht="15.75" thickBot="1" x14ac:dyDescent="0.3">
      <c r="A1817" s="90"/>
      <c r="B1817" s="23" t="s">
        <v>1248</v>
      </c>
      <c r="C1817" s="23" t="s">
        <v>1249</v>
      </c>
      <c r="D1817" s="23">
        <v>51</v>
      </c>
      <c r="E1817" s="23" t="s">
        <v>101</v>
      </c>
      <c r="F1817" s="23">
        <v>1</v>
      </c>
      <c r="G1817" s="23" t="s">
        <v>21</v>
      </c>
      <c r="H1817" s="23" t="s">
        <v>17</v>
      </c>
      <c r="I1817" s="24" t="s">
        <v>1251</v>
      </c>
      <c r="J1817" s="23" t="s">
        <v>1252</v>
      </c>
      <c r="K1817" s="23">
        <v>3</v>
      </c>
      <c r="L1817" s="23" t="s">
        <v>24</v>
      </c>
      <c r="M1817" s="25">
        <v>10000</v>
      </c>
      <c r="N1817" s="23" t="s">
        <v>1</v>
      </c>
      <c r="O1817" s="26">
        <f t="shared" si="447"/>
        <v>1</v>
      </c>
      <c r="P1817" s="27">
        <f t="shared" si="448"/>
        <v>0</v>
      </c>
    </row>
    <row r="1818" spans="1:16" x14ac:dyDescent="0.25">
      <c r="B1818" s="1"/>
      <c r="C1818" s="1"/>
      <c r="D1818" s="1"/>
      <c r="E1818" s="1"/>
      <c r="F1818" s="1"/>
      <c r="G1818" s="1"/>
      <c r="H1818" s="1"/>
      <c r="I1818" s="2"/>
      <c r="J1818" s="1"/>
      <c r="K1818" s="1"/>
      <c r="L1818" s="1"/>
      <c r="M1818" s="3"/>
      <c r="N1818" s="1"/>
    </row>
    <row r="1819" spans="1:16" ht="15.75" thickBot="1" x14ac:dyDescent="0.3">
      <c r="B1819" s="1"/>
      <c r="C1819" s="1"/>
      <c r="D1819" s="1"/>
      <c r="E1819" s="1"/>
      <c r="F1819" s="1"/>
      <c r="G1819" s="1"/>
      <c r="H1819" s="1"/>
      <c r="I1819" s="2"/>
      <c r="J1819" s="1"/>
      <c r="K1819" s="1"/>
      <c r="L1819" s="1"/>
      <c r="M1819" s="3"/>
      <c r="N1819" s="1"/>
      <c r="P1819" s="11">
        <f>IFERROR(VLOOKUP($A1820,'PROGRAMA MES '!$A:$B,2,0),0)</f>
        <v>0</v>
      </c>
    </row>
    <row r="1820" spans="1:16" x14ac:dyDescent="0.25">
      <c r="A1820" s="89" t="str">
        <f>B1820</f>
        <v>SP9149AZ</v>
      </c>
      <c r="B1820" s="17" t="s">
        <v>1253</v>
      </c>
      <c r="C1820" s="17" t="s">
        <v>1254</v>
      </c>
      <c r="D1820" s="17">
        <v>51</v>
      </c>
      <c r="E1820" s="17" t="s">
        <v>101</v>
      </c>
      <c r="F1820" s="17">
        <v>1</v>
      </c>
      <c r="G1820" s="17" t="s">
        <v>16</v>
      </c>
      <c r="H1820" s="17" t="s">
        <v>17</v>
      </c>
      <c r="I1820" s="18">
        <v>4000056</v>
      </c>
      <c r="J1820" s="17" t="s">
        <v>1243</v>
      </c>
      <c r="K1820" s="17">
        <v>99</v>
      </c>
      <c r="L1820" s="17" t="s">
        <v>15</v>
      </c>
      <c r="M1820" s="19">
        <v>1667</v>
      </c>
      <c r="N1820" s="17" t="s">
        <v>1</v>
      </c>
      <c r="O1820" s="20">
        <f t="shared" ref="O1820:O1824" si="449">M1820/10000</f>
        <v>0.16669999999999999</v>
      </c>
      <c r="P1820" s="21">
        <f>O1820*$P$1819</f>
        <v>0</v>
      </c>
    </row>
    <row r="1821" spans="1:16" x14ac:dyDescent="0.25">
      <c r="A1821" s="91"/>
      <c r="B1821" s="13" t="s">
        <v>1253</v>
      </c>
      <c r="C1821" s="13" t="s">
        <v>1254</v>
      </c>
      <c r="D1821" s="13">
        <v>51</v>
      </c>
      <c r="E1821" s="13" t="s">
        <v>101</v>
      </c>
      <c r="F1821" s="13">
        <v>1</v>
      </c>
      <c r="G1821" s="13" t="s">
        <v>16</v>
      </c>
      <c r="H1821" s="13" t="s">
        <v>17</v>
      </c>
      <c r="I1821" s="14">
        <v>4002826</v>
      </c>
      <c r="J1821" s="13" t="s">
        <v>4</v>
      </c>
      <c r="K1821" s="13">
        <v>99</v>
      </c>
      <c r="L1821" s="13" t="s">
        <v>15</v>
      </c>
      <c r="M1821" s="13">
        <v>10</v>
      </c>
      <c r="N1821" s="13" t="s">
        <v>1</v>
      </c>
      <c r="O1821" s="16">
        <f t="shared" si="449"/>
        <v>1E-3</v>
      </c>
      <c r="P1821" s="22">
        <f t="shared" ref="P1821:P1824" si="450">O1821*$P$1819</f>
        <v>0</v>
      </c>
    </row>
    <row r="1822" spans="1:16" x14ac:dyDescent="0.25">
      <c r="A1822" s="91"/>
      <c r="B1822" s="13" t="s">
        <v>1253</v>
      </c>
      <c r="C1822" s="13" t="s">
        <v>1254</v>
      </c>
      <c r="D1822" s="13">
        <v>51</v>
      </c>
      <c r="E1822" s="13" t="s">
        <v>101</v>
      </c>
      <c r="F1822" s="13">
        <v>1</v>
      </c>
      <c r="G1822" s="13" t="s">
        <v>16</v>
      </c>
      <c r="H1822" s="13" t="s">
        <v>17</v>
      </c>
      <c r="I1822" s="14">
        <v>4003871</v>
      </c>
      <c r="J1822" s="13" t="s">
        <v>1244</v>
      </c>
      <c r="K1822" s="13">
        <v>99</v>
      </c>
      <c r="L1822" s="13" t="s">
        <v>15</v>
      </c>
      <c r="M1822" s="13">
        <v>834</v>
      </c>
      <c r="N1822" s="13" t="s">
        <v>1</v>
      </c>
      <c r="O1822" s="16">
        <f t="shared" si="449"/>
        <v>8.3400000000000002E-2</v>
      </c>
      <c r="P1822" s="22">
        <f t="shared" si="450"/>
        <v>0</v>
      </c>
    </row>
    <row r="1823" spans="1:16" x14ac:dyDescent="0.25">
      <c r="A1823" s="91"/>
      <c r="B1823" s="13" t="s">
        <v>1253</v>
      </c>
      <c r="C1823" s="13" t="s">
        <v>1254</v>
      </c>
      <c r="D1823" s="13">
        <v>51</v>
      </c>
      <c r="E1823" s="13" t="s">
        <v>101</v>
      </c>
      <c r="F1823" s="13">
        <v>1</v>
      </c>
      <c r="G1823" s="13" t="s">
        <v>16</v>
      </c>
      <c r="H1823" s="13" t="s">
        <v>17</v>
      </c>
      <c r="I1823" s="14">
        <v>4014907</v>
      </c>
      <c r="J1823" s="13" t="s">
        <v>1255</v>
      </c>
      <c r="K1823" s="13">
        <v>99</v>
      </c>
      <c r="L1823" s="13" t="s">
        <v>15</v>
      </c>
      <c r="M1823" s="15">
        <v>10000</v>
      </c>
      <c r="N1823" s="13" t="s">
        <v>1</v>
      </c>
      <c r="O1823" s="16">
        <f t="shared" si="449"/>
        <v>1</v>
      </c>
      <c r="P1823" s="22">
        <f t="shared" si="450"/>
        <v>0</v>
      </c>
    </row>
    <row r="1824" spans="1:16" ht="15.75" thickBot="1" x14ac:dyDescent="0.3">
      <c r="A1824" s="90"/>
      <c r="B1824" s="23" t="s">
        <v>1253</v>
      </c>
      <c r="C1824" s="23" t="s">
        <v>1254</v>
      </c>
      <c r="D1824" s="23">
        <v>51</v>
      </c>
      <c r="E1824" s="23" t="s">
        <v>101</v>
      </c>
      <c r="F1824" s="23">
        <v>1</v>
      </c>
      <c r="G1824" s="23" t="s">
        <v>21</v>
      </c>
      <c r="H1824" s="23" t="s">
        <v>17</v>
      </c>
      <c r="I1824" s="24" t="s">
        <v>1256</v>
      </c>
      <c r="J1824" s="23" t="s">
        <v>1257</v>
      </c>
      <c r="K1824" s="23">
        <v>3</v>
      </c>
      <c r="L1824" s="23" t="s">
        <v>24</v>
      </c>
      <c r="M1824" s="25">
        <v>10000</v>
      </c>
      <c r="N1824" s="23" t="s">
        <v>1</v>
      </c>
      <c r="O1824" s="26">
        <f t="shared" si="449"/>
        <v>1</v>
      </c>
      <c r="P1824" s="27">
        <f t="shared" si="450"/>
        <v>0</v>
      </c>
    </row>
    <row r="1825" spans="1:16" x14ac:dyDescent="0.25">
      <c r="B1825" s="1"/>
      <c r="C1825" s="1"/>
      <c r="D1825" s="1"/>
      <c r="E1825" s="1"/>
      <c r="F1825" s="1"/>
      <c r="G1825" s="1"/>
      <c r="H1825" s="1"/>
      <c r="I1825" s="2"/>
      <c r="J1825" s="1"/>
      <c r="K1825" s="1"/>
      <c r="L1825" s="1"/>
      <c r="M1825" s="3"/>
      <c r="N1825" s="1"/>
    </row>
    <row r="1826" spans="1:16" ht="15.75" thickBot="1" x14ac:dyDescent="0.3">
      <c r="B1826" s="1"/>
      <c r="C1826" s="1"/>
      <c r="D1826" s="1"/>
      <c r="E1826" s="1"/>
      <c r="F1826" s="1"/>
      <c r="G1826" s="1"/>
      <c r="H1826" s="1"/>
      <c r="I1826" s="2"/>
      <c r="J1826" s="1"/>
      <c r="K1826" s="1"/>
      <c r="L1826" s="1"/>
      <c r="M1826" s="3"/>
      <c r="N1826" s="1"/>
      <c r="P1826" s="11">
        <f>IFERROR(VLOOKUP($A1827,'PROGRAMA MES '!$A:$B,2,0),0)</f>
        <v>0</v>
      </c>
    </row>
    <row r="1827" spans="1:16" x14ac:dyDescent="0.25">
      <c r="A1827" s="89" t="str">
        <f>B1827</f>
        <v>SP9149VD</v>
      </c>
      <c r="B1827" s="17" t="s">
        <v>1258</v>
      </c>
      <c r="C1827" s="17" t="s">
        <v>1259</v>
      </c>
      <c r="D1827" s="17">
        <v>51</v>
      </c>
      <c r="E1827" s="17" t="s">
        <v>101</v>
      </c>
      <c r="F1827" s="17">
        <v>1</v>
      </c>
      <c r="G1827" s="17" t="s">
        <v>16</v>
      </c>
      <c r="H1827" s="17" t="s">
        <v>17</v>
      </c>
      <c r="I1827" s="18">
        <v>4000056</v>
      </c>
      <c r="J1827" s="17" t="s">
        <v>1243</v>
      </c>
      <c r="K1827" s="17">
        <v>99</v>
      </c>
      <c r="L1827" s="17" t="s">
        <v>15</v>
      </c>
      <c r="M1827" s="19">
        <v>1667</v>
      </c>
      <c r="N1827" s="17" t="s">
        <v>1</v>
      </c>
      <c r="O1827" s="20">
        <f t="shared" ref="O1827:O1831" si="451">M1827/10000</f>
        <v>0.16669999999999999</v>
      </c>
      <c r="P1827" s="21">
        <f>O1827*$P$1826</f>
        <v>0</v>
      </c>
    </row>
    <row r="1828" spans="1:16" x14ac:dyDescent="0.25">
      <c r="A1828" s="91"/>
      <c r="B1828" s="13" t="s">
        <v>1258</v>
      </c>
      <c r="C1828" s="13" t="s">
        <v>1259</v>
      </c>
      <c r="D1828" s="13">
        <v>51</v>
      </c>
      <c r="E1828" s="13" t="s">
        <v>101</v>
      </c>
      <c r="F1828" s="13">
        <v>1</v>
      </c>
      <c r="G1828" s="13" t="s">
        <v>16</v>
      </c>
      <c r="H1828" s="13" t="s">
        <v>17</v>
      </c>
      <c r="I1828" s="14">
        <v>4002826</v>
      </c>
      <c r="J1828" s="13" t="s">
        <v>4</v>
      </c>
      <c r="K1828" s="13">
        <v>99</v>
      </c>
      <c r="L1828" s="13" t="s">
        <v>15</v>
      </c>
      <c r="M1828" s="13">
        <v>10</v>
      </c>
      <c r="N1828" s="13" t="s">
        <v>1</v>
      </c>
      <c r="O1828" s="16">
        <f t="shared" si="451"/>
        <v>1E-3</v>
      </c>
      <c r="P1828" s="22">
        <f t="shared" ref="P1828:P1831" si="452">O1828*$P$1826</f>
        <v>0</v>
      </c>
    </row>
    <row r="1829" spans="1:16" x14ac:dyDescent="0.25">
      <c r="A1829" s="91"/>
      <c r="B1829" s="13" t="s">
        <v>1258</v>
      </c>
      <c r="C1829" s="13" t="s">
        <v>1259</v>
      </c>
      <c r="D1829" s="13">
        <v>51</v>
      </c>
      <c r="E1829" s="13" t="s">
        <v>101</v>
      </c>
      <c r="F1829" s="13">
        <v>1</v>
      </c>
      <c r="G1829" s="13" t="s">
        <v>16</v>
      </c>
      <c r="H1829" s="13" t="s">
        <v>17</v>
      </c>
      <c r="I1829" s="14">
        <v>4003871</v>
      </c>
      <c r="J1829" s="13" t="s">
        <v>1244</v>
      </c>
      <c r="K1829" s="13">
        <v>99</v>
      </c>
      <c r="L1829" s="13" t="s">
        <v>15</v>
      </c>
      <c r="M1829" s="13">
        <v>834</v>
      </c>
      <c r="N1829" s="13" t="s">
        <v>1</v>
      </c>
      <c r="O1829" s="16">
        <f t="shared" si="451"/>
        <v>8.3400000000000002E-2</v>
      </c>
      <c r="P1829" s="22">
        <f t="shared" si="452"/>
        <v>0</v>
      </c>
    </row>
    <row r="1830" spans="1:16" x14ac:dyDescent="0.25">
      <c r="A1830" s="91"/>
      <c r="B1830" s="13" t="s">
        <v>1258</v>
      </c>
      <c r="C1830" s="13" t="s">
        <v>1259</v>
      </c>
      <c r="D1830" s="13">
        <v>51</v>
      </c>
      <c r="E1830" s="13" t="s">
        <v>101</v>
      </c>
      <c r="F1830" s="13">
        <v>1</v>
      </c>
      <c r="G1830" s="13" t="s">
        <v>16</v>
      </c>
      <c r="H1830" s="13" t="s">
        <v>17</v>
      </c>
      <c r="I1830" s="14">
        <v>4014909</v>
      </c>
      <c r="J1830" s="13" t="s">
        <v>1260</v>
      </c>
      <c r="K1830" s="13">
        <v>99</v>
      </c>
      <c r="L1830" s="13" t="s">
        <v>15</v>
      </c>
      <c r="M1830" s="15">
        <v>10000</v>
      </c>
      <c r="N1830" s="13" t="s">
        <v>1</v>
      </c>
      <c r="O1830" s="16">
        <f t="shared" si="451"/>
        <v>1</v>
      </c>
      <c r="P1830" s="22">
        <f t="shared" si="452"/>
        <v>0</v>
      </c>
    </row>
    <row r="1831" spans="1:16" ht="15.75" thickBot="1" x14ac:dyDescent="0.3">
      <c r="A1831" s="90"/>
      <c r="B1831" s="23" t="s">
        <v>1258</v>
      </c>
      <c r="C1831" s="23" t="s">
        <v>1259</v>
      </c>
      <c r="D1831" s="23">
        <v>51</v>
      </c>
      <c r="E1831" s="23" t="s">
        <v>101</v>
      </c>
      <c r="F1831" s="23">
        <v>1</v>
      </c>
      <c r="G1831" s="23" t="s">
        <v>21</v>
      </c>
      <c r="H1831" s="23" t="s">
        <v>17</v>
      </c>
      <c r="I1831" s="24" t="s">
        <v>1261</v>
      </c>
      <c r="J1831" s="23" t="s">
        <v>1262</v>
      </c>
      <c r="K1831" s="23">
        <v>3</v>
      </c>
      <c r="L1831" s="23" t="s">
        <v>24</v>
      </c>
      <c r="M1831" s="25">
        <v>10000</v>
      </c>
      <c r="N1831" s="23" t="s">
        <v>1</v>
      </c>
      <c r="O1831" s="26">
        <f t="shared" si="451"/>
        <v>1</v>
      </c>
      <c r="P1831" s="27">
        <f t="shared" si="452"/>
        <v>0</v>
      </c>
    </row>
    <row r="1832" spans="1:16" x14ac:dyDescent="0.25">
      <c r="B1832" s="1"/>
      <c r="C1832" s="1"/>
      <c r="D1832" s="1"/>
      <c r="E1832" s="1"/>
      <c r="F1832" s="1"/>
      <c r="G1832" s="1"/>
      <c r="H1832" s="1"/>
      <c r="I1832" s="2"/>
      <c r="J1832" s="1"/>
      <c r="K1832" s="1"/>
      <c r="L1832" s="1"/>
      <c r="M1832" s="3"/>
      <c r="N1832" s="1"/>
    </row>
    <row r="1833" spans="1:16" ht="15.75" thickBot="1" x14ac:dyDescent="0.3">
      <c r="B1833" s="1"/>
      <c r="C1833" s="1"/>
      <c r="D1833" s="1"/>
      <c r="E1833" s="1"/>
      <c r="F1833" s="1"/>
      <c r="G1833" s="1"/>
      <c r="H1833" s="1"/>
      <c r="I1833" s="2"/>
      <c r="J1833" s="1"/>
      <c r="K1833" s="1"/>
      <c r="L1833" s="1"/>
      <c r="M1833" s="3"/>
      <c r="N1833" s="1"/>
      <c r="P1833" s="11">
        <f>IFERROR(VLOOKUP($A1834,'PROGRAMA MES '!$A:$B,2,0),0)</f>
        <v>3600</v>
      </c>
    </row>
    <row r="1834" spans="1:16" x14ac:dyDescent="0.25">
      <c r="A1834" s="89" t="str">
        <f>B1834</f>
        <v>SP9150</v>
      </c>
      <c r="B1834" s="17" t="s">
        <v>1263</v>
      </c>
      <c r="C1834" s="17" t="s">
        <v>1264</v>
      </c>
      <c r="D1834" s="17">
        <v>99</v>
      </c>
      <c r="E1834" s="17" t="s">
        <v>15</v>
      </c>
      <c r="F1834" s="17">
        <v>1</v>
      </c>
      <c r="G1834" s="17" t="s">
        <v>16</v>
      </c>
      <c r="H1834" s="17" t="s">
        <v>17</v>
      </c>
      <c r="I1834" s="18">
        <v>4002826</v>
      </c>
      <c r="J1834" s="17" t="s">
        <v>4</v>
      </c>
      <c r="K1834" s="17">
        <v>99</v>
      </c>
      <c r="L1834" s="17" t="s">
        <v>15</v>
      </c>
      <c r="M1834" s="17">
        <v>8</v>
      </c>
      <c r="N1834" s="17" t="s">
        <v>1</v>
      </c>
      <c r="O1834" s="20">
        <f t="shared" ref="O1834:O1838" si="453">M1834/10000</f>
        <v>8.0000000000000004E-4</v>
      </c>
      <c r="P1834" s="21">
        <f>O1834*$P$1833</f>
        <v>2.8800000000000003</v>
      </c>
    </row>
    <row r="1835" spans="1:16" x14ac:dyDescent="0.25">
      <c r="A1835" s="91"/>
      <c r="B1835" s="13" t="s">
        <v>1263</v>
      </c>
      <c r="C1835" s="13" t="s">
        <v>1264</v>
      </c>
      <c r="D1835" s="13">
        <v>99</v>
      </c>
      <c r="E1835" s="13" t="s">
        <v>15</v>
      </c>
      <c r="F1835" s="13">
        <v>1</v>
      </c>
      <c r="G1835" s="13" t="s">
        <v>16</v>
      </c>
      <c r="H1835" s="13" t="s">
        <v>17</v>
      </c>
      <c r="I1835" s="14">
        <v>4005950</v>
      </c>
      <c r="J1835" s="13" t="s">
        <v>1265</v>
      </c>
      <c r="K1835" s="13">
        <v>99</v>
      </c>
      <c r="L1835" s="13" t="s">
        <v>15</v>
      </c>
      <c r="M1835" s="15">
        <v>10000</v>
      </c>
      <c r="N1835" s="13" t="s">
        <v>1</v>
      </c>
      <c r="O1835" s="16">
        <f t="shared" si="453"/>
        <v>1</v>
      </c>
      <c r="P1835" s="22">
        <f t="shared" ref="P1835:P1838" si="454">O1835*$P$1833</f>
        <v>3600</v>
      </c>
    </row>
    <row r="1836" spans="1:16" x14ac:dyDescent="0.25">
      <c r="A1836" s="91"/>
      <c r="B1836" s="13" t="s">
        <v>1263</v>
      </c>
      <c r="C1836" s="13" t="s">
        <v>1264</v>
      </c>
      <c r="D1836" s="13">
        <v>99</v>
      </c>
      <c r="E1836" s="13" t="s">
        <v>15</v>
      </c>
      <c r="F1836" s="13">
        <v>1</v>
      </c>
      <c r="G1836" s="13" t="s">
        <v>16</v>
      </c>
      <c r="H1836" s="13" t="s">
        <v>17</v>
      </c>
      <c r="I1836" s="14">
        <v>4005951</v>
      </c>
      <c r="J1836" s="13" t="s">
        <v>1266</v>
      </c>
      <c r="K1836" s="13">
        <v>99</v>
      </c>
      <c r="L1836" s="13" t="s">
        <v>15</v>
      </c>
      <c r="M1836" s="13">
        <v>834</v>
      </c>
      <c r="N1836" s="13" t="s">
        <v>1</v>
      </c>
      <c r="O1836" s="16">
        <f t="shared" si="453"/>
        <v>8.3400000000000002E-2</v>
      </c>
      <c r="P1836" s="22">
        <f t="shared" si="454"/>
        <v>300.24</v>
      </c>
    </row>
    <row r="1837" spans="1:16" x14ac:dyDescent="0.25">
      <c r="A1837" s="91"/>
      <c r="B1837" s="13" t="s">
        <v>1263</v>
      </c>
      <c r="C1837" s="13" t="s">
        <v>1264</v>
      </c>
      <c r="D1837" s="13">
        <v>99</v>
      </c>
      <c r="E1837" s="13" t="s">
        <v>15</v>
      </c>
      <c r="F1837" s="13">
        <v>1</v>
      </c>
      <c r="G1837" s="13" t="s">
        <v>16</v>
      </c>
      <c r="H1837" s="13" t="s">
        <v>17</v>
      </c>
      <c r="I1837" s="14">
        <v>4005953</v>
      </c>
      <c r="J1837" s="13" t="s">
        <v>1267</v>
      </c>
      <c r="K1837" s="13">
        <v>99</v>
      </c>
      <c r="L1837" s="13" t="s">
        <v>15</v>
      </c>
      <c r="M1837" s="15">
        <v>1667</v>
      </c>
      <c r="N1837" s="13" t="s">
        <v>1</v>
      </c>
      <c r="O1837" s="16">
        <f t="shared" si="453"/>
        <v>0.16669999999999999</v>
      </c>
      <c r="P1837" s="22">
        <f t="shared" si="454"/>
        <v>600.12</v>
      </c>
    </row>
    <row r="1838" spans="1:16" ht="15.75" thickBot="1" x14ac:dyDescent="0.3">
      <c r="A1838" s="90"/>
      <c r="B1838" s="23" t="s">
        <v>1263</v>
      </c>
      <c r="C1838" s="23" t="s">
        <v>1264</v>
      </c>
      <c r="D1838" s="23">
        <v>99</v>
      </c>
      <c r="E1838" s="23" t="s">
        <v>15</v>
      </c>
      <c r="F1838" s="23">
        <v>1</v>
      </c>
      <c r="G1838" s="23" t="s">
        <v>21</v>
      </c>
      <c r="H1838" s="23" t="s">
        <v>17</v>
      </c>
      <c r="I1838" s="24" t="s">
        <v>1268</v>
      </c>
      <c r="J1838" s="23" t="s">
        <v>1269</v>
      </c>
      <c r="K1838" s="23">
        <v>3</v>
      </c>
      <c r="L1838" s="23" t="s">
        <v>24</v>
      </c>
      <c r="M1838" s="25">
        <v>10000</v>
      </c>
      <c r="N1838" s="23" t="s">
        <v>1</v>
      </c>
      <c r="O1838" s="26">
        <f t="shared" si="453"/>
        <v>1</v>
      </c>
      <c r="P1838" s="27">
        <f t="shared" si="454"/>
        <v>3600</v>
      </c>
    </row>
    <row r="1839" spans="1:16" x14ac:dyDescent="0.25">
      <c r="B1839" s="1"/>
      <c r="C1839" s="1"/>
      <c r="D1839" s="1"/>
      <c r="E1839" s="1"/>
      <c r="F1839" s="1"/>
      <c r="G1839" s="1"/>
      <c r="H1839" s="1"/>
      <c r="I1839" s="2"/>
      <c r="J1839" s="1"/>
      <c r="K1839" s="1"/>
      <c r="L1839" s="1"/>
      <c r="M1839" s="3"/>
      <c r="N1839" s="1"/>
    </row>
    <row r="1840" spans="1:16" ht="15.75" thickBot="1" x14ac:dyDescent="0.3">
      <c r="B1840" s="1"/>
      <c r="C1840" s="1"/>
      <c r="D1840" s="1"/>
      <c r="E1840" s="1"/>
      <c r="F1840" s="1"/>
      <c r="G1840" s="1"/>
      <c r="H1840" s="1"/>
      <c r="I1840" s="2"/>
      <c r="J1840" s="1"/>
      <c r="K1840" s="1"/>
      <c r="L1840" s="1"/>
      <c r="M1840" s="3"/>
      <c r="N1840" s="1"/>
      <c r="P1840" s="11">
        <f>IFERROR(VLOOKUP($A1841,'PROGRAMA MES '!$A:$B,2,0),0)</f>
        <v>1826</v>
      </c>
    </row>
    <row r="1841" spans="1:16" x14ac:dyDescent="0.25">
      <c r="A1841" s="89" t="str">
        <f>B1841</f>
        <v>SP9157</v>
      </c>
      <c r="B1841" s="17" t="s">
        <v>1270</v>
      </c>
      <c r="C1841" s="17" t="s">
        <v>1271</v>
      </c>
      <c r="D1841" s="17">
        <v>99</v>
      </c>
      <c r="E1841" s="17" t="s">
        <v>15</v>
      </c>
      <c r="F1841" s="17">
        <v>1</v>
      </c>
      <c r="G1841" s="17" t="s">
        <v>35</v>
      </c>
      <c r="H1841" s="17" t="s">
        <v>17</v>
      </c>
      <c r="I1841" s="18">
        <v>3003864</v>
      </c>
      <c r="J1841" s="17" t="s">
        <v>1272</v>
      </c>
      <c r="K1841" s="17">
        <v>99</v>
      </c>
      <c r="L1841" s="17" t="s">
        <v>15</v>
      </c>
      <c r="M1841" s="19">
        <v>10000</v>
      </c>
      <c r="N1841" s="17" t="s">
        <v>1</v>
      </c>
      <c r="O1841" s="20">
        <f t="shared" ref="O1841:O1848" si="455">M1841/10000</f>
        <v>1</v>
      </c>
      <c r="P1841" s="21">
        <f>O1841*$P$1840</f>
        <v>1826</v>
      </c>
    </row>
    <row r="1842" spans="1:16" x14ac:dyDescent="0.25">
      <c r="A1842" s="91"/>
      <c r="B1842" s="13" t="s">
        <v>1270</v>
      </c>
      <c r="C1842" s="13" t="s">
        <v>1271</v>
      </c>
      <c r="D1842" s="13">
        <v>99</v>
      </c>
      <c r="E1842" s="13" t="s">
        <v>15</v>
      </c>
      <c r="F1842" s="13">
        <v>1</v>
      </c>
      <c r="G1842" s="13" t="s">
        <v>35</v>
      </c>
      <c r="H1842" s="13" t="s">
        <v>17</v>
      </c>
      <c r="I1842" s="14">
        <v>3003869</v>
      </c>
      <c r="J1842" s="13" t="s">
        <v>1273</v>
      </c>
      <c r="K1842" s="13">
        <v>99</v>
      </c>
      <c r="L1842" s="13" t="s">
        <v>15</v>
      </c>
      <c r="M1842" s="15">
        <v>10000</v>
      </c>
      <c r="N1842" s="13" t="s">
        <v>1</v>
      </c>
      <c r="O1842" s="16">
        <f t="shared" si="455"/>
        <v>1</v>
      </c>
      <c r="P1842" s="22">
        <f t="shared" ref="P1842:P1848" si="456">O1842*$P$1840</f>
        <v>1826</v>
      </c>
    </row>
    <row r="1843" spans="1:16" x14ac:dyDescent="0.25">
      <c r="A1843" s="91"/>
      <c r="B1843" s="13" t="s">
        <v>1270</v>
      </c>
      <c r="C1843" s="13" t="s">
        <v>1271</v>
      </c>
      <c r="D1843" s="13">
        <v>99</v>
      </c>
      <c r="E1843" s="13" t="s">
        <v>15</v>
      </c>
      <c r="F1843" s="13">
        <v>1</v>
      </c>
      <c r="G1843" s="13" t="s">
        <v>35</v>
      </c>
      <c r="H1843" s="13" t="s">
        <v>17</v>
      </c>
      <c r="I1843" s="14">
        <v>3003893</v>
      </c>
      <c r="J1843" s="13" t="s">
        <v>164</v>
      </c>
      <c r="K1843" s="13">
        <v>99</v>
      </c>
      <c r="L1843" s="13" t="s">
        <v>15</v>
      </c>
      <c r="M1843" s="15">
        <v>10000</v>
      </c>
      <c r="N1843" s="13" t="s">
        <v>1</v>
      </c>
      <c r="O1843" s="16">
        <f t="shared" si="455"/>
        <v>1</v>
      </c>
      <c r="P1843" s="22">
        <f t="shared" si="456"/>
        <v>1826</v>
      </c>
    </row>
    <row r="1844" spans="1:16" x14ac:dyDescent="0.25">
      <c r="A1844" s="91"/>
      <c r="B1844" s="13" t="s">
        <v>1270</v>
      </c>
      <c r="C1844" s="13" t="s">
        <v>1271</v>
      </c>
      <c r="D1844" s="13">
        <v>99</v>
      </c>
      <c r="E1844" s="13" t="s">
        <v>15</v>
      </c>
      <c r="F1844" s="13">
        <v>1</v>
      </c>
      <c r="G1844" s="13" t="s">
        <v>35</v>
      </c>
      <c r="H1844" s="13" t="s">
        <v>17</v>
      </c>
      <c r="I1844" s="14">
        <v>3003894</v>
      </c>
      <c r="J1844" s="13" t="s">
        <v>1274</v>
      </c>
      <c r="K1844" s="13">
        <v>99</v>
      </c>
      <c r="L1844" s="13" t="s">
        <v>15</v>
      </c>
      <c r="M1844" s="15">
        <v>10000</v>
      </c>
      <c r="N1844" s="13" t="s">
        <v>1</v>
      </c>
      <c r="O1844" s="16">
        <f t="shared" si="455"/>
        <v>1</v>
      </c>
      <c r="P1844" s="22">
        <f t="shared" si="456"/>
        <v>1826</v>
      </c>
    </row>
    <row r="1845" spans="1:16" x14ac:dyDescent="0.25">
      <c r="A1845" s="91"/>
      <c r="B1845" s="13" t="s">
        <v>1270</v>
      </c>
      <c r="C1845" s="13" t="s">
        <v>1271</v>
      </c>
      <c r="D1845" s="13">
        <v>99</v>
      </c>
      <c r="E1845" s="13" t="s">
        <v>15</v>
      </c>
      <c r="F1845" s="13">
        <v>1</v>
      </c>
      <c r="G1845" s="13" t="s">
        <v>16</v>
      </c>
      <c r="H1845" s="13" t="s">
        <v>17</v>
      </c>
      <c r="I1845" s="14">
        <v>4002826</v>
      </c>
      <c r="J1845" s="13" t="s">
        <v>4</v>
      </c>
      <c r="K1845" s="13">
        <v>99</v>
      </c>
      <c r="L1845" s="13" t="s">
        <v>15</v>
      </c>
      <c r="M1845" s="13">
        <v>30</v>
      </c>
      <c r="N1845" s="13" t="s">
        <v>1</v>
      </c>
      <c r="O1845" s="16">
        <f t="shared" si="455"/>
        <v>3.0000000000000001E-3</v>
      </c>
      <c r="P1845" s="22">
        <f t="shared" si="456"/>
        <v>5.4779999999999998</v>
      </c>
    </row>
    <row r="1846" spans="1:16" x14ac:dyDescent="0.25">
      <c r="A1846" s="91"/>
      <c r="B1846" s="13" t="s">
        <v>1270</v>
      </c>
      <c r="C1846" s="13" t="s">
        <v>1271</v>
      </c>
      <c r="D1846" s="13">
        <v>99</v>
      </c>
      <c r="E1846" s="13" t="s">
        <v>15</v>
      </c>
      <c r="F1846" s="13">
        <v>1</v>
      </c>
      <c r="G1846" s="13" t="s">
        <v>16</v>
      </c>
      <c r="H1846" s="13" t="s">
        <v>17</v>
      </c>
      <c r="I1846" s="14">
        <v>4008830</v>
      </c>
      <c r="J1846" s="13" t="s">
        <v>1275</v>
      </c>
      <c r="K1846" s="13">
        <v>99</v>
      </c>
      <c r="L1846" s="13" t="s">
        <v>15</v>
      </c>
      <c r="M1846" s="13">
        <v>834</v>
      </c>
      <c r="N1846" s="13" t="s">
        <v>1</v>
      </c>
      <c r="O1846" s="16">
        <f t="shared" si="455"/>
        <v>8.3400000000000002E-2</v>
      </c>
      <c r="P1846" s="22">
        <f t="shared" si="456"/>
        <v>152.2884</v>
      </c>
    </row>
    <row r="1847" spans="1:16" x14ac:dyDescent="0.25">
      <c r="A1847" s="91"/>
      <c r="B1847" s="13" t="s">
        <v>1270</v>
      </c>
      <c r="C1847" s="13" t="s">
        <v>1271</v>
      </c>
      <c r="D1847" s="13">
        <v>99</v>
      </c>
      <c r="E1847" s="13" t="s">
        <v>15</v>
      </c>
      <c r="F1847" s="13">
        <v>1</v>
      </c>
      <c r="G1847" s="13" t="s">
        <v>16</v>
      </c>
      <c r="H1847" s="13" t="s">
        <v>17</v>
      </c>
      <c r="I1847" s="14">
        <v>4010200</v>
      </c>
      <c r="J1847" s="13" t="s">
        <v>1276</v>
      </c>
      <c r="K1847" s="13">
        <v>99</v>
      </c>
      <c r="L1847" s="13" t="s">
        <v>15</v>
      </c>
      <c r="M1847" s="15">
        <v>10000</v>
      </c>
      <c r="N1847" s="13" t="s">
        <v>1</v>
      </c>
      <c r="O1847" s="16">
        <f t="shared" si="455"/>
        <v>1</v>
      </c>
      <c r="P1847" s="22">
        <f t="shared" si="456"/>
        <v>1826</v>
      </c>
    </row>
    <row r="1848" spans="1:16" ht="15.75" thickBot="1" x14ac:dyDescent="0.3">
      <c r="A1848" s="90"/>
      <c r="B1848" s="23" t="s">
        <v>1270</v>
      </c>
      <c r="C1848" s="23" t="s">
        <v>1271</v>
      </c>
      <c r="D1848" s="23">
        <v>99</v>
      </c>
      <c r="E1848" s="23" t="s">
        <v>15</v>
      </c>
      <c r="F1848" s="23">
        <v>1</v>
      </c>
      <c r="G1848" s="23" t="s">
        <v>16</v>
      </c>
      <c r="H1848" s="23" t="s">
        <v>17</v>
      </c>
      <c r="I1848" s="24">
        <v>4016160</v>
      </c>
      <c r="J1848" s="23" t="s">
        <v>69</v>
      </c>
      <c r="K1848" s="23">
        <v>99</v>
      </c>
      <c r="L1848" s="23" t="s">
        <v>15</v>
      </c>
      <c r="M1848" s="23">
        <v>10</v>
      </c>
      <c r="N1848" s="23" t="s">
        <v>3</v>
      </c>
      <c r="O1848" s="26">
        <f t="shared" si="455"/>
        <v>1E-3</v>
      </c>
      <c r="P1848" s="27">
        <f t="shared" si="456"/>
        <v>1.8260000000000001</v>
      </c>
    </row>
    <row r="1849" spans="1:16" x14ac:dyDescent="0.25">
      <c r="B1849" s="1"/>
      <c r="C1849" s="1"/>
      <c r="D1849" s="1"/>
      <c r="E1849" s="1"/>
      <c r="F1849" s="1"/>
      <c r="G1849" s="1"/>
      <c r="H1849" s="1"/>
      <c r="I1849" s="2"/>
      <c r="J1849" s="1"/>
      <c r="K1849" s="1"/>
      <c r="L1849" s="1"/>
      <c r="M1849" s="1"/>
      <c r="N1849" s="1"/>
    </row>
    <row r="1850" spans="1:16" ht="15.75" thickBot="1" x14ac:dyDescent="0.3">
      <c r="B1850" s="1"/>
      <c r="C1850" s="1"/>
      <c r="D1850" s="1"/>
      <c r="E1850" s="1"/>
      <c r="F1850" s="1"/>
      <c r="G1850" s="1"/>
      <c r="H1850" s="1"/>
      <c r="I1850" s="2"/>
      <c r="J1850" s="1"/>
      <c r="K1850" s="1"/>
      <c r="L1850" s="1"/>
      <c r="M1850" s="1"/>
      <c r="N1850" s="1"/>
      <c r="P1850" s="11">
        <f>IFERROR(VLOOKUP($A1851,'PROGRAMA MES '!$A:$B,2,0),0)</f>
        <v>1218</v>
      </c>
    </row>
    <row r="1851" spans="1:16" x14ac:dyDescent="0.25">
      <c r="A1851" s="89" t="str">
        <f>B1851</f>
        <v>SP9157AM</v>
      </c>
      <c r="B1851" s="17" t="s">
        <v>1277</v>
      </c>
      <c r="C1851" s="17" t="s">
        <v>1278</v>
      </c>
      <c r="D1851" s="17">
        <v>99</v>
      </c>
      <c r="E1851" s="17" t="s">
        <v>15</v>
      </c>
      <c r="F1851" s="17">
        <v>1</v>
      </c>
      <c r="G1851" s="17" t="s">
        <v>35</v>
      </c>
      <c r="H1851" s="17" t="s">
        <v>17</v>
      </c>
      <c r="I1851" s="18">
        <v>3003869</v>
      </c>
      <c r="J1851" s="17" t="s">
        <v>1273</v>
      </c>
      <c r="K1851" s="17">
        <v>99</v>
      </c>
      <c r="L1851" s="17" t="s">
        <v>15</v>
      </c>
      <c r="M1851" s="19">
        <v>10000</v>
      </c>
      <c r="N1851" s="17" t="s">
        <v>1</v>
      </c>
      <c r="O1851" s="20">
        <f t="shared" ref="O1851:O1858" si="457">M1851/10000</f>
        <v>1</v>
      </c>
      <c r="P1851" s="21">
        <f>O1851*$P$1850</f>
        <v>1218</v>
      </c>
    </row>
    <row r="1852" spans="1:16" x14ac:dyDescent="0.25">
      <c r="A1852" s="91"/>
      <c r="B1852" s="13" t="s">
        <v>1277</v>
      </c>
      <c r="C1852" s="13" t="s">
        <v>1278</v>
      </c>
      <c r="D1852" s="13">
        <v>99</v>
      </c>
      <c r="E1852" s="13" t="s">
        <v>15</v>
      </c>
      <c r="F1852" s="13">
        <v>1</v>
      </c>
      <c r="G1852" s="13" t="s">
        <v>35</v>
      </c>
      <c r="H1852" s="13" t="s">
        <v>17</v>
      </c>
      <c r="I1852" s="14">
        <v>3003894</v>
      </c>
      <c r="J1852" s="13" t="s">
        <v>1274</v>
      </c>
      <c r="K1852" s="13">
        <v>99</v>
      </c>
      <c r="L1852" s="13" t="s">
        <v>15</v>
      </c>
      <c r="M1852" s="15">
        <v>10000</v>
      </c>
      <c r="N1852" s="13" t="s">
        <v>1</v>
      </c>
      <c r="O1852" s="16">
        <f t="shared" si="457"/>
        <v>1</v>
      </c>
      <c r="P1852" s="22">
        <f t="shared" ref="P1852:P1858" si="458">O1852*$P$1850</f>
        <v>1218</v>
      </c>
    </row>
    <row r="1853" spans="1:16" x14ac:dyDescent="0.25">
      <c r="A1853" s="91"/>
      <c r="B1853" s="13" t="s">
        <v>1277</v>
      </c>
      <c r="C1853" s="13" t="s">
        <v>1278</v>
      </c>
      <c r="D1853" s="13">
        <v>99</v>
      </c>
      <c r="E1853" s="13" t="s">
        <v>15</v>
      </c>
      <c r="F1853" s="13">
        <v>1</v>
      </c>
      <c r="G1853" s="13" t="s">
        <v>35</v>
      </c>
      <c r="H1853" s="13" t="s">
        <v>17</v>
      </c>
      <c r="I1853" s="14">
        <v>3004182</v>
      </c>
      <c r="J1853" s="13" t="s">
        <v>1279</v>
      </c>
      <c r="K1853" s="13">
        <v>99</v>
      </c>
      <c r="L1853" s="13" t="s">
        <v>15</v>
      </c>
      <c r="M1853" s="15">
        <v>10000</v>
      </c>
      <c r="N1853" s="13" t="s">
        <v>1</v>
      </c>
      <c r="O1853" s="16">
        <f t="shared" si="457"/>
        <v>1</v>
      </c>
      <c r="P1853" s="22">
        <f t="shared" si="458"/>
        <v>1218</v>
      </c>
    </row>
    <row r="1854" spans="1:16" x14ac:dyDescent="0.25">
      <c r="A1854" s="91"/>
      <c r="B1854" s="13" t="s">
        <v>1277</v>
      </c>
      <c r="C1854" s="13" t="s">
        <v>1278</v>
      </c>
      <c r="D1854" s="13">
        <v>99</v>
      </c>
      <c r="E1854" s="13" t="s">
        <v>15</v>
      </c>
      <c r="F1854" s="13">
        <v>1</v>
      </c>
      <c r="G1854" s="13" t="s">
        <v>35</v>
      </c>
      <c r="H1854" s="13" t="s">
        <v>17</v>
      </c>
      <c r="I1854" s="14">
        <v>3004187</v>
      </c>
      <c r="J1854" s="13" t="s">
        <v>1280</v>
      </c>
      <c r="K1854" s="13">
        <v>99</v>
      </c>
      <c r="L1854" s="13" t="s">
        <v>15</v>
      </c>
      <c r="M1854" s="15">
        <v>10000</v>
      </c>
      <c r="N1854" s="13" t="s">
        <v>1</v>
      </c>
      <c r="O1854" s="16">
        <f t="shared" si="457"/>
        <v>1</v>
      </c>
      <c r="P1854" s="22">
        <f t="shared" si="458"/>
        <v>1218</v>
      </c>
    </row>
    <row r="1855" spans="1:16" x14ac:dyDescent="0.25">
      <c r="A1855" s="91"/>
      <c r="B1855" s="13" t="s">
        <v>1277</v>
      </c>
      <c r="C1855" s="13" t="s">
        <v>1278</v>
      </c>
      <c r="D1855" s="13">
        <v>99</v>
      </c>
      <c r="E1855" s="13" t="s">
        <v>15</v>
      </c>
      <c r="F1855" s="13">
        <v>1</v>
      </c>
      <c r="G1855" s="13" t="s">
        <v>16</v>
      </c>
      <c r="H1855" s="13" t="s">
        <v>17</v>
      </c>
      <c r="I1855" s="14">
        <v>4002826</v>
      </c>
      <c r="J1855" s="13" t="s">
        <v>4</v>
      </c>
      <c r="K1855" s="13">
        <v>99</v>
      </c>
      <c r="L1855" s="13" t="s">
        <v>15</v>
      </c>
      <c r="M1855" s="13">
        <v>30</v>
      </c>
      <c r="N1855" s="13" t="s">
        <v>1</v>
      </c>
      <c r="O1855" s="16">
        <f t="shared" si="457"/>
        <v>3.0000000000000001E-3</v>
      </c>
      <c r="P1855" s="22">
        <f t="shared" si="458"/>
        <v>3.6539999999999999</v>
      </c>
    </row>
    <row r="1856" spans="1:16" x14ac:dyDescent="0.25">
      <c r="A1856" s="91"/>
      <c r="B1856" s="13" t="s">
        <v>1277</v>
      </c>
      <c r="C1856" s="13" t="s">
        <v>1278</v>
      </c>
      <c r="D1856" s="13">
        <v>99</v>
      </c>
      <c r="E1856" s="13" t="s">
        <v>15</v>
      </c>
      <c r="F1856" s="13">
        <v>1</v>
      </c>
      <c r="G1856" s="13" t="s">
        <v>16</v>
      </c>
      <c r="H1856" s="13" t="s">
        <v>17</v>
      </c>
      <c r="I1856" s="14">
        <v>4008830</v>
      </c>
      <c r="J1856" s="13" t="s">
        <v>1275</v>
      </c>
      <c r="K1856" s="13">
        <v>99</v>
      </c>
      <c r="L1856" s="13" t="s">
        <v>15</v>
      </c>
      <c r="M1856" s="13">
        <v>834</v>
      </c>
      <c r="N1856" s="13" t="s">
        <v>1</v>
      </c>
      <c r="O1856" s="16">
        <f t="shared" si="457"/>
        <v>8.3400000000000002E-2</v>
      </c>
      <c r="P1856" s="22">
        <f t="shared" si="458"/>
        <v>101.5812</v>
      </c>
    </row>
    <row r="1857" spans="1:16" x14ac:dyDescent="0.25">
      <c r="A1857" s="91"/>
      <c r="B1857" s="13" t="s">
        <v>1277</v>
      </c>
      <c r="C1857" s="13" t="s">
        <v>1278</v>
      </c>
      <c r="D1857" s="13">
        <v>99</v>
      </c>
      <c r="E1857" s="13" t="s">
        <v>15</v>
      </c>
      <c r="F1857" s="13">
        <v>1</v>
      </c>
      <c r="G1857" s="13" t="s">
        <v>16</v>
      </c>
      <c r="H1857" s="13" t="s">
        <v>17</v>
      </c>
      <c r="I1857" s="14">
        <v>4010861</v>
      </c>
      <c r="J1857" s="13" t="s">
        <v>1281</v>
      </c>
      <c r="K1857" s="13">
        <v>99</v>
      </c>
      <c r="L1857" s="13" t="s">
        <v>15</v>
      </c>
      <c r="M1857" s="15">
        <v>10000</v>
      </c>
      <c r="N1857" s="13" t="s">
        <v>1</v>
      </c>
      <c r="O1857" s="16">
        <f t="shared" si="457"/>
        <v>1</v>
      </c>
      <c r="P1857" s="22">
        <f t="shared" si="458"/>
        <v>1218</v>
      </c>
    </row>
    <row r="1858" spans="1:16" ht="15.75" thickBot="1" x14ac:dyDescent="0.3">
      <c r="A1858" s="90"/>
      <c r="B1858" s="23" t="s">
        <v>1277</v>
      </c>
      <c r="C1858" s="23" t="s">
        <v>1278</v>
      </c>
      <c r="D1858" s="23">
        <v>99</v>
      </c>
      <c r="E1858" s="23" t="s">
        <v>15</v>
      </c>
      <c r="F1858" s="23">
        <v>1</v>
      </c>
      <c r="G1858" s="23" t="s">
        <v>16</v>
      </c>
      <c r="H1858" s="23" t="s">
        <v>17</v>
      </c>
      <c r="I1858" s="24">
        <v>4016160</v>
      </c>
      <c r="J1858" s="23" t="s">
        <v>69</v>
      </c>
      <c r="K1858" s="23">
        <v>99</v>
      </c>
      <c r="L1858" s="23" t="s">
        <v>15</v>
      </c>
      <c r="M1858" s="23">
        <v>10</v>
      </c>
      <c r="N1858" s="23" t="s">
        <v>3</v>
      </c>
      <c r="O1858" s="26">
        <f t="shared" si="457"/>
        <v>1E-3</v>
      </c>
      <c r="P1858" s="27">
        <f t="shared" si="458"/>
        <v>1.218</v>
      </c>
    </row>
    <row r="1859" spans="1:16" x14ac:dyDescent="0.25">
      <c r="B1859" s="1"/>
      <c r="C1859" s="1"/>
      <c r="D1859" s="1"/>
      <c r="E1859" s="1"/>
      <c r="F1859" s="1"/>
      <c r="G1859" s="1"/>
      <c r="H1859" s="1"/>
      <c r="I1859" s="2"/>
      <c r="J1859" s="1"/>
      <c r="K1859" s="1"/>
      <c r="L1859" s="1"/>
      <c r="M1859" s="1"/>
      <c r="N1859" s="1"/>
    </row>
    <row r="1860" spans="1:16" ht="15.75" thickBot="1" x14ac:dyDescent="0.3">
      <c r="B1860" s="1"/>
      <c r="C1860" s="1"/>
      <c r="D1860" s="1"/>
      <c r="E1860" s="1"/>
      <c r="F1860" s="1"/>
      <c r="G1860" s="1"/>
      <c r="H1860" s="1"/>
      <c r="I1860" s="2"/>
      <c r="J1860" s="1"/>
      <c r="K1860" s="1"/>
      <c r="L1860" s="1"/>
      <c r="M1860" s="1"/>
      <c r="N1860" s="1"/>
      <c r="P1860" s="11">
        <f>IFERROR(VLOOKUP($A1861,'PROGRAMA MES '!$A:$B,2,0),0)</f>
        <v>1505</v>
      </c>
    </row>
    <row r="1861" spans="1:16" x14ac:dyDescent="0.25">
      <c r="A1861" s="89" t="str">
        <f>B1861</f>
        <v>SP9157AZ</v>
      </c>
      <c r="B1861" s="17" t="s">
        <v>1282</v>
      </c>
      <c r="C1861" s="17" t="s">
        <v>1283</v>
      </c>
      <c r="D1861" s="17">
        <v>99</v>
      </c>
      <c r="E1861" s="17" t="s">
        <v>15</v>
      </c>
      <c r="F1861" s="17">
        <v>1</v>
      </c>
      <c r="G1861" s="17" t="s">
        <v>35</v>
      </c>
      <c r="H1861" s="17" t="s">
        <v>17</v>
      </c>
      <c r="I1861" s="18">
        <v>3003869</v>
      </c>
      <c r="J1861" s="17" t="s">
        <v>1273</v>
      </c>
      <c r="K1861" s="17">
        <v>99</v>
      </c>
      <c r="L1861" s="17" t="s">
        <v>15</v>
      </c>
      <c r="M1861" s="19">
        <v>10000</v>
      </c>
      <c r="N1861" s="17" t="s">
        <v>1</v>
      </c>
      <c r="O1861" s="20">
        <f t="shared" ref="O1861:O1868" si="459">M1861/10000</f>
        <v>1</v>
      </c>
      <c r="P1861" s="21">
        <f>O1861*$P$1860</f>
        <v>1505</v>
      </c>
    </row>
    <row r="1862" spans="1:16" x14ac:dyDescent="0.25">
      <c r="A1862" s="91"/>
      <c r="B1862" s="13" t="s">
        <v>1282</v>
      </c>
      <c r="C1862" s="13" t="s">
        <v>1283</v>
      </c>
      <c r="D1862" s="13">
        <v>99</v>
      </c>
      <c r="E1862" s="13" t="s">
        <v>15</v>
      </c>
      <c r="F1862" s="13">
        <v>1</v>
      </c>
      <c r="G1862" s="13" t="s">
        <v>35</v>
      </c>
      <c r="H1862" s="13" t="s">
        <v>17</v>
      </c>
      <c r="I1862" s="14">
        <v>3003894</v>
      </c>
      <c r="J1862" s="13" t="s">
        <v>1274</v>
      </c>
      <c r="K1862" s="13">
        <v>99</v>
      </c>
      <c r="L1862" s="13" t="s">
        <v>15</v>
      </c>
      <c r="M1862" s="15">
        <v>10000</v>
      </c>
      <c r="N1862" s="13" t="s">
        <v>1</v>
      </c>
      <c r="O1862" s="16">
        <f t="shared" si="459"/>
        <v>1</v>
      </c>
      <c r="P1862" s="22">
        <f t="shared" ref="P1862:P1868" si="460">O1862*$P$1860</f>
        <v>1505</v>
      </c>
    </row>
    <row r="1863" spans="1:16" x14ac:dyDescent="0.25">
      <c r="A1863" s="91"/>
      <c r="B1863" s="13" t="s">
        <v>1282</v>
      </c>
      <c r="C1863" s="13" t="s">
        <v>1283</v>
      </c>
      <c r="D1863" s="13">
        <v>99</v>
      </c>
      <c r="E1863" s="13" t="s">
        <v>15</v>
      </c>
      <c r="F1863" s="13">
        <v>1</v>
      </c>
      <c r="G1863" s="13" t="s">
        <v>35</v>
      </c>
      <c r="H1863" s="13" t="s">
        <v>17</v>
      </c>
      <c r="I1863" s="14">
        <v>3003935</v>
      </c>
      <c r="J1863" s="13" t="s">
        <v>1284</v>
      </c>
      <c r="K1863" s="13">
        <v>99</v>
      </c>
      <c r="L1863" s="13" t="s">
        <v>15</v>
      </c>
      <c r="M1863" s="15">
        <v>10000</v>
      </c>
      <c r="N1863" s="13" t="s">
        <v>1</v>
      </c>
      <c r="O1863" s="16">
        <f t="shared" si="459"/>
        <v>1</v>
      </c>
      <c r="P1863" s="22">
        <f t="shared" si="460"/>
        <v>1505</v>
      </c>
    </row>
    <row r="1864" spans="1:16" x14ac:dyDescent="0.25">
      <c r="A1864" s="91"/>
      <c r="B1864" s="13" t="s">
        <v>1282</v>
      </c>
      <c r="C1864" s="13" t="s">
        <v>1283</v>
      </c>
      <c r="D1864" s="13">
        <v>99</v>
      </c>
      <c r="E1864" s="13" t="s">
        <v>15</v>
      </c>
      <c r="F1864" s="13">
        <v>1</v>
      </c>
      <c r="G1864" s="13" t="s">
        <v>35</v>
      </c>
      <c r="H1864" s="13" t="s">
        <v>17</v>
      </c>
      <c r="I1864" s="14">
        <v>3003937</v>
      </c>
      <c r="J1864" s="13" t="s">
        <v>1285</v>
      </c>
      <c r="K1864" s="13">
        <v>99</v>
      </c>
      <c r="L1864" s="13" t="s">
        <v>15</v>
      </c>
      <c r="M1864" s="15">
        <v>10000</v>
      </c>
      <c r="N1864" s="13" t="s">
        <v>1</v>
      </c>
      <c r="O1864" s="16">
        <f t="shared" si="459"/>
        <v>1</v>
      </c>
      <c r="P1864" s="22">
        <f t="shared" si="460"/>
        <v>1505</v>
      </c>
    </row>
    <row r="1865" spans="1:16" x14ac:dyDescent="0.25">
      <c r="A1865" s="91"/>
      <c r="B1865" s="13" t="s">
        <v>1282</v>
      </c>
      <c r="C1865" s="13" t="s">
        <v>1283</v>
      </c>
      <c r="D1865" s="13">
        <v>99</v>
      </c>
      <c r="E1865" s="13" t="s">
        <v>15</v>
      </c>
      <c r="F1865" s="13">
        <v>1</v>
      </c>
      <c r="G1865" s="13" t="s">
        <v>16</v>
      </c>
      <c r="H1865" s="13" t="s">
        <v>17</v>
      </c>
      <c r="I1865" s="14">
        <v>4002826</v>
      </c>
      <c r="J1865" s="13" t="s">
        <v>4</v>
      </c>
      <c r="K1865" s="13">
        <v>99</v>
      </c>
      <c r="L1865" s="13" t="s">
        <v>15</v>
      </c>
      <c r="M1865" s="13">
        <v>30</v>
      </c>
      <c r="N1865" s="13" t="s">
        <v>1</v>
      </c>
      <c r="O1865" s="16">
        <f t="shared" si="459"/>
        <v>3.0000000000000001E-3</v>
      </c>
      <c r="P1865" s="22">
        <f t="shared" si="460"/>
        <v>4.5149999999999997</v>
      </c>
    </row>
    <row r="1866" spans="1:16" x14ac:dyDescent="0.25">
      <c r="A1866" s="91"/>
      <c r="B1866" s="13" t="s">
        <v>1282</v>
      </c>
      <c r="C1866" s="13" t="s">
        <v>1283</v>
      </c>
      <c r="D1866" s="13">
        <v>99</v>
      </c>
      <c r="E1866" s="13" t="s">
        <v>15</v>
      </c>
      <c r="F1866" s="13">
        <v>1</v>
      </c>
      <c r="G1866" s="13" t="s">
        <v>16</v>
      </c>
      <c r="H1866" s="13" t="s">
        <v>17</v>
      </c>
      <c r="I1866" s="14">
        <v>4008830</v>
      </c>
      <c r="J1866" s="13" t="s">
        <v>1275</v>
      </c>
      <c r="K1866" s="13">
        <v>99</v>
      </c>
      <c r="L1866" s="13" t="s">
        <v>15</v>
      </c>
      <c r="M1866" s="13">
        <v>834</v>
      </c>
      <c r="N1866" s="13" t="s">
        <v>1</v>
      </c>
      <c r="O1866" s="16">
        <f t="shared" si="459"/>
        <v>8.3400000000000002E-2</v>
      </c>
      <c r="P1866" s="22">
        <f t="shared" si="460"/>
        <v>125.517</v>
      </c>
    </row>
    <row r="1867" spans="1:16" x14ac:dyDescent="0.25">
      <c r="A1867" s="91"/>
      <c r="B1867" s="13" t="s">
        <v>1282</v>
      </c>
      <c r="C1867" s="13" t="s">
        <v>1283</v>
      </c>
      <c r="D1867" s="13">
        <v>99</v>
      </c>
      <c r="E1867" s="13" t="s">
        <v>15</v>
      </c>
      <c r="F1867" s="13">
        <v>1</v>
      </c>
      <c r="G1867" s="13" t="s">
        <v>16</v>
      </c>
      <c r="H1867" s="13" t="s">
        <v>17</v>
      </c>
      <c r="I1867" s="14">
        <v>4010413</v>
      </c>
      <c r="J1867" s="13" t="s">
        <v>1286</v>
      </c>
      <c r="K1867" s="13">
        <v>99</v>
      </c>
      <c r="L1867" s="13" t="s">
        <v>15</v>
      </c>
      <c r="M1867" s="15">
        <v>10000</v>
      </c>
      <c r="N1867" s="13" t="s">
        <v>1</v>
      </c>
      <c r="O1867" s="16">
        <f t="shared" si="459"/>
        <v>1</v>
      </c>
      <c r="P1867" s="22">
        <f t="shared" si="460"/>
        <v>1505</v>
      </c>
    </row>
    <row r="1868" spans="1:16" ht="15.75" thickBot="1" x14ac:dyDescent="0.3">
      <c r="A1868" s="90"/>
      <c r="B1868" s="23" t="s">
        <v>1282</v>
      </c>
      <c r="C1868" s="23" t="s">
        <v>1283</v>
      </c>
      <c r="D1868" s="23">
        <v>99</v>
      </c>
      <c r="E1868" s="23" t="s">
        <v>15</v>
      </c>
      <c r="F1868" s="23">
        <v>1</v>
      </c>
      <c r="G1868" s="23" t="s">
        <v>16</v>
      </c>
      <c r="H1868" s="23" t="s">
        <v>17</v>
      </c>
      <c r="I1868" s="24">
        <v>4016160</v>
      </c>
      <c r="J1868" s="23" t="s">
        <v>69</v>
      </c>
      <c r="K1868" s="23">
        <v>99</v>
      </c>
      <c r="L1868" s="23" t="s">
        <v>15</v>
      </c>
      <c r="M1868" s="23">
        <v>10</v>
      </c>
      <c r="N1868" s="23" t="s">
        <v>3</v>
      </c>
      <c r="O1868" s="26">
        <f t="shared" si="459"/>
        <v>1E-3</v>
      </c>
      <c r="P1868" s="27">
        <f t="shared" si="460"/>
        <v>1.5050000000000001</v>
      </c>
    </row>
    <row r="1869" spans="1:16" x14ac:dyDescent="0.25">
      <c r="B1869" s="1"/>
      <c r="C1869" s="1"/>
      <c r="D1869" s="1"/>
      <c r="E1869" s="1"/>
      <c r="F1869" s="1"/>
      <c r="G1869" s="1"/>
      <c r="H1869" s="1"/>
      <c r="I1869" s="2"/>
      <c r="J1869" s="1"/>
      <c r="K1869" s="1"/>
      <c r="L1869" s="1"/>
      <c r="M1869" s="1"/>
      <c r="N1869" s="1"/>
    </row>
    <row r="1870" spans="1:16" ht="15.75" thickBot="1" x14ac:dyDescent="0.3">
      <c r="B1870" s="1"/>
      <c r="C1870" s="1"/>
      <c r="D1870" s="1"/>
      <c r="E1870" s="1"/>
      <c r="F1870" s="1"/>
      <c r="G1870" s="1"/>
      <c r="H1870" s="1"/>
      <c r="I1870" s="2"/>
      <c r="J1870" s="1"/>
      <c r="K1870" s="1"/>
      <c r="L1870" s="1"/>
      <c r="M1870" s="1"/>
      <c r="N1870" s="1"/>
      <c r="P1870" s="11">
        <f>IFERROR(VLOOKUP($A1871,'PROGRAMA MES '!$A:$B,2,0),0)</f>
        <v>0</v>
      </c>
    </row>
    <row r="1871" spans="1:16" x14ac:dyDescent="0.25">
      <c r="A1871" s="89" t="str">
        <f>B1871</f>
        <v>SP9157VD</v>
      </c>
      <c r="B1871" s="17" t="s">
        <v>1287</v>
      </c>
      <c r="C1871" s="17" t="s">
        <v>1288</v>
      </c>
      <c r="D1871" s="17">
        <v>99</v>
      </c>
      <c r="E1871" s="17" t="s">
        <v>15</v>
      </c>
      <c r="F1871" s="17">
        <v>1</v>
      </c>
      <c r="G1871" s="17" t="s">
        <v>35</v>
      </c>
      <c r="H1871" s="17" t="s">
        <v>17</v>
      </c>
      <c r="I1871" s="18">
        <v>3003869</v>
      </c>
      <c r="J1871" s="17" t="s">
        <v>1273</v>
      </c>
      <c r="K1871" s="17">
        <v>99</v>
      </c>
      <c r="L1871" s="17" t="s">
        <v>15</v>
      </c>
      <c r="M1871" s="19">
        <v>10000</v>
      </c>
      <c r="N1871" s="17" t="s">
        <v>1</v>
      </c>
      <c r="O1871" s="20">
        <f t="shared" ref="O1871:O1878" si="461">M1871/10000</f>
        <v>1</v>
      </c>
      <c r="P1871" s="21">
        <f>O1871*$P$1870</f>
        <v>0</v>
      </c>
    </row>
    <row r="1872" spans="1:16" x14ac:dyDescent="0.25">
      <c r="A1872" s="91"/>
      <c r="B1872" s="13" t="s">
        <v>1287</v>
      </c>
      <c r="C1872" s="13" t="s">
        <v>1288</v>
      </c>
      <c r="D1872" s="13">
        <v>99</v>
      </c>
      <c r="E1872" s="13" t="s">
        <v>15</v>
      </c>
      <c r="F1872" s="13">
        <v>1</v>
      </c>
      <c r="G1872" s="13" t="s">
        <v>35</v>
      </c>
      <c r="H1872" s="13" t="s">
        <v>17</v>
      </c>
      <c r="I1872" s="14">
        <v>3003894</v>
      </c>
      <c r="J1872" s="13" t="s">
        <v>1274</v>
      </c>
      <c r="K1872" s="13">
        <v>99</v>
      </c>
      <c r="L1872" s="13" t="s">
        <v>15</v>
      </c>
      <c r="M1872" s="15">
        <v>10000</v>
      </c>
      <c r="N1872" s="13" t="s">
        <v>1</v>
      </c>
      <c r="O1872" s="16">
        <f t="shared" si="461"/>
        <v>1</v>
      </c>
      <c r="P1872" s="22">
        <f t="shared" ref="P1872:P1878" si="462">O1872*$P$1870</f>
        <v>0</v>
      </c>
    </row>
    <row r="1873" spans="1:16" x14ac:dyDescent="0.25">
      <c r="A1873" s="91"/>
      <c r="B1873" s="13" t="s">
        <v>1287</v>
      </c>
      <c r="C1873" s="13" t="s">
        <v>1288</v>
      </c>
      <c r="D1873" s="13">
        <v>99</v>
      </c>
      <c r="E1873" s="13" t="s">
        <v>15</v>
      </c>
      <c r="F1873" s="13">
        <v>1</v>
      </c>
      <c r="G1873" s="13" t="s">
        <v>35</v>
      </c>
      <c r="H1873" s="13" t="s">
        <v>17</v>
      </c>
      <c r="I1873" s="14">
        <v>3004181</v>
      </c>
      <c r="J1873" s="13" t="s">
        <v>1289</v>
      </c>
      <c r="K1873" s="13">
        <v>99</v>
      </c>
      <c r="L1873" s="13" t="s">
        <v>15</v>
      </c>
      <c r="M1873" s="15">
        <v>10000</v>
      </c>
      <c r="N1873" s="13" t="s">
        <v>1</v>
      </c>
      <c r="O1873" s="16">
        <f t="shared" si="461"/>
        <v>1</v>
      </c>
      <c r="P1873" s="22">
        <f t="shared" si="462"/>
        <v>0</v>
      </c>
    </row>
    <row r="1874" spans="1:16" x14ac:dyDescent="0.25">
      <c r="A1874" s="91"/>
      <c r="B1874" s="13" t="s">
        <v>1287</v>
      </c>
      <c r="C1874" s="13" t="s">
        <v>1288</v>
      </c>
      <c r="D1874" s="13">
        <v>99</v>
      </c>
      <c r="E1874" s="13" t="s">
        <v>15</v>
      </c>
      <c r="F1874" s="13">
        <v>1</v>
      </c>
      <c r="G1874" s="13" t="s">
        <v>35</v>
      </c>
      <c r="H1874" s="13" t="s">
        <v>17</v>
      </c>
      <c r="I1874" s="14">
        <v>3004188</v>
      </c>
      <c r="J1874" s="13" t="s">
        <v>1290</v>
      </c>
      <c r="K1874" s="13">
        <v>99</v>
      </c>
      <c r="L1874" s="13" t="s">
        <v>15</v>
      </c>
      <c r="M1874" s="15">
        <v>10000</v>
      </c>
      <c r="N1874" s="13" t="s">
        <v>1</v>
      </c>
      <c r="O1874" s="16">
        <f t="shared" si="461"/>
        <v>1</v>
      </c>
      <c r="P1874" s="22">
        <f t="shared" si="462"/>
        <v>0</v>
      </c>
    </row>
    <row r="1875" spans="1:16" x14ac:dyDescent="0.25">
      <c r="A1875" s="91"/>
      <c r="B1875" s="13" t="s">
        <v>1287</v>
      </c>
      <c r="C1875" s="13" t="s">
        <v>1288</v>
      </c>
      <c r="D1875" s="13">
        <v>99</v>
      </c>
      <c r="E1875" s="13" t="s">
        <v>15</v>
      </c>
      <c r="F1875" s="13">
        <v>1</v>
      </c>
      <c r="G1875" s="13" t="s">
        <v>16</v>
      </c>
      <c r="H1875" s="13" t="s">
        <v>17</v>
      </c>
      <c r="I1875" s="14">
        <v>4002826</v>
      </c>
      <c r="J1875" s="13" t="s">
        <v>4</v>
      </c>
      <c r="K1875" s="13">
        <v>99</v>
      </c>
      <c r="L1875" s="13" t="s">
        <v>15</v>
      </c>
      <c r="M1875" s="13">
        <v>30</v>
      </c>
      <c r="N1875" s="13" t="s">
        <v>1</v>
      </c>
      <c r="O1875" s="16">
        <f t="shared" si="461"/>
        <v>3.0000000000000001E-3</v>
      </c>
      <c r="P1875" s="22">
        <f t="shared" si="462"/>
        <v>0</v>
      </c>
    </row>
    <row r="1876" spans="1:16" x14ac:dyDescent="0.25">
      <c r="A1876" s="91"/>
      <c r="B1876" s="13" t="s">
        <v>1287</v>
      </c>
      <c r="C1876" s="13" t="s">
        <v>1288</v>
      </c>
      <c r="D1876" s="13">
        <v>99</v>
      </c>
      <c r="E1876" s="13" t="s">
        <v>15</v>
      </c>
      <c r="F1876" s="13">
        <v>1</v>
      </c>
      <c r="G1876" s="13" t="s">
        <v>16</v>
      </c>
      <c r="H1876" s="13" t="s">
        <v>17</v>
      </c>
      <c r="I1876" s="14">
        <v>4008830</v>
      </c>
      <c r="J1876" s="13" t="s">
        <v>1275</v>
      </c>
      <c r="K1876" s="13">
        <v>99</v>
      </c>
      <c r="L1876" s="13" t="s">
        <v>15</v>
      </c>
      <c r="M1876" s="13">
        <v>834</v>
      </c>
      <c r="N1876" s="13" t="s">
        <v>1</v>
      </c>
      <c r="O1876" s="16">
        <f t="shared" si="461"/>
        <v>8.3400000000000002E-2</v>
      </c>
      <c r="P1876" s="22">
        <f t="shared" si="462"/>
        <v>0</v>
      </c>
    </row>
    <row r="1877" spans="1:16" x14ac:dyDescent="0.25">
      <c r="A1877" s="91"/>
      <c r="B1877" s="13" t="s">
        <v>1287</v>
      </c>
      <c r="C1877" s="13" t="s">
        <v>1288</v>
      </c>
      <c r="D1877" s="13">
        <v>99</v>
      </c>
      <c r="E1877" s="13" t="s">
        <v>15</v>
      </c>
      <c r="F1877" s="13">
        <v>1</v>
      </c>
      <c r="G1877" s="13" t="s">
        <v>16</v>
      </c>
      <c r="H1877" s="13" t="s">
        <v>17</v>
      </c>
      <c r="I1877" s="14">
        <v>4010860</v>
      </c>
      <c r="J1877" s="13" t="s">
        <v>1291</v>
      </c>
      <c r="K1877" s="13">
        <v>99</v>
      </c>
      <c r="L1877" s="13" t="s">
        <v>15</v>
      </c>
      <c r="M1877" s="15">
        <v>10000</v>
      </c>
      <c r="N1877" s="13" t="s">
        <v>1</v>
      </c>
      <c r="O1877" s="16">
        <f t="shared" si="461"/>
        <v>1</v>
      </c>
      <c r="P1877" s="22">
        <f t="shared" si="462"/>
        <v>0</v>
      </c>
    </row>
    <row r="1878" spans="1:16" ht="15.75" thickBot="1" x14ac:dyDescent="0.3">
      <c r="A1878" s="90"/>
      <c r="B1878" s="23" t="s">
        <v>1287</v>
      </c>
      <c r="C1878" s="23" t="s">
        <v>1288</v>
      </c>
      <c r="D1878" s="23">
        <v>99</v>
      </c>
      <c r="E1878" s="23" t="s">
        <v>15</v>
      </c>
      <c r="F1878" s="23">
        <v>1</v>
      </c>
      <c r="G1878" s="23" t="s">
        <v>16</v>
      </c>
      <c r="H1878" s="23" t="s">
        <v>17</v>
      </c>
      <c r="I1878" s="24">
        <v>4016160</v>
      </c>
      <c r="J1878" s="23" t="s">
        <v>69</v>
      </c>
      <c r="K1878" s="23">
        <v>99</v>
      </c>
      <c r="L1878" s="23" t="s">
        <v>15</v>
      </c>
      <c r="M1878" s="23">
        <v>10</v>
      </c>
      <c r="N1878" s="23" t="s">
        <v>3</v>
      </c>
      <c r="O1878" s="26">
        <f t="shared" si="461"/>
        <v>1E-3</v>
      </c>
      <c r="P1878" s="27">
        <f t="shared" si="462"/>
        <v>0</v>
      </c>
    </row>
    <row r="1879" spans="1:16" x14ac:dyDescent="0.25">
      <c r="B1879" s="1"/>
      <c r="C1879" s="1"/>
      <c r="D1879" s="1"/>
      <c r="E1879" s="1"/>
      <c r="F1879" s="1"/>
      <c r="G1879" s="1"/>
      <c r="H1879" s="1"/>
      <c r="I1879" s="2"/>
      <c r="J1879" s="1"/>
      <c r="K1879" s="1"/>
      <c r="L1879" s="1"/>
      <c r="M1879" s="1"/>
      <c r="N1879" s="1"/>
    </row>
    <row r="1880" spans="1:16" ht="15.75" thickBot="1" x14ac:dyDescent="0.3">
      <c r="B1880" s="1"/>
      <c r="C1880" s="1"/>
      <c r="D1880" s="1"/>
      <c r="E1880" s="1"/>
      <c r="F1880" s="1"/>
      <c r="G1880" s="1"/>
      <c r="H1880" s="1"/>
      <c r="I1880" s="2"/>
      <c r="J1880" s="1"/>
      <c r="K1880" s="1"/>
      <c r="L1880" s="1"/>
      <c r="M1880" s="1"/>
      <c r="N1880" s="1"/>
      <c r="P1880" s="11">
        <f>IFERROR(VLOOKUP($A1881,'PROGRAMA MES '!$A:$B,2,0),0)</f>
        <v>0</v>
      </c>
    </row>
    <row r="1881" spans="1:16" x14ac:dyDescent="0.25">
      <c r="A1881" s="89" t="str">
        <f>B1881</f>
        <v>SP9157VR</v>
      </c>
      <c r="B1881" s="17" t="s">
        <v>1292</v>
      </c>
      <c r="C1881" s="17" t="s">
        <v>1293</v>
      </c>
      <c r="D1881" s="17">
        <v>99</v>
      </c>
      <c r="E1881" s="17" t="s">
        <v>15</v>
      </c>
      <c r="F1881" s="17">
        <v>1</v>
      </c>
      <c r="G1881" s="17" t="s">
        <v>35</v>
      </c>
      <c r="H1881" s="17" t="s">
        <v>17</v>
      </c>
      <c r="I1881" s="18">
        <v>3003869</v>
      </c>
      <c r="J1881" s="17" t="s">
        <v>1273</v>
      </c>
      <c r="K1881" s="17">
        <v>99</v>
      </c>
      <c r="L1881" s="17" t="s">
        <v>15</v>
      </c>
      <c r="M1881" s="19">
        <v>10000</v>
      </c>
      <c r="N1881" s="17" t="s">
        <v>1</v>
      </c>
      <c r="O1881" s="20">
        <f t="shared" ref="O1881:O1888" si="463">M1881/10000</f>
        <v>1</v>
      </c>
      <c r="P1881" s="21">
        <f>O1881*$P$1880</f>
        <v>0</v>
      </c>
    </row>
    <row r="1882" spans="1:16" x14ac:dyDescent="0.25">
      <c r="A1882" s="91"/>
      <c r="B1882" s="13" t="s">
        <v>1292</v>
      </c>
      <c r="C1882" s="13" t="s">
        <v>1293</v>
      </c>
      <c r="D1882" s="13">
        <v>99</v>
      </c>
      <c r="E1882" s="13" t="s">
        <v>15</v>
      </c>
      <c r="F1882" s="13">
        <v>1</v>
      </c>
      <c r="G1882" s="13" t="s">
        <v>35</v>
      </c>
      <c r="H1882" s="13" t="s">
        <v>17</v>
      </c>
      <c r="I1882" s="14">
        <v>3003894</v>
      </c>
      <c r="J1882" s="13" t="s">
        <v>1274</v>
      </c>
      <c r="K1882" s="13">
        <v>99</v>
      </c>
      <c r="L1882" s="13" t="s">
        <v>15</v>
      </c>
      <c r="M1882" s="15">
        <v>10000</v>
      </c>
      <c r="N1882" s="13" t="s">
        <v>1</v>
      </c>
      <c r="O1882" s="16">
        <f t="shared" si="463"/>
        <v>1</v>
      </c>
      <c r="P1882" s="22">
        <f t="shared" ref="P1882:P1888" si="464">O1882*$P$1880</f>
        <v>0</v>
      </c>
    </row>
    <row r="1883" spans="1:16" x14ac:dyDescent="0.25">
      <c r="A1883" s="91"/>
      <c r="B1883" s="13" t="s">
        <v>1292</v>
      </c>
      <c r="C1883" s="13" t="s">
        <v>1293</v>
      </c>
      <c r="D1883" s="13">
        <v>99</v>
      </c>
      <c r="E1883" s="13" t="s">
        <v>15</v>
      </c>
      <c r="F1883" s="13">
        <v>1</v>
      </c>
      <c r="G1883" s="13" t="s">
        <v>35</v>
      </c>
      <c r="H1883" s="13" t="s">
        <v>17</v>
      </c>
      <c r="I1883" s="14">
        <v>3004183</v>
      </c>
      <c r="J1883" s="13" t="s">
        <v>1294</v>
      </c>
      <c r="K1883" s="13">
        <v>99</v>
      </c>
      <c r="L1883" s="13" t="s">
        <v>15</v>
      </c>
      <c r="M1883" s="15">
        <v>10000</v>
      </c>
      <c r="N1883" s="13" t="s">
        <v>1</v>
      </c>
      <c r="O1883" s="16">
        <f t="shared" si="463"/>
        <v>1</v>
      </c>
      <c r="P1883" s="22">
        <f t="shared" si="464"/>
        <v>0</v>
      </c>
    </row>
    <row r="1884" spans="1:16" x14ac:dyDescent="0.25">
      <c r="A1884" s="91"/>
      <c r="B1884" s="13" t="s">
        <v>1292</v>
      </c>
      <c r="C1884" s="13" t="s">
        <v>1293</v>
      </c>
      <c r="D1884" s="13">
        <v>99</v>
      </c>
      <c r="E1884" s="13" t="s">
        <v>15</v>
      </c>
      <c r="F1884" s="13">
        <v>1</v>
      </c>
      <c r="G1884" s="13" t="s">
        <v>35</v>
      </c>
      <c r="H1884" s="13" t="s">
        <v>17</v>
      </c>
      <c r="I1884" s="14">
        <v>3004189</v>
      </c>
      <c r="J1884" s="13" t="s">
        <v>1295</v>
      </c>
      <c r="K1884" s="13">
        <v>99</v>
      </c>
      <c r="L1884" s="13" t="s">
        <v>15</v>
      </c>
      <c r="M1884" s="15">
        <v>10000</v>
      </c>
      <c r="N1884" s="13" t="s">
        <v>1</v>
      </c>
      <c r="O1884" s="16">
        <f t="shared" si="463"/>
        <v>1</v>
      </c>
      <c r="P1884" s="22">
        <f t="shared" si="464"/>
        <v>0</v>
      </c>
    </row>
    <row r="1885" spans="1:16" x14ac:dyDescent="0.25">
      <c r="A1885" s="91"/>
      <c r="B1885" s="13" t="s">
        <v>1292</v>
      </c>
      <c r="C1885" s="13" t="s">
        <v>1293</v>
      </c>
      <c r="D1885" s="13">
        <v>99</v>
      </c>
      <c r="E1885" s="13" t="s">
        <v>15</v>
      </c>
      <c r="F1885" s="13">
        <v>1</v>
      </c>
      <c r="G1885" s="13" t="s">
        <v>16</v>
      </c>
      <c r="H1885" s="13" t="s">
        <v>17</v>
      </c>
      <c r="I1885" s="14">
        <v>4002826</v>
      </c>
      <c r="J1885" s="13" t="s">
        <v>4</v>
      </c>
      <c r="K1885" s="13">
        <v>99</v>
      </c>
      <c r="L1885" s="13" t="s">
        <v>15</v>
      </c>
      <c r="M1885" s="13">
        <v>30</v>
      </c>
      <c r="N1885" s="13" t="s">
        <v>1</v>
      </c>
      <c r="O1885" s="16">
        <f t="shared" si="463"/>
        <v>3.0000000000000001E-3</v>
      </c>
      <c r="P1885" s="22">
        <f t="shared" si="464"/>
        <v>0</v>
      </c>
    </row>
    <row r="1886" spans="1:16" x14ac:dyDescent="0.25">
      <c r="A1886" s="91"/>
      <c r="B1886" s="13" t="s">
        <v>1292</v>
      </c>
      <c r="C1886" s="13" t="s">
        <v>1293</v>
      </c>
      <c r="D1886" s="13">
        <v>99</v>
      </c>
      <c r="E1886" s="13" t="s">
        <v>15</v>
      </c>
      <c r="F1886" s="13">
        <v>1</v>
      </c>
      <c r="G1886" s="13" t="s">
        <v>16</v>
      </c>
      <c r="H1886" s="13" t="s">
        <v>17</v>
      </c>
      <c r="I1886" s="14">
        <v>4008830</v>
      </c>
      <c r="J1886" s="13" t="s">
        <v>1275</v>
      </c>
      <c r="K1886" s="13">
        <v>99</v>
      </c>
      <c r="L1886" s="13" t="s">
        <v>15</v>
      </c>
      <c r="M1886" s="13">
        <v>834</v>
      </c>
      <c r="N1886" s="13" t="s">
        <v>1</v>
      </c>
      <c r="O1886" s="16">
        <f t="shared" si="463"/>
        <v>8.3400000000000002E-2</v>
      </c>
      <c r="P1886" s="22">
        <f t="shared" si="464"/>
        <v>0</v>
      </c>
    </row>
    <row r="1887" spans="1:16" x14ac:dyDescent="0.25">
      <c r="A1887" s="91"/>
      <c r="B1887" s="13" t="s">
        <v>1292</v>
      </c>
      <c r="C1887" s="13" t="s">
        <v>1293</v>
      </c>
      <c r="D1887" s="13">
        <v>99</v>
      </c>
      <c r="E1887" s="13" t="s">
        <v>15</v>
      </c>
      <c r="F1887" s="13">
        <v>1</v>
      </c>
      <c r="G1887" s="13" t="s">
        <v>16</v>
      </c>
      <c r="H1887" s="13" t="s">
        <v>17</v>
      </c>
      <c r="I1887" s="14">
        <v>4010862</v>
      </c>
      <c r="J1887" s="13" t="s">
        <v>1296</v>
      </c>
      <c r="K1887" s="13">
        <v>99</v>
      </c>
      <c r="L1887" s="13" t="s">
        <v>15</v>
      </c>
      <c r="M1887" s="15">
        <v>10000</v>
      </c>
      <c r="N1887" s="13" t="s">
        <v>1</v>
      </c>
      <c r="O1887" s="16">
        <f t="shared" si="463"/>
        <v>1</v>
      </c>
      <c r="P1887" s="22">
        <f t="shared" si="464"/>
        <v>0</v>
      </c>
    </row>
    <row r="1888" spans="1:16" ht="15.75" thickBot="1" x14ac:dyDescent="0.3">
      <c r="A1888" s="90"/>
      <c r="B1888" s="23" t="s">
        <v>1292</v>
      </c>
      <c r="C1888" s="23" t="s">
        <v>1293</v>
      </c>
      <c r="D1888" s="23">
        <v>99</v>
      </c>
      <c r="E1888" s="23" t="s">
        <v>15</v>
      </c>
      <c r="F1888" s="23">
        <v>1</v>
      </c>
      <c r="G1888" s="23" t="s">
        <v>16</v>
      </c>
      <c r="H1888" s="23" t="s">
        <v>17</v>
      </c>
      <c r="I1888" s="24">
        <v>4016160</v>
      </c>
      <c r="J1888" s="23" t="s">
        <v>69</v>
      </c>
      <c r="K1888" s="23">
        <v>99</v>
      </c>
      <c r="L1888" s="23" t="s">
        <v>15</v>
      </c>
      <c r="M1888" s="23">
        <v>10</v>
      </c>
      <c r="N1888" s="23" t="s">
        <v>3</v>
      </c>
      <c r="O1888" s="26">
        <f t="shared" si="463"/>
        <v>1E-3</v>
      </c>
      <c r="P1888" s="27">
        <f t="shared" si="464"/>
        <v>0</v>
      </c>
    </row>
    <row r="1889" spans="1:16" x14ac:dyDescent="0.25">
      <c r="B1889" s="1"/>
      <c r="C1889" s="1"/>
      <c r="D1889" s="1"/>
      <c r="E1889" s="1"/>
      <c r="F1889" s="1"/>
      <c r="G1889" s="1"/>
      <c r="H1889" s="1"/>
      <c r="I1889" s="2"/>
      <c r="J1889" s="1"/>
      <c r="K1889" s="1"/>
      <c r="L1889" s="1"/>
      <c r="M1889" s="1"/>
      <c r="N1889" s="1"/>
    </row>
    <row r="1890" spans="1:16" ht="15.75" thickBot="1" x14ac:dyDescent="0.3">
      <c r="B1890" s="1"/>
      <c r="C1890" s="1"/>
      <c r="D1890" s="1"/>
      <c r="E1890" s="1"/>
      <c r="F1890" s="1"/>
      <c r="G1890" s="1"/>
      <c r="H1890" s="1"/>
      <c r="I1890" s="2"/>
      <c r="J1890" s="1"/>
      <c r="K1890" s="1"/>
      <c r="L1890" s="1"/>
      <c r="M1890" s="1"/>
      <c r="N1890" s="1"/>
      <c r="P1890" s="11">
        <f>IFERROR(VLOOKUP($A1891,'PROGRAMA MES '!$A:$B,2,0),0)</f>
        <v>1512</v>
      </c>
    </row>
    <row r="1891" spans="1:16" x14ac:dyDescent="0.25">
      <c r="A1891" s="89" t="str">
        <f>B1891</f>
        <v>SP9158</v>
      </c>
      <c r="B1891" s="17" t="s">
        <v>1297</v>
      </c>
      <c r="C1891" s="17" t="s">
        <v>1298</v>
      </c>
      <c r="D1891" s="17">
        <v>99</v>
      </c>
      <c r="E1891" s="17" t="s">
        <v>15</v>
      </c>
      <c r="F1891" s="17">
        <v>1</v>
      </c>
      <c r="G1891" s="17" t="s">
        <v>35</v>
      </c>
      <c r="H1891" s="17" t="s">
        <v>17</v>
      </c>
      <c r="I1891" s="18">
        <v>3003862</v>
      </c>
      <c r="J1891" s="17" t="s">
        <v>1299</v>
      </c>
      <c r="K1891" s="17">
        <v>99</v>
      </c>
      <c r="L1891" s="17" t="s">
        <v>15</v>
      </c>
      <c r="M1891" s="19">
        <v>10000</v>
      </c>
      <c r="N1891" s="17" t="s">
        <v>1</v>
      </c>
      <c r="O1891" s="20">
        <f t="shared" ref="O1891:O1898" si="465">M1891/10000</f>
        <v>1</v>
      </c>
      <c r="P1891" s="21">
        <f>O1891*$P$1890</f>
        <v>1512</v>
      </c>
    </row>
    <row r="1892" spans="1:16" x14ac:dyDescent="0.25">
      <c r="A1892" s="91"/>
      <c r="B1892" s="13" t="s">
        <v>1297</v>
      </c>
      <c r="C1892" s="13" t="s">
        <v>1298</v>
      </c>
      <c r="D1892" s="13">
        <v>99</v>
      </c>
      <c r="E1892" s="13" t="s">
        <v>15</v>
      </c>
      <c r="F1892" s="13">
        <v>1</v>
      </c>
      <c r="G1892" s="13" t="s">
        <v>35</v>
      </c>
      <c r="H1892" s="13" t="s">
        <v>17</v>
      </c>
      <c r="I1892" s="14">
        <v>3003891</v>
      </c>
      <c r="J1892" s="13" t="s">
        <v>1300</v>
      </c>
      <c r="K1892" s="13">
        <v>99</v>
      </c>
      <c r="L1892" s="13" t="s">
        <v>15</v>
      </c>
      <c r="M1892" s="15">
        <v>10000</v>
      </c>
      <c r="N1892" s="13" t="s">
        <v>1</v>
      </c>
      <c r="O1892" s="16">
        <f t="shared" si="465"/>
        <v>1</v>
      </c>
      <c r="P1892" s="22">
        <f t="shared" ref="P1892:P1898" si="466">O1892*$P$1890</f>
        <v>1512</v>
      </c>
    </row>
    <row r="1893" spans="1:16" x14ac:dyDescent="0.25">
      <c r="A1893" s="91"/>
      <c r="B1893" s="13" t="s">
        <v>1297</v>
      </c>
      <c r="C1893" s="13" t="s">
        <v>1298</v>
      </c>
      <c r="D1893" s="13">
        <v>99</v>
      </c>
      <c r="E1893" s="13" t="s">
        <v>15</v>
      </c>
      <c r="F1893" s="13">
        <v>1</v>
      </c>
      <c r="G1893" s="13" t="s">
        <v>35</v>
      </c>
      <c r="H1893" s="13" t="s">
        <v>17</v>
      </c>
      <c r="I1893" s="14">
        <v>3003892</v>
      </c>
      <c r="J1893" s="13" t="s">
        <v>1301</v>
      </c>
      <c r="K1893" s="13">
        <v>99</v>
      </c>
      <c r="L1893" s="13" t="s">
        <v>15</v>
      </c>
      <c r="M1893" s="15">
        <v>10000</v>
      </c>
      <c r="N1893" s="13" t="s">
        <v>1</v>
      </c>
      <c r="O1893" s="16">
        <f t="shared" si="465"/>
        <v>1</v>
      </c>
      <c r="P1893" s="22">
        <f t="shared" si="466"/>
        <v>1512</v>
      </c>
    </row>
    <row r="1894" spans="1:16" x14ac:dyDescent="0.25">
      <c r="A1894" s="91"/>
      <c r="B1894" s="13" t="s">
        <v>1297</v>
      </c>
      <c r="C1894" s="13" t="s">
        <v>1298</v>
      </c>
      <c r="D1894" s="13">
        <v>99</v>
      </c>
      <c r="E1894" s="13" t="s">
        <v>15</v>
      </c>
      <c r="F1894" s="13">
        <v>1</v>
      </c>
      <c r="G1894" s="13" t="s">
        <v>35</v>
      </c>
      <c r="H1894" s="13" t="s">
        <v>17</v>
      </c>
      <c r="I1894" s="14">
        <v>3003893</v>
      </c>
      <c r="J1894" s="13" t="s">
        <v>164</v>
      </c>
      <c r="K1894" s="13">
        <v>99</v>
      </c>
      <c r="L1894" s="13" t="s">
        <v>15</v>
      </c>
      <c r="M1894" s="15">
        <v>10000</v>
      </c>
      <c r="N1894" s="13" t="s">
        <v>1</v>
      </c>
      <c r="O1894" s="16">
        <f t="shared" si="465"/>
        <v>1</v>
      </c>
      <c r="P1894" s="22">
        <f t="shared" si="466"/>
        <v>1512</v>
      </c>
    </row>
    <row r="1895" spans="1:16" x14ac:dyDescent="0.25">
      <c r="A1895" s="91"/>
      <c r="B1895" s="13" t="s">
        <v>1297</v>
      </c>
      <c r="C1895" s="13" t="s">
        <v>1298</v>
      </c>
      <c r="D1895" s="13">
        <v>99</v>
      </c>
      <c r="E1895" s="13" t="s">
        <v>15</v>
      </c>
      <c r="F1895" s="13">
        <v>1</v>
      </c>
      <c r="G1895" s="13" t="s">
        <v>16</v>
      </c>
      <c r="H1895" s="13" t="s">
        <v>17</v>
      </c>
      <c r="I1895" s="14">
        <v>4002826</v>
      </c>
      <c r="J1895" s="13" t="s">
        <v>4</v>
      </c>
      <c r="K1895" s="13">
        <v>99</v>
      </c>
      <c r="L1895" s="13" t="s">
        <v>15</v>
      </c>
      <c r="M1895" s="13">
        <v>30</v>
      </c>
      <c r="N1895" s="13" t="s">
        <v>1</v>
      </c>
      <c r="O1895" s="16">
        <f t="shared" si="465"/>
        <v>3.0000000000000001E-3</v>
      </c>
      <c r="P1895" s="22">
        <f t="shared" si="466"/>
        <v>4.5360000000000005</v>
      </c>
    </row>
    <row r="1896" spans="1:16" x14ac:dyDescent="0.25">
      <c r="A1896" s="91"/>
      <c r="B1896" s="13" t="s">
        <v>1297</v>
      </c>
      <c r="C1896" s="13" t="s">
        <v>1298</v>
      </c>
      <c r="D1896" s="13">
        <v>99</v>
      </c>
      <c r="E1896" s="13" t="s">
        <v>15</v>
      </c>
      <c r="F1896" s="13">
        <v>1</v>
      </c>
      <c r="G1896" s="13" t="s">
        <v>16</v>
      </c>
      <c r="H1896" s="13" t="s">
        <v>17</v>
      </c>
      <c r="I1896" s="14">
        <v>4008832</v>
      </c>
      <c r="J1896" s="13" t="s">
        <v>1302</v>
      </c>
      <c r="K1896" s="13">
        <v>99</v>
      </c>
      <c r="L1896" s="13" t="s">
        <v>15</v>
      </c>
      <c r="M1896" s="15">
        <v>1667</v>
      </c>
      <c r="N1896" s="13" t="s">
        <v>1</v>
      </c>
      <c r="O1896" s="16">
        <f t="shared" si="465"/>
        <v>0.16669999999999999</v>
      </c>
      <c r="P1896" s="22">
        <f t="shared" si="466"/>
        <v>252.05039999999997</v>
      </c>
    </row>
    <row r="1897" spans="1:16" x14ac:dyDescent="0.25">
      <c r="A1897" s="91"/>
      <c r="B1897" s="13" t="s">
        <v>1297</v>
      </c>
      <c r="C1897" s="13" t="s">
        <v>1298</v>
      </c>
      <c r="D1897" s="13">
        <v>99</v>
      </c>
      <c r="E1897" s="13" t="s">
        <v>15</v>
      </c>
      <c r="F1897" s="13">
        <v>1</v>
      </c>
      <c r="G1897" s="13" t="s">
        <v>16</v>
      </c>
      <c r="H1897" s="13" t="s">
        <v>17</v>
      </c>
      <c r="I1897" s="14">
        <v>4010201</v>
      </c>
      <c r="J1897" s="13" t="s">
        <v>1303</v>
      </c>
      <c r="K1897" s="13">
        <v>99</v>
      </c>
      <c r="L1897" s="13" t="s">
        <v>15</v>
      </c>
      <c r="M1897" s="15">
        <v>10000</v>
      </c>
      <c r="N1897" s="13" t="s">
        <v>1</v>
      </c>
      <c r="O1897" s="16">
        <f t="shared" si="465"/>
        <v>1</v>
      </c>
      <c r="P1897" s="22">
        <f t="shared" si="466"/>
        <v>1512</v>
      </c>
    </row>
    <row r="1898" spans="1:16" ht="15.75" thickBot="1" x14ac:dyDescent="0.3">
      <c r="A1898" s="90"/>
      <c r="B1898" s="23" t="s">
        <v>1297</v>
      </c>
      <c r="C1898" s="23" t="s">
        <v>1298</v>
      </c>
      <c r="D1898" s="23">
        <v>99</v>
      </c>
      <c r="E1898" s="23" t="s">
        <v>15</v>
      </c>
      <c r="F1898" s="23">
        <v>1</v>
      </c>
      <c r="G1898" s="23" t="s">
        <v>16</v>
      </c>
      <c r="H1898" s="23" t="s">
        <v>17</v>
      </c>
      <c r="I1898" s="24">
        <v>4016160</v>
      </c>
      <c r="J1898" s="23" t="s">
        <v>69</v>
      </c>
      <c r="K1898" s="23">
        <v>99</v>
      </c>
      <c r="L1898" s="23" t="s">
        <v>15</v>
      </c>
      <c r="M1898" s="23">
        <v>10</v>
      </c>
      <c r="N1898" s="23" t="s">
        <v>3</v>
      </c>
      <c r="O1898" s="26">
        <f t="shared" si="465"/>
        <v>1E-3</v>
      </c>
      <c r="P1898" s="27">
        <f t="shared" si="466"/>
        <v>1.512</v>
      </c>
    </row>
    <row r="1899" spans="1:16" x14ac:dyDescent="0.25">
      <c r="B1899" s="1"/>
      <c r="C1899" s="1"/>
      <c r="D1899" s="1"/>
      <c r="E1899" s="1"/>
      <c r="F1899" s="1"/>
      <c r="G1899" s="1"/>
      <c r="H1899" s="1"/>
      <c r="I1899" s="2"/>
      <c r="J1899" s="1"/>
      <c r="K1899" s="1"/>
      <c r="L1899" s="1"/>
      <c r="M1899" s="1"/>
      <c r="N1899" s="1"/>
    </row>
    <row r="1900" spans="1:16" ht="15.75" thickBot="1" x14ac:dyDescent="0.3">
      <c r="B1900" s="1"/>
      <c r="C1900" s="1"/>
      <c r="D1900" s="1"/>
      <c r="E1900" s="1"/>
      <c r="F1900" s="1"/>
      <c r="G1900" s="1"/>
      <c r="H1900" s="1"/>
      <c r="I1900" s="2"/>
      <c r="J1900" s="1"/>
      <c r="K1900" s="1"/>
      <c r="L1900" s="1"/>
      <c r="M1900" s="1"/>
      <c r="N1900" s="1"/>
      <c r="P1900" s="11">
        <f>IFERROR(VLOOKUP($A1901,'PROGRAMA MES '!$A:$B,2,0),0)</f>
        <v>0</v>
      </c>
    </row>
    <row r="1901" spans="1:16" x14ac:dyDescent="0.25">
      <c r="A1901" s="89" t="str">
        <f>B1901</f>
        <v>SP9158AM</v>
      </c>
      <c r="B1901" s="17" t="s">
        <v>1304</v>
      </c>
      <c r="C1901" s="17" t="s">
        <v>1305</v>
      </c>
      <c r="D1901" s="17">
        <v>99</v>
      </c>
      <c r="E1901" s="17" t="s">
        <v>15</v>
      </c>
      <c r="F1901" s="17">
        <v>1</v>
      </c>
      <c r="G1901" s="17" t="s">
        <v>35</v>
      </c>
      <c r="H1901" s="17" t="s">
        <v>17</v>
      </c>
      <c r="I1901" s="18">
        <v>3003891</v>
      </c>
      <c r="J1901" s="17" t="s">
        <v>1300</v>
      </c>
      <c r="K1901" s="17">
        <v>99</v>
      </c>
      <c r="L1901" s="17" t="s">
        <v>15</v>
      </c>
      <c r="M1901" s="19">
        <v>10000</v>
      </c>
      <c r="N1901" s="17" t="s">
        <v>1</v>
      </c>
      <c r="O1901" s="20">
        <f t="shared" ref="O1901:O1908" si="467">M1901/10000</f>
        <v>1</v>
      </c>
      <c r="P1901" s="21">
        <f>O1901*$P$1900</f>
        <v>0</v>
      </c>
    </row>
    <row r="1902" spans="1:16" x14ac:dyDescent="0.25">
      <c r="A1902" s="91"/>
      <c r="B1902" s="13" t="s">
        <v>1304</v>
      </c>
      <c r="C1902" s="13" t="s">
        <v>1305</v>
      </c>
      <c r="D1902" s="13">
        <v>99</v>
      </c>
      <c r="E1902" s="13" t="s">
        <v>15</v>
      </c>
      <c r="F1902" s="13">
        <v>1</v>
      </c>
      <c r="G1902" s="13" t="s">
        <v>35</v>
      </c>
      <c r="H1902" s="13" t="s">
        <v>17</v>
      </c>
      <c r="I1902" s="14">
        <v>3003892</v>
      </c>
      <c r="J1902" s="13" t="s">
        <v>1301</v>
      </c>
      <c r="K1902" s="13">
        <v>99</v>
      </c>
      <c r="L1902" s="13" t="s">
        <v>15</v>
      </c>
      <c r="M1902" s="15">
        <v>10000</v>
      </c>
      <c r="N1902" s="13" t="s">
        <v>1</v>
      </c>
      <c r="O1902" s="16">
        <f t="shared" si="467"/>
        <v>1</v>
      </c>
      <c r="P1902" s="22">
        <f t="shared" ref="P1902:P1908" si="468">O1902*$P$1900</f>
        <v>0</v>
      </c>
    </row>
    <row r="1903" spans="1:16" x14ac:dyDescent="0.25">
      <c r="A1903" s="91"/>
      <c r="B1903" s="13" t="s">
        <v>1304</v>
      </c>
      <c r="C1903" s="13" t="s">
        <v>1305</v>
      </c>
      <c r="D1903" s="13">
        <v>99</v>
      </c>
      <c r="E1903" s="13" t="s">
        <v>15</v>
      </c>
      <c r="F1903" s="13">
        <v>1</v>
      </c>
      <c r="G1903" s="13" t="s">
        <v>35</v>
      </c>
      <c r="H1903" s="13" t="s">
        <v>17</v>
      </c>
      <c r="I1903" s="14">
        <v>3004184</v>
      </c>
      <c r="J1903" s="13" t="s">
        <v>1306</v>
      </c>
      <c r="K1903" s="13">
        <v>99</v>
      </c>
      <c r="L1903" s="13" t="s">
        <v>15</v>
      </c>
      <c r="M1903" s="15">
        <v>10000</v>
      </c>
      <c r="N1903" s="13" t="s">
        <v>1</v>
      </c>
      <c r="O1903" s="16">
        <f t="shared" si="467"/>
        <v>1</v>
      </c>
      <c r="P1903" s="22">
        <f t="shared" si="468"/>
        <v>0</v>
      </c>
    </row>
    <row r="1904" spans="1:16" x14ac:dyDescent="0.25">
      <c r="A1904" s="91"/>
      <c r="B1904" s="13" t="s">
        <v>1304</v>
      </c>
      <c r="C1904" s="13" t="s">
        <v>1305</v>
      </c>
      <c r="D1904" s="13">
        <v>99</v>
      </c>
      <c r="E1904" s="13" t="s">
        <v>15</v>
      </c>
      <c r="F1904" s="13">
        <v>1</v>
      </c>
      <c r="G1904" s="13" t="s">
        <v>35</v>
      </c>
      <c r="H1904" s="13" t="s">
        <v>17</v>
      </c>
      <c r="I1904" s="14">
        <v>3004187</v>
      </c>
      <c r="J1904" s="13" t="s">
        <v>1280</v>
      </c>
      <c r="K1904" s="13">
        <v>99</v>
      </c>
      <c r="L1904" s="13" t="s">
        <v>15</v>
      </c>
      <c r="M1904" s="15">
        <v>10000</v>
      </c>
      <c r="N1904" s="13" t="s">
        <v>1</v>
      </c>
      <c r="O1904" s="16">
        <f t="shared" si="467"/>
        <v>1</v>
      </c>
      <c r="P1904" s="22">
        <f t="shared" si="468"/>
        <v>0</v>
      </c>
    </row>
    <row r="1905" spans="1:16" x14ac:dyDescent="0.25">
      <c r="A1905" s="91"/>
      <c r="B1905" s="13" t="s">
        <v>1304</v>
      </c>
      <c r="C1905" s="13" t="s">
        <v>1305</v>
      </c>
      <c r="D1905" s="13">
        <v>99</v>
      </c>
      <c r="E1905" s="13" t="s">
        <v>15</v>
      </c>
      <c r="F1905" s="13">
        <v>1</v>
      </c>
      <c r="G1905" s="13" t="s">
        <v>16</v>
      </c>
      <c r="H1905" s="13" t="s">
        <v>17</v>
      </c>
      <c r="I1905" s="14">
        <v>4002826</v>
      </c>
      <c r="J1905" s="13" t="s">
        <v>4</v>
      </c>
      <c r="K1905" s="13">
        <v>99</v>
      </c>
      <c r="L1905" s="13" t="s">
        <v>15</v>
      </c>
      <c r="M1905" s="13">
        <v>30</v>
      </c>
      <c r="N1905" s="13" t="s">
        <v>1</v>
      </c>
      <c r="O1905" s="16">
        <f t="shared" si="467"/>
        <v>3.0000000000000001E-3</v>
      </c>
      <c r="P1905" s="22">
        <f t="shared" si="468"/>
        <v>0</v>
      </c>
    </row>
    <row r="1906" spans="1:16" x14ac:dyDescent="0.25">
      <c r="A1906" s="91"/>
      <c r="B1906" s="13" t="s">
        <v>1304</v>
      </c>
      <c r="C1906" s="13" t="s">
        <v>1305</v>
      </c>
      <c r="D1906" s="13">
        <v>99</v>
      </c>
      <c r="E1906" s="13" t="s">
        <v>15</v>
      </c>
      <c r="F1906" s="13">
        <v>1</v>
      </c>
      <c r="G1906" s="13" t="s">
        <v>16</v>
      </c>
      <c r="H1906" s="13" t="s">
        <v>17</v>
      </c>
      <c r="I1906" s="14">
        <v>4008832</v>
      </c>
      <c r="J1906" s="13" t="s">
        <v>1302</v>
      </c>
      <c r="K1906" s="13">
        <v>99</v>
      </c>
      <c r="L1906" s="13" t="s">
        <v>15</v>
      </c>
      <c r="M1906" s="15">
        <v>1667</v>
      </c>
      <c r="N1906" s="13" t="s">
        <v>1</v>
      </c>
      <c r="O1906" s="16">
        <f t="shared" si="467"/>
        <v>0.16669999999999999</v>
      </c>
      <c r="P1906" s="22">
        <f t="shared" si="468"/>
        <v>0</v>
      </c>
    </row>
    <row r="1907" spans="1:16" x14ac:dyDescent="0.25">
      <c r="A1907" s="91"/>
      <c r="B1907" s="13" t="s">
        <v>1304</v>
      </c>
      <c r="C1907" s="13" t="s">
        <v>1305</v>
      </c>
      <c r="D1907" s="13">
        <v>99</v>
      </c>
      <c r="E1907" s="13" t="s">
        <v>15</v>
      </c>
      <c r="F1907" s="13">
        <v>1</v>
      </c>
      <c r="G1907" s="13" t="s">
        <v>16</v>
      </c>
      <c r="H1907" s="13" t="s">
        <v>17</v>
      </c>
      <c r="I1907" s="14">
        <v>4010863</v>
      </c>
      <c r="J1907" s="13" t="s">
        <v>1307</v>
      </c>
      <c r="K1907" s="13">
        <v>99</v>
      </c>
      <c r="L1907" s="13" t="s">
        <v>15</v>
      </c>
      <c r="M1907" s="15">
        <v>10000</v>
      </c>
      <c r="N1907" s="13" t="s">
        <v>1</v>
      </c>
      <c r="O1907" s="16">
        <f t="shared" si="467"/>
        <v>1</v>
      </c>
      <c r="P1907" s="22">
        <f t="shared" si="468"/>
        <v>0</v>
      </c>
    </row>
    <row r="1908" spans="1:16" ht="15.75" thickBot="1" x14ac:dyDescent="0.3">
      <c r="A1908" s="90"/>
      <c r="B1908" s="23" t="s">
        <v>1304</v>
      </c>
      <c r="C1908" s="23" t="s">
        <v>1305</v>
      </c>
      <c r="D1908" s="23">
        <v>99</v>
      </c>
      <c r="E1908" s="23" t="s">
        <v>15</v>
      </c>
      <c r="F1908" s="23">
        <v>1</v>
      </c>
      <c r="G1908" s="23" t="s">
        <v>16</v>
      </c>
      <c r="H1908" s="23" t="s">
        <v>17</v>
      </c>
      <c r="I1908" s="24">
        <v>4016160</v>
      </c>
      <c r="J1908" s="23" t="s">
        <v>69</v>
      </c>
      <c r="K1908" s="23">
        <v>99</v>
      </c>
      <c r="L1908" s="23" t="s">
        <v>15</v>
      </c>
      <c r="M1908" s="23">
        <v>10</v>
      </c>
      <c r="N1908" s="23" t="s">
        <v>3</v>
      </c>
      <c r="O1908" s="26">
        <f t="shared" si="467"/>
        <v>1E-3</v>
      </c>
      <c r="P1908" s="27">
        <f t="shared" si="468"/>
        <v>0</v>
      </c>
    </row>
    <row r="1909" spans="1:16" x14ac:dyDescent="0.25">
      <c r="B1909" s="1"/>
      <c r="C1909" s="1"/>
      <c r="D1909" s="1"/>
      <c r="E1909" s="1"/>
      <c r="F1909" s="1"/>
      <c r="G1909" s="1"/>
      <c r="H1909" s="1"/>
      <c r="I1909" s="2"/>
      <c r="J1909" s="1"/>
      <c r="K1909" s="1"/>
      <c r="L1909" s="1"/>
      <c r="M1909" s="1"/>
      <c r="N1909" s="1"/>
    </row>
    <row r="1910" spans="1:16" ht="15.75" thickBot="1" x14ac:dyDescent="0.3">
      <c r="B1910" s="1"/>
      <c r="C1910" s="1"/>
      <c r="D1910" s="1"/>
      <c r="E1910" s="1"/>
      <c r="F1910" s="1"/>
      <c r="G1910" s="1"/>
      <c r="H1910" s="1"/>
      <c r="I1910" s="2"/>
      <c r="J1910" s="1"/>
      <c r="K1910" s="1"/>
      <c r="L1910" s="1"/>
      <c r="M1910" s="1"/>
      <c r="N1910" s="1"/>
      <c r="P1910" s="11">
        <f>IFERROR(VLOOKUP($A1911,'PROGRAMA MES '!$A:$B,2,0),0)</f>
        <v>1512</v>
      </c>
    </row>
    <row r="1911" spans="1:16" x14ac:dyDescent="0.25">
      <c r="A1911" s="89" t="str">
        <f>B1911</f>
        <v>SP9158AZ</v>
      </c>
      <c r="B1911" s="17" t="s">
        <v>1308</v>
      </c>
      <c r="C1911" s="17" t="s">
        <v>1309</v>
      </c>
      <c r="D1911" s="17">
        <v>99</v>
      </c>
      <c r="E1911" s="17" t="s">
        <v>15</v>
      </c>
      <c r="F1911" s="17">
        <v>1</v>
      </c>
      <c r="G1911" s="17" t="s">
        <v>35</v>
      </c>
      <c r="H1911" s="17" t="s">
        <v>17</v>
      </c>
      <c r="I1911" s="18">
        <v>3003891</v>
      </c>
      <c r="J1911" s="17" t="s">
        <v>1300</v>
      </c>
      <c r="K1911" s="17">
        <v>99</v>
      </c>
      <c r="L1911" s="17" t="s">
        <v>15</v>
      </c>
      <c r="M1911" s="19">
        <v>10000</v>
      </c>
      <c r="N1911" s="17" t="s">
        <v>1</v>
      </c>
      <c r="O1911" s="20">
        <f t="shared" ref="O1911:O1918" si="469">M1911/10000</f>
        <v>1</v>
      </c>
      <c r="P1911" s="21">
        <f>O1911*$P$1910</f>
        <v>1512</v>
      </c>
    </row>
    <row r="1912" spans="1:16" x14ac:dyDescent="0.25">
      <c r="A1912" s="91"/>
      <c r="B1912" s="13" t="s">
        <v>1308</v>
      </c>
      <c r="C1912" s="13" t="s">
        <v>1309</v>
      </c>
      <c r="D1912" s="13">
        <v>99</v>
      </c>
      <c r="E1912" s="13" t="s">
        <v>15</v>
      </c>
      <c r="F1912" s="13">
        <v>1</v>
      </c>
      <c r="G1912" s="13" t="s">
        <v>35</v>
      </c>
      <c r="H1912" s="13" t="s">
        <v>17</v>
      </c>
      <c r="I1912" s="14">
        <v>3003892</v>
      </c>
      <c r="J1912" s="13" t="s">
        <v>1301</v>
      </c>
      <c r="K1912" s="13">
        <v>99</v>
      </c>
      <c r="L1912" s="13" t="s">
        <v>15</v>
      </c>
      <c r="M1912" s="15">
        <v>10000</v>
      </c>
      <c r="N1912" s="13" t="s">
        <v>1</v>
      </c>
      <c r="O1912" s="16">
        <f t="shared" si="469"/>
        <v>1</v>
      </c>
      <c r="P1912" s="22">
        <f t="shared" ref="P1912:P1918" si="470">O1912*$P$1910</f>
        <v>1512</v>
      </c>
    </row>
    <row r="1913" spans="1:16" x14ac:dyDescent="0.25">
      <c r="A1913" s="91"/>
      <c r="B1913" s="13" t="s">
        <v>1308</v>
      </c>
      <c r="C1913" s="13" t="s">
        <v>1309</v>
      </c>
      <c r="D1913" s="13">
        <v>99</v>
      </c>
      <c r="E1913" s="13" t="s">
        <v>15</v>
      </c>
      <c r="F1913" s="13">
        <v>1</v>
      </c>
      <c r="G1913" s="13" t="s">
        <v>35</v>
      </c>
      <c r="H1913" s="13" t="s">
        <v>17</v>
      </c>
      <c r="I1913" s="14">
        <v>3003936</v>
      </c>
      <c r="J1913" s="13" t="s">
        <v>1310</v>
      </c>
      <c r="K1913" s="13">
        <v>99</v>
      </c>
      <c r="L1913" s="13" t="s">
        <v>15</v>
      </c>
      <c r="M1913" s="15">
        <v>10000</v>
      </c>
      <c r="N1913" s="13" t="s">
        <v>1</v>
      </c>
      <c r="O1913" s="16">
        <f t="shared" si="469"/>
        <v>1</v>
      </c>
      <c r="P1913" s="22">
        <f t="shared" si="470"/>
        <v>1512</v>
      </c>
    </row>
    <row r="1914" spans="1:16" x14ac:dyDescent="0.25">
      <c r="A1914" s="91"/>
      <c r="B1914" s="13" t="s">
        <v>1308</v>
      </c>
      <c r="C1914" s="13" t="s">
        <v>1309</v>
      </c>
      <c r="D1914" s="13">
        <v>99</v>
      </c>
      <c r="E1914" s="13" t="s">
        <v>15</v>
      </c>
      <c r="F1914" s="13">
        <v>1</v>
      </c>
      <c r="G1914" s="13" t="s">
        <v>35</v>
      </c>
      <c r="H1914" s="13" t="s">
        <v>17</v>
      </c>
      <c r="I1914" s="14">
        <v>3003937</v>
      </c>
      <c r="J1914" s="13" t="s">
        <v>1285</v>
      </c>
      <c r="K1914" s="13">
        <v>99</v>
      </c>
      <c r="L1914" s="13" t="s">
        <v>15</v>
      </c>
      <c r="M1914" s="15">
        <v>10000</v>
      </c>
      <c r="N1914" s="13" t="s">
        <v>1</v>
      </c>
      <c r="O1914" s="16">
        <f t="shared" si="469"/>
        <v>1</v>
      </c>
      <c r="P1914" s="22">
        <f t="shared" si="470"/>
        <v>1512</v>
      </c>
    </row>
    <row r="1915" spans="1:16" x14ac:dyDescent="0.25">
      <c r="A1915" s="91"/>
      <c r="B1915" s="13" t="s">
        <v>1308</v>
      </c>
      <c r="C1915" s="13" t="s">
        <v>1309</v>
      </c>
      <c r="D1915" s="13">
        <v>99</v>
      </c>
      <c r="E1915" s="13" t="s">
        <v>15</v>
      </c>
      <c r="F1915" s="13">
        <v>1</v>
      </c>
      <c r="G1915" s="13" t="s">
        <v>16</v>
      </c>
      <c r="H1915" s="13" t="s">
        <v>17</v>
      </c>
      <c r="I1915" s="14">
        <v>4002826</v>
      </c>
      <c r="J1915" s="13" t="s">
        <v>4</v>
      </c>
      <c r="K1915" s="13">
        <v>99</v>
      </c>
      <c r="L1915" s="13" t="s">
        <v>15</v>
      </c>
      <c r="M1915" s="13">
        <v>30</v>
      </c>
      <c r="N1915" s="13" t="s">
        <v>1</v>
      </c>
      <c r="O1915" s="16">
        <f t="shared" si="469"/>
        <v>3.0000000000000001E-3</v>
      </c>
      <c r="P1915" s="22">
        <f t="shared" si="470"/>
        <v>4.5360000000000005</v>
      </c>
    </row>
    <row r="1916" spans="1:16" x14ac:dyDescent="0.25">
      <c r="A1916" s="91"/>
      <c r="B1916" s="13" t="s">
        <v>1308</v>
      </c>
      <c r="C1916" s="13" t="s">
        <v>1309</v>
      </c>
      <c r="D1916" s="13">
        <v>99</v>
      </c>
      <c r="E1916" s="13" t="s">
        <v>15</v>
      </c>
      <c r="F1916" s="13">
        <v>1</v>
      </c>
      <c r="G1916" s="13" t="s">
        <v>16</v>
      </c>
      <c r="H1916" s="13" t="s">
        <v>17</v>
      </c>
      <c r="I1916" s="14">
        <v>4008832</v>
      </c>
      <c r="J1916" s="13" t="s">
        <v>1302</v>
      </c>
      <c r="K1916" s="13">
        <v>99</v>
      </c>
      <c r="L1916" s="13" t="s">
        <v>15</v>
      </c>
      <c r="M1916" s="15">
        <v>1667</v>
      </c>
      <c r="N1916" s="13" t="s">
        <v>1</v>
      </c>
      <c r="O1916" s="16">
        <f t="shared" si="469"/>
        <v>0.16669999999999999</v>
      </c>
      <c r="P1916" s="22">
        <f t="shared" si="470"/>
        <v>252.05039999999997</v>
      </c>
    </row>
    <row r="1917" spans="1:16" x14ac:dyDescent="0.25">
      <c r="A1917" s="91"/>
      <c r="B1917" s="13" t="s">
        <v>1308</v>
      </c>
      <c r="C1917" s="13" t="s">
        <v>1309</v>
      </c>
      <c r="D1917" s="13">
        <v>99</v>
      </c>
      <c r="E1917" s="13" t="s">
        <v>15</v>
      </c>
      <c r="F1917" s="13">
        <v>1</v>
      </c>
      <c r="G1917" s="13" t="s">
        <v>16</v>
      </c>
      <c r="H1917" s="13" t="s">
        <v>17</v>
      </c>
      <c r="I1917" s="14">
        <v>4010414</v>
      </c>
      <c r="J1917" s="13" t="s">
        <v>1311</v>
      </c>
      <c r="K1917" s="13">
        <v>99</v>
      </c>
      <c r="L1917" s="13" t="s">
        <v>15</v>
      </c>
      <c r="M1917" s="15">
        <v>10000</v>
      </c>
      <c r="N1917" s="13" t="s">
        <v>1</v>
      </c>
      <c r="O1917" s="16">
        <f t="shared" si="469"/>
        <v>1</v>
      </c>
      <c r="P1917" s="22">
        <f t="shared" si="470"/>
        <v>1512</v>
      </c>
    </row>
    <row r="1918" spans="1:16" ht="15.75" thickBot="1" x14ac:dyDescent="0.3">
      <c r="A1918" s="90"/>
      <c r="B1918" s="23" t="s">
        <v>1308</v>
      </c>
      <c r="C1918" s="23" t="s">
        <v>1309</v>
      </c>
      <c r="D1918" s="23">
        <v>99</v>
      </c>
      <c r="E1918" s="23" t="s">
        <v>15</v>
      </c>
      <c r="F1918" s="23">
        <v>1</v>
      </c>
      <c r="G1918" s="23" t="s">
        <v>16</v>
      </c>
      <c r="H1918" s="23" t="s">
        <v>17</v>
      </c>
      <c r="I1918" s="24">
        <v>4016160</v>
      </c>
      <c r="J1918" s="23" t="s">
        <v>69</v>
      </c>
      <c r="K1918" s="23">
        <v>99</v>
      </c>
      <c r="L1918" s="23" t="s">
        <v>15</v>
      </c>
      <c r="M1918" s="23">
        <v>10</v>
      </c>
      <c r="N1918" s="23" t="s">
        <v>3</v>
      </c>
      <c r="O1918" s="26">
        <f t="shared" si="469"/>
        <v>1E-3</v>
      </c>
      <c r="P1918" s="27">
        <f t="shared" si="470"/>
        <v>1.512</v>
      </c>
    </row>
    <row r="1919" spans="1:16" x14ac:dyDescent="0.25">
      <c r="B1919" s="1"/>
      <c r="C1919" s="1"/>
      <c r="D1919" s="1"/>
      <c r="E1919" s="1"/>
      <c r="F1919" s="1"/>
      <c r="G1919" s="1"/>
      <c r="H1919" s="1"/>
      <c r="I1919" s="2"/>
      <c r="J1919" s="1"/>
      <c r="K1919" s="1"/>
      <c r="L1919" s="1"/>
      <c r="M1919" s="1"/>
      <c r="N1919" s="1"/>
    </row>
    <row r="1920" spans="1:16" ht="15.75" thickBot="1" x14ac:dyDescent="0.3">
      <c r="B1920" s="1"/>
      <c r="C1920" s="1"/>
      <c r="D1920" s="1"/>
      <c r="E1920" s="1"/>
      <c r="F1920" s="1"/>
      <c r="G1920" s="1"/>
      <c r="H1920" s="1"/>
      <c r="I1920" s="2"/>
      <c r="J1920" s="1"/>
      <c r="K1920" s="1"/>
      <c r="L1920" s="1"/>
      <c r="M1920" s="1"/>
      <c r="N1920" s="1"/>
      <c r="P1920" s="11">
        <f>IFERROR(VLOOKUP($A1921,'PROGRAMA MES '!$A:$B,2,0),0)</f>
        <v>0</v>
      </c>
    </row>
    <row r="1921" spans="1:16" x14ac:dyDescent="0.25">
      <c r="A1921" s="89" t="str">
        <f>B1921</f>
        <v>SP9158VD</v>
      </c>
      <c r="B1921" s="17" t="s">
        <v>1312</v>
      </c>
      <c r="C1921" s="17" t="s">
        <v>1313</v>
      </c>
      <c r="D1921" s="17">
        <v>99</v>
      </c>
      <c r="E1921" s="17" t="s">
        <v>15</v>
      </c>
      <c r="F1921" s="17">
        <v>1</v>
      </c>
      <c r="G1921" s="17" t="s">
        <v>35</v>
      </c>
      <c r="H1921" s="17" t="s">
        <v>17</v>
      </c>
      <c r="I1921" s="18">
        <v>3003891</v>
      </c>
      <c r="J1921" s="17" t="s">
        <v>1300</v>
      </c>
      <c r="K1921" s="17">
        <v>99</v>
      </c>
      <c r="L1921" s="17" t="s">
        <v>15</v>
      </c>
      <c r="M1921" s="19">
        <v>10000</v>
      </c>
      <c r="N1921" s="17" t="s">
        <v>1</v>
      </c>
      <c r="O1921" s="20">
        <f t="shared" ref="O1921:O1928" si="471">M1921/10000</f>
        <v>1</v>
      </c>
      <c r="P1921" s="21">
        <f>O1921*$P$1920</f>
        <v>0</v>
      </c>
    </row>
    <row r="1922" spans="1:16" x14ac:dyDescent="0.25">
      <c r="A1922" s="91"/>
      <c r="B1922" s="13" t="s">
        <v>1312</v>
      </c>
      <c r="C1922" s="13" t="s">
        <v>1313</v>
      </c>
      <c r="D1922" s="13">
        <v>99</v>
      </c>
      <c r="E1922" s="13" t="s">
        <v>15</v>
      </c>
      <c r="F1922" s="13">
        <v>1</v>
      </c>
      <c r="G1922" s="13" t="s">
        <v>35</v>
      </c>
      <c r="H1922" s="13" t="s">
        <v>17</v>
      </c>
      <c r="I1922" s="14">
        <v>3003892</v>
      </c>
      <c r="J1922" s="13" t="s">
        <v>1301</v>
      </c>
      <c r="K1922" s="13">
        <v>99</v>
      </c>
      <c r="L1922" s="13" t="s">
        <v>15</v>
      </c>
      <c r="M1922" s="15">
        <v>10000</v>
      </c>
      <c r="N1922" s="13" t="s">
        <v>1</v>
      </c>
      <c r="O1922" s="16">
        <f t="shared" si="471"/>
        <v>1</v>
      </c>
      <c r="P1922" s="22">
        <f t="shared" ref="P1922:P1928" si="472">O1922*$P$1920</f>
        <v>0</v>
      </c>
    </row>
    <row r="1923" spans="1:16" x14ac:dyDescent="0.25">
      <c r="A1923" s="91"/>
      <c r="B1923" s="13" t="s">
        <v>1312</v>
      </c>
      <c r="C1923" s="13" t="s">
        <v>1313</v>
      </c>
      <c r="D1923" s="13">
        <v>99</v>
      </c>
      <c r="E1923" s="13" t="s">
        <v>15</v>
      </c>
      <c r="F1923" s="13">
        <v>1</v>
      </c>
      <c r="G1923" s="13" t="s">
        <v>35</v>
      </c>
      <c r="H1923" s="13" t="s">
        <v>17</v>
      </c>
      <c r="I1923" s="14">
        <v>3004185</v>
      </c>
      <c r="J1923" s="13" t="s">
        <v>1314</v>
      </c>
      <c r="K1923" s="13">
        <v>99</v>
      </c>
      <c r="L1923" s="13" t="s">
        <v>15</v>
      </c>
      <c r="M1923" s="15">
        <v>10000</v>
      </c>
      <c r="N1923" s="13" t="s">
        <v>1</v>
      </c>
      <c r="O1923" s="16">
        <f t="shared" si="471"/>
        <v>1</v>
      </c>
      <c r="P1923" s="22">
        <f t="shared" si="472"/>
        <v>0</v>
      </c>
    </row>
    <row r="1924" spans="1:16" x14ac:dyDescent="0.25">
      <c r="A1924" s="91"/>
      <c r="B1924" s="13" t="s">
        <v>1312</v>
      </c>
      <c r="C1924" s="13" t="s">
        <v>1313</v>
      </c>
      <c r="D1924" s="13">
        <v>99</v>
      </c>
      <c r="E1924" s="13" t="s">
        <v>15</v>
      </c>
      <c r="F1924" s="13">
        <v>1</v>
      </c>
      <c r="G1924" s="13" t="s">
        <v>35</v>
      </c>
      <c r="H1924" s="13" t="s">
        <v>17</v>
      </c>
      <c r="I1924" s="14">
        <v>3004188</v>
      </c>
      <c r="J1924" s="13" t="s">
        <v>1290</v>
      </c>
      <c r="K1924" s="13">
        <v>99</v>
      </c>
      <c r="L1924" s="13" t="s">
        <v>15</v>
      </c>
      <c r="M1924" s="15">
        <v>10000</v>
      </c>
      <c r="N1924" s="13" t="s">
        <v>1</v>
      </c>
      <c r="O1924" s="16">
        <f t="shared" si="471"/>
        <v>1</v>
      </c>
      <c r="P1924" s="22">
        <f t="shared" si="472"/>
        <v>0</v>
      </c>
    </row>
    <row r="1925" spans="1:16" x14ac:dyDescent="0.25">
      <c r="A1925" s="91"/>
      <c r="B1925" s="13" t="s">
        <v>1312</v>
      </c>
      <c r="C1925" s="13" t="s">
        <v>1313</v>
      </c>
      <c r="D1925" s="13">
        <v>99</v>
      </c>
      <c r="E1925" s="13" t="s">
        <v>15</v>
      </c>
      <c r="F1925" s="13">
        <v>1</v>
      </c>
      <c r="G1925" s="13" t="s">
        <v>16</v>
      </c>
      <c r="H1925" s="13" t="s">
        <v>17</v>
      </c>
      <c r="I1925" s="14">
        <v>4002826</v>
      </c>
      <c r="J1925" s="13" t="s">
        <v>4</v>
      </c>
      <c r="K1925" s="13">
        <v>99</v>
      </c>
      <c r="L1925" s="13" t="s">
        <v>15</v>
      </c>
      <c r="M1925" s="13">
        <v>30</v>
      </c>
      <c r="N1925" s="13" t="s">
        <v>1</v>
      </c>
      <c r="O1925" s="16">
        <f t="shared" si="471"/>
        <v>3.0000000000000001E-3</v>
      </c>
      <c r="P1925" s="22">
        <f t="shared" si="472"/>
        <v>0</v>
      </c>
    </row>
    <row r="1926" spans="1:16" x14ac:dyDescent="0.25">
      <c r="A1926" s="91"/>
      <c r="B1926" s="13" t="s">
        <v>1312</v>
      </c>
      <c r="C1926" s="13" t="s">
        <v>1313</v>
      </c>
      <c r="D1926" s="13">
        <v>99</v>
      </c>
      <c r="E1926" s="13" t="s">
        <v>15</v>
      </c>
      <c r="F1926" s="13">
        <v>1</v>
      </c>
      <c r="G1926" s="13" t="s">
        <v>16</v>
      </c>
      <c r="H1926" s="13" t="s">
        <v>17</v>
      </c>
      <c r="I1926" s="14">
        <v>4008832</v>
      </c>
      <c r="J1926" s="13" t="s">
        <v>1302</v>
      </c>
      <c r="K1926" s="13">
        <v>99</v>
      </c>
      <c r="L1926" s="13" t="s">
        <v>15</v>
      </c>
      <c r="M1926" s="15">
        <v>1667</v>
      </c>
      <c r="N1926" s="13" t="s">
        <v>1</v>
      </c>
      <c r="O1926" s="16">
        <f t="shared" si="471"/>
        <v>0.16669999999999999</v>
      </c>
      <c r="P1926" s="22">
        <f t="shared" si="472"/>
        <v>0</v>
      </c>
    </row>
    <row r="1927" spans="1:16" x14ac:dyDescent="0.25">
      <c r="A1927" s="91"/>
      <c r="B1927" s="13" t="s">
        <v>1312</v>
      </c>
      <c r="C1927" s="13" t="s">
        <v>1313</v>
      </c>
      <c r="D1927" s="13">
        <v>99</v>
      </c>
      <c r="E1927" s="13" t="s">
        <v>15</v>
      </c>
      <c r="F1927" s="13">
        <v>1</v>
      </c>
      <c r="G1927" s="13" t="s">
        <v>16</v>
      </c>
      <c r="H1927" s="13" t="s">
        <v>17</v>
      </c>
      <c r="I1927" s="14">
        <v>4010864</v>
      </c>
      <c r="J1927" s="13" t="s">
        <v>1315</v>
      </c>
      <c r="K1927" s="13">
        <v>99</v>
      </c>
      <c r="L1927" s="13" t="s">
        <v>15</v>
      </c>
      <c r="M1927" s="15">
        <v>10000</v>
      </c>
      <c r="N1927" s="13" t="s">
        <v>1</v>
      </c>
      <c r="O1927" s="16">
        <f t="shared" si="471"/>
        <v>1</v>
      </c>
      <c r="P1927" s="22">
        <f t="shared" si="472"/>
        <v>0</v>
      </c>
    </row>
    <row r="1928" spans="1:16" ht="15.75" thickBot="1" x14ac:dyDescent="0.3">
      <c r="A1928" s="90"/>
      <c r="B1928" s="23" t="s">
        <v>1312</v>
      </c>
      <c r="C1928" s="23" t="s">
        <v>1313</v>
      </c>
      <c r="D1928" s="23">
        <v>99</v>
      </c>
      <c r="E1928" s="23" t="s">
        <v>15</v>
      </c>
      <c r="F1928" s="23">
        <v>1</v>
      </c>
      <c r="G1928" s="23" t="s">
        <v>16</v>
      </c>
      <c r="H1928" s="23" t="s">
        <v>17</v>
      </c>
      <c r="I1928" s="24">
        <v>4016160</v>
      </c>
      <c r="J1928" s="23" t="s">
        <v>69</v>
      </c>
      <c r="K1928" s="23">
        <v>99</v>
      </c>
      <c r="L1928" s="23" t="s">
        <v>15</v>
      </c>
      <c r="M1928" s="23">
        <v>10</v>
      </c>
      <c r="N1928" s="23" t="s">
        <v>3</v>
      </c>
      <c r="O1928" s="26">
        <f t="shared" si="471"/>
        <v>1E-3</v>
      </c>
      <c r="P1928" s="27">
        <f t="shared" si="472"/>
        <v>0</v>
      </c>
    </row>
    <row r="1929" spans="1:16" x14ac:dyDescent="0.25">
      <c r="B1929" s="1"/>
      <c r="C1929" s="1"/>
      <c r="D1929" s="1"/>
      <c r="E1929" s="1"/>
      <c r="F1929" s="1"/>
      <c r="G1929" s="1"/>
      <c r="H1929" s="1"/>
      <c r="I1929" s="2"/>
      <c r="J1929" s="1"/>
      <c r="K1929" s="1"/>
      <c r="L1929" s="1"/>
      <c r="M1929" s="1"/>
      <c r="N1929" s="1"/>
    </row>
    <row r="1930" spans="1:16" ht="15.75" thickBot="1" x14ac:dyDescent="0.3">
      <c r="B1930" s="1"/>
      <c r="C1930" s="1"/>
      <c r="D1930" s="1"/>
      <c r="E1930" s="1"/>
      <c r="F1930" s="1"/>
      <c r="G1930" s="1"/>
      <c r="H1930" s="1"/>
      <c r="I1930" s="2"/>
      <c r="J1930" s="1"/>
      <c r="K1930" s="1"/>
      <c r="L1930" s="1"/>
      <c r="M1930" s="1"/>
      <c r="N1930" s="1"/>
      <c r="P1930" s="11">
        <f>IFERROR(VLOOKUP($A1931,'PROGRAMA MES '!$A:$B,2,0),0)</f>
        <v>0</v>
      </c>
    </row>
    <row r="1931" spans="1:16" x14ac:dyDescent="0.25">
      <c r="A1931" s="89" t="str">
        <f>B1931</f>
        <v>SP9158VR</v>
      </c>
      <c r="B1931" s="17" t="s">
        <v>1316</v>
      </c>
      <c r="C1931" s="17" t="s">
        <v>1317</v>
      </c>
      <c r="D1931" s="17">
        <v>99</v>
      </c>
      <c r="E1931" s="17" t="s">
        <v>15</v>
      </c>
      <c r="F1931" s="17">
        <v>1</v>
      </c>
      <c r="G1931" s="17" t="s">
        <v>35</v>
      </c>
      <c r="H1931" s="17" t="s">
        <v>17</v>
      </c>
      <c r="I1931" s="18">
        <v>3003891</v>
      </c>
      <c r="J1931" s="17" t="s">
        <v>1300</v>
      </c>
      <c r="K1931" s="17">
        <v>99</v>
      </c>
      <c r="L1931" s="17" t="s">
        <v>15</v>
      </c>
      <c r="M1931" s="19">
        <v>10000</v>
      </c>
      <c r="N1931" s="17" t="s">
        <v>1</v>
      </c>
      <c r="O1931" s="20">
        <f t="shared" ref="O1931:O1938" si="473">M1931/10000</f>
        <v>1</v>
      </c>
      <c r="P1931" s="21">
        <f>O1931*$P$1930</f>
        <v>0</v>
      </c>
    </row>
    <row r="1932" spans="1:16" x14ac:dyDescent="0.25">
      <c r="A1932" s="91"/>
      <c r="B1932" s="13" t="s">
        <v>1316</v>
      </c>
      <c r="C1932" s="13" t="s">
        <v>1317</v>
      </c>
      <c r="D1932" s="13">
        <v>99</v>
      </c>
      <c r="E1932" s="13" t="s">
        <v>15</v>
      </c>
      <c r="F1932" s="13">
        <v>1</v>
      </c>
      <c r="G1932" s="13" t="s">
        <v>35</v>
      </c>
      <c r="H1932" s="13" t="s">
        <v>17</v>
      </c>
      <c r="I1932" s="14">
        <v>3003892</v>
      </c>
      <c r="J1932" s="13" t="s">
        <v>1301</v>
      </c>
      <c r="K1932" s="13">
        <v>99</v>
      </c>
      <c r="L1932" s="13" t="s">
        <v>15</v>
      </c>
      <c r="M1932" s="15">
        <v>10000</v>
      </c>
      <c r="N1932" s="13" t="s">
        <v>1</v>
      </c>
      <c r="O1932" s="16">
        <f t="shared" si="473"/>
        <v>1</v>
      </c>
      <c r="P1932" s="22">
        <f t="shared" ref="P1932:P1938" si="474">O1932*$P$1930</f>
        <v>0</v>
      </c>
    </row>
    <row r="1933" spans="1:16" x14ac:dyDescent="0.25">
      <c r="A1933" s="91"/>
      <c r="B1933" s="13" t="s">
        <v>1316</v>
      </c>
      <c r="C1933" s="13" t="s">
        <v>1317</v>
      </c>
      <c r="D1933" s="13">
        <v>99</v>
      </c>
      <c r="E1933" s="13" t="s">
        <v>15</v>
      </c>
      <c r="F1933" s="13">
        <v>1</v>
      </c>
      <c r="G1933" s="13" t="s">
        <v>35</v>
      </c>
      <c r="H1933" s="13" t="s">
        <v>17</v>
      </c>
      <c r="I1933" s="14">
        <v>3004186</v>
      </c>
      <c r="J1933" s="13" t="s">
        <v>1318</v>
      </c>
      <c r="K1933" s="13">
        <v>99</v>
      </c>
      <c r="L1933" s="13" t="s">
        <v>15</v>
      </c>
      <c r="M1933" s="15">
        <v>10000</v>
      </c>
      <c r="N1933" s="13" t="s">
        <v>1</v>
      </c>
      <c r="O1933" s="16">
        <f t="shared" si="473"/>
        <v>1</v>
      </c>
      <c r="P1933" s="22">
        <f t="shared" si="474"/>
        <v>0</v>
      </c>
    </row>
    <row r="1934" spans="1:16" x14ac:dyDescent="0.25">
      <c r="A1934" s="91"/>
      <c r="B1934" s="13" t="s">
        <v>1316</v>
      </c>
      <c r="C1934" s="13" t="s">
        <v>1317</v>
      </c>
      <c r="D1934" s="13">
        <v>99</v>
      </c>
      <c r="E1934" s="13" t="s">
        <v>15</v>
      </c>
      <c r="F1934" s="13">
        <v>1</v>
      </c>
      <c r="G1934" s="13" t="s">
        <v>35</v>
      </c>
      <c r="H1934" s="13" t="s">
        <v>17</v>
      </c>
      <c r="I1934" s="14">
        <v>3004189</v>
      </c>
      <c r="J1934" s="13" t="s">
        <v>1295</v>
      </c>
      <c r="K1934" s="13">
        <v>99</v>
      </c>
      <c r="L1934" s="13" t="s">
        <v>15</v>
      </c>
      <c r="M1934" s="15">
        <v>10000</v>
      </c>
      <c r="N1934" s="13" t="s">
        <v>1</v>
      </c>
      <c r="O1934" s="16">
        <f t="shared" si="473"/>
        <v>1</v>
      </c>
      <c r="P1934" s="22">
        <f t="shared" si="474"/>
        <v>0</v>
      </c>
    </row>
    <row r="1935" spans="1:16" x14ac:dyDescent="0.25">
      <c r="A1935" s="91"/>
      <c r="B1935" s="13" t="s">
        <v>1316</v>
      </c>
      <c r="C1935" s="13" t="s">
        <v>1317</v>
      </c>
      <c r="D1935" s="13">
        <v>99</v>
      </c>
      <c r="E1935" s="13" t="s">
        <v>15</v>
      </c>
      <c r="F1935" s="13">
        <v>1</v>
      </c>
      <c r="G1935" s="13" t="s">
        <v>16</v>
      </c>
      <c r="H1935" s="13" t="s">
        <v>17</v>
      </c>
      <c r="I1935" s="14">
        <v>4002826</v>
      </c>
      <c r="J1935" s="13" t="s">
        <v>4</v>
      </c>
      <c r="K1935" s="13">
        <v>99</v>
      </c>
      <c r="L1935" s="13" t="s">
        <v>15</v>
      </c>
      <c r="M1935" s="13">
        <v>30</v>
      </c>
      <c r="N1935" s="13" t="s">
        <v>1</v>
      </c>
      <c r="O1935" s="16">
        <f t="shared" si="473"/>
        <v>3.0000000000000001E-3</v>
      </c>
      <c r="P1935" s="22">
        <f t="shared" si="474"/>
        <v>0</v>
      </c>
    </row>
    <row r="1936" spans="1:16" x14ac:dyDescent="0.25">
      <c r="A1936" s="91"/>
      <c r="B1936" s="13" t="s">
        <v>1316</v>
      </c>
      <c r="C1936" s="13" t="s">
        <v>1317</v>
      </c>
      <c r="D1936" s="13">
        <v>99</v>
      </c>
      <c r="E1936" s="13" t="s">
        <v>15</v>
      </c>
      <c r="F1936" s="13">
        <v>1</v>
      </c>
      <c r="G1936" s="13" t="s">
        <v>16</v>
      </c>
      <c r="H1936" s="13" t="s">
        <v>17</v>
      </c>
      <c r="I1936" s="14">
        <v>4008832</v>
      </c>
      <c r="J1936" s="13" t="s">
        <v>1302</v>
      </c>
      <c r="K1936" s="13">
        <v>99</v>
      </c>
      <c r="L1936" s="13" t="s">
        <v>15</v>
      </c>
      <c r="M1936" s="15">
        <v>1667</v>
      </c>
      <c r="N1936" s="13" t="s">
        <v>1</v>
      </c>
      <c r="O1936" s="16">
        <f t="shared" si="473"/>
        <v>0.16669999999999999</v>
      </c>
      <c r="P1936" s="22">
        <f t="shared" si="474"/>
        <v>0</v>
      </c>
    </row>
    <row r="1937" spans="1:16" x14ac:dyDescent="0.25">
      <c r="A1937" s="91"/>
      <c r="B1937" s="13" t="s">
        <v>1316</v>
      </c>
      <c r="C1937" s="13" t="s">
        <v>1317</v>
      </c>
      <c r="D1937" s="13">
        <v>99</v>
      </c>
      <c r="E1937" s="13" t="s">
        <v>15</v>
      </c>
      <c r="F1937" s="13">
        <v>1</v>
      </c>
      <c r="G1937" s="13" t="s">
        <v>16</v>
      </c>
      <c r="H1937" s="13" t="s">
        <v>17</v>
      </c>
      <c r="I1937" s="14">
        <v>4010865</v>
      </c>
      <c r="J1937" s="13" t="s">
        <v>1319</v>
      </c>
      <c r="K1937" s="13">
        <v>99</v>
      </c>
      <c r="L1937" s="13" t="s">
        <v>15</v>
      </c>
      <c r="M1937" s="15">
        <v>10000</v>
      </c>
      <c r="N1937" s="13" t="s">
        <v>1</v>
      </c>
      <c r="O1937" s="16">
        <f t="shared" si="473"/>
        <v>1</v>
      </c>
      <c r="P1937" s="22">
        <f t="shared" si="474"/>
        <v>0</v>
      </c>
    </row>
    <row r="1938" spans="1:16" ht="15.75" thickBot="1" x14ac:dyDescent="0.3">
      <c r="A1938" s="90"/>
      <c r="B1938" s="23" t="s">
        <v>1316</v>
      </c>
      <c r="C1938" s="23" t="s">
        <v>1317</v>
      </c>
      <c r="D1938" s="23">
        <v>99</v>
      </c>
      <c r="E1938" s="23" t="s">
        <v>15</v>
      </c>
      <c r="F1938" s="23">
        <v>1</v>
      </c>
      <c r="G1938" s="23" t="s">
        <v>16</v>
      </c>
      <c r="H1938" s="23" t="s">
        <v>17</v>
      </c>
      <c r="I1938" s="24">
        <v>4016160</v>
      </c>
      <c r="J1938" s="23" t="s">
        <v>69</v>
      </c>
      <c r="K1938" s="23">
        <v>99</v>
      </c>
      <c r="L1938" s="23" t="s">
        <v>15</v>
      </c>
      <c r="M1938" s="23">
        <v>10</v>
      </c>
      <c r="N1938" s="23" t="s">
        <v>3</v>
      </c>
      <c r="O1938" s="26">
        <f t="shared" si="473"/>
        <v>1E-3</v>
      </c>
      <c r="P1938" s="27">
        <f t="shared" si="474"/>
        <v>0</v>
      </c>
    </row>
    <row r="1939" spans="1:16" x14ac:dyDescent="0.25">
      <c r="B1939" s="1"/>
      <c r="C1939" s="1"/>
      <c r="D1939" s="1"/>
      <c r="E1939" s="1"/>
      <c r="F1939" s="1"/>
      <c r="G1939" s="1"/>
      <c r="H1939" s="1"/>
      <c r="I1939" s="2"/>
      <c r="J1939" s="1"/>
      <c r="K1939" s="1"/>
      <c r="L1939" s="1"/>
      <c r="M1939" s="1"/>
      <c r="N1939" s="1"/>
    </row>
    <row r="1940" spans="1:16" ht="15.75" thickBot="1" x14ac:dyDescent="0.3">
      <c r="B1940" s="1"/>
      <c r="C1940" s="1"/>
      <c r="D1940" s="1"/>
      <c r="E1940" s="1"/>
      <c r="F1940" s="1"/>
      <c r="G1940" s="1"/>
      <c r="H1940" s="1"/>
      <c r="I1940" s="2"/>
      <c r="J1940" s="1"/>
      <c r="K1940" s="1"/>
      <c r="L1940" s="1"/>
      <c r="M1940" s="1"/>
      <c r="N1940" s="1"/>
      <c r="P1940" s="11">
        <f>IFERROR(VLOOKUP($A1941,'PROGRAMA MES '!$A:$B,2,0),0)</f>
        <v>0</v>
      </c>
    </row>
    <row r="1941" spans="1:16" x14ac:dyDescent="0.25">
      <c r="A1941" s="89" t="str">
        <f>B1941</f>
        <v>SP920AMF</v>
      </c>
      <c r="B1941" s="17" t="s">
        <v>1320</v>
      </c>
      <c r="C1941" s="17" t="s">
        <v>1321</v>
      </c>
      <c r="D1941" s="17">
        <v>99</v>
      </c>
      <c r="E1941" s="17" t="s">
        <v>15</v>
      </c>
      <c r="F1941" s="17">
        <v>1</v>
      </c>
      <c r="G1941" s="17" t="s">
        <v>16</v>
      </c>
      <c r="H1941" s="17" t="s">
        <v>17</v>
      </c>
      <c r="I1941" s="18">
        <v>4002826</v>
      </c>
      <c r="J1941" s="17" t="s">
        <v>4</v>
      </c>
      <c r="K1941" s="17">
        <v>99</v>
      </c>
      <c r="L1941" s="17" t="s">
        <v>15</v>
      </c>
      <c r="M1941" s="17">
        <v>320</v>
      </c>
      <c r="N1941" s="17" t="s">
        <v>1</v>
      </c>
      <c r="O1941" s="20">
        <f t="shared" ref="O1941:O1943" si="475">M1941/10000</f>
        <v>3.2000000000000001E-2</v>
      </c>
      <c r="P1941" s="21">
        <f>O1941*$P$1940</f>
        <v>0</v>
      </c>
    </row>
    <row r="1942" spans="1:16" x14ac:dyDescent="0.25">
      <c r="A1942" s="91"/>
      <c r="B1942" s="13" t="s">
        <v>1320</v>
      </c>
      <c r="C1942" s="13" t="s">
        <v>1321</v>
      </c>
      <c r="D1942" s="13">
        <v>99</v>
      </c>
      <c r="E1942" s="13" t="s">
        <v>15</v>
      </c>
      <c r="F1942" s="13">
        <v>1</v>
      </c>
      <c r="G1942" s="13" t="s">
        <v>16</v>
      </c>
      <c r="H1942" s="13" t="s">
        <v>17</v>
      </c>
      <c r="I1942" s="14">
        <v>4016160</v>
      </c>
      <c r="J1942" s="13" t="s">
        <v>69</v>
      </c>
      <c r="K1942" s="13">
        <v>99</v>
      </c>
      <c r="L1942" s="13" t="s">
        <v>15</v>
      </c>
      <c r="M1942" s="13">
        <v>40</v>
      </c>
      <c r="N1942" s="13" t="s">
        <v>3</v>
      </c>
      <c r="O1942" s="16">
        <f t="shared" si="475"/>
        <v>4.0000000000000001E-3</v>
      </c>
      <c r="P1942" s="22">
        <f t="shared" ref="P1942:P1943" si="476">O1942*$P$1940</f>
        <v>0</v>
      </c>
    </row>
    <row r="1943" spans="1:16" ht="15.75" thickBot="1" x14ac:dyDescent="0.3">
      <c r="A1943" s="90"/>
      <c r="B1943" s="23" t="s">
        <v>1320</v>
      </c>
      <c r="C1943" s="23" t="s">
        <v>1321</v>
      </c>
      <c r="D1943" s="23">
        <v>99</v>
      </c>
      <c r="E1943" s="23" t="s">
        <v>15</v>
      </c>
      <c r="F1943" s="23">
        <v>1</v>
      </c>
      <c r="G1943" s="23" t="s">
        <v>21</v>
      </c>
      <c r="H1943" s="23" t="s">
        <v>17</v>
      </c>
      <c r="I1943" s="24" t="s">
        <v>1322</v>
      </c>
      <c r="J1943" s="23" t="s">
        <v>1323</v>
      </c>
      <c r="K1943" s="23">
        <v>3</v>
      </c>
      <c r="L1943" s="23" t="s">
        <v>24</v>
      </c>
      <c r="M1943" s="25">
        <v>10000</v>
      </c>
      <c r="N1943" s="23" t="s">
        <v>482</v>
      </c>
      <c r="O1943" s="26">
        <f t="shared" si="475"/>
        <v>1</v>
      </c>
      <c r="P1943" s="27">
        <f t="shared" si="476"/>
        <v>0</v>
      </c>
    </row>
    <row r="1944" spans="1:16" x14ac:dyDescent="0.25">
      <c r="B1944" s="1"/>
      <c r="C1944" s="1"/>
      <c r="D1944" s="1"/>
      <c r="E1944" s="1"/>
      <c r="F1944" s="1"/>
      <c r="G1944" s="1"/>
      <c r="H1944" s="1"/>
      <c r="I1944" s="2"/>
      <c r="J1944" s="1"/>
      <c r="K1944" s="1"/>
      <c r="L1944" s="1"/>
      <c r="M1944" s="3"/>
      <c r="N1944" s="1"/>
    </row>
    <row r="1945" spans="1:16" ht="15.75" thickBot="1" x14ac:dyDescent="0.3">
      <c r="B1945" s="1"/>
      <c r="C1945" s="1"/>
      <c r="D1945" s="1"/>
      <c r="E1945" s="1"/>
      <c r="F1945" s="1"/>
      <c r="G1945" s="1"/>
      <c r="H1945" s="1"/>
      <c r="I1945" s="2"/>
      <c r="J1945" s="1"/>
      <c r="K1945" s="1"/>
      <c r="L1945" s="1"/>
      <c r="M1945" s="3"/>
      <c r="N1945" s="1"/>
      <c r="P1945" s="11">
        <f>IFERROR(VLOOKUP($A1946,'PROGRAMA MES '!$A:$B,2,0),0)</f>
        <v>0</v>
      </c>
    </row>
    <row r="1946" spans="1:16" x14ac:dyDescent="0.25">
      <c r="A1946" s="89" t="str">
        <f>B1946</f>
        <v>SP920BR</v>
      </c>
      <c r="B1946" s="17" t="s">
        <v>1324</v>
      </c>
      <c r="C1946" s="17" t="s">
        <v>1325</v>
      </c>
      <c r="D1946" s="17">
        <v>51</v>
      </c>
      <c r="E1946" s="17" t="s">
        <v>101</v>
      </c>
      <c r="F1946" s="17">
        <v>1</v>
      </c>
      <c r="G1946" s="17" t="s">
        <v>16</v>
      </c>
      <c r="H1946" s="17" t="s">
        <v>17</v>
      </c>
      <c r="I1946" s="18">
        <v>4016160</v>
      </c>
      <c r="J1946" s="17" t="s">
        <v>69</v>
      </c>
      <c r="K1946" s="17">
        <v>99</v>
      </c>
      <c r="L1946" s="17" t="s">
        <v>15</v>
      </c>
      <c r="M1946" s="17">
        <v>40</v>
      </c>
      <c r="N1946" s="17" t="s">
        <v>3</v>
      </c>
      <c r="O1946" s="20">
        <f t="shared" ref="O1946:O1947" si="477">M1946/10000</f>
        <v>4.0000000000000001E-3</v>
      </c>
      <c r="P1946" s="21">
        <f>O1946*$P$1945</f>
        <v>0</v>
      </c>
    </row>
    <row r="1947" spans="1:16" ht="15.75" thickBot="1" x14ac:dyDescent="0.3">
      <c r="A1947" s="90"/>
      <c r="B1947" s="23" t="s">
        <v>1324</v>
      </c>
      <c r="C1947" s="23" t="s">
        <v>1325</v>
      </c>
      <c r="D1947" s="23">
        <v>51</v>
      </c>
      <c r="E1947" s="23" t="s">
        <v>101</v>
      </c>
      <c r="F1947" s="23">
        <v>1</v>
      </c>
      <c r="G1947" s="23" t="s">
        <v>21</v>
      </c>
      <c r="H1947" s="23" t="s">
        <v>17</v>
      </c>
      <c r="I1947" s="24" t="s">
        <v>1326</v>
      </c>
      <c r="J1947" s="23" t="s">
        <v>1327</v>
      </c>
      <c r="K1947" s="23">
        <v>3</v>
      </c>
      <c r="L1947" s="23" t="s">
        <v>24</v>
      </c>
      <c r="M1947" s="25">
        <v>10000</v>
      </c>
      <c r="N1947" s="23" t="s">
        <v>482</v>
      </c>
      <c r="O1947" s="26">
        <f t="shared" si="477"/>
        <v>1</v>
      </c>
      <c r="P1947" s="27">
        <f>O1947*$P$1945</f>
        <v>0</v>
      </c>
    </row>
    <row r="1948" spans="1:16" x14ac:dyDescent="0.25">
      <c r="B1948" s="1"/>
      <c r="C1948" s="1"/>
      <c r="D1948" s="1"/>
      <c r="E1948" s="1"/>
      <c r="F1948" s="1"/>
      <c r="G1948" s="1"/>
      <c r="H1948" s="1"/>
      <c r="I1948" s="2"/>
      <c r="J1948" s="1"/>
      <c r="K1948" s="1"/>
      <c r="L1948" s="1"/>
      <c r="M1948" s="3"/>
      <c r="N1948" s="1"/>
    </row>
    <row r="1949" spans="1:16" ht="15.75" thickBot="1" x14ac:dyDescent="0.3">
      <c r="B1949" s="1"/>
      <c r="C1949" s="1"/>
      <c r="D1949" s="1"/>
      <c r="E1949" s="1"/>
      <c r="F1949" s="1"/>
      <c r="G1949" s="1"/>
      <c r="H1949" s="1"/>
      <c r="I1949" s="2"/>
      <c r="J1949" s="1"/>
      <c r="K1949" s="1"/>
      <c r="L1949" s="1"/>
      <c r="M1949" s="3"/>
      <c r="N1949" s="1"/>
      <c r="P1949" s="11">
        <f>IFERROR(VLOOKUP($A1950,'PROGRAMA MES '!$A:$B,2,0),0)</f>
        <v>0</v>
      </c>
    </row>
    <row r="1950" spans="1:16" x14ac:dyDescent="0.25">
      <c r="A1950" s="89" t="str">
        <f>B1950</f>
        <v>SP920BRX</v>
      </c>
      <c r="B1950" s="17" t="s">
        <v>1328</v>
      </c>
      <c r="C1950" s="17" t="s">
        <v>1329</v>
      </c>
      <c r="D1950" s="17">
        <v>99</v>
      </c>
      <c r="E1950" s="17" t="s">
        <v>15</v>
      </c>
      <c r="F1950" s="17">
        <v>1</v>
      </c>
      <c r="G1950" s="17" t="s">
        <v>16</v>
      </c>
      <c r="H1950" s="17" t="s">
        <v>17</v>
      </c>
      <c r="I1950" s="18">
        <v>4002826</v>
      </c>
      <c r="J1950" s="17" t="s">
        <v>4</v>
      </c>
      <c r="K1950" s="17">
        <v>99</v>
      </c>
      <c r="L1950" s="17" t="s">
        <v>15</v>
      </c>
      <c r="M1950" s="17">
        <v>320</v>
      </c>
      <c r="N1950" s="17" t="s">
        <v>1</v>
      </c>
      <c r="O1950" s="20">
        <f t="shared" ref="O1950:O1952" si="478">M1950/10000</f>
        <v>3.2000000000000001E-2</v>
      </c>
      <c r="P1950" s="21">
        <f>O1950*$P$1949</f>
        <v>0</v>
      </c>
    </row>
    <row r="1951" spans="1:16" x14ac:dyDescent="0.25">
      <c r="A1951" s="91"/>
      <c r="B1951" s="13" t="s">
        <v>1328</v>
      </c>
      <c r="C1951" s="13" t="s">
        <v>1329</v>
      </c>
      <c r="D1951" s="13">
        <v>99</v>
      </c>
      <c r="E1951" s="13" t="s">
        <v>15</v>
      </c>
      <c r="F1951" s="13">
        <v>1</v>
      </c>
      <c r="G1951" s="13" t="s">
        <v>16</v>
      </c>
      <c r="H1951" s="13" t="s">
        <v>17</v>
      </c>
      <c r="I1951" s="14">
        <v>4016160</v>
      </c>
      <c r="J1951" s="13" t="s">
        <v>69</v>
      </c>
      <c r="K1951" s="13">
        <v>99</v>
      </c>
      <c r="L1951" s="13" t="s">
        <v>15</v>
      </c>
      <c r="M1951" s="13">
        <v>40</v>
      </c>
      <c r="N1951" s="13" t="s">
        <v>3</v>
      </c>
      <c r="O1951" s="16">
        <f t="shared" si="478"/>
        <v>4.0000000000000001E-3</v>
      </c>
      <c r="P1951" s="22">
        <f>O1951*$P$1949</f>
        <v>0</v>
      </c>
    </row>
    <row r="1952" spans="1:16" ht="15.75" thickBot="1" x14ac:dyDescent="0.3">
      <c r="A1952" s="90"/>
      <c r="B1952" s="23" t="s">
        <v>1328</v>
      </c>
      <c r="C1952" s="23" t="s">
        <v>1329</v>
      </c>
      <c r="D1952" s="23">
        <v>99</v>
      </c>
      <c r="E1952" s="23" t="s">
        <v>15</v>
      </c>
      <c r="F1952" s="23">
        <v>1</v>
      </c>
      <c r="G1952" s="23" t="s">
        <v>21</v>
      </c>
      <c r="H1952" s="23" t="s">
        <v>17</v>
      </c>
      <c r="I1952" s="24" t="s">
        <v>1330</v>
      </c>
      <c r="J1952" s="23" t="s">
        <v>1331</v>
      </c>
      <c r="K1952" s="23">
        <v>3</v>
      </c>
      <c r="L1952" s="23" t="s">
        <v>24</v>
      </c>
      <c r="M1952" s="25">
        <v>10000</v>
      </c>
      <c r="N1952" s="23" t="s">
        <v>482</v>
      </c>
      <c r="O1952" s="26">
        <f t="shared" si="478"/>
        <v>1</v>
      </c>
      <c r="P1952" s="27">
        <f>O1952*$P$1949</f>
        <v>0</v>
      </c>
    </row>
    <row r="1953" spans="1:16" x14ac:dyDescent="0.25">
      <c r="B1953" s="1"/>
      <c r="C1953" s="1"/>
      <c r="D1953" s="1"/>
      <c r="E1953" s="1"/>
      <c r="F1953" s="1"/>
      <c r="G1953" s="1"/>
      <c r="H1953" s="1"/>
      <c r="I1953" s="2"/>
      <c r="J1953" s="1"/>
      <c r="K1953" s="1"/>
      <c r="L1953" s="1"/>
      <c r="M1953" s="3"/>
      <c r="N1953" s="1"/>
    </row>
    <row r="1954" spans="1:16" ht="15.75" thickBot="1" x14ac:dyDescent="0.3">
      <c r="B1954" s="1"/>
      <c r="C1954" s="1"/>
      <c r="D1954" s="1"/>
      <c r="E1954" s="1"/>
      <c r="F1954" s="1"/>
      <c r="G1954" s="1"/>
      <c r="H1954" s="1"/>
      <c r="I1954" s="2"/>
      <c r="J1954" s="1"/>
      <c r="K1954" s="1"/>
      <c r="L1954" s="1"/>
      <c r="M1954" s="3"/>
      <c r="N1954" s="1"/>
      <c r="P1954" s="11">
        <f>IFERROR(VLOOKUP($A1955,'PROGRAMA MES '!$A:$B,2,0),0)</f>
        <v>460</v>
      </c>
    </row>
    <row r="1955" spans="1:16" x14ac:dyDescent="0.25">
      <c r="A1955" s="89" t="str">
        <f>B1955</f>
        <v>SP920BTS</v>
      </c>
      <c r="B1955" s="17" t="s">
        <v>1332</v>
      </c>
      <c r="C1955" s="17" t="s">
        <v>1333</v>
      </c>
      <c r="D1955" s="17">
        <v>99</v>
      </c>
      <c r="E1955" s="17" t="s">
        <v>15</v>
      </c>
      <c r="F1955" s="17">
        <v>1</v>
      </c>
      <c r="G1955" s="17" t="s">
        <v>16</v>
      </c>
      <c r="H1955" s="17" t="s">
        <v>17</v>
      </c>
      <c r="I1955" s="18">
        <v>4002827</v>
      </c>
      <c r="J1955" s="17" t="s">
        <v>0</v>
      </c>
      <c r="K1955" s="17">
        <v>99</v>
      </c>
      <c r="L1955" s="17" t="s">
        <v>15</v>
      </c>
      <c r="M1955" s="17">
        <v>320</v>
      </c>
      <c r="N1955" s="17" t="s">
        <v>2</v>
      </c>
      <c r="O1955" s="20">
        <f t="shared" ref="O1955:O1957" si="479">M1955/10000</f>
        <v>3.2000000000000001E-2</v>
      </c>
      <c r="P1955" s="21">
        <f>O1955*$P$1954</f>
        <v>14.72</v>
      </c>
    </row>
    <row r="1956" spans="1:16" x14ac:dyDescent="0.25">
      <c r="A1956" s="91"/>
      <c r="B1956" s="13" t="s">
        <v>1332</v>
      </c>
      <c r="C1956" s="13" t="s">
        <v>1333</v>
      </c>
      <c r="D1956" s="13">
        <v>99</v>
      </c>
      <c r="E1956" s="13" t="s">
        <v>15</v>
      </c>
      <c r="F1956" s="13">
        <v>1</v>
      </c>
      <c r="G1956" s="13" t="s">
        <v>16</v>
      </c>
      <c r="H1956" s="13" t="s">
        <v>17</v>
      </c>
      <c r="I1956" s="14">
        <v>4016160</v>
      </c>
      <c r="J1956" s="13" t="s">
        <v>69</v>
      </c>
      <c r="K1956" s="13">
        <v>99</v>
      </c>
      <c r="L1956" s="13" t="s">
        <v>15</v>
      </c>
      <c r="M1956" s="13">
        <v>40</v>
      </c>
      <c r="N1956" s="13" t="s">
        <v>3</v>
      </c>
      <c r="O1956" s="16">
        <f t="shared" si="479"/>
        <v>4.0000000000000001E-3</v>
      </c>
      <c r="P1956" s="22">
        <f t="shared" ref="P1956:P1957" si="480">O1956*$P$1954</f>
        <v>1.84</v>
      </c>
    </row>
    <row r="1957" spans="1:16" ht="15.75" thickBot="1" x14ac:dyDescent="0.3">
      <c r="A1957" s="90"/>
      <c r="B1957" s="23" t="s">
        <v>1332</v>
      </c>
      <c r="C1957" s="23" t="s">
        <v>1333</v>
      </c>
      <c r="D1957" s="23">
        <v>99</v>
      </c>
      <c r="E1957" s="23" t="s">
        <v>15</v>
      </c>
      <c r="F1957" s="23">
        <v>1</v>
      </c>
      <c r="G1957" s="23" t="s">
        <v>21</v>
      </c>
      <c r="H1957" s="23" t="s">
        <v>17</v>
      </c>
      <c r="I1957" s="24" t="s">
        <v>1334</v>
      </c>
      <c r="J1957" s="23" t="s">
        <v>1335</v>
      </c>
      <c r="K1957" s="23">
        <v>3</v>
      </c>
      <c r="L1957" s="23" t="s">
        <v>24</v>
      </c>
      <c r="M1957" s="25">
        <v>10000</v>
      </c>
      <c r="N1957" s="23" t="s">
        <v>482</v>
      </c>
      <c r="O1957" s="26">
        <f t="shared" si="479"/>
        <v>1</v>
      </c>
      <c r="P1957" s="27">
        <f t="shared" si="480"/>
        <v>460</v>
      </c>
    </row>
    <row r="1958" spans="1:16" x14ac:dyDescent="0.25">
      <c r="B1958" s="1"/>
      <c r="C1958" s="1"/>
      <c r="D1958" s="1"/>
      <c r="E1958" s="1"/>
      <c r="F1958" s="1"/>
      <c r="G1958" s="1"/>
      <c r="H1958" s="1"/>
      <c r="I1958" s="2"/>
      <c r="J1958" s="1"/>
      <c r="K1958" s="1"/>
      <c r="L1958" s="1"/>
      <c r="M1958" s="3"/>
      <c r="N1958" s="1"/>
    </row>
    <row r="1959" spans="1:16" ht="15.75" thickBot="1" x14ac:dyDescent="0.3">
      <c r="B1959" s="1"/>
      <c r="C1959" s="1"/>
      <c r="D1959" s="1"/>
      <c r="E1959" s="1"/>
      <c r="F1959" s="1"/>
      <c r="G1959" s="1"/>
      <c r="H1959" s="1"/>
      <c r="I1959" s="2"/>
      <c r="J1959" s="1"/>
      <c r="K1959" s="1"/>
      <c r="L1959" s="1"/>
      <c r="M1959" s="3"/>
      <c r="N1959" s="1"/>
      <c r="P1959" s="11">
        <f>IFERROR(VLOOKUP($A1960,'PROGRAMA MES '!$A:$B,2,0),0)</f>
        <v>920</v>
      </c>
    </row>
    <row r="1960" spans="1:16" x14ac:dyDescent="0.25">
      <c r="A1960" s="89" t="str">
        <f>B1960</f>
        <v>SP920MCX</v>
      </c>
      <c r="B1960" s="17" t="s">
        <v>1336</v>
      </c>
      <c r="C1960" s="17" t="s">
        <v>1337</v>
      </c>
      <c r="D1960" s="17">
        <v>99</v>
      </c>
      <c r="E1960" s="17" t="s">
        <v>15</v>
      </c>
      <c r="F1960" s="17">
        <v>1</v>
      </c>
      <c r="G1960" s="17" t="s">
        <v>16</v>
      </c>
      <c r="H1960" s="17" t="s">
        <v>17</v>
      </c>
      <c r="I1960" s="18">
        <v>4002827</v>
      </c>
      <c r="J1960" s="17" t="s">
        <v>0</v>
      </c>
      <c r="K1960" s="17">
        <v>99</v>
      </c>
      <c r="L1960" s="17" t="s">
        <v>15</v>
      </c>
      <c r="M1960" s="17">
        <v>347</v>
      </c>
      <c r="N1960" s="17" t="s">
        <v>2</v>
      </c>
      <c r="O1960" s="20">
        <f t="shared" ref="O1960:O1962" si="481">M1960/10000</f>
        <v>3.4700000000000002E-2</v>
      </c>
      <c r="P1960" s="21">
        <f>O1960*$P$1959</f>
        <v>31.924000000000003</v>
      </c>
    </row>
    <row r="1961" spans="1:16" x14ac:dyDescent="0.25">
      <c r="A1961" s="91"/>
      <c r="B1961" s="13" t="s">
        <v>1336</v>
      </c>
      <c r="C1961" s="13" t="s">
        <v>1337</v>
      </c>
      <c r="D1961" s="13">
        <v>99</v>
      </c>
      <c r="E1961" s="13" t="s">
        <v>15</v>
      </c>
      <c r="F1961" s="13">
        <v>1</v>
      </c>
      <c r="G1961" s="13" t="s">
        <v>16</v>
      </c>
      <c r="H1961" s="13" t="s">
        <v>17</v>
      </c>
      <c r="I1961" s="14">
        <v>4016160</v>
      </c>
      <c r="J1961" s="13" t="s">
        <v>69</v>
      </c>
      <c r="K1961" s="13">
        <v>99</v>
      </c>
      <c r="L1961" s="13" t="s">
        <v>15</v>
      </c>
      <c r="M1961" s="13">
        <v>40</v>
      </c>
      <c r="N1961" s="13" t="s">
        <v>3</v>
      </c>
      <c r="O1961" s="16">
        <f t="shared" si="481"/>
        <v>4.0000000000000001E-3</v>
      </c>
      <c r="P1961" s="22">
        <f>O1961*$P$1959</f>
        <v>3.68</v>
      </c>
    </row>
    <row r="1962" spans="1:16" ht="15.75" thickBot="1" x14ac:dyDescent="0.3">
      <c r="A1962" s="90"/>
      <c r="B1962" s="23" t="s">
        <v>1336</v>
      </c>
      <c r="C1962" s="23" t="s">
        <v>1337</v>
      </c>
      <c r="D1962" s="23">
        <v>99</v>
      </c>
      <c r="E1962" s="23" t="s">
        <v>15</v>
      </c>
      <c r="F1962" s="23">
        <v>1</v>
      </c>
      <c r="G1962" s="23" t="s">
        <v>21</v>
      </c>
      <c r="H1962" s="23" t="s">
        <v>17</v>
      </c>
      <c r="I1962" s="24" t="s">
        <v>1338</v>
      </c>
      <c r="J1962" s="23" t="s">
        <v>1339</v>
      </c>
      <c r="K1962" s="23">
        <v>3</v>
      </c>
      <c r="L1962" s="23" t="s">
        <v>24</v>
      </c>
      <c r="M1962" s="25">
        <v>10000</v>
      </c>
      <c r="N1962" s="23" t="s">
        <v>482</v>
      </c>
      <c r="O1962" s="26">
        <f t="shared" si="481"/>
        <v>1</v>
      </c>
      <c r="P1962" s="27">
        <f>O1962*$P$1959</f>
        <v>920</v>
      </c>
    </row>
    <row r="1963" spans="1:16" x14ac:dyDescent="0.25">
      <c r="B1963" s="1"/>
      <c r="C1963" s="1"/>
      <c r="D1963" s="1"/>
      <c r="E1963" s="1"/>
      <c r="F1963" s="1"/>
      <c r="G1963" s="1"/>
      <c r="H1963" s="1"/>
      <c r="I1963" s="2"/>
      <c r="J1963" s="1"/>
      <c r="K1963" s="1"/>
      <c r="L1963" s="1"/>
      <c r="M1963" s="3"/>
      <c r="N1963" s="1"/>
    </row>
    <row r="1964" spans="1:16" ht="15.75" thickBot="1" x14ac:dyDescent="0.3">
      <c r="B1964" s="1"/>
      <c r="C1964" s="1"/>
      <c r="D1964" s="1"/>
      <c r="E1964" s="1"/>
      <c r="F1964" s="1"/>
      <c r="G1964" s="1"/>
      <c r="H1964" s="1"/>
      <c r="I1964" s="2"/>
      <c r="J1964" s="1"/>
      <c r="K1964" s="1"/>
      <c r="L1964" s="1"/>
      <c r="M1964" s="3"/>
      <c r="N1964" s="1"/>
      <c r="P1964" s="11">
        <f>IFERROR(VLOOKUP($A1965,'PROGRAMA MES '!$A:$B,2,0),0)</f>
        <v>460</v>
      </c>
    </row>
    <row r="1965" spans="1:16" x14ac:dyDescent="0.25">
      <c r="A1965" s="89" t="str">
        <f>B1965</f>
        <v>SP920MZ</v>
      </c>
      <c r="B1965" s="17" t="s">
        <v>1340</v>
      </c>
      <c r="C1965" s="17" t="s">
        <v>1341</v>
      </c>
      <c r="D1965" s="17">
        <v>99</v>
      </c>
      <c r="E1965" s="17" t="s">
        <v>15</v>
      </c>
      <c r="F1965" s="17">
        <v>1</v>
      </c>
      <c r="G1965" s="17" t="s">
        <v>16</v>
      </c>
      <c r="H1965" s="17" t="s">
        <v>17</v>
      </c>
      <c r="I1965" s="18">
        <v>4002826</v>
      </c>
      <c r="J1965" s="17" t="s">
        <v>4</v>
      </c>
      <c r="K1965" s="17">
        <v>99</v>
      </c>
      <c r="L1965" s="17" t="s">
        <v>15</v>
      </c>
      <c r="M1965" s="17">
        <v>320</v>
      </c>
      <c r="N1965" s="17" t="s">
        <v>1</v>
      </c>
      <c r="O1965" s="20">
        <f t="shared" ref="O1965:O1967" si="482">M1965/10000</f>
        <v>3.2000000000000001E-2</v>
      </c>
      <c r="P1965" s="21">
        <f>O1965*$P$1964</f>
        <v>14.72</v>
      </c>
    </row>
    <row r="1966" spans="1:16" x14ac:dyDescent="0.25">
      <c r="A1966" s="91"/>
      <c r="B1966" s="13" t="s">
        <v>1340</v>
      </c>
      <c r="C1966" s="13" t="s">
        <v>1341</v>
      </c>
      <c r="D1966" s="13">
        <v>99</v>
      </c>
      <c r="E1966" s="13" t="s">
        <v>15</v>
      </c>
      <c r="F1966" s="13">
        <v>1</v>
      </c>
      <c r="G1966" s="13" t="s">
        <v>16</v>
      </c>
      <c r="H1966" s="13" t="s">
        <v>17</v>
      </c>
      <c r="I1966" s="14">
        <v>4016160</v>
      </c>
      <c r="J1966" s="13" t="s">
        <v>69</v>
      </c>
      <c r="K1966" s="13">
        <v>99</v>
      </c>
      <c r="L1966" s="13" t="s">
        <v>15</v>
      </c>
      <c r="M1966" s="13">
        <v>40</v>
      </c>
      <c r="N1966" s="13" t="s">
        <v>3</v>
      </c>
      <c r="O1966" s="16">
        <f t="shared" si="482"/>
        <v>4.0000000000000001E-3</v>
      </c>
      <c r="P1966" s="22">
        <f t="shared" ref="P1966:P1967" si="483">O1966*$P$1964</f>
        <v>1.84</v>
      </c>
    </row>
    <row r="1967" spans="1:16" ht="15.75" thickBot="1" x14ac:dyDescent="0.3">
      <c r="A1967" s="90"/>
      <c r="B1967" s="23" t="s">
        <v>1340</v>
      </c>
      <c r="C1967" s="23" t="s">
        <v>1341</v>
      </c>
      <c r="D1967" s="23">
        <v>99</v>
      </c>
      <c r="E1967" s="23" t="s">
        <v>15</v>
      </c>
      <c r="F1967" s="23">
        <v>1</v>
      </c>
      <c r="G1967" s="23" t="s">
        <v>21</v>
      </c>
      <c r="H1967" s="23" t="s">
        <v>17</v>
      </c>
      <c r="I1967" s="24" t="s">
        <v>1342</v>
      </c>
      <c r="J1967" s="23" t="s">
        <v>1343</v>
      </c>
      <c r="K1967" s="23">
        <v>3</v>
      </c>
      <c r="L1967" s="23" t="s">
        <v>24</v>
      </c>
      <c r="M1967" s="25">
        <v>10000</v>
      </c>
      <c r="N1967" s="23" t="s">
        <v>482</v>
      </c>
      <c r="O1967" s="26">
        <f t="shared" si="482"/>
        <v>1</v>
      </c>
      <c r="P1967" s="27">
        <f t="shared" si="483"/>
        <v>460</v>
      </c>
    </row>
    <row r="1968" spans="1:16" x14ac:dyDescent="0.25">
      <c r="B1968" s="1"/>
      <c r="C1968" s="1"/>
      <c r="D1968" s="1"/>
      <c r="E1968" s="1"/>
      <c r="F1968" s="1"/>
      <c r="G1968" s="1"/>
      <c r="H1968" s="1"/>
      <c r="I1968" s="2"/>
      <c r="J1968" s="1"/>
      <c r="K1968" s="1"/>
      <c r="L1968" s="1"/>
      <c r="M1968" s="3"/>
      <c r="N1968" s="1"/>
    </row>
    <row r="1969" spans="1:16" ht="15.75" thickBot="1" x14ac:dyDescent="0.3">
      <c r="B1969" s="1"/>
      <c r="C1969" s="1"/>
      <c r="D1969" s="1"/>
      <c r="E1969" s="1"/>
      <c r="F1969" s="1"/>
      <c r="G1969" s="1"/>
      <c r="H1969" s="1"/>
      <c r="I1969" s="2"/>
      <c r="J1969" s="1"/>
      <c r="K1969" s="1"/>
      <c r="L1969" s="1"/>
      <c r="M1969" s="3"/>
      <c r="N1969" s="1"/>
      <c r="P1969" s="11">
        <f>IFERROR(VLOOKUP($A1970,'PROGRAMA MES '!$A:$B,2,0),0)</f>
        <v>0</v>
      </c>
    </row>
    <row r="1970" spans="1:16" x14ac:dyDescent="0.25">
      <c r="A1970" s="89" t="str">
        <f>B1970</f>
        <v>SP920PS</v>
      </c>
      <c r="B1970" s="17" t="s">
        <v>1344</v>
      </c>
      <c r="C1970" s="17" t="s">
        <v>1345</v>
      </c>
      <c r="D1970" s="17">
        <v>99</v>
      </c>
      <c r="E1970" s="17" t="s">
        <v>15</v>
      </c>
      <c r="F1970" s="17">
        <v>1</v>
      </c>
      <c r="G1970" s="17" t="s">
        <v>16</v>
      </c>
      <c r="H1970" s="17" t="s">
        <v>17</v>
      </c>
      <c r="I1970" s="18">
        <v>4002826</v>
      </c>
      <c r="J1970" s="17" t="s">
        <v>4</v>
      </c>
      <c r="K1970" s="17">
        <v>99</v>
      </c>
      <c r="L1970" s="17" t="s">
        <v>15</v>
      </c>
      <c r="M1970" s="17">
        <v>64</v>
      </c>
      <c r="N1970" s="17" t="s">
        <v>1</v>
      </c>
      <c r="O1970" s="20">
        <f t="shared" ref="O1970:O1972" si="484">M1970/10000</f>
        <v>6.4000000000000003E-3</v>
      </c>
      <c r="P1970" s="21">
        <f>O1970*$P$1969</f>
        <v>0</v>
      </c>
    </row>
    <row r="1971" spans="1:16" x14ac:dyDescent="0.25">
      <c r="A1971" s="91"/>
      <c r="B1971" s="13" t="s">
        <v>1344</v>
      </c>
      <c r="C1971" s="13" t="s">
        <v>1345</v>
      </c>
      <c r="D1971" s="13">
        <v>99</v>
      </c>
      <c r="E1971" s="13" t="s">
        <v>15</v>
      </c>
      <c r="F1971" s="13">
        <v>1</v>
      </c>
      <c r="G1971" s="13" t="s">
        <v>16</v>
      </c>
      <c r="H1971" s="13" t="s">
        <v>17</v>
      </c>
      <c r="I1971" s="14">
        <v>4016160</v>
      </c>
      <c r="J1971" s="13" t="s">
        <v>69</v>
      </c>
      <c r="K1971" s="13">
        <v>99</v>
      </c>
      <c r="L1971" s="13" t="s">
        <v>15</v>
      </c>
      <c r="M1971" s="13">
        <v>40</v>
      </c>
      <c r="N1971" s="13" t="s">
        <v>3</v>
      </c>
      <c r="O1971" s="16">
        <f t="shared" si="484"/>
        <v>4.0000000000000001E-3</v>
      </c>
      <c r="P1971" s="22">
        <f t="shared" ref="P1971:P1972" si="485">O1971*$P$1969</f>
        <v>0</v>
      </c>
    </row>
    <row r="1972" spans="1:16" ht="15.75" thickBot="1" x14ac:dyDescent="0.3">
      <c r="A1972" s="90"/>
      <c r="B1972" s="23" t="s">
        <v>1344</v>
      </c>
      <c r="C1972" s="23" t="s">
        <v>1345</v>
      </c>
      <c r="D1972" s="23">
        <v>99</v>
      </c>
      <c r="E1972" s="23" t="s">
        <v>15</v>
      </c>
      <c r="F1972" s="23">
        <v>1</v>
      </c>
      <c r="G1972" s="23" t="s">
        <v>21</v>
      </c>
      <c r="H1972" s="23" t="s">
        <v>17</v>
      </c>
      <c r="I1972" s="24" t="s">
        <v>1346</v>
      </c>
      <c r="J1972" s="23" t="s">
        <v>1347</v>
      </c>
      <c r="K1972" s="23">
        <v>3</v>
      </c>
      <c r="L1972" s="23" t="s">
        <v>24</v>
      </c>
      <c r="M1972" s="25">
        <v>10000</v>
      </c>
      <c r="N1972" s="23" t="s">
        <v>482</v>
      </c>
      <c r="O1972" s="26">
        <f t="shared" si="484"/>
        <v>1</v>
      </c>
      <c r="P1972" s="27">
        <f t="shared" si="485"/>
        <v>0</v>
      </c>
    </row>
    <row r="1973" spans="1:16" x14ac:dyDescent="0.25">
      <c r="B1973" s="1"/>
      <c r="C1973" s="1"/>
      <c r="D1973" s="1"/>
      <c r="E1973" s="1"/>
      <c r="F1973" s="1"/>
      <c r="G1973" s="1"/>
      <c r="H1973" s="1"/>
      <c r="I1973" s="2"/>
      <c r="J1973" s="1"/>
      <c r="K1973" s="1"/>
      <c r="L1973" s="1"/>
      <c r="M1973" s="3"/>
      <c r="N1973" s="1"/>
    </row>
    <row r="1974" spans="1:16" ht="15.75" thickBot="1" x14ac:dyDescent="0.3">
      <c r="B1974" s="1"/>
      <c r="C1974" s="1"/>
      <c r="D1974" s="1"/>
      <c r="E1974" s="1"/>
      <c r="F1974" s="1"/>
      <c r="G1974" s="1"/>
      <c r="H1974" s="1"/>
      <c r="I1974" s="2"/>
      <c r="J1974" s="1"/>
      <c r="K1974" s="1"/>
      <c r="L1974" s="1"/>
      <c r="M1974" s="3"/>
      <c r="N1974" s="1"/>
      <c r="P1974" s="11">
        <f>IFERROR(VLOOKUP($A1975,'PROGRAMA MES '!$A:$B,2,0),0)</f>
        <v>0</v>
      </c>
    </row>
    <row r="1975" spans="1:16" x14ac:dyDescent="0.25">
      <c r="A1975" s="89" t="str">
        <f>B1975</f>
        <v>SP920UG</v>
      </c>
      <c r="B1975" s="17" t="s">
        <v>1348</v>
      </c>
      <c r="C1975" s="17" t="s">
        <v>1349</v>
      </c>
      <c r="D1975" s="17">
        <v>99</v>
      </c>
      <c r="E1975" s="17" t="s">
        <v>15</v>
      </c>
      <c r="F1975" s="17">
        <v>1</v>
      </c>
      <c r="G1975" s="17" t="s">
        <v>16</v>
      </c>
      <c r="H1975" s="17" t="s">
        <v>17</v>
      </c>
      <c r="I1975" s="18">
        <v>4002826</v>
      </c>
      <c r="J1975" s="17" t="s">
        <v>4</v>
      </c>
      <c r="K1975" s="17">
        <v>99</v>
      </c>
      <c r="L1975" s="17" t="s">
        <v>15</v>
      </c>
      <c r="M1975" s="17">
        <v>32</v>
      </c>
      <c r="N1975" s="17" t="s">
        <v>1</v>
      </c>
      <c r="O1975" s="20">
        <f t="shared" ref="O1975:O1977" si="486">M1975/10000</f>
        <v>3.2000000000000002E-3</v>
      </c>
      <c r="P1975" s="21">
        <f>O1975*$P$1974</f>
        <v>0</v>
      </c>
    </row>
    <row r="1976" spans="1:16" x14ac:dyDescent="0.25">
      <c r="A1976" s="91"/>
      <c r="B1976" s="13" t="s">
        <v>1348</v>
      </c>
      <c r="C1976" s="13" t="s">
        <v>1349</v>
      </c>
      <c r="D1976" s="13">
        <v>99</v>
      </c>
      <c r="E1976" s="13" t="s">
        <v>15</v>
      </c>
      <c r="F1976" s="13">
        <v>1</v>
      </c>
      <c r="G1976" s="13" t="s">
        <v>16</v>
      </c>
      <c r="H1976" s="13" t="s">
        <v>17</v>
      </c>
      <c r="I1976" s="14">
        <v>4016160</v>
      </c>
      <c r="J1976" s="13" t="s">
        <v>69</v>
      </c>
      <c r="K1976" s="13">
        <v>99</v>
      </c>
      <c r="L1976" s="13" t="s">
        <v>15</v>
      </c>
      <c r="M1976" s="13">
        <v>40</v>
      </c>
      <c r="N1976" s="13" t="s">
        <v>3</v>
      </c>
      <c r="O1976" s="16">
        <f t="shared" si="486"/>
        <v>4.0000000000000001E-3</v>
      </c>
      <c r="P1976" s="22">
        <f>O1976*$P$1974</f>
        <v>0</v>
      </c>
    </row>
    <row r="1977" spans="1:16" ht="15.75" thickBot="1" x14ac:dyDescent="0.3">
      <c r="A1977" s="90"/>
      <c r="B1977" s="23" t="s">
        <v>1348</v>
      </c>
      <c r="C1977" s="23" t="s">
        <v>1349</v>
      </c>
      <c r="D1977" s="23">
        <v>99</v>
      </c>
      <c r="E1977" s="23" t="s">
        <v>15</v>
      </c>
      <c r="F1977" s="23">
        <v>1</v>
      </c>
      <c r="G1977" s="23" t="s">
        <v>21</v>
      </c>
      <c r="H1977" s="23" t="s">
        <v>17</v>
      </c>
      <c r="I1977" s="24" t="s">
        <v>1350</v>
      </c>
      <c r="J1977" s="23" t="s">
        <v>1351</v>
      </c>
      <c r="K1977" s="23">
        <v>3</v>
      </c>
      <c r="L1977" s="23" t="s">
        <v>24</v>
      </c>
      <c r="M1977" s="25">
        <v>10000</v>
      </c>
      <c r="N1977" s="23" t="s">
        <v>482</v>
      </c>
      <c r="O1977" s="26">
        <f t="shared" si="486"/>
        <v>1</v>
      </c>
      <c r="P1977" s="27">
        <f>O1977*$P$1974</f>
        <v>0</v>
      </c>
    </row>
    <row r="1978" spans="1:16" x14ac:dyDescent="0.25">
      <c r="B1978" s="1"/>
      <c r="C1978" s="1"/>
      <c r="D1978" s="1"/>
      <c r="E1978" s="1"/>
      <c r="F1978" s="1"/>
      <c r="G1978" s="1"/>
      <c r="H1978" s="1"/>
      <c r="I1978" s="2"/>
      <c r="J1978" s="1"/>
      <c r="K1978" s="1"/>
      <c r="L1978" s="1"/>
      <c r="M1978" s="3"/>
      <c r="N1978" s="1"/>
    </row>
    <row r="1979" spans="1:16" ht="15.75" thickBot="1" x14ac:dyDescent="0.3">
      <c r="B1979" s="1"/>
      <c r="C1979" s="1"/>
      <c r="D1979" s="1"/>
      <c r="E1979" s="1"/>
      <c r="F1979" s="1"/>
      <c r="G1979" s="1"/>
      <c r="H1979" s="1"/>
      <c r="I1979" s="2"/>
      <c r="J1979" s="1"/>
      <c r="K1979" s="1"/>
      <c r="L1979" s="1"/>
      <c r="M1979" s="3"/>
      <c r="N1979" s="1"/>
      <c r="P1979" s="11">
        <f>IFERROR(VLOOKUP($A1980,'PROGRAMA MES '!$A:$B,2,0),0)</f>
        <v>0</v>
      </c>
    </row>
    <row r="1980" spans="1:16" x14ac:dyDescent="0.25">
      <c r="A1980" s="89" t="str">
        <f>B1980</f>
        <v>SP9224AM</v>
      </c>
      <c r="B1980" s="17" t="s">
        <v>1352</v>
      </c>
      <c r="C1980" s="17" t="s">
        <v>1353</v>
      </c>
      <c r="D1980" s="17">
        <v>51</v>
      </c>
      <c r="E1980" s="17" t="s">
        <v>101</v>
      </c>
      <c r="F1980" s="17">
        <v>1</v>
      </c>
      <c r="G1980" s="17" t="s">
        <v>35</v>
      </c>
      <c r="H1980" s="17" t="s">
        <v>17</v>
      </c>
      <c r="I1980" s="18">
        <v>3004187</v>
      </c>
      <c r="J1980" s="17" t="s">
        <v>1280</v>
      </c>
      <c r="K1980" s="17">
        <v>99</v>
      </c>
      <c r="L1980" s="17" t="s">
        <v>15</v>
      </c>
      <c r="M1980" s="19">
        <v>10000</v>
      </c>
      <c r="N1980" s="17" t="s">
        <v>1</v>
      </c>
      <c r="O1980" s="20">
        <f t="shared" ref="O1980:O2052" si="487">M1980/10000</f>
        <v>1</v>
      </c>
      <c r="P1980" s="21">
        <f>O1980*$P$1979</f>
        <v>0</v>
      </c>
    </row>
    <row r="1981" spans="1:16" x14ac:dyDescent="0.25">
      <c r="A1981" s="91"/>
      <c r="B1981" s="13" t="s">
        <v>1352</v>
      </c>
      <c r="C1981" s="13" t="s">
        <v>1353</v>
      </c>
      <c r="D1981" s="13">
        <v>51</v>
      </c>
      <c r="E1981" s="13" t="s">
        <v>101</v>
      </c>
      <c r="F1981" s="13">
        <v>1</v>
      </c>
      <c r="G1981" s="13" t="s">
        <v>35</v>
      </c>
      <c r="H1981" s="13" t="s">
        <v>17</v>
      </c>
      <c r="I1981" s="14">
        <v>3005674</v>
      </c>
      <c r="J1981" s="13" t="s">
        <v>1354</v>
      </c>
      <c r="K1981" s="13">
        <v>99</v>
      </c>
      <c r="L1981" s="13" t="s">
        <v>15</v>
      </c>
      <c r="M1981" s="15">
        <v>10000</v>
      </c>
      <c r="N1981" s="13" t="s">
        <v>1</v>
      </c>
      <c r="O1981" s="16">
        <f t="shared" si="487"/>
        <v>1</v>
      </c>
      <c r="P1981" s="22">
        <f t="shared" ref="P1981:P1988" si="488">O1981*$P$1979</f>
        <v>0</v>
      </c>
    </row>
    <row r="1982" spans="1:16" x14ac:dyDescent="0.25">
      <c r="A1982" s="91"/>
      <c r="B1982" s="13" t="s">
        <v>1352</v>
      </c>
      <c r="C1982" s="13" t="s">
        <v>1353</v>
      </c>
      <c r="D1982" s="13">
        <v>51</v>
      </c>
      <c r="E1982" s="13" t="s">
        <v>101</v>
      </c>
      <c r="F1982" s="13">
        <v>1</v>
      </c>
      <c r="G1982" s="13" t="s">
        <v>35</v>
      </c>
      <c r="H1982" s="13" t="s">
        <v>17</v>
      </c>
      <c r="I1982" s="14">
        <v>3005676</v>
      </c>
      <c r="J1982" s="13" t="s">
        <v>166</v>
      </c>
      <c r="K1982" s="13">
        <v>99</v>
      </c>
      <c r="L1982" s="13" t="s">
        <v>15</v>
      </c>
      <c r="M1982" s="15">
        <v>10000</v>
      </c>
      <c r="N1982" s="13" t="s">
        <v>1</v>
      </c>
      <c r="O1982" s="16">
        <f t="shared" si="487"/>
        <v>1</v>
      </c>
      <c r="P1982" s="22">
        <f t="shared" si="488"/>
        <v>0</v>
      </c>
    </row>
    <row r="1983" spans="1:16" x14ac:dyDescent="0.25">
      <c r="A1983" s="91"/>
      <c r="B1983" s="13" t="s">
        <v>1352</v>
      </c>
      <c r="C1983" s="13" t="s">
        <v>1353</v>
      </c>
      <c r="D1983" s="13">
        <v>51</v>
      </c>
      <c r="E1983" s="13" t="s">
        <v>101</v>
      </c>
      <c r="F1983" s="13">
        <v>1</v>
      </c>
      <c r="G1983" s="13" t="s">
        <v>35</v>
      </c>
      <c r="H1983" s="13" t="s">
        <v>17</v>
      </c>
      <c r="I1983" s="14">
        <v>3005677</v>
      </c>
      <c r="J1983" s="13" t="s">
        <v>167</v>
      </c>
      <c r="K1983" s="13">
        <v>99</v>
      </c>
      <c r="L1983" s="13" t="s">
        <v>15</v>
      </c>
      <c r="M1983" s="15">
        <v>10000</v>
      </c>
      <c r="N1983" s="13" t="s">
        <v>1</v>
      </c>
      <c r="O1983" s="16">
        <f t="shared" si="487"/>
        <v>1</v>
      </c>
      <c r="P1983" s="22">
        <f t="shared" si="488"/>
        <v>0</v>
      </c>
    </row>
    <row r="1984" spans="1:16" x14ac:dyDescent="0.25">
      <c r="A1984" s="91"/>
      <c r="B1984" s="13" t="s">
        <v>1352</v>
      </c>
      <c r="C1984" s="13" t="s">
        <v>1353</v>
      </c>
      <c r="D1984" s="13">
        <v>51</v>
      </c>
      <c r="E1984" s="13" t="s">
        <v>101</v>
      </c>
      <c r="F1984" s="13">
        <v>1</v>
      </c>
      <c r="G1984" s="13" t="s">
        <v>35</v>
      </c>
      <c r="H1984" s="13" t="s">
        <v>17</v>
      </c>
      <c r="I1984" s="14">
        <v>3005678</v>
      </c>
      <c r="J1984" s="13" t="s">
        <v>168</v>
      </c>
      <c r="K1984" s="13">
        <v>99</v>
      </c>
      <c r="L1984" s="13" t="s">
        <v>15</v>
      </c>
      <c r="M1984" s="15">
        <v>10000</v>
      </c>
      <c r="N1984" s="13" t="s">
        <v>1</v>
      </c>
      <c r="O1984" s="16">
        <f t="shared" si="487"/>
        <v>1</v>
      </c>
      <c r="P1984" s="22">
        <f t="shared" si="488"/>
        <v>0</v>
      </c>
    </row>
    <row r="1985" spans="1:16" x14ac:dyDescent="0.25">
      <c r="A1985" s="91"/>
      <c r="B1985" s="13" t="s">
        <v>1352</v>
      </c>
      <c r="C1985" s="13" t="s">
        <v>1353</v>
      </c>
      <c r="D1985" s="13">
        <v>51</v>
      </c>
      <c r="E1985" s="13" t="s">
        <v>101</v>
      </c>
      <c r="F1985" s="13">
        <v>1</v>
      </c>
      <c r="G1985" s="13" t="s">
        <v>16</v>
      </c>
      <c r="H1985" s="13" t="s">
        <v>17</v>
      </c>
      <c r="I1985" s="14">
        <v>4001165</v>
      </c>
      <c r="J1985" s="13" t="s">
        <v>169</v>
      </c>
      <c r="K1985" s="13">
        <v>99</v>
      </c>
      <c r="L1985" s="13" t="s">
        <v>15</v>
      </c>
      <c r="M1985" s="15">
        <v>1667</v>
      </c>
      <c r="N1985" s="13" t="s">
        <v>1</v>
      </c>
      <c r="O1985" s="16">
        <f t="shared" si="487"/>
        <v>0.16669999999999999</v>
      </c>
      <c r="P1985" s="22">
        <f t="shared" si="488"/>
        <v>0</v>
      </c>
    </row>
    <row r="1986" spans="1:16" x14ac:dyDescent="0.25">
      <c r="A1986" s="91"/>
      <c r="B1986" s="13" t="s">
        <v>1352</v>
      </c>
      <c r="C1986" s="13" t="s">
        <v>1353</v>
      </c>
      <c r="D1986" s="13">
        <v>51</v>
      </c>
      <c r="E1986" s="13" t="s">
        <v>101</v>
      </c>
      <c r="F1986" s="13">
        <v>1</v>
      </c>
      <c r="G1986" s="13" t="s">
        <v>16</v>
      </c>
      <c r="H1986" s="13" t="s">
        <v>17</v>
      </c>
      <c r="I1986" s="14">
        <v>4002826</v>
      </c>
      <c r="J1986" s="13" t="s">
        <v>4</v>
      </c>
      <c r="K1986" s="13">
        <v>99</v>
      </c>
      <c r="L1986" s="13" t="s">
        <v>15</v>
      </c>
      <c r="M1986" s="13">
        <v>13</v>
      </c>
      <c r="N1986" s="13" t="s">
        <v>1</v>
      </c>
      <c r="O1986" s="16">
        <f t="shared" si="487"/>
        <v>1.2999999999999999E-3</v>
      </c>
      <c r="P1986" s="22">
        <f t="shared" si="488"/>
        <v>0</v>
      </c>
    </row>
    <row r="1987" spans="1:16" x14ac:dyDescent="0.25">
      <c r="A1987" s="91"/>
      <c r="B1987" s="13" t="s">
        <v>1352</v>
      </c>
      <c r="C1987" s="13" t="s">
        <v>1353</v>
      </c>
      <c r="D1987" s="13">
        <v>51</v>
      </c>
      <c r="E1987" s="13" t="s">
        <v>101</v>
      </c>
      <c r="F1987" s="13">
        <v>1</v>
      </c>
      <c r="G1987" s="13" t="s">
        <v>16</v>
      </c>
      <c r="H1987" s="13" t="s">
        <v>17</v>
      </c>
      <c r="I1987" s="14">
        <v>4014900</v>
      </c>
      <c r="J1987" s="13" t="s">
        <v>1355</v>
      </c>
      <c r="K1987" s="13">
        <v>99</v>
      </c>
      <c r="L1987" s="13" t="s">
        <v>15</v>
      </c>
      <c r="M1987" s="15">
        <v>10000</v>
      </c>
      <c r="N1987" s="13" t="s">
        <v>1</v>
      </c>
      <c r="O1987" s="16">
        <f t="shared" si="487"/>
        <v>1</v>
      </c>
      <c r="P1987" s="22">
        <f t="shared" si="488"/>
        <v>0</v>
      </c>
    </row>
    <row r="1988" spans="1:16" ht="15.75" thickBot="1" x14ac:dyDescent="0.3">
      <c r="A1988" s="90"/>
      <c r="B1988" s="23" t="s">
        <v>1352</v>
      </c>
      <c r="C1988" s="23" t="s">
        <v>1353</v>
      </c>
      <c r="D1988" s="23">
        <v>51</v>
      </c>
      <c r="E1988" s="23" t="s">
        <v>101</v>
      </c>
      <c r="F1988" s="23">
        <v>1</v>
      </c>
      <c r="G1988" s="23" t="s">
        <v>16</v>
      </c>
      <c r="H1988" s="23" t="s">
        <v>17</v>
      </c>
      <c r="I1988" s="24">
        <v>4016160</v>
      </c>
      <c r="J1988" s="23" t="s">
        <v>69</v>
      </c>
      <c r="K1988" s="23">
        <v>99</v>
      </c>
      <c r="L1988" s="23" t="s">
        <v>15</v>
      </c>
      <c r="M1988" s="23">
        <v>10</v>
      </c>
      <c r="N1988" s="23" t="s">
        <v>3</v>
      </c>
      <c r="O1988" s="26">
        <f t="shared" si="487"/>
        <v>1E-3</v>
      </c>
      <c r="P1988" s="27">
        <f t="shared" si="488"/>
        <v>0</v>
      </c>
    </row>
    <row r="1989" spans="1:16" x14ac:dyDescent="0.25">
      <c r="B1989" s="1"/>
      <c r="C1989" s="1"/>
      <c r="D1989" s="1"/>
      <c r="E1989" s="1"/>
      <c r="F1989" s="1"/>
      <c r="G1989" s="1"/>
      <c r="H1989" s="1"/>
      <c r="I1989" s="2"/>
      <c r="J1989" s="1"/>
      <c r="K1989" s="1"/>
      <c r="L1989" s="1"/>
      <c r="M1989" s="1"/>
      <c r="N1989" s="1"/>
    </row>
    <row r="1990" spans="1:16" ht="15.75" thickBot="1" x14ac:dyDescent="0.3">
      <c r="B1990" s="1"/>
      <c r="C1990" s="1"/>
      <c r="D1990" s="1"/>
      <c r="E1990" s="1"/>
      <c r="F1990" s="1"/>
      <c r="G1990" s="1"/>
      <c r="H1990" s="1"/>
      <c r="I1990" s="2"/>
      <c r="J1990" s="1"/>
      <c r="K1990" s="1"/>
      <c r="L1990" s="1"/>
      <c r="M1990" s="1"/>
      <c r="N1990" s="1"/>
      <c r="P1990" s="11">
        <f>IFERROR(VLOOKUP($A1991,'PROGRAMA MES '!$A:$B,2,0),0)</f>
        <v>0</v>
      </c>
    </row>
    <row r="1991" spans="1:16" x14ac:dyDescent="0.25">
      <c r="A1991" s="89" t="str">
        <f>B1991</f>
        <v>SP9224AZ</v>
      </c>
      <c r="B1991" s="17" t="s">
        <v>1356</v>
      </c>
      <c r="C1991" s="17" t="s">
        <v>1357</v>
      </c>
      <c r="D1991" s="17">
        <v>51</v>
      </c>
      <c r="E1991" s="17" t="s">
        <v>101</v>
      </c>
      <c r="F1991" s="17">
        <v>1</v>
      </c>
      <c r="G1991" s="17" t="s">
        <v>35</v>
      </c>
      <c r="H1991" s="17" t="s">
        <v>17</v>
      </c>
      <c r="I1991" s="18">
        <v>3003937</v>
      </c>
      <c r="J1991" s="17" t="s">
        <v>1285</v>
      </c>
      <c r="K1991" s="17">
        <v>99</v>
      </c>
      <c r="L1991" s="17" t="s">
        <v>15</v>
      </c>
      <c r="M1991" s="19">
        <v>10000</v>
      </c>
      <c r="N1991" s="17" t="s">
        <v>1</v>
      </c>
      <c r="O1991" s="20">
        <f t="shared" si="487"/>
        <v>1</v>
      </c>
      <c r="P1991" s="21">
        <f>O1991*$P$1990</f>
        <v>0</v>
      </c>
    </row>
    <row r="1992" spans="1:16" x14ac:dyDescent="0.25">
      <c r="A1992" s="91"/>
      <c r="B1992" s="13" t="s">
        <v>1356</v>
      </c>
      <c r="C1992" s="13" t="s">
        <v>1357</v>
      </c>
      <c r="D1992" s="13">
        <v>51</v>
      </c>
      <c r="E1992" s="13" t="s">
        <v>101</v>
      </c>
      <c r="F1992" s="13">
        <v>1</v>
      </c>
      <c r="G1992" s="13" t="s">
        <v>35</v>
      </c>
      <c r="H1992" s="13" t="s">
        <v>17</v>
      </c>
      <c r="I1992" s="14">
        <v>3005673</v>
      </c>
      <c r="J1992" s="13" t="s">
        <v>1358</v>
      </c>
      <c r="K1992" s="13">
        <v>99</v>
      </c>
      <c r="L1992" s="13" t="s">
        <v>15</v>
      </c>
      <c r="M1992" s="15">
        <v>10000</v>
      </c>
      <c r="N1992" s="13" t="s">
        <v>1</v>
      </c>
      <c r="O1992" s="16">
        <f t="shared" si="487"/>
        <v>1</v>
      </c>
      <c r="P1992" s="22">
        <f t="shared" ref="P1992:P1999" si="489">O1992*$P$1990</f>
        <v>0</v>
      </c>
    </row>
    <row r="1993" spans="1:16" x14ac:dyDescent="0.25">
      <c r="A1993" s="91"/>
      <c r="B1993" s="13" t="s">
        <v>1356</v>
      </c>
      <c r="C1993" s="13" t="s">
        <v>1357</v>
      </c>
      <c r="D1993" s="13">
        <v>51</v>
      </c>
      <c r="E1993" s="13" t="s">
        <v>101</v>
      </c>
      <c r="F1993" s="13">
        <v>1</v>
      </c>
      <c r="G1993" s="13" t="s">
        <v>35</v>
      </c>
      <c r="H1993" s="13" t="s">
        <v>17</v>
      </c>
      <c r="I1993" s="14">
        <v>3005676</v>
      </c>
      <c r="J1993" s="13" t="s">
        <v>166</v>
      </c>
      <c r="K1993" s="13">
        <v>99</v>
      </c>
      <c r="L1993" s="13" t="s">
        <v>15</v>
      </c>
      <c r="M1993" s="15">
        <v>10000</v>
      </c>
      <c r="N1993" s="13" t="s">
        <v>1</v>
      </c>
      <c r="O1993" s="16">
        <f t="shared" si="487"/>
        <v>1</v>
      </c>
      <c r="P1993" s="22">
        <f t="shared" si="489"/>
        <v>0</v>
      </c>
    </row>
    <row r="1994" spans="1:16" x14ac:dyDescent="0.25">
      <c r="A1994" s="91"/>
      <c r="B1994" s="13" t="s">
        <v>1356</v>
      </c>
      <c r="C1994" s="13" t="s">
        <v>1357</v>
      </c>
      <c r="D1994" s="13">
        <v>51</v>
      </c>
      <c r="E1994" s="13" t="s">
        <v>101</v>
      </c>
      <c r="F1994" s="13">
        <v>1</v>
      </c>
      <c r="G1994" s="13" t="s">
        <v>35</v>
      </c>
      <c r="H1994" s="13" t="s">
        <v>17</v>
      </c>
      <c r="I1994" s="14">
        <v>3005677</v>
      </c>
      <c r="J1994" s="13" t="s">
        <v>167</v>
      </c>
      <c r="K1994" s="13">
        <v>99</v>
      </c>
      <c r="L1994" s="13" t="s">
        <v>15</v>
      </c>
      <c r="M1994" s="15">
        <v>10000</v>
      </c>
      <c r="N1994" s="13" t="s">
        <v>1</v>
      </c>
      <c r="O1994" s="16">
        <f t="shared" si="487"/>
        <v>1</v>
      </c>
      <c r="P1994" s="22">
        <f t="shared" si="489"/>
        <v>0</v>
      </c>
    </row>
    <row r="1995" spans="1:16" x14ac:dyDescent="0.25">
      <c r="A1995" s="91"/>
      <c r="B1995" s="13" t="s">
        <v>1356</v>
      </c>
      <c r="C1995" s="13" t="s">
        <v>1357</v>
      </c>
      <c r="D1995" s="13">
        <v>51</v>
      </c>
      <c r="E1995" s="13" t="s">
        <v>101</v>
      </c>
      <c r="F1995" s="13">
        <v>1</v>
      </c>
      <c r="G1995" s="13" t="s">
        <v>35</v>
      </c>
      <c r="H1995" s="13" t="s">
        <v>17</v>
      </c>
      <c r="I1995" s="14">
        <v>3005678</v>
      </c>
      <c r="J1995" s="13" t="s">
        <v>168</v>
      </c>
      <c r="K1995" s="13">
        <v>99</v>
      </c>
      <c r="L1995" s="13" t="s">
        <v>15</v>
      </c>
      <c r="M1995" s="15">
        <v>10000</v>
      </c>
      <c r="N1995" s="13" t="s">
        <v>1</v>
      </c>
      <c r="O1995" s="16">
        <f t="shared" si="487"/>
        <v>1</v>
      </c>
      <c r="P1995" s="22">
        <f t="shared" si="489"/>
        <v>0</v>
      </c>
    </row>
    <row r="1996" spans="1:16" x14ac:dyDescent="0.25">
      <c r="A1996" s="91"/>
      <c r="B1996" s="13" t="s">
        <v>1356</v>
      </c>
      <c r="C1996" s="13" t="s">
        <v>1357</v>
      </c>
      <c r="D1996" s="13">
        <v>51</v>
      </c>
      <c r="E1996" s="13" t="s">
        <v>101</v>
      </c>
      <c r="F1996" s="13">
        <v>1</v>
      </c>
      <c r="G1996" s="13" t="s">
        <v>16</v>
      </c>
      <c r="H1996" s="13" t="s">
        <v>17</v>
      </c>
      <c r="I1996" s="14">
        <v>4001165</v>
      </c>
      <c r="J1996" s="13" t="s">
        <v>169</v>
      </c>
      <c r="K1996" s="13">
        <v>99</v>
      </c>
      <c r="L1996" s="13" t="s">
        <v>15</v>
      </c>
      <c r="M1996" s="15">
        <v>1667</v>
      </c>
      <c r="N1996" s="13" t="s">
        <v>1</v>
      </c>
      <c r="O1996" s="16">
        <f t="shared" si="487"/>
        <v>0.16669999999999999</v>
      </c>
      <c r="P1996" s="22">
        <f t="shared" si="489"/>
        <v>0</v>
      </c>
    </row>
    <row r="1997" spans="1:16" x14ac:dyDescent="0.25">
      <c r="A1997" s="91"/>
      <c r="B1997" s="13" t="s">
        <v>1356</v>
      </c>
      <c r="C1997" s="13" t="s">
        <v>1357</v>
      </c>
      <c r="D1997" s="13">
        <v>51</v>
      </c>
      <c r="E1997" s="13" t="s">
        <v>101</v>
      </c>
      <c r="F1997" s="13">
        <v>1</v>
      </c>
      <c r="G1997" s="13" t="s">
        <v>16</v>
      </c>
      <c r="H1997" s="13" t="s">
        <v>17</v>
      </c>
      <c r="I1997" s="14">
        <v>4002826</v>
      </c>
      <c r="J1997" s="13" t="s">
        <v>4</v>
      </c>
      <c r="K1997" s="13">
        <v>99</v>
      </c>
      <c r="L1997" s="13" t="s">
        <v>15</v>
      </c>
      <c r="M1997" s="13">
        <v>13</v>
      </c>
      <c r="N1997" s="13" t="s">
        <v>1</v>
      </c>
      <c r="O1997" s="16">
        <f t="shared" si="487"/>
        <v>1.2999999999999999E-3</v>
      </c>
      <c r="P1997" s="22">
        <f t="shared" si="489"/>
        <v>0</v>
      </c>
    </row>
    <row r="1998" spans="1:16" x14ac:dyDescent="0.25">
      <c r="A1998" s="91"/>
      <c r="B1998" s="13" t="s">
        <v>1356</v>
      </c>
      <c r="C1998" s="13" t="s">
        <v>1357</v>
      </c>
      <c r="D1998" s="13">
        <v>51</v>
      </c>
      <c r="E1998" s="13" t="s">
        <v>101</v>
      </c>
      <c r="F1998" s="13">
        <v>1</v>
      </c>
      <c r="G1998" s="13" t="s">
        <v>16</v>
      </c>
      <c r="H1998" s="13" t="s">
        <v>17</v>
      </c>
      <c r="I1998" s="14">
        <v>4014899</v>
      </c>
      <c r="J1998" s="13" t="s">
        <v>1359</v>
      </c>
      <c r="K1998" s="13">
        <v>99</v>
      </c>
      <c r="L1998" s="13" t="s">
        <v>15</v>
      </c>
      <c r="M1998" s="15">
        <v>10000</v>
      </c>
      <c r="N1998" s="13" t="s">
        <v>1</v>
      </c>
      <c r="O1998" s="16">
        <f t="shared" si="487"/>
        <v>1</v>
      </c>
      <c r="P1998" s="22">
        <f t="shared" si="489"/>
        <v>0</v>
      </c>
    </row>
    <row r="1999" spans="1:16" ht="15.75" thickBot="1" x14ac:dyDescent="0.3">
      <c r="A1999" s="90"/>
      <c r="B1999" s="23" t="s">
        <v>1356</v>
      </c>
      <c r="C1999" s="23" t="s">
        <v>1357</v>
      </c>
      <c r="D1999" s="23">
        <v>51</v>
      </c>
      <c r="E1999" s="23" t="s">
        <v>101</v>
      </c>
      <c r="F1999" s="23">
        <v>1</v>
      </c>
      <c r="G1999" s="23" t="s">
        <v>16</v>
      </c>
      <c r="H1999" s="23" t="s">
        <v>17</v>
      </c>
      <c r="I1999" s="24">
        <v>4016160</v>
      </c>
      <c r="J1999" s="23" t="s">
        <v>69</v>
      </c>
      <c r="K1999" s="23">
        <v>99</v>
      </c>
      <c r="L1999" s="23" t="s">
        <v>15</v>
      </c>
      <c r="M1999" s="23">
        <v>10</v>
      </c>
      <c r="N1999" s="23" t="s">
        <v>3</v>
      </c>
      <c r="O1999" s="26">
        <f t="shared" si="487"/>
        <v>1E-3</v>
      </c>
      <c r="P1999" s="27">
        <f t="shared" si="489"/>
        <v>0</v>
      </c>
    </row>
    <row r="2000" spans="1:16" x14ac:dyDescent="0.25">
      <c r="B2000" s="1"/>
      <c r="C2000" s="1"/>
      <c r="D2000" s="1"/>
      <c r="E2000" s="1"/>
      <c r="F2000" s="1"/>
      <c r="G2000" s="1"/>
      <c r="H2000" s="1"/>
      <c r="I2000" s="2"/>
      <c r="J2000" s="1"/>
      <c r="K2000" s="1"/>
      <c r="L2000" s="1"/>
      <c r="M2000" s="1"/>
      <c r="N2000" s="1"/>
    </row>
    <row r="2001" spans="1:16" ht="15.75" thickBot="1" x14ac:dyDescent="0.3">
      <c r="B2001" s="1"/>
      <c r="C2001" s="1"/>
      <c r="D2001" s="1"/>
      <c r="E2001" s="1"/>
      <c r="F2001" s="1"/>
      <c r="G2001" s="1"/>
      <c r="H2001" s="1"/>
      <c r="I2001" s="2"/>
      <c r="J2001" s="1"/>
      <c r="K2001" s="1"/>
      <c r="L2001" s="1"/>
      <c r="M2001" s="1"/>
      <c r="N2001" s="1"/>
      <c r="P2001" s="11">
        <f>IFERROR(VLOOKUP($A2002,'PROGRAMA MES '!$A:$B,2,0),0)</f>
        <v>0</v>
      </c>
    </row>
    <row r="2002" spans="1:16" x14ac:dyDescent="0.25">
      <c r="A2002" s="89" t="str">
        <f>B2002</f>
        <v>SP9224VD</v>
      </c>
      <c r="B2002" s="17" t="s">
        <v>1360</v>
      </c>
      <c r="C2002" s="17" t="s">
        <v>1361</v>
      </c>
      <c r="D2002" s="17">
        <v>51</v>
      </c>
      <c r="E2002" s="17" t="s">
        <v>101</v>
      </c>
      <c r="F2002" s="17">
        <v>1</v>
      </c>
      <c r="G2002" s="17" t="s">
        <v>35</v>
      </c>
      <c r="H2002" s="17" t="s">
        <v>17</v>
      </c>
      <c r="I2002" s="18">
        <v>3004188</v>
      </c>
      <c r="J2002" s="17" t="s">
        <v>1290</v>
      </c>
      <c r="K2002" s="17">
        <v>99</v>
      </c>
      <c r="L2002" s="17" t="s">
        <v>15</v>
      </c>
      <c r="M2002" s="19">
        <v>10000</v>
      </c>
      <c r="N2002" s="17" t="s">
        <v>1</v>
      </c>
      <c r="O2002" s="20">
        <f t="shared" si="487"/>
        <v>1</v>
      </c>
      <c r="P2002" s="21">
        <f>O2002*$P$2001</f>
        <v>0</v>
      </c>
    </row>
    <row r="2003" spans="1:16" x14ac:dyDescent="0.25">
      <c r="A2003" s="91"/>
      <c r="B2003" s="13" t="s">
        <v>1360</v>
      </c>
      <c r="C2003" s="13" t="s">
        <v>1361</v>
      </c>
      <c r="D2003" s="13">
        <v>51</v>
      </c>
      <c r="E2003" s="13" t="s">
        <v>101</v>
      </c>
      <c r="F2003" s="13">
        <v>1</v>
      </c>
      <c r="G2003" s="13" t="s">
        <v>35</v>
      </c>
      <c r="H2003" s="13" t="s">
        <v>17</v>
      </c>
      <c r="I2003" s="14">
        <v>3005672</v>
      </c>
      <c r="J2003" s="13" t="s">
        <v>1362</v>
      </c>
      <c r="K2003" s="13">
        <v>99</v>
      </c>
      <c r="L2003" s="13" t="s">
        <v>15</v>
      </c>
      <c r="M2003" s="15">
        <v>10000</v>
      </c>
      <c r="N2003" s="13" t="s">
        <v>1</v>
      </c>
      <c r="O2003" s="16">
        <f t="shared" si="487"/>
        <v>1</v>
      </c>
      <c r="P2003" s="22">
        <f t="shared" ref="P2003:P2010" si="490">O2003*$P$2001</f>
        <v>0</v>
      </c>
    </row>
    <row r="2004" spans="1:16" x14ac:dyDescent="0.25">
      <c r="A2004" s="91"/>
      <c r="B2004" s="13" t="s">
        <v>1360</v>
      </c>
      <c r="C2004" s="13" t="s">
        <v>1361</v>
      </c>
      <c r="D2004" s="13">
        <v>51</v>
      </c>
      <c r="E2004" s="13" t="s">
        <v>101</v>
      </c>
      <c r="F2004" s="13">
        <v>1</v>
      </c>
      <c r="G2004" s="13" t="s">
        <v>35</v>
      </c>
      <c r="H2004" s="13" t="s">
        <v>17</v>
      </c>
      <c r="I2004" s="14">
        <v>3005676</v>
      </c>
      <c r="J2004" s="13" t="s">
        <v>166</v>
      </c>
      <c r="K2004" s="13">
        <v>99</v>
      </c>
      <c r="L2004" s="13" t="s">
        <v>15</v>
      </c>
      <c r="M2004" s="15">
        <v>10000</v>
      </c>
      <c r="N2004" s="13" t="s">
        <v>1</v>
      </c>
      <c r="O2004" s="16">
        <f t="shared" si="487"/>
        <v>1</v>
      </c>
      <c r="P2004" s="22">
        <f t="shared" si="490"/>
        <v>0</v>
      </c>
    </row>
    <row r="2005" spans="1:16" x14ac:dyDescent="0.25">
      <c r="A2005" s="91"/>
      <c r="B2005" s="13" t="s">
        <v>1360</v>
      </c>
      <c r="C2005" s="13" t="s">
        <v>1361</v>
      </c>
      <c r="D2005" s="13">
        <v>51</v>
      </c>
      <c r="E2005" s="13" t="s">
        <v>101</v>
      </c>
      <c r="F2005" s="13">
        <v>1</v>
      </c>
      <c r="G2005" s="13" t="s">
        <v>35</v>
      </c>
      <c r="H2005" s="13" t="s">
        <v>17</v>
      </c>
      <c r="I2005" s="14">
        <v>3005677</v>
      </c>
      <c r="J2005" s="13" t="s">
        <v>167</v>
      </c>
      <c r="K2005" s="13">
        <v>99</v>
      </c>
      <c r="L2005" s="13" t="s">
        <v>15</v>
      </c>
      <c r="M2005" s="15">
        <v>10000</v>
      </c>
      <c r="N2005" s="13" t="s">
        <v>1</v>
      </c>
      <c r="O2005" s="16">
        <f t="shared" si="487"/>
        <v>1</v>
      </c>
      <c r="P2005" s="22">
        <f t="shared" si="490"/>
        <v>0</v>
      </c>
    </row>
    <row r="2006" spans="1:16" x14ac:dyDescent="0.25">
      <c r="A2006" s="91"/>
      <c r="B2006" s="13" t="s">
        <v>1360</v>
      </c>
      <c r="C2006" s="13" t="s">
        <v>1361</v>
      </c>
      <c r="D2006" s="13">
        <v>51</v>
      </c>
      <c r="E2006" s="13" t="s">
        <v>101</v>
      </c>
      <c r="F2006" s="13">
        <v>1</v>
      </c>
      <c r="G2006" s="13" t="s">
        <v>35</v>
      </c>
      <c r="H2006" s="13" t="s">
        <v>17</v>
      </c>
      <c r="I2006" s="14">
        <v>3005678</v>
      </c>
      <c r="J2006" s="13" t="s">
        <v>168</v>
      </c>
      <c r="K2006" s="13">
        <v>99</v>
      </c>
      <c r="L2006" s="13" t="s">
        <v>15</v>
      </c>
      <c r="M2006" s="15">
        <v>10000</v>
      </c>
      <c r="N2006" s="13" t="s">
        <v>1</v>
      </c>
      <c r="O2006" s="16">
        <f t="shared" si="487"/>
        <v>1</v>
      </c>
      <c r="P2006" s="22">
        <f t="shared" si="490"/>
        <v>0</v>
      </c>
    </row>
    <row r="2007" spans="1:16" x14ac:dyDescent="0.25">
      <c r="A2007" s="91"/>
      <c r="B2007" s="13" t="s">
        <v>1360</v>
      </c>
      <c r="C2007" s="13" t="s">
        <v>1361</v>
      </c>
      <c r="D2007" s="13">
        <v>51</v>
      </c>
      <c r="E2007" s="13" t="s">
        <v>101</v>
      </c>
      <c r="F2007" s="13">
        <v>1</v>
      </c>
      <c r="G2007" s="13" t="s">
        <v>16</v>
      </c>
      <c r="H2007" s="13" t="s">
        <v>17</v>
      </c>
      <c r="I2007" s="14">
        <v>4001165</v>
      </c>
      <c r="J2007" s="13" t="s">
        <v>169</v>
      </c>
      <c r="K2007" s="13">
        <v>99</v>
      </c>
      <c r="L2007" s="13" t="s">
        <v>15</v>
      </c>
      <c r="M2007" s="15">
        <v>1667</v>
      </c>
      <c r="N2007" s="13" t="s">
        <v>1</v>
      </c>
      <c r="O2007" s="16">
        <f t="shared" si="487"/>
        <v>0.16669999999999999</v>
      </c>
      <c r="P2007" s="22">
        <f t="shared" si="490"/>
        <v>0</v>
      </c>
    </row>
    <row r="2008" spans="1:16" x14ac:dyDescent="0.25">
      <c r="A2008" s="91"/>
      <c r="B2008" s="13" t="s">
        <v>1360</v>
      </c>
      <c r="C2008" s="13" t="s">
        <v>1361</v>
      </c>
      <c r="D2008" s="13">
        <v>51</v>
      </c>
      <c r="E2008" s="13" t="s">
        <v>101</v>
      </c>
      <c r="F2008" s="13">
        <v>1</v>
      </c>
      <c r="G2008" s="13" t="s">
        <v>16</v>
      </c>
      <c r="H2008" s="13" t="s">
        <v>17</v>
      </c>
      <c r="I2008" s="14">
        <v>4002826</v>
      </c>
      <c r="J2008" s="13" t="s">
        <v>4</v>
      </c>
      <c r="K2008" s="13">
        <v>99</v>
      </c>
      <c r="L2008" s="13" t="s">
        <v>15</v>
      </c>
      <c r="M2008" s="13">
        <v>13</v>
      </c>
      <c r="N2008" s="13" t="s">
        <v>1</v>
      </c>
      <c r="O2008" s="16">
        <f t="shared" si="487"/>
        <v>1.2999999999999999E-3</v>
      </c>
      <c r="P2008" s="22">
        <f t="shared" si="490"/>
        <v>0</v>
      </c>
    </row>
    <row r="2009" spans="1:16" x14ac:dyDescent="0.25">
      <c r="A2009" s="91"/>
      <c r="B2009" s="13" t="s">
        <v>1360</v>
      </c>
      <c r="C2009" s="13" t="s">
        <v>1361</v>
      </c>
      <c r="D2009" s="13">
        <v>51</v>
      </c>
      <c r="E2009" s="13" t="s">
        <v>101</v>
      </c>
      <c r="F2009" s="13">
        <v>1</v>
      </c>
      <c r="G2009" s="13" t="s">
        <v>16</v>
      </c>
      <c r="H2009" s="13" t="s">
        <v>17</v>
      </c>
      <c r="I2009" s="14">
        <v>4014902</v>
      </c>
      <c r="J2009" s="13" t="s">
        <v>1363</v>
      </c>
      <c r="K2009" s="13">
        <v>99</v>
      </c>
      <c r="L2009" s="13" t="s">
        <v>15</v>
      </c>
      <c r="M2009" s="15">
        <v>10000</v>
      </c>
      <c r="N2009" s="13" t="s">
        <v>1</v>
      </c>
      <c r="O2009" s="16">
        <f t="shared" si="487"/>
        <v>1</v>
      </c>
      <c r="P2009" s="22">
        <f t="shared" si="490"/>
        <v>0</v>
      </c>
    </row>
    <row r="2010" spans="1:16" ht="15.75" thickBot="1" x14ac:dyDescent="0.3">
      <c r="A2010" s="90"/>
      <c r="B2010" s="23" t="s">
        <v>1360</v>
      </c>
      <c r="C2010" s="23" t="s">
        <v>1361</v>
      </c>
      <c r="D2010" s="23">
        <v>51</v>
      </c>
      <c r="E2010" s="23" t="s">
        <v>101</v>
      </c>
      <c r="F2010" s="23">
        <v>1</v>
      </c>
      <c r="G2010" s="23" t="s">
        <v>16</v>
      </c>
      <c r="H2010" s="23" t="s">
        <v>17</v>
      </c>
      <c r="I2010" s="24">
        <v>4016160</v>
      </c>
      <c r="J2010" s="23" t="s">
        <v>69</v>
      </c>
      <c r="K2010" s="23">
        <v>99</v>
      </c>
      <c r="L2010" s="23" t="s">
        <v>15</v>
      </c>
      <c r="M2010" s="23">
        <v>10</v>
      </c>
      <c r="N2010" s="23" t="s">
        <v>3</v>
      </c>
      <c r="O2010" s="26">
        <f t="shared" si="487"/>
        <v>1E-3</v>
      </c>
      <c r="P2010" s="27">
        <f t="shared" si="490"/>
        <v>0</v>
      </c>
    </row>
    <row r="2011" spans="1:16" x14ac:dyDescent="0.25">
      <c r="B2011" s="1"/>
      <c r="C2011" s="1"/>
      <c r="D2011" s="1"/>
      <c r="E2011" s="1"/>
      <c r="F2011" s="1"/>
      <c r="G2011" s="1"/>
      <c r="H2011" s="1"/>
      <c r="I2011" s="2"/>
      <c r="J2011" s="1"/>
      <c r="K2011" s="1"/>
      <c r="L2011" s="1"/>
      <c r="M2011" s="1"/>
      <c r="N2011" s="1"/>
    </row>
    <row r="2012" spans="1:16" ht="15.75" thickBot="1" x14ac:dyDescent="0.3">
      <c r="B2012" s="1"/>
      <c r="C2012" s="1"/>
      <c r="D2012" s="1"/>
      <c r="E2012" s="1"/>
      <c r="F2012" s="1"/>
      <c r="G2012" s="1"/>
      <c r="H2012" s="1"/>
      <c r="I2012" s="2"/>
      <c r="J2012" s="1"/>
      <c r="K2012" s="1"/>
      <c r="L2012" s="1"/>
      <c r="M2012" s="1"/>
      <c r="N2012" s="1"/>
      <c r="P2012" s="11">
        <f>IFERROR(VLOOKUP($A2013,'PROGRAMA MES '!$A:$B,2,0),0)</f>
        <v>0</v>
      </c>
    </row>
    <row r="2013" spans="1:16" x14ac:dyDescent="0.25">
      <c r="A2013" s="89" t="str">
        <f>B2013</f>
        <v>SP9224VR</v>
      </c>
      <c r="B2013" s="17" t="s">
        <v>1364</v>
      </c>
      <c r="C2013" s="17" t="s">
        <v>1365</v>
      </c>
      <c r="D2013" s="17">
        <v>51</v>
      </c>
      <c r="E2013" s="17" t="s">
        <v>101</v>
      </c>
      <c r="F2013" s="17">
        <v>1</v>
      </c>
      <c r="G2013" s="17" t="s">
        <v>35</v>
      </c>
      <c r="H2013" s="17" t="s">
        <v>17</v>
      </c>
      <c r="I2013" s="18">
        <v>3004189</v>
      </c>
      <c r="J2013" s="17" t="s">
        <v>1295</v>
      </c>
      <c r="K2013" s="17">
        <v>99</v>
      </c>
      <c r="L2013" s="17" t="s">
        <v>15</v>
      </c>
      <c r="M2013" s="19">
        <v>10000</v>
      </c>
      <c r="N2013" s="17" t="s">
        <v>1</v>
      </c>
      <c r="O2013" s="20">
        <f t="shared" si="487"/>
        <v>1</v>
      </c>
      <c r="P2013" s="21">
        <f>O2013*$P$2012</f>
        <v>0</v>
      </c>
    </row>
    <row r="2014" spans="1:16" x14ac:dyDescent="0.25">
      <c r="A2014" s="91"/>
      <c r="B2014" s="13" t="s">
        <v>1364</v>
      </c>
      <c r="C2014" s="13" t="s">
        <v>1365</v>
      </c>
      <c r="D2014" s="13">
        <v>51</v>
      </c>
      <c r="E2014" s="13" t="s">
        <v>101</v>
      </c>
      <c r="F2014" s="13">
        <v>1</v>
      </c>
      <c r="G2014" s="13" t="s">
        <v>35</v>
      </c>
      <c r="H2014" s="13" t="s">
        <v>17</v>
      </c>
      <c r="I2014" s="14">
        <v>3005675</v>
      </c>
      <c r="J2014" s="13" t="s">
        <v>1366</v>
      </c>
      <c r="K2014" s="13">
        <v>99</v>
      </c>
      <c r="L2014" s="13" t="s">
        <v>15</v>
      </c>
      <c r="M2014" s="15">
        <v>10000</v>
      </c>
      <c r="N2014" s="13" t="s">
        <v>1</v>
      </c>
      <c r="O2014" s="16">
        <f t="shared" si="487"/>
        <v>1</v>
      </c>
      <c r="P2014" s="22">
        <f t="shared" ref="P2014:P2021" si="491">O2014*$P$2012</f>
        <v>0</v>
      </c>
    </row>
    <row r="2015" spans="1:16" x14ac:dyDescent="0.25">
      <c r="A2015" s="91"/>
      <c r="B2015" s="13" t="s">
        <v>1364</v>
      </c>
      <c r="C2015" s="13" t="s">
        <v>1365</v>
      </c>
      <c r="D2015" s="13">
        <v>51</v>
      </c>
      <c r="E2015" s="13" t="s">
        <v>101</v>
      </c>
      <c r="F2015" s="13">
        <v>1</v>
      </c>
      <c r="G2015" s="13" t="s">
        <v>35</v>
      </c>
      <c r="H2015" s="13" t="s">
        <v>17</v>
      </c>
      <c r="I2015" s="14">
        <v>3005676</v>
      </c>
      <c r="J2015" s="13" t="s">
        <v>166</v>
      </c>
      <c r="K2015" s="13">
        <v>99</v>
      </c>
      <c r="L2015" s="13" t="s">
        <v>15</v>
      </c>
      <c r="M2015" s="15">
        <v>10000</v>
      </c>
      <c r="N2015" s="13" t="s">
        <v>1</v>
      </c>
      <c r="O2015" s="16">
        <f t="shared" si="487"/>
        <v>1</v>
      </c>
      <c r="P2015" s="22">
        <f t="shared" si="491"/>
        <v>0</v>
      </c>
    </row>
    <row r="2016" spans="1:16" x14ac:dyDescent="0.25">
      <c r="A2016" s="91"/>
      <c r="B2016" s="13" t="s">
        <v>1364</v>
      </c>
      <c r="C2016" s="13" t="s">
        <v>1365</v>
      </c>
      <c r="D2016" s="13">
        <v>51</v>
      </c>
      <c r="E2016" s="13" t="s">
        <v>101</v>
      </c>
      <c r="F2016" s="13">
        <v>1</v>
      </c>
      <c r="G2016" s="13" t="s">
        <v>35</v>
      </c>
      <c r="H2016" s="13" t="s">
        <v>17</v>
      </c>
      <c r="I2016" s="14">
        <v>3005677</v>
      </c>
      <c r="J2016" s="13" t="s">
        <v>167</v>
      </c>
      <c r="K2016" s="13">
        <v>99</v>
      </c>
      <c r="L2016" s="13" t="s">
        <v>15</v>
      </c>
      <c r="M2016" s="15">
        <v>10000</v>
      </c>
      <c r="N2016" s="13" t="s">
        <v>1</v>
      </c>
      <c r="O2016" s="16">
        <f t="shared" si="487"/>
        <v>1</v>
      </c>
      <c r="P2016" s="22">
        <f t="shared" si="491"/>
        <v>0</v>
      </c>
    </row>
    <row r="2017" spans="1:16" x14ac:dyDescent="0.25">
      <c r="A2017" s="91"/>
      <c r="B2017" s="13" t="s">
        <v>1364</v>
      </c>
      <c r="C2017" s="13" t="s">
        <v>1365</v>
      </c>
      <c r="D2017" s="13">
        <v>51</v>
      </c>
      <c r="E2017" s="13" t="s">
        <v>101</v>
      </c>
      <c r="F2017" s="13">
        <v>1</v>
      </c>
      <c r="G2017" s="13" t="s">
        <v>35</v>
      </c>
      <c r="H2017" s="13" t="s">
        <v>17</v>
      </c>
      <c r="I2017" s="14">
        <v>3005678</v>
      </c>
      <c r="J2017" s="13" t="s">
        <v>168</v>
      </c>
      <c r="K2017" s="13">
        <v>99</v>
      </c>
      <c r="L2017" s="13" t="s">
        <v>15</v>
      </c>
      <c r="M2017" s="15">
        <v>10000</v>
      </c>
      <c r="N2017" s="13" t="s">
        <v>1</v>
      </c>
      <c r="O2017" s="16">
        <f t="shared" si="487"/>
        <v>1</v>
      </c>
      <c r="P2017" s="22">
        <f t="shared" si="491"/>
        <v>0</v>
      </c>
    </row>
    <row r="2018" spans="1:16" x14ac:dyDescent="0.25">
      <c r="A2018" s="91"/>
      <c r="B2018" s="13" t="s">
        <v>1364</v>
      </c>
      <c r="C2018" s="13" t="s">
        <v>1365</v>
      </c>
      <c r="D2018" s="13">
        <v>51</v>
      </c>
      <c r="E2018" s="13" t="s">
        <v>101</v>
      </c>
      <c r="F2018" s="13">
        <v>1</v>
      </c>
      <c r="G2018" s="13" t="s">
        <v>16</v>
      </c>
      <c r="H2018" s="13" t="s">
        <v>17</v>
      </c>
      <c r="I2018" s="14">
        <v>4001165</v>
      </c>
      <c r="J2018" s="13" t="s">
        <v>169</v>
      </c>
      <c r="K2018" s="13">
        <v>99</v>
      </c>
      <c r="L2018" s="13" t="s">
        <v>15</v>
      </c>
      <c r="M2018" s="15">
        <v>1667</v>
      </c>
      <c r="N2018" s="13" t="s">
        <v>1</v>
      </c>
      <c r="O2018" s="16">
        <f t="shared" si="487"/>
        <v>0.16669999999999999</v>
      </c>
      <c r="P2018" s="22">
        <f t="shared" si="491"/>
        <v>0</v>
      </c>
    </row>
    <row r="2019" spans="1:16" x14ac:dyDescent="0.25">
      <c r="A2019" s="91"/>
      <c r="B2019" s="13" t="s">
        <v>1364</v>
      </c>
      <c r="C2019" s="13" t="s">
        <v>1365</v>
      </c>
      <c r="D2019" s="13">
        <v>51</v>
      </c>
      <c r="E2019" s="13" t="s">
        <v>101</v>
      </c>
      <c r="F2019" s="13">
        <v>1</v>
      </c>
      <c r="G2019" s="13" t="s">
        <v>16</v>
      </c>
      <c r="H2019" s="13" t="s">
        <v>17</v>
      </c>
      <c r="I2019" s="14">
        <v>4002826</v>
      </c>
      <c r="J2019" s="13" t="s">
        <v>4</v>
      </c>
      <c r="K2019" s="13">
        <v>99</v>
      </c>
      <c r="L2019" s="13" t="s">
        <v>15</v>
      </c>
      <c r="M2019" s="13">
        <v>13</v>
      </c>
      <c r="N2019" s="13" t="s">
        <v>1</v>
      </c>
      <c r="O2019" s="16">
        <f t="shared" si="487"/>
        <v>1.2999999999999999E-3</v>
      </c>
      <c r="P2019" s="22">
        <f t="shared" si="491"/>
        <v>0</v>
      </c>
    </row>
    <row r="2020" spans="1:16" x14ac:dyDescent="0.25">
      <c r="A2020" s="91"/>
      <c r="B2020" s="13" t="s">
        <v>1364</v>
      </c>
      <c r="C2020" s="13" t="s">
        <v>1365</v>
      </c>
      <c r="D2020" s="13">
        <v>51</v>
      </c>
      <c r="E2020" s="13" t="s">
        <v>101</v>
      </c>
      <c r="F2020" s="13">
        <v>1</v>
      </c>
      <c r="G2020" s="13" t="s">
        <v>16</v>
      </c>
      <c r="H2020" s="13" t="s">
        <v>17</v>
      </c>
      <c r="I2020" s="14">
        <v>4014901</v>
      </c>
      <c r="J2020" s="13" t="s">
        <v>1367</v>
      </c>
      <c r="K2020" s="13">
        <v>99</v>
      </c>
      <c r="L2020" s="13" t="s">
        <v>15</v>
      </c>
      <c r="M2020" s="15">
        <v>10000</v>
      </c>
      <c r="N2020" s="13" t="s">
        <v>1</v>
      </c>
      <c r="O2020" s="16">
        <f t="shared" si="487"/>
        <v>1</v>
      </c>
      <c r="P2020" s="22">
        <f t="shared" si="491"/>
        <v>0</v>
      </c>
    </row>
    <row r="2021" spans="1:16" ht="15.75" thickBot="1" x14ac:dyDescent="0.3">
      <c r="A2021" s="90"/>
      <c r="B2021" s="23" t="s">
        <v>1364</v>
      </c>
      <c r="C2021" s="23" t="s">
        <v>1365</v>
      </c>
      <c r="D2021" s="23">
        <v>51</v>
      </c>
      <c r="E2021" s="23" t="s">
        <v>101</v>
      </c>
      <c r="F2021" s="23">
        <v>1</v>
      </c>
      <c r="G2021" s="23" t="s">
        <v>16</v>
      </c>
      <c r="H2021" s="23" t="s">
        <v>17</v>
      </c>
      <c r="I2021" s="24">
        <v>4016160</v>
      </c>
      <c r="J2021" s="23" t="s">
        <v>69</v>
      </c>
      <c r="K2021" s="23">
        <v>99</v>
      </c>
      <c r="L2021" s="23" t="s">
        <v>15</v>
      </c>
      <c r="M2021" s="23">
        <v>10</v>
      </c>
      <c r="N2021" s="23" t="s">
        <v>3</v>
      </c>
      <c r="O2021" s="26">
        <f t="shared" si="487"/>
        <v>1E-3</v>
      </c>
      <c r="P2021" s="27">
        <f t="shared" si="491"/>
        <v>0</v>
      </c>
    </row>
    <row r="2022" spans="1:16" x14ac:dyDescent="0.25">
      <c r="B2022" s="1"/>
      <c r="C2022" s="1"/>
      <c r="D2022" s="1"/>
      <c r="E2022" s="1"/>
      <c r="F2022" s="1"/>
      <c r="G2022" s="1"/>
      <c r="H2022" s="1"/>
      <c r="I2022" s="2"/>
      <c r="J2022" s="1"/>
      <c r="K2022" s="1"/>
      <c r="L2022" s="1"/>
      <c r="M2022" s="1"/>
      <c r="N2022" s="1"/>
    </row>
    <row r="2023" spans="1:16" ht="15.75" thickBot="1" x14ac:dyDescent="0.3">
      <c r="B2023" s="1"/>
      <c r="C2023" s="1"/>
      <c r="D2023" s="1"/>
      <c r="E2023" s="1"/>
      <c r="F2023" s="1"/>
      <c r="G2023" s="1"/>
      <c r="H2023" s="1"/>
      <c r="I2023" s="2"/>
      <c r="J2023" s="1"/>
      <c r="K2023" s="1"/>
      <c r="L2023" s="1"/>
      <c r="M2023" s="1"/>
      <c r="N2023" s="1"/>
      <c r="P2023" s="11">
        <f>IFERROR(VLOOKUP($A2024,'PROGRAMA MES '!$A:$B,2,0),0)</f>
        <v>0</v>
      </c>
    </row>
    <row r="2024" spans="1:16" x14ac:dyDescent="0.25">
      <c r="A2024" s="89" t="str">
        <f>B2024</f>
        <v>SP9232</v>
      </c>
      <c r="B2024" s="17" t="s">
        <v>1368</v>
      </c>
      <c r="C2024" s="17" t="s">
        <v>1369</v>
      </c>
      <c r="D2024" s="17">
        <v>99</v>
      </c>
      <c r="E2024" s="17" t="s">
        <v>15</v>
      </c>
      <c r="F2024" s="17">
        <v>1</v>
      </c>
      <c r="G2024" s="17" t="s">
        <v>35</v>
      </c>
      <c r="H2024" s="17" t="s">
        <v>17</v>
      </c>
      <c r="I2024" s="18">
        <v>3003830</v>
      </c>
      <c r="J2024" s="17" t="s">
        <v>1370</v>
      </c>
      <c r="K2024" s="17">
        <v>99</v>
      </c>
      <c r="L2024" s="17" t="s">
        <v>15</v>
      </c>
      <c r="M2024" s="19">
        <v>10000</v>
      </c>
      <c r="N2024" s="17" t="s">
        <v>1</v>
      </c>
      <c r="O2024" s="20">
        <f t="shared" si="487"/>
        <v>1</v>
      </c>
      <c r="P2024" s="21">
        <f>O2024*$P$2023</f>
        <v>0</v>
      </c>
    </row>
    <row r="2025" spans="1:16" x14ac:dyDescent="0.25">
      <c r="A2025" s="91"/>
      <c r="B2025" s="13" t="s">
        <v>1368</v>
      </c>
      <c r="C2025" s="13" t="s">
        <v>1369</v>
      </c>
      <c r="D2025" s="13">
        <v>99</v>
      </c>
      <c r="E2025" s="13" t="s">
        <v>15</v>
      </c>
      <c r="F2025" s="13">
        <v>1</v>
      </c>
      <c r="G2025" s="13" t="s">
        <v>16</v>
      </c>
      <c r="H2025" s="13" t="s">
        <v>17</v>
      </c>
      <c r="I2025" s="14">
        <v>4010423</v>
      </c>
      <c r="J2025" s="13" t="s">
        <v>1371</v>
      </c>
      <c r="K2025" s="13">
        <v>99</v>
      </c>
      <c r="L2025" s="13" t="s">
        <v>15</v>
      </c>
      <c r="M2025" s="15">
        <v>10000</v>
      </c>
      <c r="N2025" s="13" t="s">
        <v>1</v>
      </c>
      <c r="O2025" s="16">
        <f t="shared" si="487"/>
        <v>1</v>
      </c>
      <c r="P2025" s="22">
        <f t="shared" ref="P2025:P2027" si="492">O2025*$P$2023</f>
        <v>0</v>
      </c>
    </row>
    <row r="2026" spans="1:16" x14ac:dyDescent="0.25">
      <c r="A2026" s="91"/>
      <c r="B2026" s="13" t="s">
        <v>1368</v>
      </c>
      <c r="C2026" s="13" t="s">
        <v>1369</v>
      </c>
      <c r="D2026" s="13">
        <v>99</v>
      </c>
      <c r="E2026" s="13" t="s">
        <v>15</v>
      </c>
      <c r="F2026" s="13">
        <v>1</v>
      </c>
      <c r="G2026" s="13" t="s">
        <v>16</v>
      </c>
      <c r="H2026" s="13" t="s">
        <v>17</v>
      </c>
      <c r="I2026" s="14">
        <v>4010424</v>
      </c>
      <c r="J2026" s="13" t="s">
        <v>1372</v>
      </c>
      <c r="K2026" s="13">
        <v>99</v>
      </c>
      <c r="L2026" s="13" t="s">
        <v>15</v>
      </c>
      <c r="M2026" s="15">
        <v>5000</v>
      </c>
      <c r="N2026" s="13" t="s">
        <v>1</v>
      </c>
      <c r="O2026" s="16">
        <f t="shared" si="487"/>
        <v>0.5</v>
      </c>
      <c r="P2026" s="22">
        <f t="shared" si="492"/>
        <v>0</v>
      </c>
    </row>
    <row r="2027" spans="1:16" ht="15.75" thickBot="1" x14ac:dyDescent="0.3">
      <c r="A2027" s="90"/>
      <c r="B2027" s="23" t="s">
        <v>1368</v>
      </c>
      <c r="C2027" s="23" t="s">
        <v>1369</v>
      </c>
      <c r="D2027" s="23">
        <v>99</v>
      </c>
      <c r="E2027" s="23" t="s">
        <v>15</v>
      </c>
      <c r="F2027" s="23">
        <v>1</v>
      </c>
      <c r="G2027" s="23" t="s">
        <v>16</v>
      </c>
      <c r="H2027" s="23" t="s">
        <v>17</v>
      </c>
      <c r="I2027" s="24">
        <v>4016160</v>
      </c>
      <c r="J2027" s="23" t="s">
        <v>69</v>
      </c>
      <c r="K2027" s="23">
        <v>99</v>
      </c>
      <c r="L2027" s="23" t="s">
        <v>15</v>
      </c>
      <c r="M2027" s="23">
        <v>20</v>
      </c>
      <c r="N2027" s="23" t="s">
        <v>3</v>
      </c>
      <c r="O2027" s="26">
        <f t="shared" si="487"/>
        <v>2E-3</v>
      </c>
      <c r="P2027" s="27">
        <f t="shared" si="492"/>
        <v>0</v>
      </c>
    </row>
    <row r="2028" spans="1:16" x14ac:dyDescent="0.25">
      <c r="B2028" s="1"/>
      <c r="C2028" s="1"/>
      <c r="D2028" s="1"/>
      <c r="E2028" s="1"/>
      <c r="F2028" s="1"/>
      <c r="G2028" s="1"/>
      <c r="H2028" s="1"/>
      <c r="I2028" s="2"/>
      <c r="J2028" s="1"/>
      <c r="K2028" s="1"/>
      <c r="L2028" s="1"/>
      <c r="M2028" s="1"/>
      <c r="N2028" s="1"/>
    </row>
    <row r="2029" spans="1:16" ht="15.75" thickBot="1" x14ac:dyDescent="0.3">
      <c r="B2029" s="1"/>
      <c r="C2029" s="1"/>
      <c r="D2029" s="1"/>
      <c r="E2029" s="1"/>
      <c r="F2029" s="1"/>
      <c r="G2029" s="1"/>
      <c r="H2029" s="1"/>
      <c r="I2029" s="2"/>
      <c r="J2029" s="1"/>
      <c r="K2029" s="1"/>
      <c r="L2029" s="1"/>
      <c r="M2029" s="1"/>
      <c r="N2029" s="1"/>
      <c r="P2029" s="11">
        <f>IFERROR(VLOOKUP($A2030,'PROGRAMA MES '!$A:$B,2,0),0)</f>
        <v>0</v>
      </c>
    </row>
    <row r="2030" spans="1:16" x14ac:dyDescent="0.25">
      <c r="A2030" s="89" t="str">
        <f>B2030</f>
        <v>SP9232/1</v>
      </c>
      <c r="B2030" s="17" t="s">
        <v>1373</v>
      </c>
      <c r="C2030" s="17" t="s">
        <v>1374</v>
      </c>
      <c r="D2030" s="17">
        <v>99</v>
      </c>
      <c r="E2030" s="17" t="s">
        <v>15</v>
      </c>
      <c r="F2030" s="17">
        <v>1</v>
      </c>
      <c r="G2030" s="17" t="s">
        <v>35</v>
      </c>
      <c r="H2030" s="17" t="s">
        <v>17</v>
      </c>
      <c r="I2030" s="18">
        <v>3003831</v>
      </c>
      <c r="J2030" s="17" t="s">
        <v>1375</v>
      </c>
      <c r="K2030" s="17">
        <v>99</v>
      </c>
      <c r="L2030" s="17" t="s">
        <v>15</v>
      </c>
      <c r="M2030" s="19">
        <v>10000</v>
      </c>
      <c r="N2030" s="17" t="s">
        <v>1</v>
      </c>
      <c r="O2030" s="20">
        <f t="shared" si="487"/>
        <v>1</v>
      </c>
      <c r="P2030" s="21">
        <f>O2030*$P$2029</f>
        <v>0</v>
      </c>
    </row>
    <row r="2031" spans="1:16" x14ac:dyDescent="0.25">
      <c r="A2031" s="91"/>
      <c r="B2031" s="13" t="s">
        <v>1373</v>
      </c>
      <c r="C2031" s="13" t="s">
        <v>1374</v>
      </c>
      <c r="D2031" s="13">
        <v>99</v>
      </c>
      <c r="E2031" s="13" t="s">
        <v>15</v>
      </c>
      <c r="F2031" s="13">
        <v>1</v>
      </c>
      <c r="G2031" s="13" t="s">
        <v>16</v>
      </c>
      <c r="H2031" s="13" t="s">
        <v>17</v>
      </c>
      <c r="I2031" s="14">
        <v>4010425</v>
      </c>
      <c r="J2031" s="13" t="s">
        <v>1376</v>
      </c>
      <c r="K2031" s="13">
        <v>99</v>
      </c>
      <c r="L2031" s="13" t="s">
        <v>15</v>
      </c>
      <c r="M2031" s="15">
        <v>10000</v>
      </c>
      <c r="N2031" s="13" t="s">
        <v>1</v>
      </c>
      <c r="O2031" s="16">
        <f t="shared" si="487"/>
        <v>1</v>
      </c>
      <c r="P2031" s="22">
        <f t="shared" ref="P2031:P2033" si="493">O2031*$P$2029</f>
        <v>0</v>
      </c>
    </row>
    <row r="2032" spans="1:16" x14ac:dyDescent="0.25">
      <c r="A2032" s="91"/>
      <c r="B2032" s="13" t="s">
        <v>1373</v>
      </c>
      <c r="C2032" s="13" t="s">
        <v>1374</v>
      </c>
      <c r="D2032" s="13">
        <v>99</v>
      </c>
      <c r="E2032" s="13" t="s">
        <v>15</v>
      </c>
      <c r="F2032" s="13">
        <v>1</v>
      </c>
      <c r="G2032" s="13" t="s">
        <v>16</v>
      </c>
      <c r="H2032" s="13" t="s">
        <v>17</v>
      </c>
      <c r="I2032" s="14">
        <v>4010426</v>
      </c>
      <c r="J2032" s="13" t="s">
        <v>1377</v>
      </c>
      <c r="K2032" s="13">
        <v>99</v>
      </c>
      <c r="L2032" s="13" t="s">
        <v>15</v>
      </c>
      <c r="M2032" s="15">
        <v>1667</v>
      </c>
      <c r="N2032" s="13" t="s">
        <v>1</v>
      </c>
      <c r="O2032" s="16">
        <f t="shared" si="487"/>
        <v>0.16669999999999999</v>
      </c>
      <c r="P2032" s="22">
        <f t="shared" si="493"/>
        <v>0</v>
      </c>
    </row>
    <row r="2033" spans="1:16" ht="15.75" thickBot="1" x14ac:dyDescent="0.3">
      <c r="A2033" s="90"/>
      <c r="B2033" s="23" t="s">
        <v>1373</v>
      </c>
      <c r="C2033" s="23" t="s">
        <v>1374</v>
      </c>
      <c r="D2033" s="23">
        <v>99</v>
      </c>
      <c r="E2033" s="23" t="s">
        <v>15</v>
      </c>
      <c r="F2033" s="23">
        <v>1</v>
      </c>
      <c r="G2033" s="23" t="s">
        <v>16</v>
      </c>
      <c r="H2033" s="23" t="s">
        <v>17</v>
      </c>
      <c r="I2033" s="24">
        <v>4016160</v>
      </c>
      <c r="J2033" s="23" t="s">
        <v>69</v>
      </c>
      <c r="K2033" s="23">
        <v>99</v>
      </c>
      <c r="L2033" s="23" t="s">
        <v>15</v>
      </c>
      <c r="M2033" s="23">
        <v>20</v>
      </c>
      <c r="N2033" s="23" t="s">
        <v>3</v>
      </c>
      <c r="O2033" s="26">
        <f t="shared" si="487"/>
        <v>2E-3</v>
      </c>
      <c r="P2033" s="27">
        <f t="shared" si="493"/>
        <v>0</v>
      </c>
    </row>
    <row r="2034" spans="1:16" x14ac:dyDescent="0.25">
      <c r="B2034" s="1"/>
      <c r="C2034" s="1"/>
      <c r="D2034" s="1"/>
      <c r="E2034" s="1"/>
      <c r="F2034" s="1"/>
      <c r="G2034" s="1"/>
      <c r="H2034" s="1"/>
      <c r="I2034" s="2"/>
      <c r="J2034" s="1"/>
      <c r="K2034" s="1"/>
      <c r="L2034" s="1"/>
      <c r="M2034" s="1"/>
      <c r="N2034" s="1"/>
    </row>
    <row r="2035" spans="1:16" ht="15.75" thickBot="1" x14ac:dyDescent="0.3">
      <c r="B2035" s="1"/>
      <c r="C2035" s="1"/>
      <c r="D2035" s="1"/>
      <c r="E2035" s="1"/>
      <c r="F2035" s="1"/>
      <c r="G2035" s="1"/>
      <c r="H2035" s="1"/>
      <c r="I2035" s="2"/>
      <c r="J2035" s="1"/>
      <c r="K2035" s="1"/>
      <c r="L2035" s="1"/>
      <c r="M2035" s="1"/>
      <c r="N2035" s="1"/>
      <c r="P2035" s="11">
        <f>IFERROR(VLOOKUP($A2036,'PROGRAMA MES '!$A:$B,2,0),0)</f>
        <v>0</v>
      </c>
    </row>
    <row r="2036" spans="1:16" x14ac:dyDescent="0.25">
      <c r="A2036" s="89" t="str">
        <f>B2036</f>
        <v>SP9253AM</v>
      </c>
      <c r="B2036" s="17" t="s">
        <v>1378</v>
      </c>
      <c r="C2036" s="17" t="s">
        <v>1379</v>
      </c>
      <c r="D2036" s="17">
        <v>51</v>
      </c>
      <c r="E2036" s="17" t="s">
        <v>101</v>
      </c>
      <c r="F2036" s="17">
        <v>1</v>
      </c>
      <c r="G2036" s="17" t="s">
        <v>16</v>
      </c>
      <c r="H2036" s="17" t="s">
        <v>17</v>
      </c>
      <c r="I2036" s="18">
        <v>4000070</v>
      </c>
      <c r="J2036" s="17" t="s">
        <v>632</v>
      </c>
      <c r="K2036" s="17">
        <v>99</v>
      </c>
      <c r="L2036" s="17" t="s">
        <v>15</v>
      </c>
      <c r="M2036" s="17">
        <v>834</v>
      </c>
      <c r="N2036" s="17" t="s">
        <v>1</v>
      </c>
      <c r="O2036" s="20">
        <f t="shared" si="487"/>
        <v>8.3400000000000002E-2</v>
      </c>
      <c r="P2036" s="21">
        <f>O2036*$P$2035</f>
        <v>0</v>
      </c>
    </row>
    <row r="2037" spans="1:16" x14ac:dyDescent="0.25">
      <c r="A2037" s="91"/>
      <c r="B2037" s="13" t="s">
        <v>1378</v>
      </c>
      <c r="C2037" s="13" t="s">
        <v>1379</v>
      </c>
      <c r="D2037" s="13">
        <v>51</v>
      </c>
      <c r="E2037" s="13" t="s">
        <v>101</v>
      </c>
      <c r="F2037" s="13">
        <v>1</v>
      </c>
      <c r="G2037" s="13" t="s">
        <v>16</v>
      </c>
      <c r="H2037" s="13" t="s">
        <v>17</v>
      </c>
      <c r="I2037" s="14">
        <v>4000071</v>
      </c>
      <c r="J2037" s="13" t="s">
        <v>633</v>
      </c>
      <c r="K2037" s="13">
        <v>99</v>
      </c>
      <c r="L2037" s="13" t="s">
        <v>15</v>
      </c>
      <c r="M2037" s="15">
        <v>1667</v>
      </c>
      <c r="N2037" s="13" t="s">
        <v>1</v>
      </c>
      <c r="O2037" s="16">
        <f t="shared" si="487"/>
        <v>0.16669999999999999</v>
      </c>
      <c r="P2037" s="22">
        <f t="shared" ref="P2037:P2041" si="494">O2037*$P$2035</f>
        <v>0</v>
      </c>
    </row>
    <row r="2038" spans="1:16" x14ac:dyDescent="0.25">
      <c r="A2038" s="91"/>
      <c r="B2038" s="13" t="s">
        <v>1378</v>
      </c>
      <c r="C2038" s="13" t="s">
        <v>1379</v>
      </c>
      <c r="D2038" s="13">
        <v>51</v>
      </c>
      <c r="E2038" s="13" t="s">
        <v>101</v>
      </c>
      <c r="F2038" s="13">
        <v>1</v>
      </c>
      <c r="G2038" s="13" t="s">
        <v>16</v>
      </c>
      <c r="H2038" s="13" t="s">
        <v>17</v>
      </c>
      <c r="I2038" s="14">
        <v>4001232</v>
      </c>
      <c r="J2038" s="13" t="s">
        <v>634</v>
      </c>
      <c r="K2038" s="13">
        <v>99</v>
      </c>
      <c r="L2038" s="13" t="s">
        <v>15</v>
      </c>
      <c r="M2038" s="13">
        <v>834</v>
      </c>
      <c r="N2038" s="13" t="s">
        <v>1</v>
      </c>
      <c r="O2038" s="16">
        <f t="shared" si="487"/>
        <v>8.3400000000000002E-2</v>
      </c>
      <c r="P2038" s="22">
        <f t="shared" si="494"/>
        <v>0</v>
      </c>
    </row>
    <row r="2039" spans="1:16" x14ac:dyDescent="0.25">
      <c r="A2039" s="91"/>
      <c r="B2039" s="13" t="s">
        <v>1378</v>
      </c>
      <c r="C2039" s="13" t="s">
        <v>1379</v>
      </c>
      <c r="D2039" s="13">
        <v>51</v>
      </c>
      <c r="E2039" s="13" t="s">
        <v>101</v>
      </c>
      <c r="F2039" s="13">
        <v>1</v>
      </c>
      <c r="G2039" s="13" t="s">
        <v>16</v>
      </c>
      <c r="H2039" s="13" t="s">
        <v>17</v>
      </c>
      <c r="I2039" s="14">
        <v>4002826</v>
      </c>
      <c r="J2039" s="13" t="s">
        <v>4</v>
      </c>
      <c r="K2039" s="13">
        <v>99</v>
      </c>
      <c r="L2039" s="13" t="s">
        <v>15</v>
      </c>
      <c r="M2039" s="13">
        <v>18</v>
      </c>
      <c r="N2039" s="13" t="s">
        <v>1</v>
      </c>
      <c r="O2039" s="16">
        <f t="shared" si="487"/>
        <v>1.8E-3</v>
      </c>
      <c r="P2039" s="22">
        <f t="shared" si="494"/>
        <v>0</v>
      </c>
    </row>
    <row r="2040" spans="1:16" x14ac:dyDescent="0.25">
      <c r="A2040" s="91"/>
      <c r="B2040" s="13" t="s">
        <v>1378</v>
      </c>
      <c r="C2040" s="13" t="s">
        <v>1379</v>
      </c>
      <c r="D2040" s="13">
        <v>51</v>
      </c>
      <c r="E2040" s="13" t="s">
        <v>101</v>
      </c>
      <c r="F2040" s="13">
        <v>1</v>
      </c>
      <c r="G2040" s="13" t="s">
        <v>16</v>
      </c>
      <c r="H2040" s="13" t="s">
        <v>17</v>
      </c>
      <c r="I2040" s="14">
        <v>4014892</v>
      </c>
      <c r="J2040" s="13" t="s">
        <v>1380</v>
      </c>
      <c r="K2040" s="13">
        <v>99</v>
      </c>
      <c r="L2040" s="13" t="s">
        <v>15</v>
      </c>
      <c r="M2040" s="15">
        <v>10000</v>
      </c>
      <c r="N2040" s="13" t="s">
        <v>1</v>
      </c>
      <c r="O2040" s="16">
        <f t="shared" si="487"/>
        <v>1</v>
      </c>
      <c r="P2040" s="22">
        <f t="shared" si="494"/>
        <v>0</v>
      </c>
    </row>
    <row r="2041" spans="1:16" ht="15.75" thickBot="1" x14ac:dyDescent="0.3">
      <c r="A2041" s="90"/>
      <c r="B2041" s="23" t="s">
        <v>1378</v>
      </c>
      <c r="C2041" s="23" t="s">
        <v>1379</v>
      </c>
      <c r="D2041" s="23">
        <v>51</v>
      </c>
      <c r="E2041" s="23" t="s">
        <v>101</v>
      </c>
      <c r="F2041" s="23">
        <v>1</v>
      </c>
      <c r="G2041" s="23" t="s">
        <v>21</v>
      </c>
      <c r="H2041" s="23" t="s">
        <v>17</v>
      </c>
      <c r="I2041" s="24" t="s">
        <v>1381</v>
      </c>
      <c r="J2041" s="23" t="s">
        <v>1382</v>
      </c>
      <c r="K2041" s="23">
        <v>3</v>
      </c>
      <c r="L2041" s="23" t="s">
        <v>24</v>
      </c>
      <c r="M2041" s="25">
        <v>10000</v>
      </c>
      <c r="N2041" s="23" t="s">
        <v>1</v>
      </c>
      <c r="O2041" s="26">
        <f t="shared" si="487"/>
        <v>1</v>
      </c>
      <c r="P2041" s="27">
        <f t="shared" si="494"/>
        <v>0</v>
      </c>
    </row>
    <row r="2042" spans="1:16" x14ac:dyDescent="0.25">
      <c r="B2042" s="1"/>
      <c r="C2042" s="1"/>
      <c r="D2042" s="1"/>
      <c r="E2042" s="1"/>
      <c r="F2042" s="1"/>
      <c r="G2042" s="1"/>
      <c r="H2042" s="1"/>
      <c r="I2042" s="2"/>
      <c r="J2042" s="1"/>
      <c r="K2042" s="1"/>
      <c r="L2042" s="1"/>
      <c r="M2042" s="3"/>
      <c r="N2042" s="1"/>
    </row>
    <row r="2043" spans="1:16" ht="15.75" thickBot="1" x14ac:dyDescent="0.3">
      <c r="B2043" s="1"/>
      <c r="C2043" s="1"/>
      <c r="D2043" s="1"/>
      <c r="E2043" s="1"/>
      <c r="F2043" s="1"/>
      <c r="G2043" s="1"/>
      <c r="H2043" s="1"/>
      <c r="I2043" s="2"/>
      <c r="J2043" s="1"/>
      <c r="K2043" s="1"/>
      <c r="L2043" s="1"/>
      <c r="M2043" s="3"/>
      <c r="N2043" s="1"/>
      <c r="P2043" s="11">
        <f>IFERROR(VLOOKUP($A2044,'PROGRAMA MES '!$A:$B,2,0),0)</f>
        <v>0</v>
      </c>
    </row>
    <row r="2044" spans="1:16" x14ac:dyDescent="0.25">
      <c r="A2044" s="89" t="str">
        <f>B2044</f>
        <v>SP9253AZ</v>
      </c>
      <c r="B2044" s="17" t="s">
        <v>1383</v>
      </c>
      <c r="C2044" s="17" t="s">
        <v>1384</v>
      </c>
      <c r="D2044" s="17">
        <v>51</v>
      </c>
      <c r="E2044" s="17" t="s">
        <v>101</v>
      </c>
      <c r="F2044" s="17">
        <v>1</v>
      </c>
      <c r="G2044" s="17" t="s">
        <v>16</v>
      </c>
      <c r="H2044" s="17" t="s">
        <v>17</v>
      </c>
      <c r="I2044" s="18">
        <v>4000070</v>
      </c>
      <c r="J2044" s="17" t="s">
        <v>632</v>
      </c>
      <c r="K2044" s="17">
        <v>99</v>
      </c>
      <c r="L2044" s="17" t="s">
        <v>15</v>
      </c>
      <c r="M2044" s="17">
        <v>834</v>
      </c>
      <c r="N2044" s="17" t="s">
        <v>1</v>
      </c>
      <c r="O2044" s="20">
        <f t="shared" si="487"/>
        <v>8.3400000000000002E-2</v>
      </c>
      <c r="P2044" s="21">
        <f>O2044*$P$2043</f>
        <v>0</v>
      </c>
    </row>
    <row r="2045" spans="1:16" x14ac:dyDescent="0.25">
      <c r="A2045" s="91"/>
      <c r="B2045" s="13" t="s">
        <v>1383</v>
      </c>
      <c r="C2045" s="13" t="s">
        <v>1384</v>
      </c>
      <c r="D2045" s="13">
        <v>51</v>
      </c>
      <c r="E2045" s="13" t="s">
        <v>101</v>
      </c>
      <c r="F2045" s="13">
        <v>1</v>
      </c>
      <c r="G2045" s="13" t="s">
        <v>16</v>
      </c>
      <c r="H2045" s="13" t="s">
        <v>17</v>
      </c>
      <c r="I2045" s="14">
        <v>4000071</v>
      </c>
      <c r="J2045" s="13" t="s">
        <v>633</v>
      </c>
      <c r="K2045" s="13">
        <v>99</v>
      </c>
      <c r="L2045" s="13" t="s">
        <v>15</v>
      </c>
      <c r="M2045" s="15">
        <v>1667</v>
      </c>
      <c r="N2045" s="13" t="s">
        <v>1</v>
      </c>
      <c r="O2045" s="16">
        <f t="shared" si="487"/>
        <v>0.16669999999999999</v>
      </c>
      <c r="P2045" s="22">
        <f t="shared" ref="P2045:P2049" si="495">O2045*$P$2043</f>
        <v>0</v>
      </c>
    </row>
    <row r="2046" spans="1:16" x14ac:dyDescent="0.25">
      <c r="A2046" s="91"/>
      <c r="B2046" s="13" t="s">
        <v>1383</v>
      </c>
      <c r="C2046" s="13" t="s">
        <v>1384</v>
      </c>
      <c r="D2046" s="13">
        <v>51</v>
      </c>
      <c r="E2046" s="13" t="s">
        <v>101</v>
      </c>
      <c r="F2046" s="13">
        <v>1</v>
      </c>
      <c r="G2046" s="13" t="s">
        <v>16</v>
      </c>
      <c r="H2046" s="13" t="s">
        <v>17</v>
      </c>
      <c r="I2046" s="14">
        <v>4001232</v>
      </c>
      <c r="J2046" s="13" t="s">
        <v>634</v>
      </c>
      <c r="K2046" s="13">
        <v>99</v>
      </c>
      <c r="L2046" s="13" t="s">
        <v>15</v>
      </c>
      <c r="M2046" s="13">
        <v>834</v>
      </c>
      <c r="N2046" s="13" t="s">
        <v>1</v>
      </c>
      <c r="O2046" s="16">
        <f t="shared" si="487"/>
        <v>8.3400000000000002E-2</v>
      </c>
      <c r="P2046" s="22">
        <f t="shared" si="495"/>
        <v>0</v>
      </c>
    </row>
    <row r="2047" spans="1:16" x14ac:dyDescent="0.25">
      <c r="A2047" s="91"/>
      <c r="B2047" s="13" t="s">
        <v>1383</v>
      </c>
      <c r="C2047" s="13" t="s">
        <v>1384</v>
      </c>
      <c r="D2047" s="13">
        <v>51</v>
      </c>
      <c r="E2047" s="13" t="s">
        <v>101</v>
      </c>
      <c r="F2047" s="13">
        <v>1</v>
      </c>
      <c r="G2047" s="13" t="s">
        <v>16</v>
      </c>
      <c r="H2047" s="13" t="s">
        <v>17</v>
      </c>
      <c r="I2047" s="14">
        <v>4002826</v>
      </c>
      <c r="J2047" s="13" t="s">
        <v>4</v>
      </c>
      <c r="K2047" s="13">
        <v>99</v>
      </c>
      <c r="L2047" s="13" t="s">
        <v>15</v>
      </c>
      <c r="M2047" s="13">
        <v>18</v>
      </c>
      <c r="N2047" s="13" t="s">
        <v>1</v>
      </c>
      <c r="O2047" s="16">
        <f t="shared" si="487"/>
        <v>1.8E-3</v>
      </c>
      <c r="P2047" s="22">
        <f t="shared" si="495"/>
        <v>0</v>
      </c>
    </row>
    <row r="2048" spans="1:16" x14ac:dyDescent="0.25">
      <c r="A2048" s="91"/>
      <c r="B2048" s="13" t="s">
        <v>1383</v>
      </c>
      <c r="C2048" s="13" t="s">
        <v>1384</v>
      </c>
      <c r="D2048" s="13">
        <v>51</v>
      </c>
      <c r="E2048" s="13" t="s">
        <v>101</v>
      </c>
      <c r="F2048" s="13">
        <v>1</v>
      </c>
      <c r="G2048" s="13" t="s">
        <v>16</v>
      </c>
      <c r="H2048" s="13" t="s">
        <v>17</v>
      </c>
      <c r="I2048" s="14">
        <v>4014880</v>
      </c>
      <c r="J2048" s="13" t="s">
        <v>1385</v>
      </c>
      <c r="K2048" s="13">
        <v>99</v>
      </c>
      <c r="L2048" s="13" t="s">
        <v>15</v>
      </c>
      <c r="M2048" s="15">
        <v>10000</v>
      </c>
      <c r="N2048" s="13" t="s">
        <v>1</v>
      </c>
      <c r="O2048" s="16">
        <f t="shared" si="487"/>
        <v>1</v>
      </c>
      <c r="P2048" s="22">
        <f t="shared" si="495"/>
        <v>0</v>
      </c>
    </row>
    <row r="2049" spans="1:16" ht="15.75" thickBot="1" x14ac:dyDescent="0.3">
      <c r="A2049" s="90"/>
      <c r="B2049" s="23" t="s">
        <v>1383</v>
      </c>
      <c r="C2049" s="23" t="s">
        <v>1384</v>
      </c>
      <c r="D2049" s="23">
        <v>51</v>
      </c>
      <c r="E2049" s="23" t="s">
        <v>101</v>
      </c>
      <c r="F2049" s="23">
        <v>1</v>
      </c>
      <c r="G2049" s="23" t="s">
        <v>21</v>
      </c>
      <c r="H2049" s="23" t="s">
        <v>17</v>
      </c>
      <c r="I2049" s="24" t="s">
        <v>1386</v>
      </c>
      <c r="J2049" s="23" t="s">
        <v>1387</v>
      </c>
      <c r="K2049" s="23">
        <v>3</v>
      </c>
      <c r="L2049" s="23" t="s">
        <v>24</v>
      </c>
      <c r="M2049" s="25">
        <v>10000</v>
      </c>
      <c r="N2049" s="23" t="s">
        <v>1</v>
      </c>
      <c r="O2049" s="26">
        <f t="shared" si="487"/>
        <v>1</v>
      </c>
      <c r="P2049" s="27">
        <f t="shared" si="495"/>
        <v>0</v>
      </c>
    </row>
    <row r="2050" spans="1:16" x14ac:dyDescent="0.25">
      <c r="B2050" s="1"/>
      <c r="C2050" s="1"/>
      <c r="D2050" s="1"/>
      <c r="E2050" s="1"/>
      <c r="F2050" s="1"/>
      <c r="G2050" s="1"/>
      <c r="H2050" s="1"/>
      <c r="I2050" s="2"/>
      <c r="J2050" s="1"/>
      <c r="K2050" s="1"/>
      <c r="L2050" s="1"/>
      <c r="M2050" s="3"/>
      <c r="N2050" s="1"/>
    </row>
    <row r="2051" spans="1:16" ht="15.75" thickBot="1" x14ac:dyDescent="0.3">
      <c r="B2051" s="1"/>
      <c r="C2051" s="1"/>
      <c r="D2051" s="1"/>
      <c r="E2051" s="1"/>
      <c r="F2051" s="1"/>
      <c r="G2051" s="1"/>
      <c r="H2051" s="1"/>
      <c r="I2051" s="2"/>
      <c r="J2051" s="1"/>
      <c r="K2051" s="1"/>
      <c r="L2051" s="1"/>
      <c r="M2051" s="3"/>
      <c r="N2051" s="1"/>
      <c r="P2051" s="11">
        <f>IFERROR(VLOOKUP($A2052,'PROGRAMA MES '!$A:$B,2,0),0)</f>
        <v>0</v>
      </c>
    </row>
    <row r="2052" spans="1:16" x14ac:dyDescent="0.25">
      <c r="A2052" s="89" t="str">
        <f>B2052</f>
        <v>SP9253VD</v>
      </c>
      <c r="B2052" s="17" t="s">
        <v>1388</v>
      </c>
      <c r="C2052" s="17" t="s">
        <v>1389</v>
      </c>
      <c r="D2052" s="17">
        <v>51</v>
      </c>
      <c r="E2052" s="17" t="s">
        <v>101</v>
      </c>
      <c r="F2052" s="17">
        <v>1</v>
      </c>
      <c r="G2052" s="17" t="s">
        <v>16</v>
      </c>
      <c r="H2052" s="17" t="s">
        <v>17</v>
      </c>
      <c r="I2052" s="18">
        <v>4000070</v>
      </c>
      <c r="J2052" s="17" t="s">
        <v>632</v>
      </c>
      <c r="K2052" s="17">
        <v>99</v>
      </c>
      <c r="L2052" s="17" t="s">
        <v>15</v>
      </c>
      <c r="M2052" s="17">
        <v>834</v>
      </c>
      <c r="N2052" s="17" t="s">
        <v>1</v>
      </c>
      <c r="O2052" s="20">
        <f t="shared" si="487"/>
        <v>8.3400000000000002E-2</v>
      </c>
      <c r="P2052" s="21">
        <f>O2052*$P$2051</f>
        <v>0</v>
      </c>
    </row>
    <row r="2053" spans="1:16" x14ac:dyDescent="0.25">
      <c r="A2053" s="91"/>
      <c r="B2053" s="13" t="s">
        <v>1388</v>
      </c>
      <c r="C2053" s="13" t="s">
        <v>1389</v>
      </c>
      <c r="D2053" s="13">
        <v>51</v>
      </c>
      <c r="E2053" s="13" t="s">
        <v>101</v>
      </c>
      <c r="F2053" s="13">
        <v>1</v>
      </c>
      <c r="G2053" s="13" t="s">
        <v>16</v>
      </c>
      <c r="H2053" s="13" t="s">
        <v>17</v>
      </c>
      <c r="I2053" s="14">
        <v>4000071</v>
      </c>
      <c r="J2053" s="13" t="s">
        <v>633</v>
      </c>
      <c r="K2053" s="13">
        <v>99</v>
      </c>
      <c r="L2053" s="13" t="s">
        <v>15</v>
      </c>
      <c r="M2053" s="15">
        <v>1667</v>
      </c>
      <c r="N2053" s="13" t="s">
        <v>1</v>
      </c>
      <c r="O2053" s="16">
        <f t="shared" ref="O2053:O2057" si="496">M2053/10000</f>
        <v>0.16669999999999999</v>
      </c>
      <c r="P2053" s="22">
        <f t="shared" ref="P2053:P2057" si="497">O2053*$P$2051</f>
        <v>0</v>
      </c>
    </row>
    <row r="2054" spans="1:16" x14ac:dyDescent="0.25">
      <c r="A2054" s="91"/>
      <c r="B2054" s="13" t="s">
        <v>1388</v>
      </c>
      <c r="C2054" s="13" t="s">
        <v>1389</v>
      </c>
      <c r="D2054" s="13">
        <v>51</v>
      </c>
      <c r="E2054" s="13" t="s">
        <v>101</v>
      </c>
      <c r="F2054" s="13">
        <v>1</v>
      </c>
      <c r="G2054" s="13" t="s">
        <v>16</v>
      </c>
      <c r="H2054" s="13" t="s">
        <v>17</v>
      </c>
      <c r="I2054" s="14">
        <v>4001232</v>
      </c>
      <c r="J2054" s="13" t="s">
        <v>634</v>
      </c>
      <c r="K2054" s="13">
        <v>99</v>
      </c>
      <c r="L2054" s="13" t="s">
        <v>15</v>
      </c>
      <c r="M2054" s="13">
        <v>834</v>
      </c>
      <c r="N2054" s="13" t="s">
        <v>1</v>
      </c>
      <c r="O2054" s="16">
        <f t="shared" si="496"/>
        <v>8.3400000000000002E-2</v>
      </c>
      <c r="P2054" s="22">
        <f t="shared" si="497"/>
        <v>0</v>
      </c>
    </row>
    <row r="2055" spans="1:16" x14ac:dyDescent="0.25">
      <c r="A2055" s="91"/>
      <c r="B2055" s="13" t="s">
        <v>1388</v>
      </c>
      <c r="C2055" s="13" t="s">
        <v>1389</v>
      </c>
      <c r="D2055" s="13">
        <v>51</v>
      </c>
      <c r="E2055" s="13" t="s">
        <v>101</v>
      </c>
      <c r="F2055" s="13">
        <v>1</v>
      </c>
      <c r="G2055" s="13" t="s">
        <v>16</v>
      </c>
      <c r="H2055" s="13" t="s">
        <v>17</v>
      </c>
      <c r="I2055" s="14">
        <v>4002826</v>
      </c>
      <c r="J2055" s="13" t="s">
        <v>4</v>
      </c>
      <c r="K2055" s="13">
        <v>99</v>
      </c>
      <c r="L2055" s="13" t="s">
        <v>15</v>
      </c>
      <c r="M2055" s="13">
        <v>18</v>
      </c>
      <c r="N2055" s="13" t="s">
        <v>1</v>
      </c>
      <c r="O2055" s="16">
        <f t="shared" si="496"/>
        <v>1.8E-3</v>
      </c>
      <c r="P2055" s="22">
        <f t="shared" si="497"/>
        <v>0</v>
      </c>
    </row>
    <row r="2056" spans="1:16" x14ac:dyDescent="0.25">
      <c r="A2056" s="91"/>
      <c r="B2056" s="13" t="s">
        <v>1388</v>
      </c>
      <c r="C2056" s="13" t="s">
        <v>1389</v>
      </c>
      <c r="D2056" s="13">
        <v>51</v>
      </c>
      <c r="E2056" s="13" t="s">
        <v>101</v>
      </c>
      <c r="F2056" s="13">
        <v>1</v>
      </c>
      <c r="G2056" s="13" t="s">
        <v>16</v>
      </c>
      <c r="H2056" s="13" t="s">
        <v>17</v>
      </c>
      <c r="I2056" s="14">
        <v>4014894</v>
      </c>
      <c r="J2056" s="13" t="s">
        <v>1390</v>
      </c>
      <c r="K2056" s="13">
        <v>99</v>
      </c>
      <c r="L2056" s="13" t="s">
        <v>15</v>
      </c>
      <c r="M2056" s="15">
        <v>10000</v>
      </c>
      <c r="N2056" s="13" t="s">
        <v>1</v>
      </c>
      <c r="O2056" s="16">
        <f t="shared" si="496"/>
        <v>1</v>
      </c>
      <c r="P2056" s="22">
        <f t="shared" si="497"/>
        <v>0</v>
      </c>
    </row>
    <row r="2057" spans="1:16" ht="15.75" thickBot="1" x14ac:dyDescent="0.3">
      <c r="A2057" s="90"/>
      <c r="B2057" s="23" t="s">
        <v>1388</v>
      </c>
      <c r="C2057" s="23" t="s">
        <v>1389</v>
      </c>
      <c r="D2057" s="23">
        <v>51</v>
      </c>
      <c r="E2057" s="23" t="s">
        <v>101</v>
      </c>
      <c r="F2057" s="23">
        <v>1</v>
      </c>
      <c r="G2057" s="23" t="s">
        <v>21</v>
      </c>
      <c r="H2057" s="23" t="s">
        <v>17</v>
      </c>
      <c r="I2057" s="24" t="s">
        <v>1391</v>
      </c>
      <c r="J2057" s="23" t="s">
        <v>1392</v>
      </c>
      <c r="K2057" s="23">
        <v>3</v>
      </c>
      <c r="L2057" s="23" t="s">
        <v>24</v>
      </c>
      <c r="M2057" s="25">
        <v>10000</v>
      </c>
      <c r="N2057" s="23" t="s">
        <v>1</v>
      </c>
      <c r="O2057" s="26">
        <f t="shared" si="496"/>
        <v>1</v>
      </c>
      <c r="P2057" s="27">
        <f t="shared" si="497"/>
        <v>0</v>
      </c>
    </row>
    <row r="2058" spans="1:16" x14ac:dyDescent="0.25">
      <c r="B2058" s="1"/>
      <c r="C2058" s="1"/>
      <c r="D2058" s="1"/>
      <c r="E2058" s="1"/>
      <c r="F2058" s="1"/>
      <c r="G2058" s="1"/>
      <c r="H2058" s="1"/>
      <c r="I2058" s="2"/>
      <c r="J2058" s="1"/>
      <c r="K2058" s="1"/>
      <c r="L2058" s="1"/>
      <c r="M2058" s="3"/>
      <c r="N2058" s="1"/>
    </row>
    <row r="2059" spans="1:16" ht="15.75" thickBot="1" x14ac:dyDescent="0.3">
      <c r="B2059" s="1"/>
      <c r="C2059" s="1"/>
      <c r="D2059" s="1"/>
      <c r="E2059" s="1"/>
      <c r="F2059" s="1"/>
      <c r="G2059" s="1"/>
      <c r="H2059" s="1"/>
      <c r="I2059" s="2"/>
      <c r="J2059" s="1"/>
      <c r="K2059" s="1"/>
      <c r="L2059" s="1"/>
      <c r="M2059" s="3"/>
      <c r="N2059" s="1"/>
      <c r="P2059" s="11">
        <f>IFERROR(VLOOKUP($A2060,'PROGRAMA MES '!$A:$B,2,0),0)</f>
        <v>0</v>
      </c>
    </row>
    <row r="2060" spans="1:16" x14ac:dyDescent="0.25">
      <c r="A2060" s="89" t="str">
        <f>B2060</f>
        <v>SP9253VR</v>
      </c>
      <c r="B2060" s="17" t="s">
        <v>1393</v>
      </c>
      <c r="C2060" s="17" t="s">
        <v>1394</v>
      </c>
      <c r="D2060" s="17">
        <v>51</v>
      </c>
      <c r="E2060" s="17" t="s">
        <v>101</v>
      </c>
      <c r="F2060" s="17">
        <v>1</v>
      </c>
      <c r="G2060" s="17" t="s">
        <v>16</v>
      </c>
      <c r="H2060" s="17" t="s">
        <v>17</v>
      </c>
      <c r="I2060" s="18">
        <v>4000070</v>
      </c>
      <c r="J2060" s="17" t="s">
        <v>632</v>
      </c>
      <c r="K2060" s="17">
        <v>99</v>
      </c>
      <c r="L2060" s="17" t="s">
        <v>15</v>
      </c>
      <c r="M2060" s="17">
        <v>834</v>
      </c>
      <c r="N2060" s="17" t="s">
        <v>1</v>
      </c>
      <c r="O2060" s="20">
        <f t="shared" ref="O2060:O2065" si="498">M2060/10000</f>
        <v>8.3400000000000002E-2</v>
      </c>
      <c r="P2060" s="21">
        <f>O2060*$P$2059</f>
        <v>0</v>
      </c>
    </row>
    <row r="2061" spans="1:16" x14ac:dyDescent="0.25">
      <c r="A2061" s="91"/>
      <c r="B2061" s="13" t="s">
        <v>1393</v>
      </c>
      <c r="C2061" s="13" t="s">
        <v>1394</v>
      </c>
      <c r="D2061" s="13">
        <v>51</v>
      </c>
      <c r="E2061" s="13" t="s">
        <v>101</v>
      </c>
      <c r="F2061" s="13">
        <v>1</v>
      </c>
      <c r="G2061" s="13" t="s">
        <v>16</v>
      </c>
      <c r="H2061" s="13" t="s">
        <v>17</v>
      </c>
      <c r="I2061" s="14">
        <v>4000071</v>
      </c>
      <c r="J2061" s="13" t="s">
        <v>633</v>
      </c>
      <c r="K2061" s="13">
        <v>99</v>
      </c>
      <c r="L2061" s="13" t="s">
        <v>15</v>
      </c>
      <c r="M2061" s="15">
        <v>1667</v>
      </c>
      <c r="N2061" s="13" t="s">
        <v>1</v>
      </c>
      <c r="O2061" s="16">
        <f t="shared" si="498"/>
        <v>0.16669999999999999</v>
      </c>
      <c r="P2061" s="22">
        <f t="shared" ref="P2061:P2065" si="499">O2061*$P$2059</f>
        <v>0</v>
      </c>
    </row>
    <row r="2062" spans="1:16" x14ac:dyDescent="0.25">
      <c r="A2062" s="91"/>
      <c r="B2062" s="13" t="s">
        <v>1393</v>
      </c>
      <c r="C2062" s="13" t="s">
        <v>1394</v>
      </c>
      <c r="D2062" s="13">
        <v>51</v>
      </c>
      <c r="E2062" s="13" t="s">
        <v>101</v>
      </c>
      <c r="F2062" s="13">
        <v>1</v>
      </c>
      <c r="G2062" s="13" t="s">
        <v>16</v>
      </c>
      <c r="H2062" s="13" t="s">
        <v>17</v>
      </c>
      <c r="I2062" s="14">
        <v>4001232</v>
      </c>
      <c r="J2062" s="13" t="s">
        <v>634</v>
      </c>
      <c r="K2062" s="13">
        <v>99</v>
      </c>
      <c r="L2062" s="13" t="s">
        <v>15</v>
      </c>
      <c r="M2062" s="13">
        <v>834</v>
      </c>
      <c r="N2062" s="13" t="s">
        <v>1</v>
      </c>
      <c r="O2062" s="16">
        <f t="shared" si="498"/>
        <v>8.3400000000000002E-2</v>
      </c>
      <c r="P2062" s="22">
        <f t="shared" si="499"/>
        <v>0</v>
      </c>
    </row>
    <row r="2063" spans="1:16" x14ac:dyDescent="0.25">
      <c r="A2063" s="91"/>
      <c r="B2063" s="13" t="s">
        <v>1393</v>
      </c>
      <c r="C2063" s="13" t="s">
        <v>1394</v>
      </c>
      <c r="D2063" s="13">
        <v>51</v>
      </c>
      <c r="E2063" s="13" t="s">
        <v>101</v>
      </c>
      <c r="F2063" s="13">
        <v>1</v>
      </c>
      <c r="G2063" s="13" t="s">
        <v>16</v>
      </c>
      <c r="H2063" s="13" t="s">
        <v>17</v>
      </c>
      <c r="I2063" s="14">
        <v>4002826</v>
      </c>
      <c r="J2063" s="13" t="s">
        <v>4</v>
      </c>
      <c r="K2063" s="13">
        <v>99</v>
      </c>
      <c r="L2063" s="13" t="s">
        <v>15</v>
      </c>
      <c r="M2063" s="13">
        <v>18</v>
      </c>
      <c r="N2063" s="13" t="s">
        <v>1</v>
      </c>
      <c r="O2063" s="16">
        <f t="shared" si="498"/>
        <v>1.8E-3</v>
      </c>
      <c r="P2063" s="22">
        <f t="shared" si="499"/>
        <v>0</v>
      </c>
    </row>
    <row r="2064" spans="1:16" x14ac:dyDescent="0.25">
      <c r="A2064" s="91"/>
      <c r="B2064" s="13" t="s">
        <v>1393</v>
      </c>
      <c r="C2064" s="13" t="s">
        <v>1394</v>
      </c>
      <c r="D2064" s="13">
        <v>51</v>
      </c>
      <c r="E2064" s="13" t="s">
        <v>101</v>
      </c>
      <c r="F2064" s="13">
        <v>1</v>
      </c>
      <c r="G2064" s="13" t="s">
        <v>16</v>
      </c>
      <c r="H2064" s="13" t="s">
        <v>17</v>
      </c>
      <c r="I2064" s="14">
        <v>4014893</v>
      </c>
      <c r="J2064" s="13" t="s">
        <v>1395</v>
      </c>
      <c r="K2064" s="13">
        <v>99</v>
      </c>
      <c r="L2064" s="13" t="s">
        <v>15</v>
      </c>
      <c r="M2064" s="15">
        <v>10000</v>
      </c>
      <c r="N2064" s="13" t="s">
        <v>1</v>
      </c>
      <c r="O2064" s="16">
        <f t="shared" si="498"/>
        <v>1</v>
      </c>
      <c r="P2064" s="22">
        <f t="shared" si="499"/>
        <v>0</v>
      </c>
    </row>
    <row r="2065" spans="1:16" ht="15.75" thickBot="1" x14ac:dyDescent="0.3">
      <c r="A2065" s="90"/>
      <c r="B2065" s="23" t="s">
        <v>1393</v>
      </c>
      <c r="C2065" s="23" t="s">
        <v>1394</v>
      </c>
      <c r="D2065" s="23">
        <v>51</v>
      </c>
      <c r="E2065" s="23" t="s">
        <v>101</v>
      </c>
      <c r="F2065" s="23">
        <v>1</v>
      </c>
      <c r="G2065" s="23" t="s">
        <v>21</v>
      </c>
      <c r="H2065" s="23" t="s">
        <v>17</v>
      </c>
      <c r="I2065" s="24" t="s">
        <v>1396</v>
      </c>
      <c r="J2065" s="23" t="s">
        <v>1397</v>
      </c>
      <c r="K2065" s="23">
        <v>3</v>
      </c>
      <c r="L2065" s="23" t="s">
        <v>24</v>
      </c>
      <c r="M2065" s="25">
        <v>10000</v>
      </c>
      <c r="N2065" s="23" t="s">
        <v>1</v>
      </c>
      <c r="O2065" s="26">
        <f t="shared" si="498"/>
        <v>1</v>
      </c>
      <c r="P2065" s="27">
        <f t="shared" si="499"/>
        <v>0</v>
      </c>
    </row>
    <row r="2066" spans="1:16" x14ac:dyDescent="0.25">
      <c r="B2066" s="1"/>
      <c r="C2066" s="1"/>
      <c r="D2066" s="1"/>
      <c r="E2066" s="1"/>
      <c r="F2066" s="1"/>
      <c r="G2066" s="1"/>
      <c r="H2066" s="1"/>
      <c r="I2066" s="2"/>
      <c r="J2066" s="1"/>
      <c r="K2066" s="1"/>
      <c r="L2066" s="1"/>
      <c r="M2066" s="3"/>
      <c r="N2066" s="1"/>
    </row>
    <row r="2067" spans="1:16" ht="15.75" thickBot="1" x14ac:dyDescent="0.3">
      <c r="B2067" s="1"/>
      <c r="C2067" s="1"/>
      <c r="D2067" s="1"/>
      <c r="E2067" s="1"/>
      <c r="F2067" s="1"/>
      <c r="G2067" s="1"/>
      <c r="H2067" s="1"/>
      <c r="I2067" s="2"/>
      <c r="J2067" s="1"/>
      <c r="K2067" s="1"/>
      <c r="L2067" s="1"/>
      <c r="M2067" s="3"/>
      <c r="N2067" s="1"/>
      <c r="P2067" s="11">
        <f>IFERROR(VLOOKUP($A2068,'PROGRAMA MES '!$A:$B,2,0),0)</f>
        <v>0</v>
      </c>
    </row>
    <row r="2068" spans="1:16" x14ac:dyDescent="0.25">
      <c r="A2068" s="89" t="str">
        <f>B2068</f>
        <v>SP9260AM</v>
      </c>
      <c r="B2068" s="17" t="s">
        <v>1398</v>
      </c>
      <c r="C2068" s="17" t="s">
        <v>1399</v>
      </c>
      <c r="D2068" s="17">
        <v>51</v>
      </c>
      <c r="E2068" s="17" t="s">
        <v>101</v>
      </c>
      <c r="F2068" s="17">
        <v>1</v>
      </c>
      <c r="G2068" s="17" t="s">
        <v>16</v>
      </c>
      <c r="H2068" s="17" t="s">
        <v>17</v>
      </c>
      <c r="I2068" s="18">
        <v>4001206</v>
      </c>
      <c r="J2068" s="17" t="s">
        <v>189</v>
      </c>
      <c r="K2068" s="17">
        <v>99</v>
      </c>
      <c r="L2068" s="17" t="s">
        <v>15</v>
      </c>
      <c r="M2068" s="17">
        <v>834</v>
      </c>
      <c r="N2068" s="17" t="s">
        <v>1</v>
      </c>
      <c r="O2068" s="20">
        <f t="shared" ref="O2068:O2074" si="500">M2068/10000</f>
        <v>8.3400000000000002E-2</v>
      </c>
      <c r="P2068" s="21">
        <f>O2068*$P$2067</f>
        <v>0</v>
      </c>
    </row>
    <row r="2069" spans="1:16" x14ac:dyDescent="0.25">
      <c r="A2069" s="91"/>
      <c r="B2069" s="13" t="s">
        <v>1398</v>
      </c>
      <c r="C2069" s="13" t="s">
        <v>1399</v>
      </c>
      <c r="D2069" s="13">
        <v>51</v>
      </c>
      <c r="E2069" s="13" t="s">
        <v>101</v>
      </c>
      <c r="F2069" s="13">
        <v>1</v>
      </c>
      <c r="G2069" s="13" t="s">
        <v>16</v>
      </c>
      <c r="H2069" s="13" t="s">
        <v>17</v>
      </c>
      <c r="I2069" s="14">
        <v>4002826</v>
      </c>
      <c r="J2069" s="13" t="s">
        <v>4</v>
      </c>
      <c r="K2069" s="13">
        <v>99</v>
      </c>
      <c r="L2069" s="13" t="s">
        <v>15</v>
      </c>
      <c r="M2069" s="13">
        <v>20</v>
      </c>
      <c r="N2069" s="13" t="s">
        <v>1</v>
      </c>
      <c r="O2069" s="16">
        <f t="shared" si="500"/>
        <v>2E-3</v>
      </c>
      <c r="P2069" s="22">
        <f t="shared" ref="P2069:P2074" si="501">O2069*$P$2067</f>
        <v>0</v>
      </c>
    </row>
    <row r="2070" spans="1:16" x14ac:dyDescent="0.25">
      <c r="A2070" s="91"/>
      <c r="B2070" s="13" t="s">
        <v>1398</v>
      </c>
      <c r="C2070" s="13" t="s">
        <v>1399</v>
      </c>
      <c r="D2070" s="13">
        <v>51</v>
      </c>
      <c r="E2070" s="13" t="s">
        <v>101</v>
      </c>
      <c r="F2070" s="13">
        <v>1</v>
      </c>
      <c r="G2070" s="13" t="s">
        <v>16</v>
      </c>
      <c r="H2070" s="13" t="s">
        <v>17</v>
      </c>
      <c r="I2070" s="14">
        <v>4006456</v>
      </c>
      <c r="J2070" s="13" t="s">
        <v>191</v>
      </c>
      <c r="K2070" s="13">
        <v>99</v>
      </c>
      <c r="L2070" s="13" t="s">
        <v>15</v>
      </c>
      <c r="M2070" s="13">
        <v>834</v>
      </c>
      <c r="N2070" s="13" t="s">
        <v>1</v>
      </c>
      <c r="O2070" s="16">
        <f t="shared" si="500"/>
        <v>8.3400000000000002E-2</v>
      </c>
      <c r="P2070" s="22">
        <f t="shared" si="501"/>
        <v>0</v>
      </c>
    </row>
    <row r="2071" spans="1:16" x14ac:dyDescent="0.25">
      <c r="A2071" s="91"/>
      <c r="B2071" s="13" t="s">
        <v>1398</v>
      </c>
      <c r="C2071" s="13" t="s">
        <v>1399</v>
      </c>
      <c r="D2071" s="13">
        <v>51</v>
      </c>
      <c r="E2071" s="13" t="s">
        <v>101</v>
      </c>
      <c r="F2071" s="13">
        <v>1</v>
      </c>
      <c r="G2071" s="13" t="s">
        <v>16</v>
      </c>
      <c r="H2071" s="13" t="s">
        <v>17</v>
      </c>
      <c r="I2071" s="14">
        <v>4007347</v>
      </c>
      <c r="J2071" s="13" t="s">
        <v>192</v>
      </c>
      <c r="K2071" s="13">
        <v>99</v>
      </c>
      <c r="L2071" s="13" t="s">
        <v>15</v>
      </c>
      <c r="M2071" s="15">
        <v>1667</v>
      </c>
      <c r="N2071" s="13" t="s">
        <v>1</v>
      </c>
      <c r="O2071" s="16">
        <f t="shared" si="500"/>
        <v>0.16669999999999999</v>
      </c>
      <c r="P2071" s="22">
        <f t="shared" si="501"/>
        <v>0</v>
      </c>
    </row>
    <row r="2072" spans="1:16" x14ac:dyDescent="0.25">
      <c r="A2072" s="91"/>
      <c r="B2072" s="13" t="s">
        <v>1398</v>
      </c>
      <c r="C2072" s="13" t="s">
        <v>1399</v>
      </c>
      <c r="D2072" s="13">
        <v>51</v>
      </c>
      <c r="E2072" s="13" t="s">
        <v>101</v>
      </c>
      <c r="F2072" s="13">
        <v>1</v>
      </c>
      <c r="G2072" s="13" t="s">
        <v>16</v>
      </c>
      <c r="H2072" s="13" t="s">
        <v>17</v>
      </c>
      <c r="I2072" s="14">
        <v>4007348</v>
      </c>
      <c r="J2072" s="13" t="s">
        <v>193</v>
      </c>
      <c r="K2072" s="13">
        <v>99</v>
      </c>
      <c r="L2072" s="13" t="s">
        <v>15</v>
      </c>
      <c r="M2072" s="15">
        <v>3334</v>
      </c>
      <c r="N2072" s="13" t="s">
        <v>1</v>
      </c>
      <c r="O2072" s="16">
        <f t="shared" si="500"/>
        <v>0.33339999999999997</v>
      </c>
      <c r="P2072" s="22">
        <f t="shared" si="501"/>
        <v>0</v>
      </c>
    </row>
    <row r="2073" spans="1:16" x14ac:dyDescent="0.25">
      <c r="A2073" s="91"/>
      <c r="B2073" s="13" t="s">
        <v>1398</v>
      </c>
      <c r="C2073" s="13" t="s">
        <v>1399</v>
      </c>
      <c r="D2073" s="13">
        <v>51</v>
      </c>
      <c r="E2073" s="13" t="s">
        <v>101</v>
      </c>
      <c r="F2073" s="13">
        <v>1</v>
      </c>
      <c r="G2073" s="13" t="s">
        <v>16</v>
      </c>
      <c r="H2073" s="13" t="s">
        <v>17</v>
      </c>
      <c r="I2073" s="14">
        <v>4014896</v>
      </c>
      <c r="J2073" s="13" t="s">
        <v>1400</v>
      </c>
      <c r="K2073" s="13">
        <v>99</v>
      </c>
      <c r="L2073" s="13" t="s">
        <v>15</v>
      </c>
      <c r="M2073" s="15">
        <v>10000</v>
      </c>
      <c r="N2073" s="13" t="s">
        <v>1</v>
      </c>
      <c r="O2073" s="16">
        <f t="shared" si="500"/>
        <v>1</v>
      </c>
      <c r="P2073" s="22">
        <f t="shared" si="501"/>
        <v>0</v>
      </c>
    </row>
    <row r="2074" spans="1:16" ht="15.75" thickBot="1" x14ac:dyDescent="0.3">
      <c r="A2074" s="90"/>
      <c r="B2074" s="23" t="s">
        <v>1398</v>
      </c>
      <c r="C2074" s="23" t="s">
        <v>1399</v>
      </c>
      <c r="D2074" s="23">
        <v>51</v>
      </c>
      <c r="E2074" s="23" t="s">
        <v>101</v>
      </c>
      <c r="F2074" s="23">
        <v>1</v>
      </c>
      <c r="G2074" s="23" t="s">
        <v>21</v>
      </c>
      <c r="H2074" s="23" t="s">
        <v>17</v>
      </c>
      <c r="I2074" s="24" t="s">
        <v>1401</v>
      </c>
      <c r="J2074" s="23" t="s">
        <v>1402</v>
      </c>
      <c r="K2074" s="23">
        <v>3</v>
      </c>
      <c r="L2074" s="23" t="s">
        <v>24</v>
      </c>
      <c r="M2074" s="25">
        <v>10000</v>
      </c>
      <c r="N2074" s="23" t="s">
        <v>1</v>
      </c>
      <c r="O2074" s="26">
        <f t="shared" si="500"/>
        <v>1</v>
      </c>
      <c r="P2074" s="27">
        <f t="shared" si="501"/>
        <v>0</v>
      </c>
    </row>
    <row r="2075" spans="1:16" x14ac:dyDescent="0.25">
      <c r="B2075" s="1"/>
      <c r="C2075" s="1"/>
      <c r="D2075" s="1"/>
      <c r="E2075" s="1"/>
      <c r="F2075" s="1"/>
      <c r="G2075" s="1"/>
      <c r="H2075" s="1"/>
      <c r="I2075" s="2"/>
      <c r="J2075" s="1"/>
      <c r="K2075" s="1"/>
      <c r="L2075" s="1"/>
      <c r="M2075" s="3"/>
      <c r="N2075" s="1"/>
    </row>
    <row r="2076" spans="1:16" ht="15.75" thickBot="1" x14ac:dyDescent="0.3">
      <c r="B2076" s="1"/>
      <c r="C2076" s="1"/>
      <c r="D2076" s="1"/>
      <c r="E2076" s="1"/>
      <c r="F2076" s="1"/>
      <c r="G2076" s="1"/>
      <c r="H2076" s="1"/>
      <c r="I2076" s="2"/>
      <c r="J2076" s="1"/>
      <c r="K2076" s="1"/>
      <c r="L2076" s="1"/>
      <c r="M2076" s="3"/>
      <c r="N2076" s="1"/>
      <c r="P2076" s="11">
        <f>IFERROR(VLOOKUP($A2077,'PROGRAMA MES '!$A:$B,2,0),0)</f>
        <v>0</v>
      </c>
    </row>
    <row r="2077" spans="1:16" x14ac:dyDescent="0.25">
      <c r="A2077" s="89" t="str">
        <f>B2077</f>
        <v>SP9260AZ</v>
      </c>
      <c r="B2077" s="17" t="s">
        <v>1403</v>
      </c>
      <c r="C2077" s="17" t="s">
        <v>1404</v>
      </c>
      <c r="D2077" s="17">
        <v>51</v>
      </c>
      <c r="E2077" s="17" t="s">
        <v>101</v>
      </c>
      <c r="F2077" s="17">
        <v>1</v>
      </c>
      <c r="G2077" s="17" t="s">
        <v>16</v>
      </c>
      <c r="H2077" s="17" t="s">
        <v>17</v>
      </c>
      <c r="I2077" s="18">
        <v>4001206</v>
      </c>
      <c r="J2077" s="17" t="s">
        <v>189</v>
      </c>
      <c r="K2077" s="17">
        <v>99</v>
      </c>
      <c r="L2077" s="17" t="s">
        <v>15</v>
      </c>
      <c r="M2077" s="17">
        <v>834</v>
      </c>
      <c r="N2077" s="17" t="s">
        <v>1</v>
      </c>
      <c r="O2077" s="20">
        <f t="shared" ref="O2077:O2083" si="502">M2077/10000</f>
        <v>8.3400000000000002E-2</v>
      </c>
      <c r="P2077" s="21">
        <f>O2077*$P$2076</f>
        <v>0</v>
      </c>
    </row>
    <row r="2078" spans="1:16" x14ac:dyDescent="0.25">
      <c r="A2078" s="91"/>
      <c r="B2078" s="13" t="s">
        <v>1403</v>
      </c>
      <c r="C2078" s="13" t="s">
        <v>1404</v>
      </c>
      <c r="D2078" s="13">
        <v>51</v>
      </c>
      <c r="E2078" s="13" t="s">
        <v>101</v>
      </c>
      <c r="F2078" s="13">
        <v>1</v>
      </c>
      <c r="G2078" s="13" t="s">
        <v>16</v>
      </c>
      <c r="H2078" s="13" t="s">
        <v>17</v>
      </c>
      <c r="I2078" s="14">
        <v>4002826</v>
      </c>
      <c r="J2078" s="13" t="s">
        <v>4</v>
      </c>
      <c r="K2078" s="13">
        <v>99</v>
      </c>
      <c r="L2078" s="13" t="s">
        <v>15</v>
      </c>
      <c r="M2078" s="13">
        <v>20</v>
      </c>
      <c r="N2078" s="13" t="s">
        <v>1</v>
      </c>
      <c r="O2078" s="16">
        <f t="shared" si="502"/>
        <v>2E-3</v>
      </c>
      <c r="P2078" s="22">
        <f t="shared" ref="P2078:P2083" si="503">O2078*$P$2076</f>
        <v>0</v>
      </c>
    </row>
    <row r="2079" spans="1:16" x14ac:dyDescent="0.25">
      <c r="A2079" s="91"/>
      <c r="B2079" s="13" t="s">
        <v>1403</v>
      </c>
      <c r="C2079" s="13" t="s">
        <v>1404</v>
      </c>
      <c r="D2079" s="13">
        <v>51</v>
      </c>
      <c r="E2079" s="13" t="s">
        <v>101</v>
      </c>
      <c r="F2079" s="13">
        <v>1</v>
      </c>
      <c r="G2079" s="13" t="s">
        <v>16</v>
      </c>
      <c r="H2079" s="13" t="s">
        <v>17</v>
      </c>
      <c r="I2079" s="14">
        <v>4006456</v>
      </c>
      <c r="J2079" s="13" t="s">
        <v>191</v>
      </c>
      <c r="K2079" s="13">
        <v>99</v>
      </c>
      <c r="L2079" s="13" t="s">
        <v>15</v>
      </c>
      <c r="M2079" s="13">
        <v>834</v>
      </c>
      <c r="N2079" s="13" t="s">
        <v>1</v>
      </c>
      <c r="O2079" s="16">
        <f t="shared" si="502"/>
        <v>8.3400000000000002E-2</v>
      </c>
      <c r="P2079" s="22">
        <f t="shared" si="503"/>
        <v>0</v>
      </c>
    </row>
    <row r="2080" spans="1:16" x14ac:dyDescent="0.25">
      <c r="A2080" s="91"/>
      <c r="B2080" s="13" t="s">
        <v>1403</v>
      </c>
      <c r="C2080" s="13" t="s">
        <v>1404</v>
      </c>
      <c r="D2080" s="13">
        <v>51</v>
      </c>
      <c r="E2080" s="13" t="s">
        <v>101</v>
      </c>
      <c r="F2080" s="13">
        <v>1</v>
      </c>
      <c r="G2080" s="13" t="s">
        <v>16</v>
      </c>
      <c r="H2080" s="13" t="s">
        <v>17</v>
      </c>
      <c r="I2080" s="14">
        <v>4007347</v>
      </c>
      <c r="J2080" s="13" t="s">
        <v>192</v>
      </c>
      <c r="K2080" s="13">
        <v>99</v>
      </c>
      <c r="L2080" s="13" t="s">
        <v>15</v>
      </c>
      <c r="M2080" s="15">
        <v>1667</v>
      </c>
      <c r="N2080" s="13" t="s">
        <v>1</v>
      </c>
      <c r="O2080" s="16">
        <f t="shared" si="502"/>
        <v>0.16669999999999999</v>
      </c>
      <c r="P2080" s="22">
        <f t="shared" si="503"/>
        <v>0</v>
      </c>
    </row>
    <row r="2081" spans="1:16" x14ac:dyDescent="0.25">
      <c r="A2081" s="91"/>
      <c r="B2081" s="13" t="s">
        <v>1403</v>
      </c>
      <c r="C2081" s="13" t="s">
        <v>1404</v>
      </c>
      <c r="D2081" s="13">
        <v>51</v>
      </c>
      <c r="E2081" s="13" t="s">
        <v>101</v>
      </c>
      <c r="F2081" s="13">
        <v>1</v>
      </c>
      <c r="G2081" s="13" t="s">
        <v>16</v>
      </c>
      <c r="H2081" s="13" t="s">
        <v>17</v>
      </c>
      <c r="I2081" s="14">
        <v>4007348</v>
      </c>
      <c r="J2081" s="13" t="s">
        <v>193</v>
      </c>
      <c r="K2081" s="13">
        <v>99</v>
      </c>
      <c r="L2081" s="13" t="s">
        <v>15</v>
      </c>
      <c r="M2081" s="15">
        <v>3334</v>
      </c>
      <c r="N2081" s="13" t="s">
        <v>1</v>
      </c>
      <c r="O2081" s="16">
        <f t="shared" si="502"/>
        <v>0.33339999999999997</v>
      </c>
      <c r="P2081" s="22">
        <f t="shared" si="503"/>
        <v>0</v>
      </c>
    </row>
    <row r="2082" spans="1:16" x14ac:dyDescent="0.25">
      <c r="A2082" s="91"/>
      <c r="B2082" s="13" t="s">
        <v>1403</v>
      </c>
      <c r="C2082" s="13" t="s">
        <v>1404</v>
      </c>
      <c r="D2082" s="13">
        <v>51</v>
      </c>
      <c r="E2082" s="13" t="s">
        <v>101</v>
      </c>
      <c r="F2082" s="13">
        <v>1</v>
      </c>
      <c r="G2082" s="13" t="s">
        <v>16</v>
      </c>
      <c r="H2082" s="13" t="s">
        <v>17</v>
      </c>
      <c r="I2082" s="14">
        <v>4014895</v>
      </c>
      <c r="J2082" s="13" t="s">
        <v>1405</v>
      </c>
      <c r="K2082" s="13">
        <v>99</v>
      </c>
      <c r="L2082" s="13" t="s">
        <v>15</v>
      </c>
      <c r="M2082" s="15">
        <v>10000</v>
      </c>
      <c r="N2082" s="13" t="s">
        <v>1</v>
      </c>
      <c r="O2082" s="16">
        <f t="shared" si="502"/>
        <v>1</v>
      </c>
      <c r="P2082" s="22">
        <f t="shared" si="503"/>
        <v>0</v>
      </c>
    </row>
    <row r="2083" spans="1:16" ht="15.75" thickBot="1" x14ac:dyDescent="0.3">
      <c r="A2083" s="90"/>
      <c r="B2083" s="23" t="s">
        <v>1403</v>
      </c>
      <c r="C2083" s="23" t="s">
        <v>1404</v>
      </c>
      <c r="D2083" s="23">
        <v>51</v>
      </c>
      <c r="E2083" s="23" t="s">
        <v>101</v>
      </c>
      <c r="F2083" s="23">
        <v>1</v>
      </c>
      <c r="G2083" s="23" t="s">
        <v>21</v>
      </c>
      <c r="H2083" s="23" t="s">
        <v>17</v>
      </c>
      <c r="I2083" s="24" t="s">
        <v>1406</v>
      </c>
      <c r="J2083" s="23" t="s">
        <v>1407</v>
      </c>
      <c r="K2083" s="23">
        <v>3</v>
      </c>
      <c r="L2083" s="23" t="s">
        <v>24</v>
      </c>
      <c r="M2083" s="25">
        <v>10000</v>
      </c>
      <c r="N2083" s="23" t="s">
        <v>1</v>
      </c>
      <c r="O2083" s="26">
        <f t="shared" si="502"/>
        <v>1</v>
      </c>
      <c r="P2083" s="27">
        <f t="shared" si="503"/>
        <v>0</v>
      </c>
    </row>
    <row r="2084" spans="1:16" x14ac:dyDescent="0.25">
      <c r="B2084" s="1"/>
      <c r="C2084" s="1"/>
      <c r="D2084" s="1"/>
      <c r="E2084" s="1"/>
      <c r="F2084" s="1"/>
      <c r="G2084" s="1"/>
      <c r="H2084" s="1"/>
      <c r="I2084" s="2"/>
      <c r="J2084" s="1"/>
      <c r="K2084" s="1"/>
      <c r="L2084" s="1"/>
      <c r="M2084" s="3"/>
      <c r="N2084" s="1"/>
    </row>
    <row r="2085" spans="1:16" ht="15.75" thickBot="1" x14ac:dyDescent="0.3">
      <c r="B2085" s="1"/>
      <c r="C2085" s="1"/>
      <c r="D2085" s="1"/>
      <c r="E2085" s="1"/>
      <c r="F2085" s="1"/>
      <c r="G2085" s="1"/>
      <c r="H2085" s="1"/>
      <c r="I2085" s="2"/>
      <c r="J2085" s="1"/>
      <c r="K2085" s="1"/>
      <c r="L2085" s="1"/>
      <c r="M2085" s="3"/>
      <c r="N2085" s="1"/>
      <c r="P2085" s="11">
        <f>IFERROR(VLOOKUP($A2086,'PROGRAMA MES '!$A:$B,2,0),0)</f>
        <v>0</v>
      </c>
    </row>
    <row r="2086" spans="1:16" x14ac:dyDescent="0.25">
      <c r="A2086" s="89" t="str">
        <f>B2086</f>
        <v>SP9260VD</v>
      </c>
      <c r="B2086" s="17" t="s">
        <v>1408</v>
      </c>
      <c r="C2086" s="17" t="s">
        <v>1409</v>
      </c>
      <c r="D2086" s="17">
        <v>51</v>
      </c>
      <c r="E2086" s="17" t="s">
        <v>101</v>
      </c>
      <c r="F2086" s="17">
        <v>1</v>
      </c>
      <c r="G2086" s="17" t="s">
        <v>16</v>
      </c>
      <c r="H2086" s="17" t="s">
        <v>17</v>
      </c>
      <c r="I2086" s="18">
        <v>4001206</v>
      </c>
      <c r="J2086" s="17" t="s">
        <v>189</v>
      </c>
      <c r="K2086" s="17">
        <v>99</v>
      </c>
      <c r="L2086" s="17" t="s">
        <v>15</v>
      </c>
      <c r="M2086" s="17">
        <v>834</v>
      </c>
      <c r="N2086" s="17" t="s">
        <v>1</v>
      </c>
      <c r="O2086" s="20">
        <f t="shared" ref="O2086:O2092" si="504">M2086/10000</f>
        <v>8.3400000000000002E-2</v>
      </c>
      <c r="P2086" s="21">
        <f>O2086*$P$2085</f>
        <v>0</v>
      </c>
    </row>
    <row r="2087" spans="1:16" x14ac:dyDescent="0.25">
      <c r="A2087" s="91"/>
      <c r="B2087" s="13" t="s">
        <v>1408</v>
      </c>
      <c r="C2087" s="13" t="s">
        <v>1409</v>
      </c>
      <c r="D2087" s="13">
        <v>51</v>
      </c>
      <c r="E2087" s="13" t="s">
        <v>101</v>
      </c>
      <c r="F2087" s="13">
        <v>1</v>
      </c>
      <c r="G2087" s="13" t="s">
        <v>16</v>
      </c>
      <c r="H2087" s="13" t="s">
        <v>17</v>
      </c>
      <c r="I2087" s="14">
        <v>4002826</v>
      </c>
      <c r="J2087" s="13" t="s">
        <v>4</v>
      </c>
      <c r="K2087" s="13">
        <v>99</v>
      </c>
      <c r="L2087" s="13" t="s">
        <v>15</v>
      </c>
      <c r="M2087" s="13">
        <v>20</v>
      </c>
      <c r="N2087" s="13" t="s">
        <v>1</v>
      </c>
      <c r="O2087" s="16">
        <f t="shared" si="504"/>
        <v>2E-3</v>
      </c>
      <c r="P2087" s="22">
        <f t="shared" ref="P2087:P2092" si="505">O2087*$P$2085</f>
        <v>0</v>
      </c>
    </row>
    <row r="2088" spans="1:16" x14ac:dyDescent="0.25">
      <c r="A2088" s="91"/>
      <c r="B2088" s="13" t="s">
        <v>1408</v>
      </c>
      <c r="C2088" s="13" t="s">
        <v>1409</v>
      </c>
      <c r="D2088" s="13">
        <v>51</v>
      </c>
      <c r="E2088" s="13" t="s">
        <v>101</v>
      </c>
      <c r="F2088" s="13">
        <v>1</v>
      </c>
      <c r="G2088" s="13" t="s">
        <v>16</v>
      </c>
      <c r="H2088" s="13" t="s">
        <v>17</v>
      </c>
      <c r="I2088" s="14">
        <v>4006456</v>
      </c>
      <c r="J2088" s="13" t="s">
        <v>191</v>
      </c>
      <c r="K2088" s="13">
        <v>99</v>
      </c>
      <c r="L2088" s="13" t="s">
        <v>15</v>
      </c>
      <c r="M2088" s="13">
        <v>834</v>
      </c>
      <c r="N2088" s="13" t="s">
        <v>1</v>
      </c>
      <c r="O2088" s="16">
        <f t="shared" si="504"/>
        <v>8.3400000000000002E-2</v>
      </c>
      <c r="P2088" s="22">
        <f t="shared" si="505"/>
        <v>0</v>
      </c>
    </row>
    <row r="2089" spans="1:16" x14ac:dyDescent="0.25">
      <c r="A2089" s="91"/>
      <c r="B2089" s="13" t="s">
        <v>1408</v>
      </c>
      <c r="C2089" s="13" t="s">
        <v>1409</v>
      </c>
      <c r="D2089" s="13">
        <v>51</v>
      </c>
      <c r="E2089" s="13" t="s">
        <v>101</v>
      </c>
      <c r="F2089" s="13">
        <v>1</v>
      </c>
      <c r="G2089" s="13" t="s">
        <v>16</v>
      </c>
      <c r="H2089" s="13" t="s">
        <v>17</v>
      </c>
      <c r="I2089" s="14">
        <v>4007347</v>
      </c>
      <c r="J2089" s="13" t="s">
        <v>192</v>
      </c>
      <c r="K2089" s="13">
        <v>99</v>
      </c>
      <c r="L2089" s="13" t="s">
        <v>15</v>
      </c>
      <c r="M2089" s="15">
        <v>1667</v>
      </c>
      <c r="N2089" s="13" t="s">
        <v>1</v>
      </c>
      <c r="O2089" s="16">
        <f t="shared" si="504"/>
        <v>0.16669999999999999</v>
      </c>
      <c r="P2089" s="22">
        <f t="shared" si="505"/>
        <v>0</v>
      </c>
    </row>
    <row r="2090" spans="1:16" x14ac:dyDescent="0.25">
      <c r="A2090" s="91"/>
      <c r="B2090" s="13" t="s">
        <v>1408</v>
      </c>
      <c r="C2090" s="13" t="s">
        <v>1409</v>
      </c>
      <c r="D2090" s="13">
        <v>51</v>
      </c>
      <c r="E2090" s="13" t="s">
        <v>101</v>
      </c>
      <c r="F2090" s="13">
        <v>1</v>
      </c>
      <c r="G2090" s="13" t="s">
        <v>16</v>
      </c>
      <c r="H2090" s="13" t="s">
        <v>17</v>
      </c>
      <c r="I2090" s="14">
        <v>4007348</v>
      </c>
      <c r="J2090" s="13" t="s">
        <v>193</v>
      </c>
      <c r="K2090" s="13">
        <v>99</v>
      </c>
      <c r="L2090" s="13" t="s">
        <v>15</v>
      </c>
      <c r="M2090" s="15">
        <v>3334</v>
      </c>
      <c r="N2090" s="13" t="s">
        <v>1</v>
      </c>
      <c r="O2090" s="16">
        <f t="shared" si="504"/>
        <v>0.33339999999999997</v>
      </c>
      <c r="P2090" s="22">
        <f t="shared" si="505"/>
        <v>0</v>
      </c>
    </row>
    <row r="2091" spans="1:16" x14ac:dyDescent="0.25">
      <c r="A2091" s="91"/>
      <c r="B2091" s="13" t="s">
        <v>1408</v>
      </c>
      <c r="C2091" s="13" t="s">
        <v>1409</v>
      </c>
      <c r="D2091" s="13">
        <v>51</v>
      </c>
      <c r="E2091" s="13" t="s">
        <v>101</v>
      </c>
      <c r="F2091" s="13">
        <v>1</v>
      </c>
      <c r="G2091" s="13" t="s">
        <v>16</v>
      </c>
      <c r="H2091" s="13" t="s">
        <v>17</v>
      </c>
      <c r="I2091" s="14">
        <v>4014898</v>
      </c>
      <c r="J2091" s="13" t="s">
        <v>1410</v>
      </c>
      <c r="K2091" s="13">
        <v>99</v>
      </c>
      <c r="L2091" s="13" t="s">
        <v>15</v>
      </c>
      <c r="M2091" s="15">
        <v>10000</v>
      </c>
      <c r="N2091" s="13" t="s">
        <v>1</v>
      </c>
      <c r="O2091" s="16">
        <f t="shared" si="504"/>
        <v>1</v>
      </c>
      <c r="P2091" s="22">
        <f t="shared" si="505"/>
        <v>0</v>
      </c>
    </row>
    <row r="2092" spans="1:16" ht="15.75" thickBot="1" x14ac:dyDescent="0.3">
      <c r="A2092" s="90"/>
      <c r="B2092" s="23" t="s">
        <v>1408</v>
      </c>
      <c r="C2092" s="23" t="s">
        <v>1409</v>
      </c>
      <c r="D2092" s="23">
        <v>51</v>
      </c>
      <c r="E2092" s="23" t="s">
        <v>101</v>
      </c>
      <c r="F2092" s="23">
        <v>1</v>
      </c>
      <c r="G2092" s="23" t="s">
        <v>21</v>
      </c>
      <c r="H2092" s="23" t="s">
        <v>17</v>
      </c>
      <c r="I2092" s="24" t="s">
        <v>1411</v>
      </c>
      <c r="J2092" s="23" t="s">
        <v>1412</v>
      </c>
      <c r="K2092" s="23">
        <v>3</v>
      </c>
      <c r="L2092" s="23" t="s">
        <v>24</v>
      </c>
      <c r="M2092" s="25">
        <v>10000</v>
      </c>
      <c r="N2092" s="23" t="s">
        <v>1</v>
      </c>
      <c r="O2092" s="26">
        <f t="shared" si="504"/>
        <v>1</v>
      </c>
      <c r="P2092" s="27">
        <f t="shared" si="505"/>
        <v>0</v>
      </c>
    </row>
    <row r="2093" spans="1:16" x14ac:dyDescent="0.25">
      <c r="B2093" s="1"/>
      <c r="C2093" s="1"/>
      <c r="D2093" s="1"/>
      <c r="E2093" s="1"/>
      <c r="F2093" s="1"/>
      <c r="G2093" s="1"/>
      <c r="H2093" s="1"/>
      <c r="I2093" s="2"/>
      <c r="J2093" s="1"/>
      <c r="K2093" s="1"/>
      <c r="L2093" s="1"/>
      <c r="M2093" s="3"/>
      <c r="N2093" s="1"/>
    </row>
    <row r="2094" spans="1:16" ht="15.75" thickBot="1" x14ac:dyDescent="0.3">
      <c r="B2094" s="1"/>
      <c r="C2094" s="1"/>
      <c r="D2094" s="1"/>
      <c r="E2094" s="1"/>
      <c r="F2094" s="1"/>
      <c r="G2094" s="1"/>
      <c r="H2094" s="1"/>
      <c r="I2094" s="2"/>
      <c r="J2094" s="1"/>
      <c r="K2094" s="1"/>
      <c r="L2094" s="1"/>
      <c r="M2094" s="3"/>
      <c r="N2094" s="1"/>
      <c r="P2094" s="11">
        <f>IFERROR(VLOOKUP($A2095,'PROGRAMA MES '!$A:$B,2,0),0)</f>
        <v>0</v>
      </c>
    </row>
    <row r="2095" spans="1:16" x14ac:dyDescent="0.25">
      <c r="A2095" s="89" t="str">
        <f>B2095</f>
        <v>SP9260VR</v>
      </c>
      <c r="B2095" s="17" t="s">
        <v>1413</v>
      </c>
      <c r="C2095" s="17" t="s">
        <v>1414</v>
      </c>
      <c r="D2095" s="17">
        <v>51</v>
      </c>
      <c r="E2095" s="17" t="s">
        <v>101</v>
      </c>
      <c r="F2095" s="17">
        <v>1</v>
      </c>
      <c r="G2095" s="17" t="s">
        <v>16</v>
      </c>
      <c r="H2095" s="17" t="s">
        <v>17</v>
      </c>
      <c r="I2095" s="18">
        <v>4001206</v>
      </c>
      <c r="J2095" s="17" t="s">
        <v>189</v>
      </c>
      <c r="K2095" s="17">
        <v>99</v>
      </c>
      <c r="L2095" s="17" t="s">
        <v>15</v>
      </c>
      <c r="M2095" s="17">
        <v>834</v>
      </c>
      <c r="N2095" s="17" t="s">
        <v>1</v>
      </c>
      <c r="O2095" s="20">
        <f t="shared" ref="O2095:O2101" si="506">M2095/10000</f>
        <v>8.3400000000000002E-2</v>
      </c>
      <c r="P2095" s="21">
        <f>O2095*$P$2094</f>
        <v>0</v>
      </c>
    </row>
    <row r="2096" spans="1:16" x14ac:dyDescent="0.25">
      <c r="A2096" s="91"/>
      <c r="B2096" s="13" t="s">
        <v>1413</v>
      </c>
      <c r="C2096" s="13" t="s">
        <v>1414</v>
      </c>
      <c r="D2096" s="13">
        <v>51</v>
      </c>
      <c r="E2096" s="13" t="s">
        <v>101</v>
      </c>
      <c r="F2096" s="13">
        <v>1</v>
      </c>
      <c r="G2096" s="13" t="s">
        <v>16</v>
      </c>
      <c r="H2096" s="13" t="s">
        <v>17</v>
      </c>
      <c r="I2096" s="14">
        <v>4002826</v>
      </c>
      <c r="J2096" s="13" t="s">
        <v>4</v>
      </c>
      <c r="K2096" s="13">
        <v>99</v>
      </c>
      <c r="L2096" s="13" t="s">
        <v>15</v>
      </c>
      <c r="M2096" s="13">
        <v>20</v>
      </c>
      <c r="N2096" s="13" t="s">
        <v>1</v>
      </c>
      <c r="O2096" s="16">
        <f t="shared" si="506"/>
        <v>2E-3</v>
      </c>
      <c r="P2096" s="22">
        <f t="shared" ref="P2096:P2101" si="507">O2096*$P$2094</f>
        <v>0</v>
      </c>
    </row>
    <row r="2097" spans="1:16" x14ac:dyDescent="0.25">
      <c r="A2097" s="91"/>
      <c r="B2097" s="13" t="s">
        <v>1413</v>
      </c>
      <c r="C2097" s="13" t="s">
        <v>1414</v>
      </c>
      <c r="D2097" s="13">
        <v>51</v>
      </c>
      <c r="E2097" s="13" t="s">
        <v>101</v>
      </c>
      <c r="F2097" s="13">
        <v>1</v>
      </c>
      <c r="G2097" s="13" t="s">
        <v>16</v>
      </c>
      <c r="H2097" s="13" t="s">
        <v>17</v>
      </c>
      <c r="I2097" s="14">
        <v>4006456</v>
      </c>
      <c r="J2097" s="13" t="s">
        <v>191</v>
      </c>
      <c r="K2097" s="13">
        <v>99</v>
      </c>
      <c r="L2097" s="13" t="s">
        <v>15</v>
      </c>
      <c r="M2097" s="13">
        <v>834</v>
      </c>
      <c r="N2097" s="13" t="s">
        <v>1</v>
      </c>
      <c r="O2097" s="16">
        <f t="shared" si="506"/>
        <v>8.3400000000000002E-2</v>
      </c>
      <c r="P2097" s="22">
        <f t="shared" si="507"/>
        <v>0</v>
      </c>
    </row>
    <row r="2098" spans="1:16" x14ac:dyDescent="0.25">
      <c r="A2098" s="91"/>
      <c r="B2098" s="13" t="s">
        <v>1413</v>
      </c>
      <c r="C2098" s="13" t="s">
        <v>1414</v>
      </c>
      <c r="D2098" s="13">
        <v>51</v>
      </c>
      <c r="E2098" s="13" t="s">
        <v>101</v>
      </c>
      <c r="F2098" s="13">
        <v>1</v>
      </c>
      <c r="G2098" s="13" t="s">
        <v>16</v>
      </c>
      <c r="H2098" s="13" t="s">
        <v>17</v>
      </c>
      <c r="I2098" s="14">
        <v>4007347</v>
      </c>
      <c r="J2098" s="13" t="s">
        <v>192</v>
      </c>
      <c r="K2098" s="13">
        <v>99</v>
      </c>
      <c r="L2098" s="13" t="s">
        <v>15</v>
      </c>
      <c r="M2098" s="15">
        <v>1667</v>
      </c>
      <c r="N2098" s="13" t="s">
        <v>1</v>
      </c>
      <c r="O2098" s="16">
        <f t="shared" si="506"/>
        <v>0.16669999999999999</v>
      </c>
      <c r="P2098" s="22">
        <f t="shared" si="507"/>
        <v>0</v>
      </c>
    </row>
    <row r="2099" spans="1:16" x14ac:dyDescent="0.25">
      <c r="A2099" s="91"/>
      <c r="B2099" s="13" t="s">
        <v>1413</v>
      </c>
      <c r="C2099" s="13" t="s">
        <v>1414</v>
      </c>
      <c r="D2099" s="13">
        <v>51</v>
      </c>
      <c r="E2099" s="13" t="s">
        <v>101</v>
      </c>
      <c r="F2099" s="13">
        <v>1</v>
      </c>
      <c r="G2099" s="13" t="s">
        <v>16</v>
      </c>
      <c r="H2099" s="13" t="s">
        <v>17</v>
      </c>
      <c r="I2099" s="14">
        <v>4007348</v>
      </c>
      <c r="J2099" s="13" t="s">
        <v>193</v>
      </c>
      <c r="K2099" s="13">
        <v>99</v>
      </c>
      <c r="L2099" s="13" t="s">
        <v>15</v>
      </c>
      <c r="M2099" s="15">
        <v>3334</v>
      </c>
      <c r="N2099" s="13" t="s">
        <v>1</v>
      </c>
      <c r="O2099" s="16">
        <f t="shared" si="506"/>
        <v>0.33339999999999997</v>
      </c>
      <c r="P2099" s="22">
        <f t="shared" si="507"/>
        <v>0</v>
      </c>
    </row>
    <row r="2100" spans="1:16" x14ac:dyDescent="0.25">
      <c r="A2100" s="91"/>
      <c r="B2100" s="13" t="s">
        <v>1413</v>
      </c>
      <c r="C2100" s="13" t="s">
        <v>1414</v>
      </c>
      <c r="D2100" s="13">
        <v>51</v>
      </c>
      <c r="E2100" s="13" t="s">
        <v>101</v>
      </c>
      <c r="F2100" s="13">
        <v>1</v>
      </c>
      <c r="G2100" s="13" t="s">
        <v>16</v>
      </c>
      <c r="H2100" s="13" t="s">
        <v>17</v>
      </c>
      <c r="I2100" s="14">
        <v>4014897</v>
      </c>
      <c r="J2100" s="13" t="s">
        <v>1415</v>
      </c>
      <c r="K2100" s="13">
        <v>99</v>
      </c>
      <c r="L2100" s="13" t="s">
        <v>15</v>
      </c>
      <c r="M2100" s="15">
        <v>1000</v>
      </c>
      <c r="N2100" s="13" t="s">
        <v>1</v>
      </c>
      <c r="O2100" s="16">
        <f t="shared" si="506"/>
        <v>0.1</v>
      </c>
      <c r="P2100" s="22">
        <f t="shared" si="507"/>
        <v>0</v>
      </c>
    </row>
    <row r="2101" spans="1:16" ht="15.75" thickBot="1" x14ac:dyDescent="0.3">
      <c r="A2101" s="90"/>
      <c r="B2101" s="23" t="s">
        <v>1413</v>
      </c>
      <c r="C2101" s="23" t="s">
        <v>1414</v>
      </c>
      <c r="D2101" s="23">
        <v>51</v>
      </c>
      <c r="E2101" s="23" t="s">
        <v>101</v>
      </c>
      <c r="F2101" s="23">
        <v>1</v>
      </c>
      <c r="G2101" s="23" t="s">
        <v>21</v>
      </c>
      <c r="H2101" s="23" t="s">
        <v>17</v>
      </c>
      <c r="I2101" s="24" t="s">
        <v>1416</v>
      </c>
      <c r="J2101" s="23" t="s">
        <v>1417</v>
      </c>
      <c r="K2101" s="23">
        <v>3</v>
      </c>
      <c r="L2101" s="23" t="s">
        <v>24</v>
      </c>
      <c r="M2101" s="25">
        <v>10000</v>
      </c>
      <c r="N2101" s="23" t="s">
        <v>1</v>
      </c>
      <c r="O2101" s="26">
        <f t="shared" si="506"/>
        <v>1</v>
      </c>
      <c r="P2101" s="27">
        <f t="shared" si="507"/>
        <v>0</v>
      </c>
    </row>
    <row r="2102" spans="1:16" x14ac:dyDescent="0.25">
      <c r="B2102" s="1"/>
      <c r="C2102" s="1"/>
      <c r="D2102" s="1"/>
      <c r="E2102" s="1"/>
      <c r="F2102" s="1"/>
      <c r="G2102" s="1"/>
      <c r="H2102" s="1"/>
      <c r="I2102" s="2"/>
      <c r="J2102" s="1"/>
      <c r="K2102" s="1"/>
      <c r="L2102" s="1"/>
      <c r="M2102" s="3"/>
      <c r="N2102" s="1"/>
    </row>
    <row r="2103" spans="1:16" ht="15.75" thickBot="1" x14ac:dyDescent="0.3">
      <c r="B2103" s="1"/>
      <c r="C2103" s="1"/>
      <c r="D2103" s="1"/>
      <c r="E2103" s="1"/>
      <c r="F2103" s="1"/>
      <c r="G2103" s="1"/>
      <c r="H2103" s="1"/>
      <c r="I2103" s="2"/>
      <c r="J2103" s="1"/>
      <c r="K2103" s="1"/>
      <c r="L2103" s="1"/>
      <c r="M2103" s="3"/>
      <c r="N2103" s="1"/>
      <c r="P2103" s="11">
        <f>IFERROR(VLOOKUP($A2104,'PROGRAMA MES '!$A:$B,2,0),0)</f>
        <v>0</v>
      </c>
    </row>
    <row r="2104" spans="1:16" x14ac:dyDescent="0.25">
      <c r="A2104" s="89" t="str">
        <f>B2104</f>
        <v>SP9261C</v>
      </c>
      <c r="B2104" s="17" t="s">
        <v>1418</v>
      </c>
      <c r="C2104" s="17" t="s">
        <v>1419</v>
      </c>
      <c r="D2104" s="17">
        <v>99</v>
      </c>
      <c r="E2104" s="17" t="s">
        <v>15</v>
      </c>
      <c r="F2104" s="17">
        <v>1</v>
      </c>
      <c r="G2104" s="17" t="s">
        <v>16</v>
      </c>
      <c r="H2104" s="17" t="s">
        <v>17</v>
      </c>
      <c r="I2104" s="18">
        <v>4008673</v>
      </c>
      <c r="J2104" s="17" t="s">
        <v>1420</v>
      </c>
      <c r="K2104" s="17">
        <v>99</v>
      </c>
      <c r="L2104" s="17" t="s">
        <v>15</v>
      </c>
      <c r="M2104" s="19">
        <v>1000</v>
      </c>
      <c r="N2104" s="17" t="s">
        <v>1</v>
      </c>
      <c r="O2104" s="20">
        <f t="shared" ref="O2104:O2108" si="508">M2104/10000</f>
        <v>0.1</v>
      </c>
      <c r="P2104" s="21">
        <f>O2104*$P$2103</f>
        <v>0</v>
      </c>
    </row>
    <row r="2105" spans="1:16" x14ac:dyDescent="0.25">
      <c r="A2105" s="91"/>
      <c r="B2105" s="13" t="s">
        <v>1418</v>
      </c>
      <c r="C2105" s="13" t="s">
        <v>1419</v>
      </c>
      <c r="D2105" s="13">
        <v>99</v>
      </c>
      <c r="E2105" s="13" t="s">
        <v>15</v>
      </c>
      <c r="F2105" s="13">
        <v>1</v>
      </c>
      <c r="G2105" s="13" t="s">
        <v>16</v>
      </c>
      <c r="H2105" s="13" t="s">
        <v>17</v>
      </c>
      <c r="I2105" s="14">
        <v>4008674</v>
      </c>
      <c r="J2105" s="13" t="s">
        <v>1421</v>
      </c>
      <c r="K2105" s="13">
        <v>99</v>
      </c>
      <c r="L2105" s="13" t="s">
        <v>15</v>
      </c>
      <c r="M2105" s="15">
        <v>1000</v>
      </c>
      <c r="N2105" s="13" t="s">
        <v>1</v>
      </c>
      <c r="O2105" s="16">
        <f t="shared" si="508"/>
        <v>0.1</v>
      </c>
      <c r="P2105" s="22">
        <f t="shared" ref="P2105:P2108" si="509">O2105*$P$2103</f>
        <v>0</v>
      </c>
    </row>
    <row r="2106" spans="1:16" x14ac:dyDescent="0.25">
      <c r="A2106" s="91"/>
      <c r="B2106" s="13" t="s">
        <v>1418</v>
      </c>
      <c r="C2106" s="13" t="s">
        <v>1419</v>
      </c>
      <c r="D2106" s="13">
        <v>99</v>
      </c>
      <c r="E2106" s="13" t="s">
        <v>15</v>
      </c>
      <c r="F2106" s="13">
        <v>1</v>
      </c>
      <c r="G2106" s="13" t="s">
        <v>16</v>
      </c>
      <c r="H2106" s="13" t="s">
        <v>17</v>
      </c>
      <c r="I2106" s="14">
        <v>4008676</v>
      </c>
      <c r="J2106" s="13" t="s">
        <v>1422</v>
      </c>
      <c r="K2106" s="13">
        <v>99</v>
      </c>
      <c r="L2106" s="13" t="s">
        <v>15</v>
      </c>
      <c r="M2106" s="15">
        <v>1000</v>
      </c>
      <c r="N2106" s="13" t="s">
        <v>1</v>
      </c>
      <c r="O2106" s="16">
        <f t="shared" si="508"/>
        <v>0.1</v>
      </c>
      <c r="P2106" s="22">
        <f t="shared" si="509"/>
        <v>0</v>
      </c>
    </row>
    <row r="2107" spans="1:16" x14ac:dyDescent="0.25">
      <c r="A2107" s="91"/>
      <c r="B2107" s="13" t="s">
        <v>1418</v>
      </c>
      <c r="C2107" s="13" t="s">
        <v>1419</v>
      </c>
      <c r="D2107" s="13">
        <v>99</v>
      </c>
      <c r="E2107" s="13" t="s">
        <v>15</v>
      </c>
      <c r="F2107" s="13">
        <v>1</v>
      </c>
      <c r="G2107" s="13" t="s">
        <v>16</v>
      </c>
      <c r="H2107" s="13" t="s">
        <v>17</v>
      </c>
      <c r="I2107" s="14">
        <v>4008677</v>
      </c>
      <c r="J2107" s="13" t="s">
        <v>1423</v>
      </c>
      <c r="K2107" s="13">
        <v>99</v>
      </c>
      <c r="L2107" s="13" t="s">
        <v>15</v>
      </c>
      <c r="M2107" s="15">
        <v>10000</v>
      </c>
      <c r="N2107" s="13" t="s">
        <v>1</v>
      </c>
      <c r="O2107" s="16">
        <f t="shared" si="508"/>
        <v>1</v>
      </c>
      <c r="P2107" s="22">
        <f t="shared" si="509"/>
        <v>0</v>
      </c>
    </row>
    <row r="2108" spans="1:16" ht="15.75" thickBot="1" x14ac:dyDescent="0.3">
      <c r="A2108" s="90"/>
      <c r="B2108" s="23" t="s">
        <v>1418</v>
      </c>
      <c r="C2108" s="23" t="s">
        <v>1419</v>
      </c>
      <c r="D2108" s="23">
        <v>99</v>
      </c>
      <c r="E2108" s="23" t="s">
        <v>15</v>
      </c>
      <c r="F2108" s="23">
        <v>1</v>
      </c>
      <c r="G2108" s="23" t="s">
        <v>21</v>
      </c>
      <c r="H2108" s="23" t="s">
        <v>17</v>
      </c>
      <c r="I2108" s="24" t="s">
        <v>1424</v>
      </c>
      <c r="J2108" s="23" t="s">
        <v>1425</v>
      </c>
      <c r="K2108" s="23">
        <v>3</v>
      </c>
      <c r="L2108" s="23" t="s">
        <v>24</v>
      </c>
      <c r="M2108" s="25">
        <v>10000</v>
      </c>
      <c r="N2108" s="23" t="s">
        <v>1</v>
      </c>
      <c r="O2108" s="26">
        <f t="shared" si="508"/>
        <v>1</v>
      </c>
      <c r="P2108" s="27">
        <f t="shared" si="509"/>
        <v>0</v>
      </c>
    </row>
    <row r="2109" spans="1:16" x14ac:dyDescent="0.25">
      <c r="B2109" s="1"/>
      <c r="C2109" s="1"/>
      <c r="D2109" s="1"/>
      <c r="E2109" s="1"/>
      <c r="F2109" s="1"/>
      <c r="G2109" s="1"/>
      <c r="H2109" s="1"/>
      <c r="I2109" s="2"/>
      <c r="J2109" s="1"/>
      <c r="K2109" s="1"/>
      <c r="L2109" s="1"/>
      <c r="M2109" s="3"/>
      <c r="N2109" s="1"/>
    </row>
    <row r="2110" spans="1:16" ht="15.75" thickBot="1" x14ac:dyDescent="0.3">
      <c r="B2110" s="1"/>
      <c r="C2110" s="1"/>
      <c r="D2110" s="1"/>
      <c r="E2110" s="1"/>
      <c r="F2110" s="1"/>
      <c r="G2110" s="1"/>
      <c r="H2110" s="1"/>
      <c r="I2110" s="2"/>
      <c r="J2110" s="1"/>
      <c r="K2110" s="1"/>
      <c r="L2110" s="1"/>
      <c r="M2110" s="3"/>
      <c r="N2110" s="1"/>
      <c r="P2110" s="11">
        <f>IFERROR(VLOOKUP($A2111,'PROGRAMA MES '!$A:$B,2,0),0)</f>
        <v>12</v>
      </c>
    </row>
    <row r="2111" spans="1:16" x14ac:dyDescent="0.25">
      <c r="A2111" s="89" t="str">
        <f>B2111</f>
        <v>SP93120CZ</v>
      </c>
      <c r="B2111" s="17" t="s">
        <v>1426</v>
      </c>
      <c r="C2111" s="17" t="s">
        <v>1427</v>
      </c>
      <c r="D2111" s="17">
        <v>54</v>
      </c>
      <c r="E2111" s="17" t="s">
        <v>769</v>
      </c>
      <c r="F2111" s="17">
        <v>1</v>
      </c>
      <c r="G2111" s="17" t="s">
        <v>35</v>
      </c>
      <c r="H2111" s="17" t="s">
        <v>17</v>
      </c>
      <c r="I2111" s="18">
        <v>3005991</v>
      </c>
      <c r="J2111" s="17" t="s">
        <v>1428</v>
      </c>
      <c r="K2111" s="17">
        <v>99</v>
      </c>
      <c r="L2111" s="17" t="s">
        <v>15</v>
      </c>
      <c r="M2111" s="19">
        <v>10000</v>
      </c>
      <c r="N2111" s="17" t="s">
        <v>1</v>
      </c>
      <c r="O2111" s="20">
        <f t="shared" ref="O2111:O2112" si="510">M2111/10000</f>
        <v>1</v>
      </c>
      <c r="P2111" s="21">
        <f>O2111*$P$2110</f>
        <v>12</v>
      </c>
    </row>
    <row r="2112" spans="1:16" ht="15.75" thickBot="1" x14ac:dyDescent="0.3">
      <c r="A2112" s="90"/>
      <c r="B2112" s="23" t="s">
        <v>1426</v>
      </c>
      <c r="C2112" s="23" t="s">
        <v>1427</v>
      </c>
      <c r="D2112" s="23">
        <v>54</v>
      </c>
      <c r="E2112" s="23" t="s">
        <v>769</v>
      </c>
      <c r="F2112" s="23">
        <v>1</v>
      </c>
      <c r="G2112" s="23" t="s">
        <v>16</v>
      </c>
      <c r="H2112" s="23" t="s">
        <v>17</v>
      </c>
      <c r="I2112" s="24">
        <v>4003568</v>
      </c>
      <c r="J2112" s="23" t="s">
        <v>656</v>
      </c>
      <c r="K2112" s="23">
        <v>99</v>
      </c>
      <c r="L2112" s="23" t="s">
        <v>15</v>
      </c>
      <c r="M2112" s="25">
        <v>10000</v>
      </c>
      <c r="N2112" s="23" t="s">
        <v>1</v>
      </c>
      <c r="O2112" s="26">
        <f t="shared" si="510"/>
        <v>1</v>
      </c>
      <c r="P2112" s="27">
        <f>O2112*$P$2110</f>
        <v>12</v>
      </c>
    </row>
    <row r="2113" spans="1:16" x14ac:dyDescent="0.25">
      <c r="B2113" s="1"/>
      <c r="C2113" s="1"/>
      <c r="D2113" s="1"/>
      <c r="E2113" s="1"/>
      <c r="F2113" s="1"/>
      <c r="G2113" s="1"/>
      <c r="H2113" s="1"/>
      <c r="I2113" s="2"/>
      <c r="J2113" s="1"/>
      <c r="K2113" s="1"/>
      <c r="L2113" s="1"/>
      <c r="M2113" s="3"/>
      <c r="N2113" s="1"/>
    </row>
    <row r="2114" spans="1:16" ht="15.75" thickBot="1" x14ac:dyDescent="0.3">
      <c r="B2114" s="1"/>
      <c r="C2114" s="1"/>
      <c r="D2114" s="1"/>
      <c r="E2114" s="1"/>
      <c r="F2114" s="1"/>
      <c r="G2114" s="1"/>
      <c r="H2114" s="1"/>
      <c r="I2114" s="2"/>
      <c r="J2114" s="1"/>
      <c r="K2114" s="1"/>
      <c r="L2114" s="1"/>
      <c r="M2114" s="3"/>
      <c r="N2114" s="1"/>
      <c r="P2114" s="11">
        <f>IFERROR(VLOOKUP($A2115,'PROGRAMA MES '!$A:$B,2,0),0)</f>
        <v>36</v>
      </c>
    </row>
    <row r="2115" spans="1:16" x14ac:dyDescent="0.25">
      <c r="A2115" s="89" t="str">
        <f>B2115</f>
        <v>SP93240CZ</v>
      </c>
      <c r="B2115" s="17" t="s">
        <v>1429</v>
      </c>
      <c r="C2115" s="17" t="s">
        <v>1430</v>
      </c>
      <c r="D2115" s="17">
        <v>54</v>
      </c>
      <c r="E2115" s="17" t="s">
        <v>769</v>
      </c>
      <c r="F2115" s="17">
        <v>1</v>
      </c>
      <c r="G2115" s="17" t="s">
        <v>35</v>
      </c>
      <c r="H2115" s="17" t="s">
        <v>17</v>
      </c>
      <c r="I2115" s="18">
        <v>3005992</v>
      </c>
      <c r="J2115" s="17" t="s">
        <v>1431</v>
      </c>
      <c r="K2115" s="17">
        <v>99</v>
      </c>
      <c r="L2115" s="17" t="s">
        <v>15</v>
      </c>
      <c r="M2115" s="19">
        <v>10000</v>
      </c>
      <c r="N2115" s="17" t="s">
        <v>1</v>
      </c>
      <c r="O2115" s="20">
        <f t="shared" ref="O2115:O2116" si="511">M2115/10000</f>
        <v>1</v>
      </c>
      <c r="P2115" s="21">
        <f>O2115*$P$2114</f>
        <v>36</v>
      </c>
    </row>
    <row r="2116" spans="1:16" ht="15.75" thickBot="1" x14ac:dyDescent="0.3">
      <c r="A2116" s="90"/>
      <c r="B2116" s="23" t="s">
        <v>1429</v>
      </c>
      <c r="C2116" s="23" t="s">
        <v>1430</v>
      </c>
      <c r="D2116" s="23">
        <v>54</v>
      </c>
      <c r="E2116" s="23" t="s">
        <v>769</v>
      </c>
      <c r="F2116" s="23">
        <v>1</v>
      </c>
      <c r="G2116" s="23" t="s">
        <v>16</v>
      </c>
      <c r="H2116" s="23" t="s">
        <v>17</v>
      </c>
      <c r="I2116" s="24">
        <v>4003568</v>
      </c>
      <c r="J2116" s="23" t="s">
        <v>656</v>
      </c>
      <c r="K2116" s="23">
        <v>99</v>
      </c>
      <c r="L2116" s="23" t="s">
        <v>15</v>
      </c>
      <c r="M2116" s="25">
        <v>10000</v>
      </c>
      <c r="N2116" s="23" t="s">
        <v>1</v>
      </c>
      <c r="O2116" s="26">
        <f t="shared" si="511"/>
        <v>1</v>
      </c>
      <c r="P2116" s="27">
        <f>O2116*$P$2114</f>
        <v>36</v>
      </c>
    </row>
    <row r="2117" spans="1:16" x14ac:dyDescent="0.25">
      <c r="B2117" s="1"/>
      <c r="C2117" s="1"/>
      <c r="D2117" s="1"/>
      <c r="E2117" s="1"/>
      <c r="F2117" s="1"/>
      <c r="G2117" s="1"/>
      <c r="H2117" s="1"/>
      <c r="I2117" s="2"/>
      <c r="J2117" s="1"/>
      <c r="K2117" s="1"/>
      <c r="L2117" s="1"/>
      <c r="M2117" s="3"/>
      <c r="N2117" s="1"/>
    </row>
    <row r="2118" spans="1:16" ht="15.75" thickBot="1" x14ac:dyDescent="0.3">
      <c r="B2118" s="1"/>
      <c r="C2118" s="1"/>
      <c r="D2118" s="1"/>
      <c r="E2118" s="1"/>
      <c r="F2118" s="1"/>
      <c r="G2118" s="1"/>
      <c r="H2118" s="1"/>
      <c r="I2118" s="2"/>
      <c r="J2118" s="1"/>
      <c r="K2118" s="1"/>
      <c r="L2118" s="1"/>
      <c r="M2118" s="3"/>
      <c r="N2118" s="1"/>
      <c r="P2118" s="11">
        <f>IFERROR(VLOOKUP($A2119,'PROGRAMA MES '!$A:$B,2,0),0)</f>
        <v>360</v>
      </c>
    </row>
    <row r="2119" spans="1:16" x14ac:dyDescent="0.25">
      <c r="A2119" s="89" t="str">
        <f>B2119</f>
        <v>SP9340F</v>
      </c>
      <c r="B2119" s="17" t="s">
        <v>1432</v>
      </c>
      <c r="C2119" s="17" t="s">
        <v>1433</v>
      </c>
      <c r="D2119" s="17">
        <v>99</v>
      </c>
      <c r="E2119" s="17" t="s">
        <v>15</v>
      </c>
      <c r="F2119" s="17">
        <v>1</v>
      </c>
      <c r="G2119" s="17" t="s">
        <v>35</v>
      </c>
      <c r="H2119" s="17" t="s">
        <v>17</v>
      </c>
      <c r="I2119" s="18">
        <v>3000086</v>
      </c>
      <c r="J2119" s="17" t="s">
        <v>1434</v>
      </c>
      <c r="K2119" s="17">
        <v>99</v>
      </c>
      <c r="L2119" s="17" t="s">
        <v>15</v>
      </c>
      <c r="M2119" s="19">
        <v>10000</v>
      </c>
      <c r="N2119" s="17" t="s">
        <v>1</v>
      </c>
      <c r="O2119" s="20">
        <f t="shared" ref="O2119:O2122" si="512">M2119/10000</f>
        <v>1</v>
      </c>
      <c r="P2119" s="21">
        <f>O2119*$P$2118</f>
        <v>360</v>
      </c>
    </row>
    <row r="2120" spans="1:16" x14ac:dyDescent="0.25">
      <c r="A2120" s="91"/>
      <c r="B2120" s="13" t="s">
        <v>1432</v>
      </c>
      <c r="C2120" s="13" t="s">
        <v>1433</v>
      </c>
      <c r="D2120" s="13">
        <v>99</v>
      </c>
      <c r="E2120" s="13" t="s">
        <v>15</v>
      </c>
      <c r="F2120" s="13">
        <v>1</v>
      </c>
      <c r="G2120" s="13" t="s">
        <v>16</v>
      </c>
      <c r="H2120" s="13" t="s">
        <v>17</v>
      </c>
      <c r="I2120" s="14">
        <v>4002546</v>
      </c>
      <c r="J2120" s="13" t="s">
        <v>179</v>
      </c>
      <c r="K2120" s="13">
        <v>99</v>
      </c>
      <c r="L2120" s="13" t="s">
        <v>15</v>
      </c>
      <c r="M2120" s="15">
        <v>1670</v>
      </c>
      <c r="N2120" s="13" t="s">
        <v>1</v>
      </c>
      <c r="O2120" s="16">
        <f t="shared" si="512"/>
        <v>0.16700000000000001</v>
      </c>
      <c r="P2120" s="22">
        <f t="shared" ref="P2120:P2122" si="513">O2120*$P$2118</f>
        <v>60.120000000000005</v>
      </c>
    </row>
    <row r="2121" spans="1:16" x14ac:dyDescent="0.25">
      <c r="A2121" s="91"/>
      <c r="B2121" s="13" t="s">
        <v>1432</v>
      </c>
      <c r="C2121" s="13" t="s">
        <v>1433</v>
      </c>
      <c r="D2121" s="13">
        <v>99</v>
      </c>
      <c r="E2121" s="13" t="s">
        <v>15</v>
      </c>
      <c r="F2121" s="13">
        <v>1</v>
      </c>
      <c r="G2121" s="13" t="s">
        <v>16</v>
      </c>
      <c r="H2121" s="13" t="s">
        <v>17</v>
      </c>
      <c r="I2121" s="14">
        <v>4002827</v>
      </c>
      <c r="J2121" s="13" t="s">
        <v>0</v>
      </c>
      <c r="K2121" s="13">
        <v>99</v>
      </c>
      <c r="L2121" s="13" t="s">
        <v>15</v>
      </c>
      <c r="M2121" s="15">
        <v>3500</v>
      </c>
      <c r="N2121" s="13" t="s">
        <v>2</v>
      </c>
      <c r="O2121" s="16">
        <f t="shared" si="512"/>
        <v>0.35</v>
      </c>
      <c r="P2121" s="22">
        <f t="shared" si="513"/>
        <v>125.99999999999999</v>
      </c>
    </row>
    <row r="2122" spans="1:16" ht="15.75" thickBot="1" x14ac:dyDescent="0.3">
      <c r="A2122" s="90"/>
      <c r="B2122" s="23" t="s">
        <v>1432</v>
      </c>
      <c r="C2122" s="23" t="s">
        <v>1433</v>
      </c>
      <c r="D2122" s="23">
        <v>99</v>
      </c>
      <c r="E2122" s="23" t="s">
        <v>15</v>
      </c>
      <c r="F2122" s="23">
        <v>1</v>
      </c>
      <c r="G2122" s="23" t="s">
        <v>16</v>
      </c>
      <c r="H2122" s="23" t="s">
        <v>17</v>
      </c>
      <c r="I2122" s="24">
        <v>4004113</v>
      </c>
      <c r="J2122" s="23" t="s">
        <v>646</v>
      </c>
      <c r="K2122" s="23">
        <v>99</v>
      </c>
      <c r="L2122" s="23" t="s">
        <v>15</v>
      </c>
      <c r="M2122" s="25">
        <v>1670</v>
      </c>
      <c r="N2122" s="23" t="s">
        <v>1</v>
      </c>
      <c r="O2122" s="26">
        <f t="shared" si="512"/>
        <v>0.16700000000000001</v>
      </c>
      <c r="P2122" s="27">
        <f t="shared" si="513"/>
        <v>60.120000000000005</v>
      </c>
    </row>
    <row r="2123" spans="1:16" x14ac:dyDescent="0.25">
      <c r="B2123" s="1"/>
      <c r="C2123" s="1"/>
      <c r="D2123" s="1"/>
      <c r="E2123" s="1"/>
      <c r="F2123" s="1"/>
      <c r="G2123" s="1"/>
      <c r="H2123" s="1"/>
      <c r="I2123" s="2"/>
      <c r="J2123" s="1"/>
      <c r="K2123" s="1"/>
      <c r="L2123" s="1"/>
      <c r="M2123" s="3"/>
      <c r="N2123" s="1"/>
    </row>
    <row r="2124" spans="1:16" ht="15.75" thickBot="1" x14ac:dyDescent="0.3">
      <c r="B2124" s="1"/>
      <c r="C2124" s="1"/>
      <c r="D2124" s="1"/>
      <c r="E2124" s="1"/>
      <c r="F2124" s="1"/>
      <c r="G2124" s="1"/>
      <c r="H2124" s="1"/>
      <c r="I2124" s="2"/>
      <c r="J2124" s="1"/>
      <c r="K2124" s="1"/>
      <c r="L2124" s="1"/>
      <c r="M2124" s="3"/>
      <c r="N2124" s="1"/>
      <c r="P2124" s="11">
        <f>IFERROR(VLOOKUP($A2125,'PROGRAMA MES '!$A:$B,2,0),0)</f>
        <v>1200</v>
      </c>
    </row>
    <row r="2125" spans="1:16" x14ac:dyDescent="0.25">
      <c r="A2125" s="89" t="str">
        <f>B2125</f>
        <v>SP9347</v>
      </c>
      <c r="B2125" s="17" t="s">
        <v>1435</v>
      </c>
      <c r="C2125" s="17" t="s">
        <v>1436</v>
      </c>
      <c r="D2125" s="17">
        <v>99</v>
      </c>
      <c r="E2125" s="17" t="s">
        <v>15</v>
      </c>
      <c r="F2125" s="17">
        <v>1</v>
      </c>
      <c r="G2125" s="17" t="s">
        <v>35</v>
      </c>
      <c r="H2125" s="17" t="s">
        <v>17</v>
      </c>
      <c r="I2125" s="18">
        <v>3001710</v>
      </c>
      <c r="J2125" s="17" t="s">
        <v>1437</v>
      </c>
      <c r="K2125" s="17">
        <v>99</v>
      </c>
      <c r="L2125" s="17" t="s">
        <v>15</v>
      </c>
      <c r="M2125" s="19">
        <v>10000</v>
      </c>
      <c r="N2125" s="17" t="s">
        <v>1</v>
      </c>
      <c r="O2125" s="20">
        <f t="shared" ref="O2125:O2131" si="514">M2125/10000</f>
        <v>1</v>
      </c>
      <c r="P2125" s="21">
        <f>O2125*$P$2124</f>
        <v>1200</v>
      </c>
    </row>
    <row r="2126" spans="1:16" x14ac:dyDescent="0.25">
      <c r="A2126" s="91"/>
      <c r="B2126" s="13" t="s">
        <v>1435</v>
      </c>
      <c r="C2126" s="13" t="s">
        <v>1436</v>
      </c>
      <c r="D2126" s="13">
        <v>99</v>
      </c>
      <c r="E2126" s="13" t="s">
        <v>15</v>
      </c>
      <c r="F2126" s="13">
        <v>1</v>
      </c>
      <c r="G2126" s="13" t="s">
        <v>35</v>
      </c>
      <c r="H2126" s="13" t="s">
        <v>17</v>
      </c>
      <c r="I2126" s="14">
        <v>3003211</v>
      </c>
      <c r="J2126" s="13" t="s">
        <v>1438</v>
      </c>
      <c r="K2126" s="13">
        <v>99</v>
      </c>
      <c r="L2126" s="13" t="s">
        <v>15</v>
      </c>
      <c r="M2126" s="15">
        <v>10000</v>
      </c>
      <c r="N2126" s="13" t="s">
        <v>1</v>
      </c>
      <c r="O2126" s="16">
        <f t="shared" si="514"/>
        <v>1</v>
      </c>
      <c r="P2126" s="22">
        <f t="shared" ref="P2126:P2131" si="515">O2126*$P$2124</f>
        <v>1200</v>
      </c>
    </row>
    <row r="2127" spans="1:16" x14ac:dyDescent="0.25">
      <c r="A2127" s="91"/>
      <c r="B2127" s="13" t="s">
        <v>1435</v>
      </c>
      <c r="C2127" s="13" t="s">
        <v>1436</v>
      </c>
      <c r="D2127" s="13">
        <v>99</v>
      </c>
      <c r="E2127" s="13" t="s">
        <v>15</v>
      </c>
      <c r="F2127" s="13">
        <v>1</v>
      </c>
      <c r="G2127" s="13" t="s">
        <v>16</v>
      </c>
      <c r="H2127" s="13" t="s">
        <v>17</v>
      </c>
      <c r="I2127" s="14">
        <v>4001359</v>
      </c>
      <c r="J2127" s="13" t="s">
        <v>1439</v>
      </c>
      <c r="K2127" s="13">
        <v>99</v>
      </c>
      <c r="L2127" s="13" t="s">
        <v>15</v>
      </c>
      <c r="M2127" s="15">
        <v>1667</v>
      </c>
      <c r="N2127" s="13" t="s">
        <v>1</v>
      </c>
      <c r="O2127" s="16">
        <f t="shared" si="514"/>
        <v>0.16669999999999999</v>
      </c>
      <c r="P2127" s="22">
        <f t="shared" si="515"/>
        <v>200.04</v>
      </c>
    </row>
    <row r="2128" spans="1:16" x14ac:dyDescent="0.25">
      <c r="A2128" s="91"/>
      <c r="B2128" s="13" t="s">
        <v>1435</v>
      </c>
      <c r="C2128" s="13" t="s">
        <v>1436</v>
      </c>
      <c r="D2128" s="13">
        <v>99</v>
      </c>
      <c r="E2128" s="13" t="s">
        <v>15</v>
      </c>
      <c r="F2128" s="13">
        <v>1</v>
      </c>
      <c r="G2128" s="13" t="s">
        <v>16</v>
      </c>
      <c r="H2128" s="13" t="s">
        <v>17</v>
      </c>
      <c r="I2128" s="14">
        <v>4002546</v>
      </c>
      <c r="J2128" s="13" t="s">
        <v>179</v>
      </c>
      <c r="K2128" s="13">
        <v>99</v>
      </c>
      <c r="L2128" s="13" t="s">
        <v>15</v>
      </c>
      <c r="M2128" s="13">
        <v>834</v>
      </c>
      <c r="N2128" s="13" t="s">
        <v>1</v>
      </c>
      <c r="O2128" s="16">
        <f t="shared" si="514"/>
        <v>8.3400000000000002E-2</v>
      </c>
      <c r="P2128" s="22">
        <f t="shared" si="515"/>
        <v>100.08</v>
      </c>
    </row>
    <row r="2129" spans="1:16" x14ac:dyDescent="0.25">
      <c r="A2129" s="91"/>
      <c r="B2129" s="13" t="s">
        <v>1435</v>
      </c>
      <c r="C2129" s="13" t="s">
        <v>1436</v>
      </c>
      <c r="D2129" s="13">
        <v>99</v>
      </c>
      <c r="E2129" s="13" t="s">
        <v>15</v>
      </c>
      <c r="F2129" s="13">
        <v>1</v>
      </c>
      <c r="G2129" s="13" t="s">
        <v>16</v>
      </c>
      <c r="H2129" s="13" t="s">
        <v>17</v>
      </c>
      <c r="I2129" s="14">
        <v>4004710</v>
      </c>
      <c r="J2129" s="13" t="s">
        <v>180</v>
      </c>
      <c r="K2129" s="13">
        <v>99</v>
      </c>
      <c r="L2129" s="13" t="s">
        <v>15</v>
      </c>
      <c r="M2129" s="13">
        <v>834</v>
      </c>
      <c r="N2129" s="13" t="s">
        <v>1</v>
      </c>
      <c r="O2129" s="16">
        <f t="shared" si="514"/>
        <v>8.3400000000000002E-2</v>
      </c>
      <c r="P2129" s="22">
        <f t="shared" si="515"/>
        <v>100.08</v>
      </c>
    </row>
    <row r="2130" spans="1:16" x14ac:dyDescent="0.25">
      <c r="A2130" s="91"/>
      <c r="B2130" s="13" t="s">
        <v>1435</v>
      </c>
      <c r="C2130" s="13" t="s">
        <v>1436</v>
      </c>
      <c r="D2130" s="13">
        <v>99</v>
      </c>
      <c r="E2130" s="13" t="s">
        <v>15</v>
      </c>
      <c r="F2130" s="13">
        <v>1</v>
      </c>
      <c r="G2130" s="13" t="s">
        <v>16</v>
      </c>
      <c r="H2130" s="13" t="s">
        <v>17</v>
      </c>
      <c r="I2130" s="14">
        <v>4008664</v>
      </c>
      <c r="J2130" s="13" t="s">
        <v>1440</v>
      </c>
      <c r="K2130" s="13">
        <v>99</v>
      </c>
      <c r="L2130" s="13" t="s">
        <v>15</v>
      </c>
      <c r="M2130" s="15">
        <v>10000</v>
      </c>
      <c r="N2130" s="13" t="s">
        <v>1</v>
      </c>
      <c r="O2130" s="16">
        <f t="shared" si="514"/>
        <v>1</v>
      </c>
      <c r="P2130" s="22">
        <f t="shared" si="515"/>
        <v>1200</v>
      </c>
    </row>
    <row r="2131" spans="1:16" ht="15.75" thickBot="1" x14ac:dyDescent="0.3">
      <c r="A2131" s="90"/>
      <c r="B2131" s="23" t="s">
        <v>1435</v>
      </c>
      <c r="C2131" s="23" t="s">
        <v>1436</v>
      </c>
      <c r="D2131" s="23">
        <v>99</v>
      </c>
      <c r="E2131" s="23" t="s">
        <v>15</v>
      </c>
      <c r="F2131" s="23">
        <v>1</v>
      </c>
      <c r="G2131" s="23" t="s">
        <v>16</v>
      </c>
      <c r="H2131" s="23" t="s">
        <v>17</v>
      </c>
      <c r="I2131" s="24">
        <v>4016160</v>
      </c>
      <c r="J2131" s="23" t="s">
        <v>69</v>
      </c>
      <c r="K2131" s="23">
        <v>99</v>
      </c>
      <c r="L2131" s="23" t="s">
        <v>15</v>
      </c>
      <c r="M2131" s="23">
        <v>10</v>
      </c>
      <c r="N2131" s="23" t="s">
        <v>3</v>
      </c>
      <c r="O2131" s="26">
        <f t="shared" si="514"/>
        <v>1E-3</v>
      </c>
      <c r="P2131" s="27">
        <f t="shared" si="515"/>
        <v>1.2</v>
      </c>
    </row>
    <row r="2132" spans="1:16" x14ac:dyDescent="0.25">
      <c r="B2132" s="1"/>
      <c r="C2132" s="1"/>
      <c r="D2132" s="1"/>
      <c r="E2132" s="1"/>
      <c r="F2132" s="1"/>
      <c r="G2132" s="1"/>
      <c r="H2132" s="1"/>
      <c r="I2132" s="2"/>
      <c r="J2132" s="1"/>
      <c r="K2132" s="1"/>
      <c r="L2132" s="1"/>
      <c r="M2132" s="1"/>
      <c r="N2132" s="1"/>
    </row>
    <row r="2133" spans="1:16" ht="15.75" thickBot="1" x14ac:dyDescent="0.3">
      <c r="B2133" s="1"/>
      <c r="C2133" s="1"/>
      <c r="D2133" s="1"/>
      <c r="E2133" s="1"/>
      <c r="F2133" s="1"/>
      <c r="G2133" s="1"/>
      <c r="H2133" s="1"/>
      <c r="I2133" s="2"/>
      <c r="J2133" s="1"/>
      <c r="K2133" s="1"/>
      <c r="L2133" s="1"/>
      <c r="M2133" s="1"/>
      <c r="N2133" s="1"/>
      <c r="P2133" s="11">
        <f>IFERROR(VLOOKUP($A2134,'PROGRAMA MES '!$A:$B,2,0),0)</f>
        <v>0</v>
      </c>
    </row>
    <row r="2134" spans="1:16" x14ac:dyDescent="0.25">
      <c r="A2134" s="89" t="str">
        <f>B2134</f>
        <v>SP9348</v>
      </c>
      <c r="B2134" s="17" t="s">
        <v>1441</v>
      </c>
      <c r="C2134" s="17" t="s">
        <v>1442</v>
      </c>
      <c r="D2134" s="17">
        <v>99</v>
      </c>
      <c r="E2134" s="17" t="s">
        <v>15</v>
      </c>
      <c r="F2134" s="17">
        <v>1</v>
      </c>
      <c r="G2134" s="17" t="s">
        <v>35</v>
      </c>
      <c r="H2134" s="17" t="s">
        <v>17</v>
      </c>
      <c r="I2134" s="18">
        <v>3001710</v>
      </c>
      <c r="J2134" s="17" t="s">
        <v>1437</v>
      </c>
      <c r="K2134" s="17">
        <v>99</v>
      </c>
      <c r="L2134" s="17" t="s">
        <v>15</v>
      </c>
      <c r="M2134" s="19">
        <v>10000</v>
      </c>
      <c r="N2134" s="17" t="s">
        <v>1</v>
      </c>
      <c r="O2134" s="20">
        <f t="shared" ref="O2134:O2140" si="516">M2134/10000</f>
        <v>1</v>
      </c>
      <c r="P2134" s="21">
        <f>O2134*$P$2133</f>
        <v>0</v>
      </c>
    </row>
    <row r="2135" spans="1:16" x14ac:dyDescent="0.25">
      <c r="A2135" s="91"/>
      <c r="B2135" s="13" t="s">
        <v>1441</v>
      </c>
      <c r="C2135" s="13" t="s">
        <v>1442</v>
      </c>
      <c r="D2135" s="13">
        <v>99</v>
      </c>
      <c r="E2135" s="13" t="s">
        <v>15</v>
      </c>
      <c r="F2135" s="13">
        <v>1</v>
      </c>
      <c r="G2135" s="13" t="s">
        <v>35</v>
      </c>
      <c r="H2135" s="13" t="s">
        <v>17</v>
      </c>
      <c r="I2135" s="14">
        <v>3001711</v>
      </c>
      <c r="J2135" s="13" t="s">
        <v>1443</v>
      </c>
      <c r="K2135" s="13">
        <v>99</v>
      </c>
      <c r="L2135" s="13" t="s">
        <v>15</v>
      </c>
      <c r="M2135" s="15">
        <v>10000</v>
      </c>
      <c r="N2135" s="13" t="s">
        <v>1</v>
      </c>
      <c r="O2135" s="16">
        <f t="shared" si="516"/>
        <v>1</v>
      </c>
      <c r="P2135" s="22">
        <f t="shared" ref="P2135:P2140" si="517">O2135*$P$2133</f>
        <v>0</v>
      </c>
    </row>
    <row r="2136" spans="1:16" x14ac:dyDescent="0.25">
      <c r="A2136" s="91"/>
      <c r="B2136" s="13" t="s">
        <v>1441</v>
      </c>
      <c r="C2136" s="13" t="s">
        <v>1442</v>
      </c>
      <c r="D2136" s="13">
        <v>99</v>
      </c>
      <c r="E2136" s="13" t="s">
        <v>15</v>
      </c>
      <c r="F2136" s="13">
        <v>1</v>
      </c>
      <c r="G2136" s="13" t="s">
        <v>16</v>
      </c>
      <c r="H2136" s="13" t="s">
        <v>17</v>
      </c>
      <c r="I2136" s="14">
        <v>4001359</v>
      </c>
      <c r="J2136" s="13" t="s">
        <v>1439</v>
      </c>
      <c r="K2136" s="13">
        <v>99</v>
      </c>
      <c r="L2136" s="13" t="s">
        <v>15</v>
      </c>
      <c r="M2136" s="15">
        <v>1667</v>
      </c>
      <c r="N2136" s="13" t="s">
        <v>1</v>
      </c>
      <c r="O2136" s="16">
        <f t="shared" si="516"/>
        <v>0.16669999999999999</v>
      </c>
      <c r="P2136" s="22">
        <f t="shared" si="517"/>
        <v>0</v>
      </c>
    </row>
    <row r="2137" spans="1:16" x14ac:dyDescent="0.25">
      <c r="A2137" s="91"/>
      <c r="B2137" s="13" t="s">
        <v>1441</v>
      </c>
      <c r="C2137" s="13" t="s">
        <v>1442</v>
      </c>
      <c r="D2137" s="13">
        <v>99</v>
      </c>
      <c r="E2137" s="13" t="s">
        <v>15</v>
      </c>
      <c r="F2137" s="13">
        <v>1</v>
      </c>
      <c r="G2137" s="13" t="s">
        <v>16</v>
      </c>
      <c r="H2137" s="13" t="s">
        <v>17</v>
      </c>
      <c r="I2137" s="14">
        <v>4002546</v>
      </c>
      <c r="J2137" s="13" t="s">
        <v>179</v>
      </c>
      <c r="K2137" s="13">
        <v>99</v>
      </c>
      <c r="L2137" s="13" t="s">
        <v>15</v>
      </c>
      <c r="M2137" s="13">
        <v>834</v>
      </c>
      <c r="N2137" s="13" t="s">
        <v>1</v>
      </c>
      <c r="O2137" s="16">
        <f t="shared" si="516"/>
        <v>8.3400000000000002E-2</v>
      </c>
      <c r="P2137" s="22">
        <f t="shared" si="517"/>
        <v>0</v>
      </c>
    </row>
    <row r="2138" spans="1:16" x14ac:dyDescent="0.25">
      <c r="A2138" s="91"/>
      <c r="B2138" s="13" t="s">
        <v>1441</v>
      </c>
      <c r="C2138" s="13" t="s">
        <v>1442</v>
      </c>
      <c r="D2138" s="13">
        <v>99</v>
      </c>
      <c r="E2138" s="13" t="s">
        <v>15</v>
      </c>
      <c r="F2138" s="13">
        <v>1</v>
      </c>
      <c r="G2138" s="13" t="s">
        <v>16</v>
      </c>
      <c r="H2138" s="13" t="s">
        <v>17</v>
      </c>
      <c r="I2138" s="14">
        <v>4004710</v>
      </c>
      <c r="J2138" s="13" t="s">
        <v>180</v>
      </c>
      <c r="K2138" s="13">
        <v>99</v>
      </c>
      <c r="L2138" s="13" t="s">
        <v>15</v>
      </c>
      <c r="M2138" s="13">
        <v>834</v>
      </c>
      <c r="N2138" s="13" t="s">
        <v>1</v>
      </c>
      <c r="O2138" s="16">
        <f t="shared" si="516"/>
        <v>8.3400000000000002E-2</v>
      </c>
      <c r="P2138" s="22">
        <f t="shared" si="517"/>
        <v>0</v>
      </c>
    </row>
    <row r="2139" spans="1:16" x14ac:dyDescent="0.25">
      <c r="A2139" s="91"/>
      <c r="B2139" s="13" t="s">
        <v>1441</v>
      </c>
      <c r="C2139" s="13" t="s">
        <v>1442</v>
      </c>
      <c r="D2139" s="13">
        <v>99</v>
      </c>
      <c r="E2139" s="13" t="s">
        <v>15</v>
      </c>
      <c r="F2139" s="13">
        <v>1</v>
      </c>
      <c r="G2139" s="13" t="s">
        <v>16</v>
      </c>
      <c r="H2139" s="13" t="s">
        <v>17</v>
      </c>
      <c r="I2139" s="14">
        <v>4004881</v>
      </c>
      <c r="J2139" s="13" t="s">
        <v>1444</v>
      </c>
      <c r="K2139" s="13">
        <v>99</v>
      </c>
      <c r="L2139" s="13" t="s">
        <v>15</v>
      </c>
      <c r="M2139" s="15">
        <v>10000</v>
      </c>
      <c r="N2139" s="13" t="s">
        <v>1</v>
      </c>
      <c r="O2139" s="16">
        <f t="shared" si="516"/>
        <v>1</v>
      </c>
      <c r="P2139" s="22">
        <f t="shared" si="517"/>
        <v>0</v>
      </c>
    </row>
    <row r="2140" spans="1:16" ht="15.75" thickBot="1" x14ac:dyDescent="0.3">
      <c r="A2140" s="90"/>
      <c r="B2140" s="23" t="s">
        <v>1441</v>
      </c>
      <c r="C2140" s="23" t="s">
        <v>1442</v>
      </c>
      <c r="D2140" s="23">
        <v>99</v>
      </c>
      <c r="E2140" s="23" t="s">
        <v>15</v>
      </c>
      <c r="F2140" s="23">
        <v>1</v>
      </c>
      <c r="G2140" s="23" t="s">
        <v>16</v>
      </c>
      <c r="H2140" s="23" t="s">
        <v>17</v>
      </c>
      <c r="I2140" s="24">
        <v>4016160</v>
      </c>
      <c r="J2140" s="23" t="s">
        <v>69</v>
      </c>
      <c r="K2140" s="23">
        <v>99</v>
      </c>
      <c r="L2140" s="23" t="s">
        <v>15</v>
      </c>
      <c r="M2140" s="23">
        <v>10</v>
      </c>
      <c r="N2140" s="23" t="s">
        <v>3</v>
      </c>
      <c r="O2140" s="26">
        <f t="shared" si="516"/>
        <v>1E-3</v>
      </c>
      <c r="P2140" s="27">
        <f t="shared" si="517"/>
        <v>0</v>
      </c>
    </row>
    <row r="2141" spans="1:16" x14ac:dyDescent="0.25">
      <c r="B2141" s="1"/>
      <c r="C2141" s="1"/>
      <c r="D2141" s="1"/>
      <c r="E2141" s="1"/>
      <c r="F2141" s="1"/>
      <c r="G2141" s="1"/>
      <c r="H2141" s="1"/>
      <c r="I2141" s="2"/>
      <c r="J2141" s="1"/>
      <c r="K2141" s="1"/>
      <c r="L2141" s="1"/>
      <c r="M2141" s="1"/>
      <c r="N2141" s="1"/>
    </row>
    <row r="2142" spans="1:16" ht="15.75" thickBot="1" x14ac:dyDescent="0.3">
      <c r="B2142" s="1"/>
      <c r="C2142" s="1"/>
      <c r="D2142" s="1"/>
      <c r="E2142" s="1"/>
      <c r="F2142" s="1"/>
      <c r="G2142" s="1"/>
      <c r="H2142" s="1"/>
      <c r="I2142" s="2"/>
      <c r="J2142" s="1"/>
      <c r="K2142" s="1"/>
      <c r="L2142" s="1"/>
      <c r="M2142" s="1"/>
      <c r="N2142" s="1"/>
      <c r="P2142" s="11">
        <f>IFERROR(VLOOKUP($A2143,'PROGRAMA MES '!$A:$B,2,0),0)</f>
        <v>6000</v>
      </c>
    </row>
    <row r="2143" spans="1:16" x14ac:dyDescent="0.25">
      <c r="A2143" s="89" t="str">
        <f>B2143</f>
        <v>SP9349</v>
      </c>
      <c r="B2143" s="17" t="s">
        <v>1445</v>
      </c>
      <c r="C2143" s="17" t="s">
        <v>1446</v>
      </c>
      <c r="D2143" s="17">
        <v>54</v>
      </c>
      <c r="E2143" s="17" t="s">
        <v>769</v>
      </c>
      <c r="F2143" s="17">
        <v>1</v>
      </c>
      <c r="G2143" s="17" t="s">
        <v>35</v>
      </c>
      <c r="H2143" s="17" t="s">
        <v>17</v>
      </c>
      <c r="I2143" s="18">
        <v>3001710</v>
      </c>
      <c r="J2143" s="17" t="s">
        <v>1437</v>
      </c>
      <c r="K2143" s="17">
        <v>99</v>
      </c>
      <c r="L2143" s="17" t="s">
        <v>15</v>
      </c>
      <c r="M2143" s="19">
        <v>10000</v>
      </c>
      <c r="N2143" s="17" t="s">
        <v>1</v>
      </c>
      <c r="O2143" s="20">
        <f t="shared" ref="O2143:O2148" si="518">M2143/10000</f>
        <v>1</v>
      </c>
      <c r="P2143" s="21">
        <f>O2143*$P$2142</f>
        <v>6000</v>
      </c>
    </row>
    <row r="2144" spans="1:16" x14ac:dyDescent="0.25">
      <c r="A2144" s="91"/>
      <c r="B2144" s="13" t="s">
        <v>1445</v>
      </c>
      <c r="C2144" s="13" t="s">
        <v>1446</v>
      </c>
      <c r="D2144" s="13">
        <v>54</v>
      </c>
      <c r="E2144" s="13" t="s">
        <v>769</v>
      </c>
      <c r="F2144" s="13">
        <v>1</v>
      </c>
      <c r="G2144" s="13" t="s">
        <v>35</v>
      </c>
      <c r="H2144" s="13" t="s">
        <v>17</v>
      </c>
      <c r="I2144" s="14">
        <v>3006030</v>
      </c>
      <c r="J2144" s="13" t="s">
        <v>1447</v>
      </c>
      <c r="K2144" s="13">
        <v>99</v>
      </c>
      <c r="L2144" s="13" t="s">
        <v>15</v>
      </c>
      <c r="M2144" s="15">
        <v>10000</v>
      </c>
      <c r="N2144" s="13" t="s">
        <v>1</v>
      </c>
      <c r="O2144" s="16">
        <f t="shared" si="518"/>
        <v>1</v>
      </c>
      <c r="P2144" s="22">
        <f t="shared" ref="P2144:P2148" si="519">O2144*$P$2142</f>
        <v>6000</v>
      </c>
    </row>
    <row r="2145" spans="1:16" x14ac:dyDescent="0.25">
      <c r="A2145" s="91"/>
      <c r="B2145" s="13" t="s">
        <v>1445</v>
      </c>
      <c r="C2145" s="13" t="s">
        <v>1446</v>
      </c>
      <c r="D2145" s="13">
        <v>54</v>
      </c>
      <c r="E2145" s="13" t="s">
        <v>769</v>
      </c>
      <c r="F2145" s="13">
        <v>1</v>
      </c>
      <c r="G2145" s="13" t="s">
        <v>16</v>
      </c>
      <c r="H2145" s="13" t="s">
        <v>17</v>
      </c>
      <c r="I2145" s="14">
        <v>4001359</v>
      </c>
      <c r="J2145" s="13" t="s">
        <v>1439</v>
      </c>
      <c r="K2145" s="13">
        <v>99</v>
      </c>
      <c r="L2145" s="13" t="s">
        <v>15</v>
      </c>
      <c r="M2145" s="15">
        <v>1667</v>
      </c>
      <c r="N2145" s="13" t="s">
        <v>1</v>
      </c>
      <c r="O2145" s="16">
        <f t="shared" si="518"/>
        <v>0.16669999999999999</v>
      </c>
      <c r="P2145" s="22">
        <f t="shared" si="519"/>
        <v>1000.1999999999999</v>
      </c>
    </row>
    <row r="2146" spans="1:16" x14ac:dyDescent="0.25">
      <c r="A2146" s="91"/>
      <c r="B2146" s="13" t="s">
        <v>1445</v>
      </c>
      <c r="C2146" s="13" t="s">
        <v>1446</v>
      </c>
      <c r="D2146" s="13">
        <v>54</v>
      </c>
      <c r="E2146" s="13" t="s">
        <v>769</v>
      </c>
      <c r="F2146" s="13">
        <v>1</v>
      </c>
      <c r="G2146" s="13" t="s">
        <v>16</v>
      </c>
      <c r="H2146" s="13" t="s">
        <v>17</v>
      </c>
      <c r="I2146" s="14">
        <v>4002546</v>
      </c>
      <c r="J2146" s="13" t="s">
        <v>179</v>
      </c>
      <c r="K2146" s="13">
        <v>99</v>
      </c>
      <c r="L2146" s="13" t="s">
        <v>15</v>
      </c>
      <c r="M2146" s="13">
        <v>834</v>
      </c>
      <c r="N2146" s="13" t="s">
        <v>1</v>
      </c>
      <c r="O2146" s="16">
        <f t="shared" si="518"/>
        <v>8.3400000000000002E-2</v>
      </c>
      <c r="P2146" s="22">
        <f t="shared" si="519"/>
        <v>500.40000000000003</v>
      </c>
    </row>
    <row r="2147" spans="1:16" x14ac:dyDescent="0.25">
      <c r="A2147" s="91"/>
      <c r="B2147" s="13" t="s">
        <v>1445</v>
      </c>
      <c r="C2147" s="13" t="s">
        <v>1446</v>
      </c>
      <c r="D2147" s="13">
        <v>54</v>
      </c>
      <c r="E2147" s="13" t="s">
        <v>769</v>
      </c>
      <c r="F2147" s="13">
        <v>1</v>
      </c>
      <c r="G2147" s="13" t="s">
        <v>16</v>
      </c>
      <c r="H2147" s="13" t="s">
        <v>17</v>
      </c>
      <c r="I2147" s="14">
        <v>4004710</v>
      </c>
      <c r="J2147" s="13" t="s">
        <v>180</v>
      </c>
      <c r="K2147" s="13">
        <v>99</v>
      </c>
      <c r="L2147" s="13" t="s">
        <v>15</v>
      </c>
      <c r="M2147" s="13">
        <v>834</v>
      </c>
      <c r="N2147" s="13" t="s">
        <v>1</v>
      </c>
      <c r="O2147" s="16">
        <f t="shared" si="518"/>
        <v>8.3400000000000002E-2</v>
      </c>
      <c r="P2147" s="22">
        <f t="shared" si="519"/>
        <v>500.40000000000003</v>
      </c>
    </row>
    <row r="2148" spans="1:16" ht="15.75" thickBot="1" x14ac:dyDescent="0.3">
      <c r="A2148" s="90"/>
      <c r="B2148" s="23" t="s">
        <v>1445</v>
      </c>
      <c r="C2148" s="23" t="s">
        <v>1446</v>
      </c>
      <c r="D2148" s="23">
        <v>54</v>
      </c>
      <c r="E2148" s="23" t="s">
        <v>769</v>
      </c>
      <c r="F2148" s="23">
        <v>1</v>
      </c>
      <c r="G2148" s="23" t="s">
        <v>16</v>
      </c>
      <c r="H2148" s="23" t="s">
        <v>17</v>
      </c>
      <c r="I2148" s="24">
        <v>4016290</v>
      </c>
      <c r="J2148" s="23" t="s">
        <v>1448</v>
      </c>
      <c r="K2148" s="23">
        <v>99</v>
      </c>
      <c r="L2148" s="23" t="s">
        <v>15</v>
      </c>
      <c r="M2148" s="25">
        <v>10000</v>
      </c>
      <c r="N2148" s="23" t="s">
        <v>1</v>
      </c>
      <c r="O2148" s="26">
        <f t="shared" si="518"/>
        <v>1</v>
      </c>
      <c r="P2148" s="27">
        <f t="shared" si="519"/>
        <v>6000</v>
      </c>
    </row>
    <row r="2149" spans="1:16" x14ac:dyDescent="0.25">
      <c r="B2149" s="1"/>
      <c r="C2149" s="1"/>
      <c r="D2149" s="1"/>
      <c r="E2149" s="1"/>
      <c r="F2149" s="1"/>
      <c r="G2149" s="1"/>
      <c r="H2149" s="1"/>
      <c r="I2149" s="2"/>
      <c r="J2149" s="1"/>
      <c r="K2149" s="1"/>
      <c r="L2149" s="1"/>
      <c r="M2149" s="3"/>
      <c r="N2149" s="1"/>
    </row>
    <row r="2150" spans="1:16" ht="15.75" thickBot="1" x14ac:dyDescent="0.3">
      <c r="B2150" s="1"/>
      <c r="C2150" s="1"/>
      <c r="D2150" s="1"/>
      <c r="E2150" s="1"/>
      <c r="F2150" s="1"/>
      <c r="G2150" s="1"/>
      <c r="H2150" s="1"/>
      <c r="I2150" s="2"/>
      <c r="J2150" s="1"/>
      <c r="K2150" s="1"/>
      <c r="L2150" s="1"/>
      <c r="M2150" s="3"/>
      <c r="N2150" s="1"/>
      <c r="P2150" s="11">
        <f>IFERROR(VLOOKUP($A2151,'PROGRAMA MES '!$A:$B,2,0),0)</f>
        <v>0</v>
      </c>
    </row>
    <row r="2151" spans="1:16" x14ac:dyDescent="0.25">
      <c r="A2151" s="89" t="str">
        <f>B2151</f>
        <v>SP9352</v>
      </c>
      <c r="B2151" s="17" t="s">
        <v>1449</v>
      </c>
      <c r="C2151" s="17" t="s">
        <v>1450</v>
      </c>
      <c r="D2151" s="17">
        <v>54</v>
      </c>
      <c r="E2151" s="17" t="s">
        <v>769</v>
      </c>
      <c r="F2151" s="17">
        <v>1</v>
      </c>
      <c r="G2151" s="17" t="s">
        <v>35</v>
      </c>
      <c r="H2151" s="17" t="s">
        <v>17</v>
      </c>
      <c r="I2151" s="18">
        <v>3006085</v>
      </c>
      <c r="J2151" s="17" t="s">
        <v>1451</v>
      </c>
      <c r="K2151" s="17">
        <v>99</v>
      </c>
      <c r="L2151" s="17" t="s">
        <v>15</v>
      </c>
      <c r="M2151" s="19">
        <v>10000</v>
      </c>
      <c r="N2151" s="17" t="s">
        <v>1</v>
      </c>
      <c r="O2151" s="20">
        <f t="shared" ref="O2151:O2155" si="520">M2151/10000</f>
        <v>1</v>
      </c>
      <c r="P2151" s="21">
        <f>O2151*$P$2150</f>
        <v>0</v>
      </c>
    </row>
    <row r="2152" spans="1:16" x14ac:dyDescent="0.25">
      <c r="A2152" s="91"/>
      <c r="B2152" s="13" t="s">
        <v>1449</v>
      </c>
      <c r="C2152" s="13" t="s">
        <v>1450</v>
      </c>
      <c r="D2152" s="13">
        <v>54</v>
      </c>
      <c r="E2152" s="13" t="s">
        <v>769</v>
      </c>
      <c r="F2152" s="13">
        <v>1</v>
      </c>
      <c r="G2152" s="13" t="s">
        <v>35</v>
      </c>
      <c r="H2152" s="13" t="s">
        <v>17</v>
      </c>
      <c r="I2152" s="14">
        <v>3006100</v>
      </c>
      <c r="J2152" s="13" t="s">
        <v>1452</v>
      </c>
      <c r="K2152" s="13">
        <v>99</v>
      </c>
      <c r="L2152" s="13" t="s">
        <v>15</v>
      </c>
      <c r="M2152" s="15">
        <v>10000</v>
      </c>
      <c r="N2152" s="13" t="s">
        <v>1</v>
      </c>
      <c r="O2152" s="16">
        <f t="shared" si="520"/>
        <v>1</v>
      </c>
      <c r="P2152" s="22">
        <f t="shared" ref="P2152:P2155" si="521">O2152*$P$2150</f>
        <v>0</v>
      </c>
    </row>
    <row r="2153" spans="1:16" x14ac:dyDescent="0.25">
      <c r="A2153" s="91"/>
      <c r="B2153" s="13" t="s">
        <v>1449</v>
      </c>
      <c r="C2153" s="13" t="s">
        <v>1450</v>
      </c>
      <c r="D2153" s="13">
        <v>54</v>
      </c>
      <c r="E2153" s="13" t="s">
        <v>769</v>
      </c>
      <c r="F2153" s="13">
        <v>1</v>
      </c>
      <c r="G2153" s="13" t="s">
        <v>16</v>
      </c>
      <c r="H2153" s="13" t="s">
        <v>17</v>
      </c>
      <c r="I2153" s="14">
        <v>4016640</v>
      </c>
      <c r="J2153" s="13" t="s">
        <v>1453</v>
      </c>
      <c r="K2153" s="13">
        <v>99</v>
      </c>
      <c r="L2153" s="13" t="s">
        <v>15</v>
      </c>
      <c r="M2153" s="15">
        <v>10000</v>
      </c>
      <c r="N2153" s="13" t="s">
        <v>1</v>
      </c>
      <c r="O2153" s="16">
        <f t="shared" si="520"/>
        <v>1</v>
      </c>
      <c r="P2153" s="22">
        <f t="shared" si="521"/>
        <v>0</v>
      </c>
    </row>
    <row r="2154" spans="1:16" x14ac:dyDescent="0.25">
      <c r="A2154" s="91"/>
      <c r="B2154" s="13" t="s">
        <v>1449</v>
      </c>
      <c r="C2154" s="13" t="s">
        <v>1450</v>
      </c>
      <c r="D2154" s="13">
        <v>54</v>
      </c>
      <c r="E2154" s="13" t="s">
        <v>769</v>
      </c>
      <c r="F2154" s="13">
        <v>1</v>
      </c>
      <c r="G2154" s="13" t="s">
        <v>16</v>
      </c>
      <c r="H2154" s="13" t="s">
        <v>17</v>
      </c>
      <c r="I2154" s="14">
        <v>4016810</v>
      </c>
      <c r="J2154" s="13" t="s">
        <v>1454</v>
      </c>
      <c r="K2154" s="13">
        <v>99</v>
      </c>
      <c r="L2154" s="13" t="s">
        <v>15</v>
      </c>
      <c r="M2154" s="13">
        <v>834</v>
      </c>
      <c r="N2154" s="13" t="s">
        <v>1</v>
      </c>
      <c r="O2154" s="16">
        <f t="shared" si="520"/>
        <v>8.3400000000000002E-2</v>
      </c>
      <c r="P2154" s="22">
        <f t="shared" si="521"/>
        <v>0</v>
      </c>
    </row>
    <row r="2155" spans="1:16" ht="15.75" thickBot="1" x14ac:dyDescent="0.3">
      <c r="A2155" s="90"/>
      <c r="B2155" s="23" t="s">
        <v>1449</v>
      </c>
      <c r="C2155" s="23" t="s">
        <v>1450</v>
      </c>
      <c r="D2155" s="23">
        <v>54</v>
      </c>
      <c r="E2155" s="23" t="s">
        <v>769</v>
      </c>
      <c r="F2155" s="23">
        <v>1</v>
      </c>
      <c r="G2155" s="23" t="s">
        <v>16</v>
      </c>
      <c r="H2155" s="23" t="s">
        <v>17</v>
      </c>
      <c r="I2155" s="24">
        <v>4016811</v>
      </c>
      <c r="J2155" s="23" t="s">
        <v>1455</v>
      </c>
      <c r="K2155" s="23">
        <v>99</v>
      </c>
      <c r="L2155" s="23" t="s">
        <v>15</v>
      </c>
      <c r="M2155" s="25">
        <v>1667</v>
      </c>
      <c r="N2155" s="23" t="s">
        <v>1</v>
      </c>
      <c r="O2155" s="26">
        <f t="shared" si="520"/>
        <v>0.16669999999999999</v>
      </c>
      <c r="P2155" s="27">
        <f t="shared" si="521"/>
        <v>0</v>
      </c>
    </row>
    <row r="2156" spans="1:16" x14ac:dyDescent="0.25">
      <c r="B2156" s="1"/>
      <c r="C2156" s="1"/>
      <c r="D2156" s="1"/>
      <c r="E2156" s="1"/>
      <c r="F2156" s="1"/>
      <c r="G2156" s="1"/>
      <c r="H2156" s="1"/>
      <c r="I2156" s="2"/>
      <c r="J2156" s="1"/>
      <c r="K2156" s="1"/>
      <c r="L2156" s="1"/>
      <c r="M2156" s="3"/>
      <c r="N2156" s="1"/>
    </row>
    <row r="2157" spans="1:16" ht="15.75" thickBot="1" x14ac:dyDescent="0.3">
      <c r="B2157" s="1"/>
      <c r="C2157" s="1"/>
      <c r="D2157" s="1"/>
      <c r="E2157" s="1"/>
      <c r="F2157" s="1"/>
      <c r="G2157" s="1"/>
      <c r="H2157" s="1"/>
      <c r="I2157" s="2"/>
      <c r="J2157" s="1"/>
      <c r="K2157" s="1"/>
      <c r="L2157" s="1"/>
      <c r="M2157" s="3"/>
      <c r="N2157" s="1"/>
      <c r="P2157" s="11">
        <f>IFERROR(VLOOKUP($A2158,'PROGRAMA MES '!$A:$B,2,0),0)</f>
        <v>2400</v>
      </c>
    </row>
    <row r="2158" spans="1:16" x14ac:dyDescent="0.25">
      <c r="A2158" s="89" t="str">
        <f>B2158</f>
        <v>SP9353</v>
      </c>
      <c r="B2158" s="17" t="s">
        <v>1456</v>
      </c>
      <c r="C2158" s="17" t="s">
        <v>1457</v>
      </c>
      <c r="D2158" s="17">
        <v>54</v>
      </c>
      <c r="E2158" s="17" t="s">
        <v>769</v>
      </c>
      <c r="F2158" s="17">
        <v>1</v>
      </c>
      <c r="G2158" s="17" t="s">
        <v>35</v>
      </c>
      <c r="H2158" s="17" t="s">
        <v>17</v>
      </c>
      <c r="I2158" s="18">
        <v>3006091</v>
      </c>
      <c r="J2158" s="17" t="s">
        <v>1458</v>
      </c>
      <c r="K2158" s="17">
        <v>99</v>
      </c>
      <c r="L2158" s="17" t="s">
        <v>15</v>
      </c>
      <c r="M2158" s="19">
        <v>10000</v>
      </c>
      <c r="N2158" s="17" t="s">
        <v>1</v>
      </c>
      <c r="O2158" s="20">
        <f t="shared" ref="O2158:O2162" si="522">M2158/10000</f>
        <v>1</v>
      </c>
      <c r="P2158" s="21">
        <f>O2158*$P$2157</f>
        <v>2400</v>
      </c>
    </row>
    <row r="2159" spans="1:16" x14ac:dyDescent="0.25">
      <c r="A2159" s="91"/>
      <c r="B2159" s="13" t="s">
        <v>1456</v>
      </c>
      <c r="C2159" s="13" t="s">
        <v>1457</v>
      </c>
      <c r="D2159" s="13">
        <v>54</v>
      </c>
      <c r="E2159" s="13" t="s">
        <v>769</v>
      </c>
      <c r="F2159" s="13">
        <v>1</v>
      </c>
      <c r="G2159" s="13" t="s">
        <v>35</v>
      </c>
      <c r="H2159" s="13" t="s">
        <v>17</v>
      </c>
      <c r="I2159" s="14">
        <v>3006100</v>
      </c>
      <c r="J2159" s="13" t="s">
        <v>1452</v>
      </c>
      <c r="K2159" s="13">
        <v>99</v>
      </c>
      <c r="L2159" s="13" t="s">
        <v>15</v>
      </c>
      <c r="M2159" s="15">
        <v>10000</v>
      </c>
      <c r="N2159" s="13" t="s">
        <v>1</v>
      </c>
      <c r="O2159" s="16">
        <f t="shared" si="522"/>
        <v>1</v>
      </c>
      <c r="P2159" s="22">
        <f t="shared" ref="P2159:P2162" si="523">O2159*$P$2157</f>
        <v>2400</v>
      </c>
    </row>
    <row r="2160" spans="1:16" x14ac:dyDescent="0.25">
      <c r="A2160" s="91"/>
      <c r="B2160" s="13" t="s">
        <v>1456</v>
      </c>
      <c r="C2160" s="13" t="s">
        <v>1457</v>
      </c>
      <c r="D2160" s="13">
        <v>54</v>
      </c>
      <c r="E2160" s="13" t="s">
        <v>769</v>
      </c>
      <c r="F2160" s="13">
        <v>1</v>
      </c>
      <c r="G2160" s="13" t="s">
        <v>16</v>
      </c>
      <c r="H2160" s="13" t="s">
        <v>17</v>
      </c>
      <c r="I2160" s="14">
        <v>4016622</v>
      </c>
      <c r="J2160" s="13" t="s">
        <v>1459</v>
      </c>
      <c r="K2160" s="13">
        <v>99</v>
      </c>
      <c r="L2160" s="13" t="s">
        <v>15</v>
      </c>
      <c r="M2160" s="15">
        <v>10000</v>
      </c>
      <c r="N2160" s="13" t="s">
        <v>1</v>
      </c>
      <c r="O2160" s="16">
        <f t="shared" si="522"/>
        <v>1</v>
      </c>
      <c r="P2160" s="22">
        <f t="shared" si="523"/>
        <v>2400</v>
      </c>
    </row>
    <row r="2161" spans="1:16" x14ac:dyDescent="0.25">
      <c r="A2161" s="91"/>
      <c r="B2161" s="13" t="s">
        <v>1456</v>
      </c>
      <c r="C2161" s="13" t="s">
        <v>1457</v>
      </c>
      <c r="D2161" s="13">
        <v>54</v>
      </c>
      <c r="E2161" s="13" t="s">
        <v>769</v>
      </c>
      <c r="F2161" s="13">
        <v>1</v>
      </c>
      <c r="G2161" s="13" t="s">
        <v>16</v>
      </c>
      <c r="H2161" s="13" t="s">
        <v>17</v>
      </c>
      <c r="I2161" s="14">
        <v>4016810</v>
      </c>
      <c r="J2161" s="13" t="s">
        <v>1454</v>
      </c>
      <c r="K2161" s="13">
        <v>99</v>
      </c>
      <c r="L2161" s="13" t="s">
        <v>15</v>
      </c>
      <c r="M2161" s="13">
        <v>834</v>
      </c>
      <c r="N2161" s="13" t="s">
        <v>1</v>
      </c>
      <c r="O2161" s="16">
        <f t="shared" si="522"/>
        <v>8.3400000000000002E-2</v>
      </c>
      <c r="P2161" s="22">
        <f t="shared" si="523"/>
        <v>200.16</v>
      </c>
    </row>
    <row r="2162" spans="1:16" ht="15.75" thickBot="1" x14ac:dyDescent="0.3">
      <c r="A2162" s="90"/>
      <c r="B2162" s="23" t="s">
        <v>1456</v>
      </c>
      <c r="C2162" s="23" t="s">
        <v>1457</v>
      </c>
      <c r="D2162" s="23">
        <v>54</v>
      </c>
      <c r="E2162" s="23" t="s">
        <v>769</v>
      </c>
      <c r="F2162" s="23">
        <v>1</v>
      </c>
      <c r="G2162" s="23" t="s">
        <v>16</v>
      </c>
      <c r="H2162" s="23" t="s">
        <v>17</v>
      </c>
      <c r="I2162" s="24">
        <v>4016811</v>
      </c>
      <c r="J2162" s="23" t="s">
        <v>1455</v>
      </c>
      <c r="K2162" s="23">
        <v>99</v>
      </c>
      <c r="L2162" s="23" t="s">
        <v>15</v>
      </c>
      <c r="M2162" s="25">
        <v>1667</v>
      </c>
      <c r="N2162" s="23" t="s">
        <v>1</v>
      </c>
      <c r="O2162" s="26">
        <f t="shared" si="522"/>
        <v>0.16669999999999999</v>
      </c>
      <c r="P2162" s="27">
        <f t="shared" si="523"/>
        <v>400.08</v>
      </c>
    </row>
    <row r="2163" spans="1:16" x14ac:dyDescent="0.25">
      <c r="B2163" s="1"/>
      <c r="C2163" s="1"/>
      <c r="D2163" s="1"/>
      <c r="E2163" s="1"/>
      <c r="F2163" s="1"/>
      <c r="G2163" s="1"/>
      <c r="H2163" s="1"/>
      <c r="I2163" s="2"/>
      <c r="J2163" s="1"/>
      <c r="K2163" s="1"/>
      <c r="L2163" s="1"/>
      <c r="M2163" s="3"/>
      <c r="N2163" s="1"/>
    </row>
    <row r="2164" spans="1:16" ht="15.75" thickBot="1" x14ac:dyDescent="0.3">
      <c r="B2164" s="1"/>
      <c r="C2164" s="1"/>
      <c r="D2164" s="1"/>
      <c r="E2164" s="1"/>
      <c r="F2164" s="1"/>
      <c r="G2164" s="1"/>
      <c r="H2164" s="1"/>
      <c r="I2164" s="2"/>
      <c r="J2164" s="1"/>
      <c r="K2164" s="1"/>
      <c r="L2164" s="1"/>
      <c r="M2164" s="3"/>
      <c r="N2164" s="1"/>
      <c r="P2164" s="11">
        <f>IFERROR(VLOOKUP($A2165,'PROGRAMA MES '!$A:$B,2,0),0)</f>
        <v>0</v>
      </c>
    </row>
    <row r="2165" spans="1:16" x14ac:dyDescent="0.25">
      <c r="A2165" s="89" t="str">
        <f>B2165</f>
        <v>SP93530BR</v>
      </c>
      <c r="B2165" s="17" t="s">
        <v>1460</v>
      </c>
      <c r="C2165" s="17" t="s">
        <v>1461</v>
      </c>
      <c r="D2165" s="17">
        <v>99</v>
      </c>
      <c r="E2165" s="17" t="s">
        <v>15</v>
      </c>
      <c r="F2165" s="17">
        <v>1</v>
      </c>
      <c r="G2165" s="17" t="s">
        <v>35</v>
      </c>
      <c r="H2165" s="17" t="s">
        <v>17</v>
      </c>
      <c r="I2165" s="18">
        <v>3001960</v>
      </c>
      <c r="J2165" s="17" t="s">
        <v>1462</v>
      </c>
      <c r="K2165" s="17">
        <v>99</v>
      </c>
      <c r="L2165" s="17" t="s">
        <v>15</v>
      </c>
      <c r="M2165" s="19">
        <v>10000</v>
      </c>
      <c r="N2165" s="17" t="s">
        <v>1</v>
      </c>
      <c r="O2165" s="20">
        <f t="shared" ref="O2165:O2169" si="524">M2165/10000</f>
        <v>1</v>
      </c>
      <c r="P2165" s="21">
        <f>O2165*$P$2164</f>
        <v>0</v>
      </c>
    </row>
    <row r="2166" spans="1:16" x14ac:dyDescent="0.25">
      <c r="A2166" s="91"/>
      <c r="B2166" s="13" t="s">
        <v>1460</v>
      </c>
      <c r="C2166" s="13" t="s">
        <v>1461</v>
      </c>
      <c r="D2166" s="13">
        <v>99</v>
      </c>
      <c r="E2166" s="13" t="s">
        <v>15</v>
      </c>
      <c r="F2166" s="13">
        <v>1</v>
      </c>
      <c r="G2166" s="13" t="s">
        <v>16</v>
      </c>
      <c r="H2166" s="13" t="s">
        <v>17</v>
      </c>
      <c r="I2166" s="14">
        <v>4002826</v>
      </c>
      <c r="J2166" s="13" t="s">
        <v>4</v>
      </c>
      <c r="K2166" s="13">
        <v>99</v>
      </c>
      <c r="L2166" s="13" t="s">
        <v>15</v>
      </c>
      <c r="M2166" s="13">
        <v>200</v>
      </c>
      <c r="N2166" s="13" t="s">
        <v>1</v>
      </c>
      <c r="O2166" s="16">
        <f t="shared" si="524"/>
        <v>0.02</v>
      </c>
      <c r="P2166" s="22">
        <f t="shared" ref="P2166:P2169" si="525">O2166*$P$2164</f>
        <v>0</v>
      </c>
    </row>
    <row r="2167" spans="1:16" x14ac:dyDescent="0.25">
      <c r="A2167" s="91"/>
      <c r="B2167" s="13" t="s">
        <v>1460</v>
      </c>
      <c r="C2167" s="13" t="s">
        <v>1461</v>
      </c>
      <c r="D2167" s="13">
        <v>99</v>
      </c>
      <c r="E2167" s="13" t="s">
        <v>15</v>
      </c>
      <c r="F2167" s="13">
        <v>1</v>
      </c>
      <c r="G2167" s="13" t="s">
        <v>16</v>
      </c>
      <c r="H2167" s="13" t="s">
        <v>17</v>
      </c>
      <c r="I2167" s="14">
        <v>4005408</v>
      </c>
      <c r="J2167" s="13" t="s">
        <v>1463</v>
      </c>
      <c r="K2167" s="13">
        <v>99</v>
      </c>
      <c r="L2167" s="13" t="s">
        <v>15</v>
      </c>
      <c r="M2167" s="15">
        <v>2500</v>
      </c>
      <c r="N2167" s="13" t="s">
        <v>1</v>
      </c>
      <c r="O2167" s="16">
        <f t="shared" si="524"/>
        <v>0.25</v>
      </c>
      <c r="P2167" s="22">
        <f t="shared" si="525"/>
        <v>0</v>
      </c>
    </row>
    <row r="2168" spans="1:16" x14ac:dyDescent="0.25">
      <c r="A2168" s="91"/>
      <c r="B2168" s="13" t="s">
        <v>1460</v>
      </c>
      <c r="C2168" s="13" t="s">
        <v>1461</v>
      </c>
      <c r="D2168" s="13">
        <v>99</v>
      </c>
      <c r="E2168" s="13" t="s">
        <v>15</v>
      </c>
      <c r="F2168" s="13">
        <v>1</v>
      </c>
      <c r="G2168" s="13" t="s">
        <v>16</v>
      </c>
      <c r="H2168" s="13" t="s">
        <v>17</v>
      </c>
      <c r="I2168" s="14">
        <v>4005883</v>
      </c>
      <c r="J2168" s="13" t="s">
        <v>1464</v>
      </c>
      <c r="K2168" s="13">
        <v>99</v>
      </c>
      <c r="L2168" s="13" t="s">
        <v>15</v>
      </c>
      <c r="M2168" s="15">
        <v>7500</v>
      </c>
      <c r="N2168" s="13" t="s">
        <v>1</v>
      </c>
      <c r="O2168" s="16">
        <f t="shared" si="524"/>
        <v>0.75</v>
      </c>
      <c r="P2168" s="22">
        <f t="shared" si="525"/>
        <v>0</v>
      </c>
    </row>
    <row r="2169" spans="1:16" ht="15.75" thickBot="1" x14ac:dyDescent="0.3">
      <c r="A2169" s="90"/>
      <c r="B2169" s="23" t="s">
        <v>1460</v>
      </c>
      <c r="C2169" s="23" t="s">
        <v>1461</v>
      </c>
      <c r="D2169" s="23">
        <v>99</v>
      </c>
      <c r="E2169" s="23" t="s">
        <v>15</v>
      </c>
      <c r="F2169" s="23">
        <v>1</v>
      </c>
      <c r="G2169" s="23" t="s">
        <v>16</v>
      </c>
      <c r="H2169" s="23" t="s">
        <v>17</v>
      </c>
      <c r="I2169" s="24">
        <v>4016160</v>
      </c>
      <c r="J2169" s="23" t="s">
        <v>69</v>
      </c>
      <c r="K2169" s="23">
        <v>99</v>
      </c>
      <c r="L2169" s="23" t="s">
        <v>15</v>
      </c>
      <c r="M2169" s="23">
        <v>50</v>
      </c>
      <c r="N2169" s="23" t="s">
        <v>3</v>
      </c>
      <c r="O2169" s="26">
        <f t="shared" si="524"/>
        <v>5.0000000000000001E-3</v>
      </c>
      <c r="P2169" s="27">
        <f t="shared" si="525"/>
        <v>0</v>
      </c>
    </row>
    <row r="2170" spans="1:16" x14ac:dyDescent="0.25">
      <c r="B2170" s="1"/>
      <c r="C2170" s="1"/>
      <c r="D2170" s="1"/>
      <c r="E2170" s="1"/>
      <c r="F2170" s="1"/>
      <c r="G2170" s="1"/>
      <c r="H2170" s="1"/>
      <c r="I2170" s="2"/>
      <c r="J2170" s="1"/>
      <c r="K2170" s="1"/>
      <c r="L2170" s="1"/>
      <c r="M2170" s="1"/>
      <c r="N2170" s="1"/>
    </row>
    <row r="2171" spans="1:16" ht="15.75" thickBot="1" x14ac:dyDescent="0.3">
      <c r="B2171" s="1"/>
      <c r="C2171" s="1"/>
      <c r="D2171" s="1"/>
      <c r="E2171" s="1"/>
      <c r="F2171" s="1"/>
      <c r="G2171" s="1"/>
      <c r="H2171" s="1"/>
      <c r="I2171" s="2"/>
      <c r="J2171" s="1"/>
      <c r="K2171" s="1"/>
      <c r="L2171" s="1"/>
      <c r="M2171" s="1"/>
      <c r="N2171" s="1"/>
      <c r="P2171" s="11">
        <f>IFERROR(VLOOKUP($A2172,'PROGRAMA MES '!$A:$B,2,0),0)</f>
        <v>0</v>
      </c>
    </row>
    <row r="2172" spans="1:16" x14ac:dyDescent="0.25">
      <c r="A2172" s="89" t="str">
        <f>B2172</f>
        <v>SP9358MR</v>
      </c>
      <c r="B2172" s="17" t="s">
        <v>1465</v>
      </c>
      <c r="C2172" s="17" t="s">
        <v>1466</v>
      </c>
      <c r="D2172" s="17">
        <v>99</v>
      </c>
      <c r="E2172" s="17" t="s">
        <v>15</v>
      </c>
      <c r="F2172" s="17">
        <v>1</v>
      </c>
      <c r="G2172" s="17" t="s">
        <v>35</v>
      </c>
      <c r="H2172" s="17" t="s">
        <v>17</v>
      </c>
      <c r="I2172" s="18">
        <v>3001733</v>
      </c>
      <c r="J2172" s="17" t="s">
        <v>1467</v>
      </c>
      <c r="K2172" s="17">
        <v>99</v>
      </c>
      <c r="L2172" s="17" t="s">
        <v>15</v>
      </c>
      <c r="M2172" s="19">
        <v>10000</v>
      </c>
      <c r="N2172" s="17" t="s">
        <v>1</v>
      </c>
      <c r="O2172" s="20">
        <f t="shared" ref="O2172:O2179" si="526">M2172/10000</f>
        <v>1</v>
      </c>
      <c r="P2172" s="21">
        <f>O2172*$P$2171</f>
        <v>0</v>
      </c>
    </row>
    <row r="2173" spans="1:16" x14ac:dyDescent="0.25">
      <c r="A2173" s="91"/>
      <c r="B2173" s="13" t="s">
        <v>1465</v>
      </c>
      <c r="C2173" s="13" t="s">
        <v>1466</v>
      </c>
      <c r="D2173" s="13">
        <v>99</v>
      </c>
      <c r="E2173" s="13" t="s">
        <v>15</v>
      </c>
      <c r="F2173" s="13">
        <v>1</v>
      </c>
      <c r="G2173" s="13" t="s">
        <v>16</v>
      </c>
      <c r="H2173" s="13" t="s">
        <v>17</v>
      </c>
      <c r="I2173" s="14">
        <v>4002546</v>
      </c>
      <c r="J2173" s="13" t="s">
        <v>179</v>
      </c>
      <c r="K2173" s="13">
        <v>99</v>
      </c>
      <c r="L2173" s="13" t="s">
        <v>15</v>
      </c>
      <c r="M2173" s="15">
        <v>10000</v>
      </c>
      <c r="N2173" s="13" t="s">
        <v>1</v>
      </c>
      <c r="O2173" s="16">
        <f t="shared" si="526"/>
        <v>1</v>
      </c>
      <c r="P2173" s="22">
        <f t="shared" ref="P2173:P2179" si="527">O2173*$P$2171</f>
        <v>0</v>
      </c>
    </row>
    <row r="2174" spans="1:16" x14ac:dyDescent="0.25">
      <c r="A2174" s="91"/>
      <c r="B2174" s="13" t="s">
        <v>1465</v>
      </c>
      <c r="C2174" s="13" t="s">
        <v>1466</v>
      </c>
      <c r="D2174" s="13">
        <v>99</v>
      </c>
      <c r="E2174" s="13" t="s">
        <v>15</v>
      </c>
      <c r="F2174" s="13">
        <v>1</v>
      </c>
      <c r="G2174" s="13" t="s">
        <v>16</v>
      </c>
      <c r="H2174" s="13" t="s">
        <v>17</v>
      </c>
      <c r="I2174" s="14">
        <v>4003568</v>
      </c>
      <c r="J2174" s="13" t="s">
        <v>656</v>
      </c>
      <c r="K2174" s="13">
        <v>99</v>
      </c>
      <c r="L2174" s="13" t="s">
        <v>15</v>
      </c>
      <c r="M2174" s="15">
        <v>10000</v>
      </c>
      <c r="N2174" s="13" t="s">
        <v>1</v>
      </c>
      <c r="O2174" s="16">
        <f t="shared" si="526"/>
        <v>1</v>
      </c>
      <c r="P2174" s="22">
        <f t="shared" si="527"/>
        <v>0</v>
      </c>
    </row>
    <row r="2175" spans="1:16" x14ac:dyDescent="0.25">
      <c r="A2175" s="91"/>
      <c r="B2175" s="13" t="s">
        <v>1465</v>
      </c>
      <c r="C2175" s="13" t="s">
        <v>1466</v>
      </c>
      <c r="D2175" s="13">
        <v>99</v>
      </c>
      <c r="E2175" s="13" t="s">
        <v>15</v>
      </c>
      <c r="F2175" s="13">
        <v>1</v>
      </c>
      <c r="G2175" s="13" t="s">
        <v>16</v>
      </c>
      <c r="H2175" s="13" t="s">
        <v>17</v>
      </c>
      <c r="I2175" s="14">
        <v>4016160</v>
      </c>
      <c r="J2175" s="13" t="s">
        <v>69</v>
      </c>
      <c r="K2175" s="13">
        <v>99</v>
      </c>
      <c r="L2175" s="13" t="s">
        <v>15</v>
      </c>
      <c r="M2175" s="13">
        <v>150</v>
      </c>
      <c r="N2175" s="13" t="s">
        <v>3</v>
      </c>
      <c r="O2175" s="16">
        <f t="shared" si="526"/>
        <v>1.4999999999999999E-2</v>
      </c>
      <c r="P2175" s="22">
        <f t="shared" si="527"/>
        <v>0</v>
      </c>
    </row>
    <row r="2176" spans="1:16" x14ac:dyDescent="0.25">
      <c r="A2176" s="91"/>
      <c r="B2176" s="13" t="s">
        <v>1468</v>
      </c>
      <c r="C2176" s="13" t="s">
        <v>1469</v>
      </c>
      <c r="D2176" s="13">
        <v>99</v>
      </c>
      <c r="E2176" s="13" t="s">
        <v>15</v>
      </c>
      <c r="F2176" s="13">
        <v>1</v>
      </c>
      <c r="G2176" s="13" t="s">
        <v>35</v>
      </c>
      <c r="H2176" s="13" t="s">
        <v>17</v>
      </c>
      <c r="I2176" s="14">
        <v>3001732</v>
      </c>
      <c r="J2176" s="13" t="s">
        <v>1470</v>
      </c>
      <c r="K2176" s="13">
        <v>99</v>
      </c>
      <c r="L2176" s="13" t="s">
        <v>15</v>
      </c>
      <c r="M2176" s="15">
        <v>10000</v>
      </c>
      <c r="N2176" s="13" t="s">
        <v>1</v>
      </c>
      <c r="O2176" s="16">
        <f t="shared" si="526"/>
        <v>1</v>
      </c>
      <c r="P2176" s="22">
        <f t="shared" si="527"/>
        <v>0</v>
      </c>
    </row>
    <row r="2177" spans="1:16" x14ac:dyDescent="0.25">
      <c r="A2177" s="91"/>
      <c r="B2177" s="13" t="s">
        <v>1468</v>
      </c>
      <c r="C2177" s="13" t="s">
        <v>1469</v>
      </c>
      <c r="D2177" s="13">
        <v>99</v>
      </c>
      <c r="E2177" s="13" t="s">
        <v>15</v>
      </c>
      <c r="F2177" s="13">
        <v>1</v>
      </c>
      <c r="G2177" s="13" t="s">
        <v>16</v>
      </c>
      <c r="H2177" s="13" t="s">
        <v>17</v>
      </c>
      <c r="I2177" s="14">
        <v>4002546</v>
      </c>
      <c r="J2177" s="13" t="s">
        <v>179</v>
      </c>
      <c r="K2177" s="13">
        <v>99</v>
      </c>
      <c r="L2177" s="13" t="s">
        <v>15</v>
      </c>
      <c r="M2177" s="15">
        <v>10000</v>
      </c>
      <c r="N2177" s="13" t="s">
        <v>1</v>
      </c>
      <c r="O2177" s="16">
        <f t="shared" si="526"/>
        <v>1</v>
      </c>
      <c r="P2177" s="22">
        <f t="shared" si="527"/>
        <v>0</v>
      </c>
    </row>
    <row r="2178" spans="1:16" x14ac:dyDescent="0.25">
      <c r="A2178" s="91"/>
      <c r="B2178" s="13" t="s">
        <v>1468</v>
      </c>
      <c r="C2178" s="13" t="s">
        <v>1469</v>
      </c>
      <c r="D2178" s="13">
        <v>99</v>
      </c>
      <c r="E2178" s="13" t="s">
        <v>15</v>
      </c>
      <c r="F2178" s="13">
        <v>1</v>
      </c>
      <c r="G2178" s="13" t="s">
        <v>16</v>
      </c>
      <c r="H2178" s="13" t="s">
        <v>17</v>
      </c>
      <c r="I2178" s="14">
        <v>4003568</v>
      </c>
      <c r="J2178" s="13" t="s">
        <v>656</v>
      </c>
      <c r="K2178" s="13">
        <v>99</v>
      </c>
      <c r="L2178" s="13" t="s">
        <v>15</v>
      </c>
      <c r="M2178" s="15">
        <v>10000</v>
      </c>
      <c r="N2178" s="13" t="s">
        <v>1</v>
      </c>
      <c r="O2178" s="16">
        <f t="shared" si="526"/>
        <v>1</v>
      </c>
      <c r="P2178" s="22">
        <f t="shared" si="527"/>
        <v>0</v>
      </c>
    </row>
    <row r="2179" spans="1:16" ht="15.75" thickBot="1" x14ac:dyDescent="0.3">
      <c r="A2179" s="90"/>
      <c r="B2179" s="23" t="s">
        <v>1468</v>
      </c>
      <c r="C2179" s="23" t="s">
        <v>1469</v>
      </c>
      <c r="D2179" s="23">
        <v>99</v>
      </c>
      <c r="E2179" s="23" t="s">
        <v>15</v>
      </c>
      <c r="F2179" s="23">
        <v>1</v>
      </c>
      <c r="G2179" s="23" t="s">
        <v>16</v>
      </c>
      <c r="H2179" s="23" t="s">
        <v>17</v>
      </c>
      <c r="I2179" s="24">
        <v>4016160</v>
      </c>
      <c r="J2179" s="23" t="s">
        <v>69</v>
      </c>
      <c r="K2179" s="23">
        <v>99</v>
      </c>
      <c r="L2179" s="23" t="s">
        <v>15</v>
      </c>
      <c r="M2179" s="23">
        <v>200</v>
      </c>
      <c r="N2179" s="23" t="s">
        <v>3</v>
      </c>
      <c r="O2179" s="26">
        <f t="shared" si="526"/>
        <v>0.02</v>
      </c>
      <c r="P2179" s="27">
        <f t="shared" si="527"/>
        <v>0</v>
      </c>
    </row>
    <row r="2180" spans="1:16" x14ac:dyDescent="0.25">
      <c r="B2180" s="1"/>
      <c r="C2180" s="1"/>
      <c r="D2180" s="1"/>
      <c r="E2180" s="1"/>
      <c r="F2180" s="1"/>
      <c r="G2180" s="1"/>
      <c r="H2180" s="1"/>
      <c r="I2180" s="2"/>
      <c r="J2180" s="1"/>
      <c r="K2180" s="1"/>
      <c r="L2180" s="1"/>
      <c r="M2180" s="1"/>
      <c r="N2180" s="1"/>
    </row>
    <row r="2181" spans="1:16" ht="15.75" thickBot="1" x14ac:dyDescent="0.3">
      <c r="B2181" s="1"/>
      <c r="C2181" s="1"/>
      <c r="D2181" s="1"/>
      <c r="E2181" s="1"/>
      <c r="F2181" s="1"/>
      <c r="G2181" s="1"/>
      <c r="H2181" s="1"/>
      <c r="I2181" s="2"/>
      <c r="J2181" s="1"/>
      <c r="K2181" s="1"/>
      <c r="L2181" s="1"/>
      <c r="M2181" s="1"/>
      <c r="N2181" s="1"/>
      <c r="P2181" s="11">
        <f>IFERROR(VLOOKUP($A2182,'PROGRAMA MES '!$A:$B,2,0),0)</f>
        <v>0</v>
      </c>
    </row>
    <row r="2182" spans="1:16" x14ac:dyDescent="0.25">
      <c r="A2182" s="89" t="str">
        <f>B2182</f>
        <v>SP936100BR</v>
      </c>
      <c r="B2182" s="17" t="s">
        <v>1471</v>
      </c>
      <c r="C2182" s="17" t="s">
        <v>1472</v>
      </c>
      <c r="D2182" s="17">
        <v>54</v>
      </c>
      <c r="E2182" s="17" t="s">
        <v>769</v>
      </c>
      <c r="F2182" s="17">
        <v>1</v>
      </c>
      <c r="G2182" s="17" t="s">
        <v>35</v>
      </c>
      <c r="H2182" s="17" t="s">
        <v>17</v>
      </c>
      <c r="I2182" s="18">
        <v>3005988</v>
      </c>
      <c r="J2182" s="17" t="s">
        <v>1473</v>
      </c>
      <c r="K2182" s="17">
        <v>99</v>
      </c>
      <c r="L2182" s="17" t="s">
        <v>15</v>
      </c>
      <c r="M2182" s="19">
        <v>10000</v>
      </c>
      <c r="N2182" s="17" t="s">
        <v>1</v>
      </c>
      <c r="O2182" s="20">
        <f t="shared" ref="O2182:O2183" si="528">M2182/10000</f>
        <v>1</v>
      </c>
      <c r="P2182" s="21">
        <f>O2182*$P$2181</f>
        <v>0</v>
      </c>
    </row>
    <row r="2183" spans="1:16" ht="15.75" thickBot="1" x14ac:dyDescent="0.3">
      <c r="A2183" s="90"/>
      <c r="B2183" s="23" t="s">
        <v>1471</v>
      </c>
      <c r="C2183" s="23" t="s">
        <v>1472</v>
      </c>
      <c r="D2183" s="23">
        <v>54</v>
      </c>
      <c r="E2183" s="23" t="s">
        <v>769</v>
      </c>
      <c r="F2183" s="23">
        <v>1</v>
      </c>
      <c r="G2183" s="23" t="s">
        <v>16</v>
      </c>
      <c r="H2183" s="23" t="s">
        <v>17</v>
      </c>
      <c r="I2183" s="24">
        <v>4016792</v>
      </c>
      <c r="J2183" s="23" t="s">
        <v>1474</v>
      </c>
      <c r="K2183" s="23">
        <v>99</v>
      </c>
      <c r="L2183" s="23" t="s">
        <v>15</v>
      </c>
      <c r="M2183" s="25">
        <v>2500</v>
      </c>
      <c r="N2183" s="23" t="s">
        <v>1</v>
      </c>
      <c r="O2183" s="26">
        <f t="shared" si="528"/>
        <v>0.25</v>
      </c>
      <c r="P2183" s="27">
        <f>O2183*$P$2181</f>
        <v>0</v>
      </c>
    </row>
    <row r="2184" spans="1:16" x14ac:dyDescent="0.25">
      <c r="B2184" s="1"/>
      <c r="C2184" s="1"/>
      <c r="D2184" s="1"/>
      <c r="E2184" s="1"/>
      <c r="F2184" s="1"/>
      <c r="G2184" s="1"/>
      <c r="H2184" s="1"/>
      <c r="I2184" s="2"/>
      <c r="J2184" s="1"/>
      <c r="K2184" s="1"/>
      <c r="L2184" s="1"/>
      <c r="M2184" s="3"/>
      <c r="N2184" s="1"/>
    </row>
    <row r="2185" spans="1:16" ht="15.75" thickBot="1" x14ac:dyDescent="0.3">
      <c r="B2185" s="1"/>
      <c r="C2185" s="1"/>
      <c r="D2185" s="1"/>
      <c r="E2185" s="1"/>
      <c r="F2185" s="1"/>
      <c r="G2185" s="1"/>
      <c r="H2185" s="1"/>
      <c r="I2185" s="2"/>
      <c r="J2185" s="1"/>
      <c r="K2185" s="1"/>
      <c r="L2185" s="1"/>
      <c r="M2185" s="3"/>
      <c r="N2185" s="1"/>
      <c r="P2185" s="11">
        <f>IFERROR(VLOOKUP($A2186,'PROGRAMA MES '!$A:$B,2,0),0)</f>
        <v>0</v>
      </c>
    </row>
    <row r="2186" spans="1:16" x14ac:dyDescent="0.25">
      <c r="A2186" s="89" t="str">
        <f>B2186</f>
        <v>SP936100PT</v>
      </c>
      <c r="B2186" s="17" t="s">
        <v>1475</v>
      </c>
      <c r="C2186" s="17" t="s">
        <v>1476</v>
      </c>
      <c r="D2186" s="17">
        <v>54</v>
      </c>
      <c r="E2186" s="17" t="s">
        <v>769</v>
      </c>
      <c r="F2186" s="17">
        <v>1</v>
      </c>
      <c r="G2186" s="17" t="s">
        <v>35</v>
      </c>
      <c r="H2186" s="17" t="s">
        <v>17</v>
      </c>
      <c r="I2186" s="18">
        <v>3005989</v>
      </c>
      <c r="J2186" s="17" t="s">
        <v>1477</v>
      </c>
      <c r="K2186" s="17">
        <v>99</v>
      </c>
      <c r="L2186" s="17" t="s">
        <v>15</v>
      </c>
      <c r="M2186" s="19">
        <v>10000</v>
      </c>
      <c r="N2186" s="17" t="s">
        <v>1</v>
      </c>
      <c r="O2186" s="20">
        <f t="shared" ref="O2186:O2187" si="529">M2186/10000</f>
        <v>1</v>
      </c>
      <c r="P2186" s="21">
        <f>O2186*$P$2185</f>
        <v>0</v>
      </c>
    </row>
    <row r="2187" spans="1:16" ht="15.75" thickBot="1" x14ac:dyDescent="0.3">
      <c r="A2187" s="90"/>
      <c r="B2187" s="23" t="s">
        <v>1475</v>
      </c>
      <c r="C2187" s="23" t="s">
        <v>1476</v>
      </c>
      <c r="D2187" s="23">
        <v>54</v>
      </c>
      <c r="E2187" s="23" t="s">
        <v>769</v>
      </c>
      <c r="F2187" s="23">
        <v>1</v>
      </c>
      <c r="G2187" s="23" t="s">
        <v>16</v>
      </c>
      <c r="H2187" s="23" t="s">
        <v>17</v>
      </c>
      <c r="I2187" s="24">
        <v>4016792</v>
      </c>
      <c r="J2187" s="23" t="s">
        <v>1474</v>
      </c>
      <c r="K2187" s="23">
        <v>99</v>
      </c>
      <c r="L2187" s="23" t="s">
        <v>15</v>
      </c>
      <c r="M2187" s="25">
        <v>2500</v>
      </c>
      <c r="N2187" s="23" t="s">
        <v>1</v>
      </c>
      <c r="O2187" s="26">
        <f t="shared" si="529"/>
        <v>0.25</v>
      </c>
      <c r="P2187" s="27">
        <f>O2187*$P$2185</f>
        <v>0</v>
      </c>
    </row>
    <row r="2188" spans="1:16" x14ac:dyDescent="0.25">
      <c r="B2188" s="1"/>
      <c r="C2188" s="1"/>
      <c r="D2188" s="1"/>
      <c r="E2188" s="1"/>
      <c r="F2188" s="1"/>
      <c r="G2188" s="1"/>
      <c r="H2188" s="1"/>
      <c r="I2188" s="2"/>
      <c r="J2188" s="1"/>
      <c r="K2188" s="1"/>
      <c r="L2188" s="1"/>
      <c r="M2188" s="3"/>
      <c r="N2188" s="1"/>
    </row>
    <row r="2189" spans="1:16" ht="15.75" thickBot="1" x14ac:dyDescent="0.3">
      <c r="B2189" s="1"/>
      <c r="C2189" s="1"/>
      <c r="D2189" s="1"/>
      <c r="E2189" s="1"/>
      <c r="F2189" s="1"/>
      <c r="G2189" s="1"/>
      <c r="H2189" s="1"/>
      <c r="I2189" s="2"/>
      <c r="J2189" s="1"/>
      <c r="K2189" s="1"/>
      <c r="L2189" s="1"/>
      <c r="M2189" s="3"/>
      <c r="N2189" s="1"/>
      <c r="P2189" s="11">
        <f>IFERROR(VLOOKUP($A2190,'PROGRAMA MES '!$A:$B,2,0),0)</f>
        <v>0</v>
      </c>
    </row>
    <row r="2190" spans="1:16" x14ac:dyDescent="0.25">
      <c r="A2190" s="89" t="str">
        <f>B2190</f>
        <v>SP93630BR</v>
      </c>
      <c r="B2190" s="17" t="s">
        <v>1478</v>
      </c>
      <c r="C2190" s="17" t="s">
        <v>1479</v>
      </c>
      <c r="D2190" s="17">
        <v>54</v>
      </c>
      <c r="E2190" s="17" t="s">
        <v>769</v>
      </c>
      <c r="F2190" s="17">
        <v>1</v>
      </c>
      <c r="G2190" s="17" t="s">
        <v>35</v>
      </c>
      <c r="H2190" s="17" t="s">
        <v>17</v>
      </c>
      <c r="I2190" s="18">
        <v>3005980</v>
      </c>
      <c r="J2190" s="17" t="s">
        <v>1480</v>
      </c>
      <c r="K2190" s="17">
        <v>99</v>
      </c>
      <c r="L2190" s="17" t="s">
        <v>15</v>
      </c>
      <c r="M2190" s="19">
        <v>10000</v>
      </c>
      <c r="N2190" s="17" t="s">
        <v>1</v>
      </c>
      <c r="O2190" s="20">
        <f t="shared" ref="O2190:O2191" si="530">M2190/10000</f>
        <v>1</v>
      </c>
      <c r="P2190" s="21">
        <f>O2190*$P$2189</f>
        <v>0</v>
      </c>
    </row>
    <row r="2191" spans="1:16" ht="15.75" thickBot="1" x14ac:dyDescent="0.3">
      <c r="A2191" s="90"/>
      <c r="B2191" s="23" t="s">
        <v>1478</v>
      </c>
      <c r="C2191" s="23" t="s">
        <v>1479</v>
      </c>
      <c r="D2191" s="23">
        <v>54</v>
      </c>
      <c r="E2191" s="23" t="s">
        <v>769</v>
      </c>
      <c r="F2191" s="23">
        <v>1</v>
      </c>
      <c r="G2191" s="23" t="s">
        <v>16</v>
      </c>
      <c r="H2191" s="23" t="s">
        <v>17</v>
      </c>
      <c r="I2191" s="24">
        <v>4016792</v>
      </c>
      <c r="J2191" s="23" t="s">
        <v>1474</v>
      </c>
      <c r="K2191" s="23">
        <v>99</v>
      </c>
      <c r="L2191" s="23" t="s">
        <v>15</v>
      </c>
      <c r="M2191" s="25">
        <v>2500</v>
      </c>
      <c r="N2191" s="23" t="s">
        <v>1</v>
      </c>
      <c r="O2191" s="26">
        <f t="shared" si="530"/>
        <v>0.25</v>
      </c>
      <c r="P2191" s="27">
        <f>O2191*$P$2189</f>
        <v>0</v>
      </c>
    </row>
    <row r="2192" spans="1:16" x14ac:dyDescent="0.25">
      <c r="B2192" s="1"/>
      <c r="C2192" s="1"/>
      <c r="D2192" s="1"/>
      <c r="E2192" s="1"/>
      <c r="F2192" s="1"/>
      <c r="G2192" s="1"/>
      <c r="H2192" s="1"/>
      <c r="I2192" s="2"/>
      <c r="J2192" s="1"/>
      <c r="K2192" s="1"/>
      <c r="L2192" s="1"/>
      <c r="M2192" s="3"/>
      <c r="N2192" s="1"/>
    </row>
    <row r="2193" spans="1:16" ht="15.75" thickBot="1" x14ac:dyDescent="0.3">
      <c r="B2193" s="1"/>
      <c r="C2193" s="1"/>
      <c r="D2193" s="1"/>
      <c r="E2193" s="1"/>
      <c r="F2193" s="1"/>
      <c r="G2193" s="1"/>
      <c r="H2193" s="1"/>
      <c r="I2193" s="2"/>
      <c r="J2193" s="1"/>
      <c r="K2193" s="1"/>
      <c r="L2193" s="1"/>
      <c r="M2193" s="3"/>
      <c r="N2193" s="1"/>
      <c r="P2193" s="11">
        <f>IFERROR(VLOOKUP($A2194,'PROGRAMA MES '!$A:$B,2,0),0)</f>
        <v>4</v>
      </c>
    </row>
    <row r="2194" spans="1:16" x14ac:dyDescent="0.25">
      <c r="A2194" s="89" t="str">
        <f>B2194</f>
        <v>SP93630PT</v>
      </c>
      <c r="B2194" s="17" t="s">
        <v>1481</v>
      </c>
      <c r="C2194" s="17" t="s">
        <v>1482</v>
      </c>
      <c r="D2194" s="17">
        <v>54</v>
      </c>
      <c r="E2194" s="17" t="s">
        <v>769</v>
      </c>
      <c r="F2194" s="17">
        <v>1</v>
      </c>
      <c r="G2194" s="17" t="s">
        <v>35</v>
      </c>
      <c r="H2194" s="17" t="s">
        <v>17</v>
      </c>
      <c r="I2194" s="18">
        <v>3005981</v>
      </c>
      <c r="J2194" s="17" t="s">
        <v>1483</v>
      </c>
      <c r="K2194" s="17">
        <v>99</v>
      </c>
      <c r="L2194" s="17" t="s">
        <v>15</v>
      </c>
      <c r="M2194" s="19">
        <v>10000</v>
      </c>
      <c r="N2194" s="17" t="s">
        <v>1</v>
      </c>
      <c r="O2194" s="20">
        <f t="shared" ref="O2194:O2195" si="531">M2194/10000</f>
        <v>1</v>
      </c>
      <c r="P2194" s="21">
        <f>O2194*$P$2193</f>
        <v>4</v>
      </c>
    </row>
    <row r="2195" spans="1:16" ht="15.75" thickBot="1" x14ac:dyDescent="0.3">
      <c r="A2195" s="90"/>
      <c r="B2195" s="23" t="s">
        <v>1481</v>
      </c>
      <c r="C2195" s="23" t="s">
        <v>1482</v>
      </c>
      <c r="D2195" s="23">
        <v>54</v>
      </c>
      <c r="E2195" s="23" t="s">
        <v>769</v>
      </c>
      <c r="F2195" s="23">
        <v>1</v>
      </c>
      <c r="G2195" s="23" t="s">
        <v>16</v>
      </c>
      <c r="H2195" s="23" t="s">
        <v>17</v>
      </c>
      <c r="I2195" s="24">
        <v>4016792</v>
      </c>
      <c r="J2195" s="23" t="s">
        <v>1474</v>
      </c>
      <c r="K2195" s="23">
        <v>99</v>
      </c>
      <c r="L2195" s="23" t="s">
        <v>15</v>
      </c>
      <c r="M2195" s="25">
        <v>2500</v>
      </c>
      <c r="N2195" s="23" t="s">
        <v>1</v>
      </c>
      <c r="O2195" s="26">
        <f t="shared" si="531"/>
        <v>0.25</v>
      </c>
      <c r="P2195" s="27">
        <f>O2195*$P$2193</f>
        <v>1</v>
      </c>
    </row>
    <row r="2196" spans="1:16" x14ac:dyDescent="0.25">
      <c r="B2196" s="1"/>
      <c r="C2196" s="1"/>
      <c r="D2196" s="1"/>
      <c r="E2196" s="1"/>
      <c r="F2196" s="1"/>
      <c r="G2196" s="1"/>
      <c r="H2196" s="1"/>
      <c r="I2196" s="2"/>
      <c r="J2196" s="1"/>
      <c r="K2196" s="1"/>
      <c r="L2196" s="1"/>
      <c r="M2196" s="3"/>
      <c r="N2196" s="1"/>
    </row>
    <row r="2197" spans="1:16" ht="15.75" thickBot="1" x14ac:dyDescent="0.3">
      <c r="B2197" s="1"/>
      <c r="C2197" s="1"/>
      <c r="D2197" s="1"/>
      <c r="E2197" s="1"/>
      <c r="F2197" s="1"/>
      <c r="G2197" s="1"/>
      <c r="H2197" s="1"/>
      <c r="I2197" s="2"/>
      <c r="J2197" s="1"/>
      <c r="K2197" s="1"/>
      <c r="L2197" s="1"/>
      <c r="M2197" s="3"/>
      <c r="N2197" s="1"/>
      <c r="P2197" s="11">
        <f>IFERROR(VLOOKUP($A2198,'PROGRAMA MES '!$A:$B,2,0),0)</f>
        <v>0</v>
      </c>
    </row>
    <row r="2198" spans="1:16" x14ac:dyDescent="0.25">
      <c r="A2198" s="89" t="str">
        <f>B2198</f>
        <v>SP93650BR</v>
      </c>
      <c r="B2198" s="17" t="s">
        <v>1484</v>
      </c>
      <c r="C2198" s="17" t="s">
        <v>1485</v>
      </c>
      <c r="D2198" s="17">
        <v>54</v>
      </c>
      <c r="E2198" s="17" t="s">
        <v>769</v>
      </c>
      <c r="F2198" s="17">
        <v>1</v>
      </c>
      <c r="G2198" s="17" t="s">
        <v>35</v>
      </c>
      <c r="H2198" s="17" t="s">
        <v>17</v>
      </c>
      <c r="I2198" s="18">
        <v>3005982</v>
      </c>
      <c r="J2198" s="17" t="s">
        <v>1486</v>
      </c>
      <c r="K2198" s="17">
        <v>99</v>
      </c>
      <c r="L2198" s="17" t="s">
        <v>15</v>
      </c>
      <c r="M2198" s="19">
        <v>10000</v>
      </c>
      <c r="N2198" s="17" t="s">
        <v>1</v>
      </c>
      <c r="O2198" s="20">
        <f t="shared" ref="O2198:O2199" si="532">M2198/10000</f>
        <v>1</v>
      </c>
      <c r="P2198" s="21">
        <f>O2198*$P$2197</f>
        <v>0</v>
      </c>
    </row>
    <row r="2199" spans="1:16" ht="15.75" thickBot="1" x14ac:dyDescent="0.3">
      <c r="A2199" s="90"/>
      <c r="B2199" s="23" t="s">
        <v>1484</v>
      </c>
      <c r="C2199" s="23" t="s">
        <v>1485</v>
      </c>
      <c r="D2199" s="23">
        <v>54</v>
      </c>
      <c r="E2199" s="23" t="s">
        <v>769</v>
      </c>
      <c r="F2199" s="23">
        <v>1</v>
      </c>
      <c r="G2199" s="23" t="s">
        <v>16</v>
      </c>
      <c r="H2199" s="23" t="s">
        <v>17</v>
      </c>
      <c r="I2199" s="24">
        <v>4016792</v>
      </c>
      <c r="J2199" s="23" t="s">
        <v>1474</v>
      </c>
      <c r="K2199" s="23">
        <v>99</v>
      </c>
      <c r="L2199" s="23" t="s">
        <v>15</v>
      </c>
      <c r="M2199" s="25">
        <v>2500</v>
      </c>
      <c r="N2199" s="23" t="s">
        <v>1</v>
      </c>
      <c r="O2199" s="26">
        <f t="shared" si="532"/>
        <v>0.25</v>
      </c>
      <c r="P2199" s="27">
        <f>O2199*$P$2197</f>
        <v>0</v>
      </c>
    </row>
    <row r="2200" spans="1:16" x14ac:dyDescent="0.25">
      <c r="B2200" s="1"/>
      <c r="C2200" s="1"/>
      <c r="D2200" s="1"/>
      <c r="E2200" s="1"/>
      <c r="F2200" s="1"/>
      <c r="G2200" s="1"/>
      <c r="H2200" s="1"/>
      <c r="I2200" s="2"/>
      <c r="J2200" s="1"/>
      <c r="K2200" s="1"/>
      <c r="L2200" s="1"/>
      <c r="M2200" s="3"/>
      <c r="N2200" s="1"/>
    </row>
    <row r="2201" spans="1:16" ht="15.75" thickBot="1" x14ac:dyDescent="0.3">
      <c r="B2201" s="1"/>
      <c r="C2201" s="1"/>
      <c r="D2201" s="1"/>
      <c r="E2201" s="1"/>
      <c r="F2201" s="1"/>
      <c r="G2201" s="1"/>
      <c r="H2201" s="1"/>
      <c r="I2201" s="2"/>
      <c r="J2201" s="1"/>
      <c r="K2201" s="1"/>
      <c r="L2201" s="1"/>
      <c r="M2201" s="3"/>
      <c r="N2201" s="1"/>
      <c r="P2201" s="11">
        <f>IFERROR(VLOOKUP($A2202,'PROGRAMA MES '!$A:$B,2,0),0)</f>
        <v>0</v>
      </c>
    </row>
    <row r="2202" spans="1:16" x14ac:dyDescent="0.25">
      <c r="A2202" s="89" t="str">
        <f>B2202</f>
        <v>SP93650PT</v>
      </c>
      <c r="B2202" s="17" t="s">
        <v>1487</v>
      </c>
      <c r="C2202" s="17" t="s">
        <v>1488</v>
      </c>
      <c r="D2202" s="17">
        <v>54</v>
      </c>
      <c r="E2202" s="17" t="s">
        <v>769</v>
      </c>
      <c r="F2202" s="17">
        <v>1</v>
      </c>
      <c r="G2202" s="17" t="s">
        <v>35</v>
      </c>
      <c r="H2202" s="17" t="s">
        <v>17</v>
      </c>
      <c r="I2202" s="18">
        <v>3005983</v>
      </c>
      <c r="J2202" s="17" t="s">
        <v>1489</v>
      </c>
      <c r="K2202" s="17">
        <v>99</v>
      </c>
      <c r="L2202" s="17" t="s">
        <v>15</v>
      </c>
      <c r="M2202" s="19">
        <v>10000</v>
      </c>
      <c r="N2202" s="17" t="s">
        <v>1</v>
      </c>
      <c r="O2202" s="20">
        <f t="shared" ref="O2202:O2203" si="533">M2202/10000</f>
        <v>1</v>
      </c>
      <c r="P2202" s="21">
        <f>O2202*$P$2201</f>
        <v>0</v>
      </c>
    </row>
    <row r="2203" spans="1:16" ht="15.75" thickBot="1" x14ac:dyDescent="0.3">
      <c r="A2203" s="90"/>
      <c r="B2203" s="23" t="s">
        <v>1487</v>
      </c>
      <c r="C2203" s="23" t="s">
        <v>1488</v>
      </c>
      <c r="D2203" s="23">
        <v>54</v>
      </c>
      <c r="E2203" s="23" t="s">
        <v>769</v>
      </c>
      <c r="F2203" s="23">
        <v>1</v>
      </c>
      <c r="G2203" s="23" t="s">
        <v>16</v>
      </c>
      <c r="H2203" s="23" t="s">
        <v>17</v>
      </c>
      <c r="I2203" s="24">
        <v>4016792</v>
      </c>
      <c r="J2203" s="23" t="s">
        <v>1474</v>
      </c>
      <c r="K2203" s="23">
        <v>99</v>
      </c>
      <c r="L2203" s="23" t="s">
        <v>15</v>
      </c>
      <c r="M2203" s="25">
        <v>2500</v>
      </c>
      <c r="N2203" s="23" t="s">
        <v>1</v>
      </c>
      <c r="O2203" s="26">
        <f t="shared" si="533"/>
        <v>0.25</v>
      </c>
      <c r="P2203" s="27">
        <f>O2203*$P$2201</f>
        <v>0</v>
      </c>
    </row>
    <row r="2204" spans="1:16" x14ac:dyDescent="0.25">
      <c r="B2204" s="1"/>
      <c r="C2204" s="1"/>
      <c r="D2204" s="1"/>
      <c r="E2204" s="1"/>
      <c r="F2204" s="1"/>
      <c r="G2204" s="1"/>
      <c r="H2204" s="1"/>
      <c r="I2204" s="2"/>
      <c r="J2204" s="1"/>
      <c r="K2204" s="1"/>
      <c r="L2204" s="1"/>
      <c r="M2204" s="3"/>
      <c r="N2204" s="1"/>
    </row>
    <row r="2205" spans="1:16" ht="15.75" thickBot="1" x14ac:dyDescent="0.3">
      <c r="B2205" s="1"/>
      <c r="C2205" s="1"/>
      <c r="D2205" s="1"/>
      <c r="E2205" s="1"/>
      <c r="F2205" s="1"/>
      <c r="G2205" s="1"/>
      <c r="H2205" s="1"/>
      <c r="I2205" s="2"/>
      <c r="J2205" s="1"/>
      <c r="K2205" s="1"/>
      <c r="L2205" s="1"/>
      <c r="M2205" s="3"/>
      <c r="N2205" s="1"/>
      <c r="P2205" s="11">
        <f>IFERROR(VLOOKUP($A2206,'PROGRAMA MES '!$A:$B,2,0),0)</f>
        <v>36</v>
      </c>
    </row>
    <row r="2206" spans="1:16" x14ac:dyDescent="0.25">
      <c r="A2206" s="89" t="str">
        <f>B2206</f>
        <v>SP93680BR</v>
      </c>
      <c r="B2206" s="17" t="s">
        <v>1490</v>
      </c>
      <c r="C2206" s="17" t="s">
        <v>1491</v>
      </c>
      <c r="D2206" s="17">
        <v>54</v>
      </c>
      <c r="E2206" s="17" t="s">
        <v>769</v>
      </c>
      <c r="F2206" s="17">
        <v>1</v>
      </c>
      <c r="G2206" s="17" t="s">
        <v>35</v>
      </c>
      <c r="H2206" s="17" t="s">
        <v>17</v>
      </c>
      <c r="I2206" s="18">
        <v>3005984</v>
      </c>
      <c r="J2206" s="17" t="s">
        <v>1492</v>
      </c>
      <c r="K2206" s="17">
        <v>99</v>
      </c>
      <c r="L2206" s="17" t="s">
        <v>15</v>
      </c>
      <c r="M2206" s="19">
        <v>10000</v>
      </c>
      <c r="N2206" s="17" t="s">
        <v>1</v>
      </c>
      <c r="O2206" s="20">
        <f t="shared" ref="O2206:O2207" si="534">M2206/10000</f>
        <v>1</v>
      </c>
      <c r="P2206" s="21">
        <f>O2206*$P$2205</f>
        <v>36</v>
      </c>
    </row>
    <row r="2207" spans="1:16" ht="15.75" thickBot="1" x14ac:dyDescent="0.3">
      <c r="A2207" s="90"/>
      <c r="B2207" s="23" t="s">
        <v>1490</v>
      </c>
      <c r="C2207" s="23" t="s">
        <v>1491</v>
      </c>
      <c r="D2207" s="23">
        <v>54</v>
      </c>
      <c r="E2207" s="23" t="s">
        <v>769</v>
      </c>
      <c r="F2207" s="23">
        <v>1</v>
      </c>
      <c r="G2207" s="23" t="s">
        <v>16</v>
      </c>
      <c r="H2207" s="23" t="s">
        <v>17</v>
      </c>
      <c r="I2207" s="24">
        <v>4016792</v>
      </c>
      <c r="J2207" s="23" t="s">
        <v>1474</v>
      </c>
      <c r="K2207" s="23">
        <v>99</v>
      </c>
      <c r="L2207" s="23" t="s">
        <v>15</v>
      </c>
      <c r="M2207" s="25">
        <v>2500</v>
      </c>
      <c r="N2207" s="23" t="s">
        <v>1</v>
      </c>
      <c r="O2207" s="26">
        <f t="shared" si="534"/>
        <v>0.25</v>
      </c>
      <c r="P2207" s="27">
        <f>O2207*$P$2205</f>
        <v>9</v>
      </c>
    </row>
    <row r="2208" spans="1:16" x14ac:dyDescent="0.25">
      <c r="B2208" s="1"/>
      <c r="C2208" s="1"/>
      <c r="D2208" s="1"/>
      <c r="E2208" s="1"/>
      <c r="F2208" s="1"/>
      <c r="G2208" s="1"/>
      <c r="H2208" s="1"/>
      <c r="I2208" s="2"/>
      <c r="J2208" s="1"/>
      <c r="K2208" s="1"/>
      <c r="L2208" s="1"/>
      <c r="M2208" s="3"/>
      <c r="N2208" s="1"/>
    </row>
    <row r="2209" spans="1:16" ht="15.75" thickBot="1" x14ac:dyDescent="0.3">
      <c r="B2209" s="1"/>
      <c r="C2209" s="1"/>
      <c r="D2209" s="1"/>
      <c r="E2209" s="1"/>
      <c r="F2209" s="1"/>
      <c r="G2209" s="1"/>
      <c r="H2209" s="1"/>
      <c r="I2209" s="2"/>
      <c r="J2209" s="1"/>
      <c r="K2209" s="1"/>
      <c r="L2209" s="1"/>
      <c r="M2209" s="3"/>
      <c r="N2209" s="1"/>
      <c r="P2209" s="11">
        <f>IFERROR(VLOOKUP($A2210,'PROGRAMA MES '!$A:$B,2,0),0)</f>
        <v>60</v>
      </c>
    </row>
    <row r="2210" spans="1:16" x14ac:dyDescent="0.25">
      <c r="A2210" s="89" t="str">
        <f>B2210</f>
        <v>SP93680PT</v>
      </c>
      <c r="B2210" s="17" t="s">
        <v>1493</v>
      </c>
      <c r="C2210" s="17" t="s">
        <v>1494</v>
      </c>
      <c r="D2210" s="17">
        <v>54</v>
      </c>
      <c r="E2210" s="17" t="s">
        <v>769</v>
      </c>
      <c r="F2210" s="17">
        <v>1</v>
      </c>
      <c r="G2210" s="17" t="s">
        <v>35</v>
      </c>
      <c r="H2210" s="17" t="s">
        <v>17</v>
      </c>
      <c r="I2210" s="18">
        <v>3005986</v>
      </c>
      <c r="J2210" s="17" t="s">
        <v>1495</v>
      </c>
      <c r="K2210" s="17">
        <v>99</v>
      </c>
      <c r="L2210" s="17" t="s">
        <v>15</v>
      </c>
      <c r="M2210" s="19">
        <v>10000</v>
      </c>
      <c r="N2210" s="17" t="s">
        <v>1</v>
      </c>
      <c r="O2210" s="20">
        <f t="shared" ref="O2210:O2211" si="535">M2210/10000</f>
        <v>1</v>
      </c>
      <c r="P2210" s="21">
        <f>O2210*$P$2209</f>
        <v>60</v>
      </c>
    </row>
    <row r="2211" spans="1:16" ht="15.75" thickBot="1" x14ac:dyDescent="0.3">
      <c r="A2211" s="90"/>
      <c r="B2211" s="23" t="s">
        <v>1493</v>
      </c>
      <c r="C2211" s="23" t="s">
        <v>1494</v>
      </c>
      <c r="D2211" s="23">
        <v>54</v>
      </c>
      <c r="E2211" s="23" t="s">
        <v>769</v>
      </c>
      <c r="F2211" s="23">
        <v>1</v>
      </c>
      <c r="G2211" s="23" t="s">
        <v>16</v>
      </c>
      <c r="H2211" s="23" t="s">
        <v>17</v>
      </c>
      <c r="I2211" s="24">
        <v>4016792</v>
      </c>
      <c r="J2211" s="23" t="s">
        <v>1474</v>
      </c>
      <c r="K2211" s="23">
        <v>99</v>
      </c>
      <c r="L2211" s="23" t="s">
        <v>15</v>
      </c>
      <c r="M2211" s="25">
        <v>2500</v>
      </c>
      <c r="N2211" s="23" t="s">
        <v>1</v>
      </c>
      <c r="O2211" s="26">
        <f t="shared" si="535"/>
        <v>0.25</v>
      </c>
      <c r="P2211" s="27">
        <f>O2211*$P$2209</f>
        <v>15</v>
      </c>
    </row>
    <row r="2212" spans="1:16" x14ac:dyDescent="0.25">
      <c r="B2212" s="1"/>
      <c r="C2212" s="1"/>
      <c r="D2212" s="1"/>
      <c r="E2212" s="1"/>
      <c r="F2212" s="1"/>
      <c r="G2212" s="1"/>
      <c r="H2212" s="1"/>
      <c r="I2212" s="2"/>
      <c r="J2212" s="1"/>
      <c r="K2212" s="1"/>
      <c r="L2212" s="1"/>
      <c r="M2212" s="3"/>
      <c r="N2212" s="1"/>
    </row>
    <row r="2213" spans="1:16" ht="15.75" thickBot="1" x14ac:dyDescent="0.3">
      <c r="B2213" s="1"/>
      <c r="C2213" s="1"/>
      <c r="D2213" s="1"/>
      <c r="E2213" s="1"/>
      <c r="F2213" s="1"/>
      <c r="G2213" s="1"/>
      <c r="H2213" s="1"/>
      <c r="I2213" s="2"/>
      <c r="J2213" s="1"/>
      <c r="K2213" s="1"/>
      <c r="L2213" s="1"/>
      <c r="M2213" s="3"/>
      <c r="N2213" s="1"/>
      <c r="P2213" s="11">
        <f>IFERROR(VLOOKUP($A2214,'PROGRAMA MES '!$A:$B,2,0),0)</f>
        <v>24</v>
      </c>
    </row>
    <row r="2214" spans="1:16" x14ac:dyDescent="0.25">
      <c r="A2214" s="89" t="str">
        <f>B2214</f>
        <v>SP9380CZ</v>
      </c>
      <c r="B2214" s="17" t="s">
        <v>1496</v>
      </c>
      <c r="C2214" s="17" t="s">
        <v>1497</v>
      </c>
      <c r="D2214" s="17">
        <v>54</v>
      </c>
      <c r="E2214" s="17" t="s">
        <v>769</v>
      </c>
      <c r="F2214" s="17">
        <v>1</v>
      </c>
      <c r="G2214" s="17" t="s">
        <v>35</v>
      </c>
      <c r="H2214" s="17" t="s">
        <v>17</v>
      </c>
      <c r="I2214" s="18">
        <v>3005990</v>
      </c>
      <c r="J2214" s="17" t="s">
        <v>1498</v>
      </c>
      <c r="K2214" s="17">
        <v>99</v>
      </c>
      <c r="L2214" s="17" t="s">
        <v>15</v>
      </c>
      <c r="M2214" s="19">
        <v>10000</v>
      </c>
      <c r="N2214" s="17" t="s">
        <v>1</v>
      </c>
      <c r="O2214" s="20">
        <f t="shared" ref="O2214:O2215" si="536">M2214/10000</f>
        <v>1</v>
      </c>
      <c r="P2214" s="21">
        <f>O2214*$P$2213</f>
        <v>24</v>
      </c>
    </row>
    <row r="2215" spans="1:16" ht="15.75" thickBot="1" x14ac:dyDescent="0.3">
      <c r="A2215" s="90"/>
      <c r="B2215" s="23" t="s">
        <v>1496</v>
      </c>
      <c r="C2215" s="23" t="s">
        <v>1497</v>
      </c>
      <c r="D2215" s="23">
        <v>54</v>
      </c>
      <c r="E2215" s="23" t="s">
        <v>769</v>
      </c>
      <c r="F2215" s="23">
        <v>1</v>
      </c>
      <c r="G2215" s="23" t="s">
        <v>16</v>
      </c>
      <c r="H2215" s="23" t="s">
        <v>17</v>
      </c>
      <c r="I2215" s="24">
        <v>4003568</v>
      </c>
      <c r="J2215" s="23" t="s">
        <v>656</v>
      </c>
      <c r="K2215" s="23">
        <v>99</v>
      </c>
      <c r="L2215" s="23" t="s">
        <v>15</v>
      </c>
      <c r="M2215" s="25">
        <v>10000</v>
      </c>
      <c r="N2215" s="23" t="s">
        <v>1</v>
      </c>
      <c r="O2215" s="26">
        <f t="shared" si="536"/>
        <v>1</v>
      </c>
      <c r="P2215" s="27">
        <f>O2215*$P$2213</f>
        <v>24</v>
      </c>
    </row>
    <row r="2216" spans="1:16" x14ac:dyDescent="0.25">
      <c r="B2216" s="1"/>
      <c r="C2216" s="1"/>
      <c r="D2216" s="1"/>
      <c r="E2216" s="1"/>
      <c r="F2216" s="1"/>
      <c r="G2216" s="1"/>
      <c r="H2216" s="1"/>
      <c r="I2216" s="2"/>
      <c r="J2216" s="1"/>
      <c r="K2216" s="1"/>
      <c r="L2216" s="1"/>
      <c r="M2216" s="3"/>
      <c r="N2216" s="1"/>
    </row>
    <row r="2217" spans="1:16" ht="15.75" thickBot="1" x14ac:dyDescent="0.3">
      <c r="B2217" s="1"/>
      <c r="C2217" s="1"/>
      <c r="D2217" s="1"/>
      <c r="E2217" s="1"/>
      <c r="F2217" s="1"/>
      <c r="G2217" s="1"/>
      <c r="H2217" s="1"/>
      <c r="I2217" s="2"/>
      <c r="J2217" s="1"/>
      <c r="K2217" s="1"/>
      <c r="L2217" s="1"/>
      <c r="M2217" s="3"/>
      <c r="N2217" s="1"/>
      <c r="P2217" s="11">
        <f>IFERROR(VLOOKUP($A2218,'PROGRAMA MES '!$A:$B,2,0),0)</f>
        <v>0</v>
      </c>
    </row>
    <row r="2218" spans="1:16" x14ac:dyDescent="0.25">
      <c r="A2218" s="89" t="str">
        <f>B2218</f>
        <v>SP9404BA</v>
      </c>
      <c r="B2218" s="17" t="s">
        <v>1499</v>
      </c>
      <c r="C2218" s="17" t="s">
        <v>227</v>
      </c>
      <c r="D2218" s="17">
        <v>99</v>
      </c>
      <c r="E2218" s="17" t="s">
        <v>15</v>
      </c>
      <c r="F2218" s="17">
        <v>1</v>
      </c>
      <c r="G2218" s="17" t="s">
        <v>16</v>
      </c>
      <c r="H2218" s="17" t="s">
        <v>17</v>
      </c>
      <c r="I2218" s="18">
        <v>4002827</v>
      </c>
      <c r="J2218" s="17" t="s">
        <v>0</v>
      </c>
      <c r="K2218" s="17">
        <v>99</v>
      </c>
      <c r="L2218" s="17" t="s">
        <v>15</v>
      </c>
      <c r="M2218" s="17">
        <v>171.4</v>
      </c>
      <c r="N2218" s="17" t="s">
        <v>2</v>
      </c>
      <c r="O2218" s="20">
        <f t="shared" ref="O2218:O2220" si="537">M2218/10000</f>
        <v>1.7139999999999999E-2</v>
      </c>
      <c r="P2218" s="21">
        <f>O2218*$P$2217</f>
        <v>0</v>
      </c>
    </row>
    <row r="2219" spans="1:16" x14ac:dyDescent="0.25">
      <c r="A2219" s="91"/>
      <c r="B2219" s="13" t="s">
        <v>1499</v>
      </c>
      <c r="C2219" s="13" t="s">
        <v>227</v>
      </c>
      <c r="D2219" s="13">
        <v>99</v>
      </c>
      <c r="E2219" s="13" t="s">
        <v>15</v>
      </c>
      <c r="F2219" s="13">
        <v>1</v>
      </c>
      <c r="G2219" s="13" t="s">
        <v>16</v>
      </c>
      <c r="H2219" s="13" t="s">
        <v>17</v>
      </c>
      <c r="I2219" s="14">
        <v>4010021</v>
      </c>
      <c r="J2219" s="13" t="s">
        <v>1500</v>
      </c>
      <c r="K2219" s="13">
        <v>99</v>
      </c>
      <c r="L2219" s="13" t="s">
        <v>15</v>
      </c>
      <c r="M2219" s="13">
        <v>100</v>
      </c>
      <c r="N2219" s="13" t="s">
        <v>1</v>
      </c>
      <c r="O2219" s="16">
        <f t="shared" si="537"/>
        <v>0.01</v>
      </c>
      <c r="P2219" s="22">
        <f>O2219*$P$2217</f>
        <v>0</v>
      </c>
    </row>
    <row r="2220" spans="1:16" ht="15.75" thickBot="1" x14ac:dyDescent="0.3">
      <c r="A2220" s="90"/>
      <c r="B2220" s="23" t="s">
        <v>1499</v>
      </c>
      <c r="C2220" s="23" t="s">
        <v>227</v>
      </c>
      <c r="D2220" s="23">
        <v>99</v>
      </c>
      <c r="E2220" s="23" t="s">
        <v>15</v>
      </c>
      <c r="F2220" s="23">
        <v>1</v>
      </c>
      <c r="G2220" s="23" t="s">
        <v>21</v>
      </c>
      <c r="H2220" s="23" t="s">
        <v>17</v>
      </c>
      <c r="I2220" s="24" t="s">
        <v>1501</v>
      </c>
      <c r="J2220" s="23" t="s">
        <v>227</v>
      </c>
      <c r="K2220" s="23">
        <v>3</v>
      </c>
      <c r="L2220" s="23" t="s">
        <v>24</v>
      </c>
      <c r="M2220" s="25">
        <v>10000</v>
      </c>
      <c r="N2220" s="23" t="s">
        <v>1</v>
      </c>
      <c r="O2220" s="26">
        <f t="shared" si="537"/>
        <v>1</v>
      </c>
      <c r="P2220" s="27">
        <f>O2220*$P$2217</f>
        <v>0</v>
      </c>
    </row>
    <row r="2221" spans="1:16" x14ac:dyDescent="0.25">
      <c r="B2221" s="1"/>
      <c r="C2221" s="1"/>
      <c r="D2221" s="1"/>
      <c r="E2221" s="1"/>
      <c r="F2221" s="1"/>
      <c r="G2221" s="1"/>
      <c r="H2221" s="1"/>
      <c r="I2221" s="2"/>
      <c r="J2221" s="1"/>
      <c r="K2221" s="1"/>
      <c r="L2221" s="1"/>
      <c r="M2221" s="3"/>
      <c r="N2221" s="1"/>
    </row>
    <row r="2222" spans="1:16" ht="15.75" thickBot="1" x14ac:dyDescent="0.3">
      <c r="B2222" s="1"/>
      <c r="C2222" s="1"/>
      <c r="D2222" s="1"/>
      <c r="E2222" s="1"/>
      <c r="F2222" s="1"/>
      <c r="G2222" s="1"/>
      <c r="H2222" s="1"/>
      <c r="I2222" s="2"/>
      <c r="J2222" s="1"/>
      <c r="K2222" s="1"/>
      <c r="L2222" s="1"/>
      <c r="M2222" s="3"/>
      <c r="N2222" s="1"/>
      <c r="P2222" s="11">
        <f>IFERROR(VLOOKUP($A2223,'PROGRAMA MES '!$A:$B,2,0),0)</f>
        <v>20000</v>
      </c>
    </row>
    <row r="2223" spans="1:16" x14ac:dyDescent="0.25">
      <c r="A2223" s="89" t="str">
        <f>B2223</f>
        <v>SP9409BA</v>
      </c>
      <c r="B2223" s="17" t="s">
        <v>1502</v>
      </c>
      <c r="C2223" s="17" t="s">
        <v>1503</v>
      </c>
      <c r="D2223" s="17">
        <v>99</v>
      </c>
      <c r="E2223" s="17" t="s">
        <v>15</v>
      </c>
      <c r="F2223" s="17">
        <v>1</v>
      </c>
      <c r="G2223" s="17" t="s">
        <v>16</v>
      </c>
      <c r="H2223" s="17" t="s">
        <v>17</v>
      </c>
      <c r="I2223" s="18">
        <v>4002827</v>
      </c>
      <c r="J2223" s="17" t="s">
        <v>0</v>
      </c>
      <c r="K2223" s="17">
        <v>99</v>
      </c>
      <c r="L2223" s="17" t="s">
        <v>15</v>
      </c>
      <c r="M2223" s="17">
        <v>139.69999999999999</v>
      </c>
      <c r="N2223" s="17" t="s">
        <v>2</v>
      </c>
      <c r="O2223" s="20">
        <f t="shared" ref="O2223:O2225" si="538">M2223/10000</f>
        <v>1.3969999999999998E-2</v>
      </c>
      <c r="P2223" s="21">
        <f>O2223*$P$2222</f>
        <v>279.39999999999998</v>
      </c>
    </row>
    <row r="2224" spans="1:16" x14ac:dyDescent="0.25">
      <c r="A2224" s="91"/>
      <c r="B2224" s="13" t="s">
        <v>1502</v>
      </c>
      <c r="C2224" s="13" t="s">
        <v>1503</v>
      </c>
      <c r="D2224" s="13">
        <v>99</v>
      </c>
      <c r="E2224" s="13" t="s">
        <v>15</v>
      </c>
      <c r="F2224" s="13">
        <v>1</v>
      </c>
      <c r="G2224" s="13" t="s">
        <v>16</v>
      </c>
      <c r="H2224" s="13" t="s">
        <v>17</v>
      </c>
      <c r="I2224" s="14">
        <v>4010040</v>
      </c>
      <c r="J2224" s="13" t="s">
        <v>1504</v>
      </c>
      <c r="K2224" s="13">
        <v>99</v>
      </c>
      <c r="L2224" s="13" t="s">
        <v>15</v>
      </c>
      <c r="M2224" s="13">
        <v>100</v>
      </c>
      <c r="N2224" s="13" t="s">
        <v>1</v>
      </c>
      <c r="O2224" s="16">
        <f t="shared" si="538"/>
        <v>0.01</v>
      </c>
      <c r="P2224" s="22">
        <f t="shared" ref="P2224:P2225" si="539">O2224*$P$2222</f>
        <v>200</v>
      </c>
    </row>
    <row r="2225" spans="1:16" ht="15.75" thickBot="1" x14ac:dyDescent="0.3">
      <c r="A2225" s="90"/>
      <c r="B2225" s="23" t="s">
        <v>1502</v>
      </c>
      <c r="C2225" s="23" t="s">
        <v>1503</v>
      </c>
      <c r="D2225" s="23">
        <v>99</v>
      </c>
      <c r="E2225" s="23" t="s">
        <v>15</v>
      </c>
      <c r="F2225" s="23">
        <v>1</v>
      </c>
      <c r="G2225" s="23" t="s">
        <v>21</v>
      </c>
      <c r="H2225" s="23" t="s">
        <v>17</v>
      </c>
      <c r="I2225" s="24" t="s">
        <v>1505</v>
      </c>
      <c r="J2225" s="23" t="s">
        <v>1506</v>
      </c>
      <c r="K2225" s="23">
        <v>3</v>
      </c>
      <c r="L2225" s="23" t="s">
        <v>24</v>
      </c>
      <c r="M2225" s="25">
        <v>10000</v>
      </c>
      <c r="N2225" s="23" t="s">
        <v>1</v>
      </c>
      <c r="O2225" s="26">
        <f t="shared" si="538"/>
        <v>1</v>
      </c>
      <c r="P2225" s="27">
        <f t="shared" si="539"/>
        <v>20000</v>
      </c>
    </row>
    <row r="2226" spans="1:16" x14ac:dyDescent="0.25">
      <c r="B2226" s="1"/>
      <c r="C2226" s="1"/>
      <c r="D2226" s="1"/>
      <c r="E2226" s="1"/>
      <c r="F2226" s="1"/>
      <c r="G2226" s="1"/>
      <c r="H2226" s="1"/>
      <c r="I2226" s="2"/>
      <c r="J2226" s="1"/>
      <c r="K2226" s="1"/>
      <c r="L2226" s="1"/>
      <c r="M2226" s="3"/>
      <c r="N2226" s="1"/>
    </row>
    <row r="2227" spans="1:16" ht="15.75" thickBot="1" x14ac:dyDescent="0.3">
      <c r="B2227" s="1"/>
      <c r="C2227" s="1"/>
      <c r="D2227" s="1"/>
      <c r="E2227" s="1"/>
      <c r="F2227" s="1"/>
      <c r="G2227" s="1"/>
      <c r="H2227" s="1"/>
      <c r="I2227" s="2"/>
      <c r="J2227" s="1"/>
      <c r="K2227" s="1"/>
      <c r="L2227" s="1"/>
      <c r="M2227" s="3"/>
      <c r="N2227" s="1"/>
      <c r="P2227" s="11">
        <f>IFERROR(VLOOKUP($A2228,'PROGRAMA MES '!$A:$B,2,0),0)</f>
        <v>0</v>
      </c>
    </row>
    <row r="2228" spans="1:16" x14ac:dyDescent="0.25">
      <c r="A2228" s="89" t="str">
        <f>B2228</f>
        <v>SP94106/2</v>
      </c>
      <c r="B2228" s="17" t="s">
        <v>1507</v>
      </c>
      <c r="C2228" s="17" t="s">
        <v>1508</v>
      </c>
      <c r="D2228" s="17">
        <v>99</v>
      </c>
      <c r="E2228" s="17" t="s">
        <v>15</v>
      </c>
      <c r="F2228" s="17">
        <v>1</v>
      </c>
      <c r="G2228" s="17" t="s">
        <v>16</v>
      </c>
      <c r="H2228" s="17" t="s">
        <v>17</v>
      </c>
      <c r="I2228" s="18">
        <v>4002733</v>
      </c>
      <c r="J2228" s="17" t="s">
        <v>243</v>
      </c>
      <c r="K2228" s="17">
        <v>99</v>
      </c>
      <c r="L2228" s="17" t="s">
        <v>15</v>
      </c>
      <c r="M2228" s="17">
        <v>7.4</v>
      </c>
      <c r="N2228" s="17" t="s">
        <v>3</v>
      </c>
      <c r="O2228" s="20">
        <f t="shared" ref="O2228:O2230" si="540">M2228/10000</f>
        <v>7.3999999999999999E-4</v>
      </c>
      <c r="P2228" s="21">
        <f>O2228*$P$2227</f>
        <v>0</v>
      </c>
    </row>
    <row r="2229" spans="1:16" x14ac:dyDescent="0.25">
      <c r="A2229" s="91"/>
      <c r="B2229" s="13" t="s">
        <v>1507</v>
      </c>
      <c r="C2229" s="13" t="s">
        <v>1508</v>
      </c>
      <c r="D2229" s="13">
        <v>99</v>
      </c>
      <c r="E2229" s="13" t="s">
        <v>15</v>
      </c>
      <c r="F2229" s="13">
        <v>1</v>
      </c>
      <c r="G2229" s="13" t="s">
        <v>16</v>
      </c>
      <c r="H2229" s="13" t="s">
        <v>17</v>
      </c>
      <c r="I2229" s="14">
        <v>4012100</v>
      </c>
      <c r="J2229" s="13" t="s">
        <v>1509</v>
      </c>
      <c r="K2229" s="13">
        <v>99</v>
      </c>
      <c r="L2229" s="13" t="s">
        <v>15</v>
      </c>
      <c r="M2229" s="13">
        <v>167</v>
      </c>
      <c r="N2229" s="13" t="s">
        <v>1</v>
      </c>
      <c r="O2229" s="16">
        <f t="shared" si="540"/>
        <v>1.67E-2</v>
      </c>
      <c r="P2229" s="22">
        <f t="shared" ref="P2229:P2230" si="541">O2229*$P$2227</f>
        <v>0</v>
      </c>
    </row>
    <row r="2230" spans="1:16" ht="15.75" thickBot="1" x14ac:dyDescent="0.3">
      <c r="A2230" s="90"/>
      <c r="B2230" s="23" t="s">
        <v>1507</v>
      </c>
      <c r="C2230" s="23" t="s">
        <v>1508</v>
      </c>
      <c r="D2230" s="23">
        <v>99</v>
      </c>
      <c r="E2230" s="23" t="s">
        <v>15</v>
      </c>
      <c r="F2230" s="23">
        <v>1</v>
      </c>
      <c r="G2230" s="23" t="s">
        <v>21</v>
      </c>
      <c r="H2230" s="23" t="s">
        <v>17</v>
      </c>
      <c r="I2230" s="24" t="s">
        <v>1510</v>
      </c>
      <c r="J2230" s="23" t="s">
        <v>1511</v>
      </c>
      <c r="K2230" s="23">
        <v>3</v>
      </c>
      <c r="L2230" s="23" t="s">
        <v>24</v>
      </c>
      <c r="M2230" s="25">
        <v>10000</v>
      </c>
      <c r="N2230" s="23" t="s">
        <v>1</v>
      </c>
      <c r="O2230" s="26">
        <f t="shared" si="540"/>
        <v>1</v>
      </c>
      <c r="P2230" s="27">
        <f t="shared" si="541"/>
        <v>0</v>
      </c>
    </row>
    <row r="2231" spans="1:16" x14ac:dyDescent="0.25">
      <c r="B2231" s="1"/>
      <c r="C2231" s="1"/>
      <c r="D2231" s="1"/>
      <c r="E2231" s="1"/>
      <c r="F2231" s="1"/>
      <c r="G2231" s="1"/>
      <c r="H2231" s="1"/>
      <c r="I2231" s="2"/>
      <c r="J2231" s="1"/>
      <c r="K2231" s="1"/>
      <c r="L2231" s="1"/>
      <c r="M2231" s="3"/>
      <c r="N2231" s="1"/>
    </row>
    <row r="2232" spans="1:16" ht="15.75" thickBot="1" x14ac:dyDescent="0.3">
      <c r="B2232" s="1"/>
      <c r="C2232" s="1"/>
      <c r="D2232" s="1"/>
      <c r="E2232" s="1"/>
      <c r="F2232" s="1"/>
      <c r="G2232" s="1"/>
      <c r="H2232" s="1"/>
      <c r="I2232" s="2"/>
      <c r="J2232" s="1"/>
      <c r="K2232" s="1"/>
      <c r="L2232" s="1"/>
      <c r="M2232" s="3"/>
      <c r="N2232" s="1"/>
      <c r="P2232" s="11">
        <f>IFERROR(VLOOKUP($A2233,'PROGRAMA MES '!$A:$B,2,0),0)</f>
        <v>6000</v>
      </c>
    </row>
    <row r="2233" spans="1:16" x14ac:dyDescent="0.25">
      <c r="A2233" s="89" t="str">
        <f>B2233</f>
        <v>SP9440</v>
      </c>
      <c r="B2233" s="17" t="s">
        <v>1512</v>
      </c>
      <c r="C2233" s="17" t="s">
        <v>1513</v>
      </c>
      <c r="D2233" s="17">
        <v>99</v>
      </c>
      <c r="E2233" s="17" t="s">
        <v>15</v>
      </c>
      <c r="F2233" s="17">
        <v>1</v>
      </c>
      <c r="G2233" s="17" t="s">
        <v>16</v>
      </c>
      <c r="H2233" s="17" t="s">
        <v>17</v>
      </c>
      <c r="I2233" s="18">
        <v>4002546</v>
      </c>
      <c r="J2233" s="17" t="s">
        <v>179</v>
      </c>
      <c r="K2233" s="17">
        <v>99</v>
      </c>
      <c r="L2233" s="17" t="s">
        <v>15</v>
      </c>
      <c r="M2233" s="17">
        <v>160</v>
      </c>
      <c r="N2233" s="17" t="s">
        <v>1</v>
      </c>
      <c r="O2233" s="20">
        <f t="shared" ref="O2233:O2237" si="542">M2233/10000</f>
        <v>1.6E-2</v>
      </c>
      <c r="P2233" s="21">
        <f>O2233*$P$2232</f>
        <v>96</v>
      </c>
    </row>
    <row r="2234" spans="1:16" x14ac:dyDescent="0.25">
      <c r="A2234" s="91"/>
      <c r="B2234" s="13" t="s">
        <v>1512</v>
      </c>
      <c r="C2234" s="13" t="s">
        <v>1513</v>
      </c>
      <c r="D2234" s="13">
        <v>99</v>
      </c>
      <c r="E2234" s="13" t="s">
        <v>15</v>
      </c>
      <c r="F2234" s="13">
        <v>1</v>
      </c>
      <c r="G2234" s="13" t="s">
        <v>16</v>
      </c>
      <c r="H2234" s="13" t="s">
        <v>17</v>
      </c>
      <c r="I2234" s="14">
        <v>4002827</v>
      </c>
      <c r="J2234" s="13" t="s">
        <v>0</v>
      </c>
      <c r="K2234" s="13">
        <v>99</v>
      </c>
      <c r="L2234" s="13" t="s">
        <v>15</v>
      </c>
      <c r="M2234" s="13">
        <v>120</v>
      </c>
      <c r="N2234" s="13" t="s">
        <v>2</v>
      </c>
      <c r="O2234" s="16">
        <f t="shared" si="542"/>
        <v>1.2E-2</v>
      </c>
      <c r="P2234" s="22">
        <f t="shared" ref="P2234:P2237" si="543">O2234*$P$2232</f>
        <v>72</v>
      </c>
    </row>
    <row r="2235" spans="1:16" x14ac:dyDescent="0.25">
      <c r="A2235" s="91"/>
      <c r="B2235" s="13" t="s">
        <v>1512</v>
      </c>
      <c r="C2235" s="13" t="s">
        <v>1513</v>
      </c>
      <c r="D2235" s="13">
        <v>99</v>
      </c>
      <c r="E2235" s="13" t="s">
        <v>15</v>
      </c>
      <c r="F2235" s="13">
        <v>1</v>
      </c>
      <c r="G2235" s="13" t="s">
        <v>16</v>
      </c>
      <c r="H2235" s="13" t="s">
        <v>17</v>
      </c>
      <c r="I2235" s="14">
        <v>4005407</v>
      </c>
      <c r="J2235" s="13" t="s">
        <v>1514</v>
      </c>
      <c r="K2235" s="13">
        <v>99</v>
      </c>
      <c r="L2235" s="13" t="s">
        <v>15</v>
      </c>
      <c r="M2235" s="13">
        <v>84</v>
      </c>
      <c r="N2235" s="13" t="s">
        <v>1</v>
      </c>
      <c r="O2235" s="16">
        <f t="shared" si="542"/>
        <v>8.3999999999999995E-3</v>
      </c>
      <c r="P2235" s="22">
        <f t="shared" si="543"/>
        <v>50.4</v>
      </c>
    </row>
    <row r="2236" spans="1:16" x14ac:dyDescent="0.25">
      <c r="A2236" s="91"/>
      <c r="B2236" s="13" t="s">
        <v>1512</v>
      </c>
      <c r="C2236" s="13" t="s">
        <v>1513</v>
      </c>
      <c r="D2236" s="13">
        <v>99</v>
      </c>
      <c r="E2236" s="13" t="s">
        <v>15</v>
      </c>
      <c r="F2236" s="13">
        <v>1</v>
      </c>
      <c r="G2236" s="13" t="s">
        <v>16</v>
      </c>
      <c r="H2236" s="13" t="s">
        <v>17</v>
      </c>
      <c r="I2236" s="14">
        <v>4016160</v>
      </c>
      <c r="J2236" s="13" t="s">
        <v>69</v>
      </c>
      <c r="K2236" s="13">
        <v>99</v>
      </c>
      <c r="L2236" s="13" t="s">
        <v>15</v>
      </c>
      <c r="M2236" s="13">
        <v>20</v>
      </c>
      <c r="N2236" s="13" t="s">
        <v>3</v>
      </c>
      <c r="O2236" s="16">
        <f t="shared" si="542"/>
        <v>2E-3</v>
      </c>
      <c r="P2236" s="22">
        <f t="shared" si="543"/>
        <v>12</v>
      </c>
    </row>
    <row r="2237" spans="1:16" ht="15.75" thickBot="1" x14ac:dyDescent="0.3">
      <c r="A2237" s="90"/>
      <c r="B2237" s="23" t="s">
        <v>1512</v>
      </c>
      <c r="C2237" s="23" t="s">
        <v>1513</v>
      </c>
      <c r="D2237" s="23">
        <v>99</v>
      </c>
      <c r="E2237" s="23" t="s">
        <v>15</v>
      </c>
      <c r="F2237" s="23">
        <v>1</v>
      </c>
      <c r="G2237" s="23" t="s">
        <v>21</v>
      </c>
      <c r="H2237" s="23" t="s">
        <v>17</v>
      </c>
      <c r="I2237" s="24" t="s">
        <v>1515</v>
      </c>
      <c r="J2237" s="23" t="s">
        <v>1516</v>
      </c>
      <c r="K2237" s="23">
        <v>3</v>
      </c>
      <c r="L2237" s="23" t="s">
        <v>24</v>
      </c>
      <c r="M2237" s="25">
        <v>12000</v>
      </c>
      <c r="N2237" s="23" t="s">
        <v>1</v>
      </c>
      <c r="O2237" s="26">
        <f t="shared" si="542"/>
        <v>1.2</v>
      </c>
      <c r="P2237" s="27">
        <f t="shared" si="543"/>
        <v>7200</v>
      </c>
    </row>
    <row r="2238" spans="1:16" x14ac:dyDescent="0.25">
      <c r="B2238" s="1"/>
      <c r="C2238" s="1"/>
      <c r="D2238" s="1"/>
      <c r="E2238" s="1"/>
      <c r="F2238" s="1"/>
      <c r="G2238" s="1"/>
      <c r="H2238" s="1"/>
      <c r="I2238" s="2"/>
      <c r="J2238" s="1"/>
      <c r="K2238" s="1"/>
      <c r="L2238" s="1"/>
      <c r="M2238" s="3"/>
      <c r="N2238" s="1"/>
    </row>
    <row r="2239" spans="1:16" ht="15.75" thickBot="1" x14ac:dyDescent="0.3">
      <c r="B2239" s="1"/>
      <c r="C2239" s="1"/>
      <c r="D2239" s="1"/>
      <c r="E2239" s="1"/>
      <c r="F2239" s="1"/>
      <c r="G2239" s="1"/>
      <c r="H2239" s="1"/>
      <c r="I2239" s="2"/>
      <c r="J2239" s="1"/>
      <c r="K2239" s="1"/>
      <c r="L2239" s="1"/>
      <c r="M2239" s="3"/>
      <c r="N2239" s="1"/>
      <c r="P2239" s="11">
        <f>IFERROR(VLOOKUP($A2240,'PROGRAMA MES '!$A:$B,2,0),0)</f>
        <v>10000</v>
      </c>
    </row>
    <row r="2240" spans="1:16" x14ac:dyDescent="0.25">
      <c r="A2240" s="89" t="str">
        <f>B2240</f>
        <v>SP9443</v>
      </c>
      <c r="B2240" s="17" t="s">
        <v>1517</v>
      </c>
      <c r="C2240" s="17" t="s">
        <v>1518</v>
      </c>
      <c r="D2240" s="17">
        <v>99</v>
      </c>
      <c r="E2240" s="17" t="s">
        <v>15</v>
      </c>
      <c r="F2240" s="17">
        <v>1</v>
      </c>
      <c r="G2240" s="17" t="s">
        <v>16</v>
      </c>
      <c r="H2240" s="17" t="s">
        <v>17</v>
      </c>
      <c r="I2240" s="18">
        <v>4002546</v>
      </c>
      <c r="J2240" s="17" t="s">
        <v>179</v>
      </c>
      <c r="K2240" s="17">
        <v>99</v>
      </c>
      <c r="L2240" s="17" t="s">
        <v>15</v>
      </c>
      <c r="M2240" s="17">
        <v>50</v>
      </c>
      <c r="N2240" s="17" t="s">
        <v>1</v>
      </c>
      <c r="O2240" s="20">
        <f t="shared" ref="O2240:O2244" si="544">M2240/10000</f>
        <v>5.0000000000000001E-3</v>
      </c>
      <c r="P2240" s="21">
        <f>O2240*$P$2239</f>
        <v>50</v>
      </c>
    </row>
    <row r="2241" spans="1:16" x14ac:dyDescent="0.25">
      <c r="A2241" s="91"/>
      <c r="B2241" s="13" t="s">
        <v>1517</v>
      </c>
      <c r="C2241" s="13" t="s">
        <v>1518</v>
      </c>
      <c r="D2241" s="13">
        <v>99</v>
      </c>
      <c r="E2241" s="13" t="s">
        <v>15</v>
      </c>
      <c r="F2241" s="13">
        <v>1</v>
      </c>
      <c r="G2241" s="13" t="s">
        <v>16</v>
      </c>
      <c r="H2241" s="13" t="s">
        <v>17</v>
      </c>
      <c r="I2241" s="14">
        <v>4002827</v>
      </c>
      <c r="J2241" s="13" t="s">
        <v>0</v>
      </c>
      <c r="K2241" s="13">
        <v>99</v>
      </c>
      <c r="L2241" s="13" t="s">
        <v>15</v>
      </c>
      <c r="M2241" s="13">
        <v>141.4</v>
      </c>
      <c r="N2241" s="13" t="s">
        <v>2</v>
      </c>
      <c r="O2241" s="16">
        <f t="shared" si="544"/>
        <v>1.414E-2</v>
      </c>
      <c r="P2241" s="22">
        <f t="shared" ref="P2241:P2244" si="545">O2241*$P$2239</f>
        <v>141.4</v>
      </c>
    </row>
    <row r="2242" spans="1:16" x14ac:dyDescent="0.25">
      <c r="A2242" s="91"/>
      <c r="B2242" s="13" t="s">
        <v>1517</v>
      </c>
      <c r="C2242" s="13" t="s">
        <v>1518</v>
      </c>
      <c r="D2242" s="13">
        <v>99</v>
      </c>
      <c r="E2242" s="13" t="s">
        <v>15</v>
      </c>
      <c r="F2242" s="13">
        <v>1</v>
      </c>
      <c r="G2242" s="13" t="s">
        <v>16</v>
      </c>
      <c r="H2242" s="13" t="s">
        <v>17</v>
      </c>
      <c r="I2242" s="14">
        <v>4011639</v>
      </c>
      <c r="J2242" s="13" t="s">
        <v>1519</v>
      </c>
      <c r="K2242" s="13">
        <v>99</v>
      </c>
      <c r="L2242" s="13" t="s">
        <v>15</v>
      </c>
      <c r="M2242" s="13">
        <v>50</v>
      </c>
      <c r="N2242" s="13" t="s">
        <v>1</v>
      </c>
      <c r="O2242" s="16">
        <f t="shared" si="544"/>
        <v>5.0000000000000001E-3</v>
      </c>
      <c r="P2242" s="22">
        <f t="shared" si="545"/>
        <v>50</v>
      </c>
    </row>
    <row r="2243" spans="1:16" x14ac:dyDescent="0.25">
      <c r="A2243" s="91"/>
      <c r="B2243" s="13" t="s">
        <v>1517</v>
      </c>
      <c r="C2243" s="13" t="s">
        <v>1518</v>
      </c>
      <c r="D2243" s="13">
        <v>99</v>
      </c>
      <c r="E2243" s="13" t="s">
        <v>15</v>
      </c>
      <c r="F2243" s="13">
        <v>1</v>
      </c>
      <c r="G2243" s="13" t="s">
        <v>16</v>
      </c>
      <c r="H2243" s="13" t="s">
        <v>17</v>
      </c>
      <c r="I2243" s="14">
        <v>4016160</v>
      </c>
      <c r="J2243" s="13" t="s">
        <v>69</v>
      </c>
      <c r="K2243" s="13">
        <v>99</v>
      </c>
      <c r="L2243" s="13" t="s">
        <v>15</v>
      </c>
      <c r="M2243" s="13">
        <v>20</v>
      </c>
      <c r="N2243" s="13" t="s">
        <v>3</v>
      </c>
      <c r="O2243" s="16">
        <f t="shared" si="544"/>
        <v>2E-3</v>
      </c>
      <c r="P2243" s="22">
        <f t="shared" si="545"/>
        <v>20</v>
      </c>
    </row>
    <row r="2244" spans="1:16" ht="15.75" thickBot="1" x14ac:dyDescent="0.3">
      <c r="A2244" s="90"/>
      <c r="B2244" s="23" t="s">
        <v>1517</v>
      </c>
      <c r="C2244" s="23" t="s">
        <v>1518</v>
      </c>
      <c r="D2244" s="23">
        <v>99</v>
      </c>
      <c r="E2244" s="23" t="s">
        <v>15</v>
      </c>
      <c r="F2244" s="23">
        <v>1</v>
      </c>
      <c r="G2244" s="23" t="s">
        <v>21</v>
      </c>
      <c r="H2244" s="23" t="s">
        <v>17</v>
      </c>
      <c r="I2244" s="24" t="s">
        <v>1520</v>
      </c>
      <c r="J2244" s="23" t="s">
        <v>1521</v>
      </c>
      <c r="K2244" s="23">
        <v>3</v>
      </c>
      <c r="L2244" s="23" t="s">
        <v>24</v>
      </c>
      <c r="M2244" s="25">
        <v>10000</v>
      </c>
      <c r="N2244" s="23" t="s">
        <v>1</v>
      </c>
      <c r="O2244" s="26">
        <f t="shared" si="544"/>
        <v>1</v>
      </c>
      <c r="P2244" s="27">
        <f t="shared" si="545"/>
        <v>10000</v>
      </c>
    </row>
    <row r="2245" spans="1:16" x14ac:dyDescent="0.25">
      <c r="B2245" s="1"/>
      <c r="C2245" s="1"/>
      <c r="D2245" s="1"/>
      <c r="E2245" s="1"/>
      <c r="F2245" s="1"/>
      <c r="G2245" s="1"/>
      <c r="H2245" s="1"/>
      <c r="I2245" s="2"/>
      <c r="J2245" s="1"/>
      <c r="K2245" s="1"/>
      <c r="L2245" s="1"/>
      <c r="M2245" s="3"/>
      <c r="N2245" s="1"/>
    </row>
    <row r="2246" spans="1:16" ht="15.75" thickBot="1" x14ac:dyDescent="0.3">
      <c r="B2246" s="1"/>
      <c r="C2246" s="1"/>
      <c r="D2246" s="1"/>
      <c r="E2246" s="1"/>
      <c r="F2246" s="1"/>
      <c r="G2246" s="1"/>
      <c r="H2246" s="1"/>
      <c r="I2246" s="2"/>
      <c r="J2246" s="1"/>
      <c r="K2246" s="1"/>
      <c r="L2246" s="1"/>
      <c r="M2246" s="3"/>
      <c r="N2246" s="1"/>
      <c r="P2246" s="11">
        <f>IFERROR(VLOOKUP($A2247,'PROGRAMA MES '!$A:$B,2,0),0)</f>
        <v>0</v>
      </c>
    </row>
    <row r="2247" spans="1:16" x14ac:dyDescent="0.25">
      <c r="A2247" s="89" t="str">
        <f>B2247</f>
        <v>SP9444</v>
      </c>
      <c r="B2247" s="17" t="s">
        <v>1522</v>
      </c>
      <c r="C2247" s="17" t="s">
        <v>1523</v>
      </c>
      <c r="D2247" s="17">
        <v>3</v>
      </c>
      <c r="E2247" s="17" t="s">
        <v>24</v>
      </c>
      <c r="F2247" s="17">
        <v>1</v>
      </c>
      <c r="G2247" s="17" t="s">
        <v>16</v>
      </c>
      <c r="H2247" s="17" t="s">
        <v>17</v>
      </c>
      <c r="I2247" s="18">
        <v>4002546</v>
      </c>
      <c r="J2247" s="17" t="s">
        <v>179</v>
      </c>
      <c r="K2247" s="17">
        <v>99</v>
      </c>
      <c r="L2247" s="17" t="s">
        <v>15</v>
      </c>
      <c r="M2247" s="17">
        <v>111</v>
      </c>
      <c r="N2247" s="17" t="s">
        <v>1</v>
      </c>
      <c r="O2247" s="20">
        <f t="shared" ref="O2247:O2250" si="546">M2247/10000</f>
        <v>1.11E-2</v>
      </c>
      <c r="P2247" s="21">
        <f>O2247*$P$2246</f>
        <v>0</v>
      </c>
    </row>
    <row r="2248" spans="1:16" x14ac:dyDescent="0.25">
      <c r="A2248" s="91"/>
      <c r="B2248" s="13" t="s">
        <v>1522</v>
      </c>
      <c r="C2248" s="13" t="s">
        <v>1523</v>
      </c>
      <c r="D2248" s="13">
        <v>3</v>
      </c>
      <c r="E2248" s="13" t="s">
        <v>24</v>
      </c>
      <c r="F2248" s="13">
        <v>1</v>
      </c>
      <c r="G2248" s="13" t="s">
        <v>16</v>
      </c>
      <c r="H2248" s="13" t="s">
        <v>17</v>
      </c>
      <c r="I2248" s="14">
        <v>4013770</v>
      </c>
      <c r="J2248" s="13" t="s">
        <v>742</v>
      </c>
      <c r="K2248" s="13">
        <v>99</v>
      </c>
      <c r="L2248" s="13" t="s">
        <v>15</v>
      </c>
      <c r="M2248" s="13">
        <v>110</v>
      </c>
      <c r="N2248" s="13" t="s">
        <v>1</v>
      </c>
      <c r="O2248" s="16">
        <f t="shared" si="546"/>
        <v>1.0999999999999999E-2</v>
      </c>
      <c r="P2248" s="22">
        <f t="shared" ref="P2248:P2250" si="547">O2248*$P$2246</f>
        <v>0</v>
      </c>
    </row>
    <row r="2249" spans="1:16" x14ac:dyDescent="0.25">
      <c r="A2249" s="91"/>
      <c r="B2249" s="13" t="s">
        <v>1522</v>
      </c>
      <c r="C2249" s="13" t="s">
        <v>1523</v>
      </c>
      <c r="D2249" s="13">
        <v>3</v>
      </c>
      <c r="E2249" s="13" t="s">
        <v>24</v>
      </c>
      <c r="F2249" s="13">
        <v>1</v>
      </c>
      <c r="G2249" s="13" t="s">
        <v>16</v>
      </c>
      <c r="H2249" s="13" t="s">
        <v>17</v>
      </c>
      <c r="I2249" s="14">
        <v>4016160</v>
      </c>
      <c r="J2249" s="13" t="s">
        <v>69</v>
      </c>
      <c r="K2249" s="13">
        <v>99</v>
      </c>
      <c r="L2249" s="13" t="s">
        <v>15</v>
      </c>
      <c r="M2249" s="13">
        <v>20</v>
      </c>
      <c r="N2249" s="13" t="s">
        <v>3</v>
      </c>
      <c r="O2249" s="16">
        <f t="shared" si="546"/>
        <v>2E-3</v>
      </c>
      <c r="P2249" s="22">
        <f t="shared" si="547"/>
        <v>0</v>
      </c>
    </row>
    <row r="2250" spans="1:16" ht="15.75" thickBot="1" x14ac:dyDescent="0.3">
      <c r="A2250" s="90"/>
      <c r="B2250" s="23" t="s">
        <v>1522</v>
      </c>
      <c r="C2250" s="23" t="s">
        <v>1523</v>
      </c>
      <c r="D2250" s="23">
        <v>3</v>
      </c>
      <c r="E2250" s="23" t="s">
        <v>24</v>
      </c>
      <c r="F2250" s="23">
        <v>1</v>
      </c>
      <c r="G2250" s="23" t="s">
        <v>21</v>
      </c>
      <c r="H2250" s="23" t="s">
        <v>17</v>
      </c>
      <c r="I2250" s="24" t="s">
        <v>1524</v>
      </c>
      <c r="J2250" s="23" t="s">
        <v>1525</v>
      </c>
      <c r="K2250" s="23">
        <v>3</v>
      </c>
      <c r="L2250" s="23" t="s">
        <v>24</v>
      </c>
      <c r="M2250" s="25">
        <v>10000</v>
      </c>
      <c r="N2250" s="23" t="s">
        <v>1</v>
      </c>
      <c r="O2250" s="26">
        <f t="shared" si="546"/>
        <v>1</v>
      </c>
      <c r="P2250" s="27">
        <f t="shared" si="547"/>
        <v>0</v>
      </c>
    </row>
    <row r="2251" spans="1:16" x14ac:dyDescent="0.25">
      <c r="B2251" s="1"/>
      <c r="C2251" s="1"/>
      <c r="D2251" s="1"/>
      <c r="E2251" s="1"/>
      <c r="F2251" s="1"/>
      <c r="G2251" s="1"/>
      <c r="H2251" s="1"/>
      <c r="I2251" s="2"/>
      <c r="J2251" s="1"/>
      <c r="K2251" s="1"/>
      <c r="L2251" s="1"/>
      <c r="M2251" s="3"/>
      <c r="N2251" s="1"/>
    </row>
    <row r="2252" spans="1:16" ht="15.75" thickBot="1" x14ac:dyDescent="0.3">
      <c r="B2252" s="1"/>
      <c r="C2252" s="1"/>
      <c r="D2252" s="1"/>
      <c r="E2252" s="1"/>
      <c r="F2252" s="1"/>
      <c r="G2252" s="1"/>
      <c r="H2252" s="1"/>
      <c r="I2252" s="2"/>
      <c r="J2252" s="1"/>
      <c r="K2252" s="1"/>
      <c r="L2252" s="1"/>
      <c r="M2252" s="3"/>
      <c r="N2252" s="1"/>
      <c r="P2252" s="11">
        <f>IFERROR(VLOOKUP($A2253,'PROGRAMA MES '!$A:$B,2,0),0)</f>
        <v>0</v>
      </c>
    </row>
    <row r="2253" spans="1:16" x14ac:dyDescent="0.25">
      <c r="A2253" s="89" t="str">
        <f>B2253</f>
        <v>SP9459</v>
      </c>
      <c r="B2253" s="17" t="s">
        <v>1526</v>
      </c>
      <c r="C2253" s="17" t="s">
        <v>1527</v>
      </c>
      <c r="D2253" s="17">
        <v>3</v>
      </c>
      <c r="E2253" s="17" t="s">
        <v>24</v>
      </c>
      <c r="F2253" s="17">
        <v>1</v>
      </c>
      <c r="G2253" s="17" t="s">
        <v>16</v>
      </c>
      <c r="H2253" s="17" t="s">
        <v>17</v>
      </c>
      <c r="I2253" s="18">
        <v>4016160</v>
      </c>
      <c r="J2253" s="17" t="s">
        <v>69</v>
      </c>
      <c r="K2253" s="17">
        <v>99</v>
      </c>
      <c r="L2253" s="17" t="s">
        <v>15</v>
      </c>
      <c r="M2253" s="17">
        <v>40</v>
      </c>
      <c r="N2253" s="17" t="s">
        <v>3</v>
      </c>
      <c r="O2253" s="20">
        <f t="shared" ref="O2253:O2254" si="548">M2253/10000</f>
        <v>4.0000000000000001E-3</v>
      </c>
      <c r="P2253" s="21">
        <f>O2253*$P$2252</f>
        <v>0</v>
      </c>
    </row>
    <row r="2254" spans="1:16" ht="15.75" thickBot="1" x14ac:dyDescent="0.3">
      <c r="A2254" s="90"/>
      <c r="B2254" s="23" t="s">
        <v>1526</v>
      </c>
      <c r="C2254" s="23" t="s">
        <v>1527</v>
      </c>
      <c r="D2254" s="23">
        <v>3</v>
      </c>
      <c r="E2254" s="23" t="s">
        <v>24</v>
      </c>
      <c r="F2254" s="23">
        <v>1</v>
      </c>
      <c r="G2254" s="23" t="s">
        <v>21</v>
      </c>
      <c r="H2254" s="23" t="s">
        <v>17</v>
      </c>
      <c r="I2254" s="24" t="s">
        <v>1528</v>
      </c>
      <c r="J2254" s="23" t="s">
        <v>1529</v>
      </c>
      <c r="K2254" s="23">
        <v>3</v>
      </c>
      <c r="L2254" s="23" t="s">
        <v>24</v>
      </c>
      <c r="M2254" s="25">
        <v>10000</v>
      </c>
      <c r="N2254" s="23" t="s">
        <v>482</v>
      </c>
      <c r="O2254" s="26">
        <f t="shared" si="548"/>
        <v>1</v>
      </c>
      <c r="P2254" s="27">
        <f>O2254*$P$2252</f>
        <v>0</v>
      </c>
    </row>
    <row r="2255" spans="1:16" x14ac:dyDescent="0.25">
      <c r="B2255" s="1"/>
      <c r="C2255" s="1"/>
      <c r="D2255" s="1"/>
      <c r="E2255" s="1"/>
      <c r="F2255" s="1"/>
      <c r="G2255" s="1"/>
      <c r="H2255" s="1"/>
      <c r="I2255" s="2"/>
      <c r="J2255" s="1"/>
      <c r="K2255" s="1"/>
      <c r="L2255" s="1"/>
      <c r="M2255" s="3"/>
      <c r="N2255" s="1"/>
    </row>
    <row r="2256" spans="1:16" ht="15.75" thickBot="1" x14ac:dyDescent="0.3">
      <c r="B2256" s="1"/>
      <c r="C2256" s="1"/>
      <c r="D2256" s="1"/>
      <c r="E2256" s="1"/>
      <c r="F2256" s="1"/>
      <c r="G2256" s="1"/>
      <c r="H2256" s="1"/>
      <c r="I2256" s="2"/>
      <c r="J2256" s="1"/>
      <c r="K2256" s="1"/>
      <c r="L2256" s="1"/>
      <c r="M2256" s="3"/>
      <c r="N2256" s="1"/>
      <c r="P2256" s="11">
        <f>IFERROR(VLOOKUP($A2257,'PROGRAMA MES '!$A:$B,2,0),0)</f>
        <v>0</v>
      </c>
    </row>
    <row r="2257" spans="1:16" x14ac:dyDescent="0.25">
      <c r="A2257" s="89" t="str">
        <f>B2257</f>
        <v>SP9466</v>
      </c>
      <c r="B2257" s="17" t="s">
        <v>1530</v>
      </c>
      <c r="C2257" s="17" t="s">
        <v>1531</v>
      </c>
      <c r="D2257" s="17">
        <v>99</v>
      </c>
      <c r="E2257" s="17" t="s">
        <v>15</v>
      </c>
      <c r="F2257" s="17">
        <v>1</v>
      </c>
      <c r="G2257" s="17" t="s">
        <v>16</v>
      </c>
      <c r="H2257" s="17" t="s">
        <v>17</v>
      </c>
      <c r="I2257" s="18">
        <v>4016160</v>
      </c>
      <c r="J2257" s="17" t="s">
        <v>69</v>
      </c>
      <c r="K2257" s="17">
        <v>99</v>
      </c>
      <c r="L2257" s="17" t="s">
        <v>15</v>
      </c>
      <c r="M2257" s="17">
        <v>40</v>
      </c>
      <c r="N2257" s="17" t="s">
        <v>3</v>
      </c>
      <c r="O2257" s="20">
        <f t="shared" ref="O2257:O2258" si="549">M2257/10000</f>
        <v>4.0000000000000001E-3</v>
      </c>
      <c r="P2257" s="21">
        <f>O2257*$P$2256</f>
        <v>0</v>
      </c>
    </row>
    <row r="2258" spans="1:16" ht="15.75" thickBot="1" x14ac:dyDescent="0.3">
      <c r="A2258" s="90"/>
      <c r="B2258" s="23" t="s">
        <v>1530</v>
      </c>
      <c r="C2258" s="23" t="s">
        <v>1531</v>
      </c>
      <c r="D2258" s="23">
        <v>99</v>
      </c>
      <c r="E2258" s="23" t="s">
        <v>15</v>
      </c>
      <c r="F2258" s="23">
        <v>1</v>
      </c>
      <c r="G2258" s="23" t="s">
        <v>21</v>
      </c>
      <c r="H2258" s="23" t="s">
        <v>17</v>
      </c>
      <c r="I2258" s="24" t="s">
        <v>1532</v>
      </c>
      <c r="J2258" s="23" t="s">
        <v>1533</v>
      </c>
      <c r="K2258" s="23">
        <v>3</v>
      </c>
      <c r="L2258" s="23" t="s">
        <v>24</v>
      </c>
      <c r="M2258" s="25">
        <v>10000</v>
      </c>
      <c r="N2258" s="23" t="s">
        <v>482</v>
      </c>
      <c r="O2258" s="26">
        <f t="shared" si="549"/>
        <v>1</v>
      </c>
      <c r="P2258" s="27">
        <f>O2258*$P$2256</f>
        <v>0</v>
      </c>
    </row>
    <row r="2259" spans="1:16" x14ac:dyDescent="0.25">
      <c r="B2259" s="1"/>
      <c r="C2259" s="1"/>
      <c r="D2259" s="1"/>
      <c r="E2259" s="1"/>
      <c r="F2259" s="1"/>
      <c r="G2259" s="1"/>
      <c r="H2259" s="1"/>
      <c r="I2259" s="2"/>
      <c r="J2259" s="1"/>
      <c r="K2259" s="1"/>
      <c r="L2259" s="1"/>
      <c r="M2259" s="3"/>
      <c r="N2259" s="1"/>
    </row>
    <row r="2260" spans="1:16" ht="15.75" thickBot="1" x14ac:dyDescent="0.3">
      <c r="B2260" s="1"/>
      <c r="C2260" s="1"/>
      <c r="D2260" s="1"/>
      <c r="E2260" s="1"/>
      <c r="F2260" s="1"/>
      <c r="G2260" s="1"/>
      <c r="H2260" s="1"/>
      <c r="I2260" s="2"/>
      <c r="J2260" s="1"/>
      <c r="K2260" s="1"/>
      <c r="L2260" s="1"/>
      <c r="M2260" s="3"/>
      <c r="N2260" s="1"/>
      <c r="P2260" s="11">
        <f>IFERROR(VLOOKUP($A2261,'PROGRAMA MES '!$A:$B,2,0),0)</f>
        <v>0</v>
      </c>
    </row>
    <row r="2261" spans="1:16" x14ac:dyDescent="0.25">
      <c r="A2261" s="89" t="str">
        <f>B2261</f>
        <v>SP9470</v>
      </c>
      <c r="B2261" s="17" t="s">
        <v>1534</v>
      </c>
      <c r="C2261" s="17" t="s">
        <v>1535</v>
      </c>
      <c r="D2261" s="17">
        <v>99</v>
      </c>
      <c r="E2261" s="17" t="s">
        <v>15</v>
      </c>
      <c r="F2261" s="17">
        <v>1</v>
      </c>
      <c r="G2261" s="17" t="s">
        <v>16</v>
      </c>
      <c r="H2261" s="17" t="s">
        <v>17</v>
      </c>
      <c r="I2261" s="18">
        <v>4002546</v>
      </c>
      <c r="J2261" s="17" t="s">
        <v>179</v>
      </c>
      <c r="K2261" s="17">
        <v>99</v>
      </c>
      <c r="L2261" s="17" t="s">
        <v>15</v>
      </c>
      <c r="M2261" s="17">
        <v>100</v>
      </c>
      <c r="N2261" s="17" t="s">
        <v>1</v>
      </c>
      <c r="O2261" s="20">
        <f t="shared" ref="O2261:O2263" si="550">M2261/10000</f>
        <v>0.01</v>
      </c>
      <c r="P2261" s="21">
        <f>O2261*$P$2260</f>
        <v>0</v>
      </c>
    </row>
    <row r="2262" spans="1:16" x14ac:dyDescent="0.25">
      <c r="A2262" s="91"/>
      <c r="B2262" s="13" t="s">
        <v>1534</v>
      </c>
      <c r="C2262" s="13" t="s">
        <v>1535</v>
      </c>
      <c r="D2262" s="13">
        <v>99</v>
      </c>
      <c r="E2262" s="13" t="s">
        <v>15</v>
      </c>
      <c r="F2262" s="13">
        <v>1</v>
      </c>
      <c r="G2262" s="13" t="s">
        <v>16</v>
      </c>
      <c r="H2262" s="13" t="s">
        <v>17</v>
      </c>
      <c r="I2262" s="14">
        <v>4016160</v>
      </c>
      <c r="J2262" s="13" t="s">
        <v>69</v>
      </c>
      <c r="K2262" s="13">
        <v>99</v>
      </c>
      <c r="L2262" s="13" t="s">
        <v>15</v>
      </c>
      <c r="M2262" s="13">
        <v>40</v>
      </c>
      <c r="N2262" s="13" t="s">
        <v>3</v>
      </c>
      <c r="O2262" s="16">
        <f t="shared" si="550"/>
        <v>4.0000000000000001E-3</v>
      </c>
      <c r="P2262" s="22">
        <f>O2262*$P$2260</f>
        <v>0</v>
      </c>
    </row>
    <row r="2263" spans="1:16" ht="15.75" thickBot="1" x14ac:dyDescent="0.3">
      <c r="A2263" s="90"/>
      <c r="B2263" s="23" t="s">
        <v>1534</v>
      </c>
      <c r="C2263" s="23" t="s">
        <v>1535</v>
      </c>
      <c r="D2263" s="23">
        <v>99</v>
      </c>
      <c r="E2263" s="23" t="s">
        <v>15</v>
      </c>
      <c r="F2263" s="23">
        <v>1</v>
      </c>
      <c r="G2263" s="23" t="s">
        <v>21</v>
      </c>
      <c r="H2263" s="23" t="s">
        <v>17</v>
      </c>
      <c r="I2263" s="24" t="s">
        <v>1536</v>
      </c>
      <c r="J2263" s="23" t="s">
        <v>1537</v>
      </c>
      <c r="K2263" s="23">
        <v>3</v>
      </c>
      <c r="L2263" s="23" t="s">
        <v>24</v>
      </c>
      <c r="M2263" s="25">
        <v>10000</v>
      </c>
      <c r="N2263" s="23" t="s">
        <v>482</v>
      </c>
      <c r="O2263" s="26">
        <f t="shared" si="550"/>
        <v>1</v>
      </c>
      <c r="P2263" s="27">
        <f>O2263*$P$2260</f>
        <v>0</v>
      </c>
    </row>
    <row r="2264" spans="1:16" x14ac:dyDescent="0.25">
      <c r="B2264" s="1"/>
      <c r="C2264" s="1"/>
      <c r="D2264" s="1"/>
      <c r="E2264" s="1"/>
      <c r="F2264" s="1"/>
      <c r="G2264" s="1"/>
      <c r="H2264" s="1"/>
      <c r="I2264" s="2"/>
      <c r="J2264" s="1"/>
      <c r="K2264" s="1"/>
      <c r="L2264" s="1"/>
      <c r="M2264" s="3"/>
      <c r="N2264" s="1"/>
    </row>
    <row r="2265" spans="1:16" ht="15.75" thickBot="1" x14ac:dyDescent="0.3">
      <c r="B2265" s="1"/>
      <c r="C2265" s="1"/>
      <c r="D2265" s="1"/>
      <c r="E2265" s="1"/>
      <c r="F2265" s="1"/>
      <c r="G2265" s="1"/>
      <c r="H2265" s="1"/>
      <c r="I2265" s="2"/>
      <c r="J2265" s="1"/>
      <c r="K2265" s="1"/>
      <c r="L2265" s="1"/>
      <c r="M2265" s="3"/>
      <c r="N2265" s="1"/>
      <c r="P2265" s="11">
        <f>IFERROR(VLOOKUP($A2266,'PROGRAMA MES '!$A:$B,2,0),0)</f>
        <v>900</v>
      </c>
    </row>
    <row r="2266" spans="1:16" x14ac:dyDescent="0.25">
      <c r="A2266" s="89" t="str">
        <f>B2266</f>
        <v>SP9470CZ</v>
      </c>
      <c r="B2266" s="17" t="s">
        <v>1538</v>
      </c>
      <c r="C2266" s="17" t="s">
        <v>1539</v>
      </c>
      <c r="D2266" s="17">
        <v>99</v>
      </c>
      <c r="E2266" s="17" t="s">
        <v>15</v>
      </c>
      <c r="F2266" s="17">
        <v>1</v>
      </c>
      <c r="G2266" s="17" t="s">
        <v>16</v>
      </c>
      <c r="H2266" s="17" t="s">
        <v>17</v>
      </c>
      <c r="I2266" s="18">
        <v>4016160</v>
      </c>
      <c r="J2266" s="17" t="s">
        <v>69</v>
      </c>
      <c r="K2266" s="17">
        <v>99</v>
      </c>
      <c r="L2266" s="17" t="s">
        <v>15</v>
      </c>
      <c r="M2266" s="17">
        <v>40</v>
      </c>
      <c r="N2266" s="17" t="s">
        <v>3</v>
      </c>
      <c r="O2266" s="20">
        <f t="shared" ref="O2266:O2267" si="551">M2266/10000</f>
        <v>4.0000000000000001E-3</v>
      </c>
      <c r="P2266" s="21">
        <f>O2266*$P$2265</f>
        <v>3.6</v>
      </c>
    </row>
    <row r="2267" spans="1:16" ht="15.75" thickBot="1" x14ac:dyDescent="0.3">
      <c r="A2267" s="90"/>
      <c r="B2267" s="23" t="s">
        <v>1538</v>
      </c>
      <c r="C2267" s="23" t="s">
        <v>1539</v>
      </c>
      <c r="D2267" s="23">
        <v>99</v>
      </c>
      <c r="E2267" s="23" t="s">
        <v>15</v>
      </c>
      <c r="F2267" s="23">
        <v>1</v>
      </c>
      <c r="G2267" s="23" t="s">
        <v>21</v>
      </c>
      <c r="H2267" s="23" t="s">
        <v>17</v>
      </c>
      <c r="I2267" s="24" t="s">
        <v>1540</v>
      </c>
      <c r="J2267" s="23" t="s">
        <v>1541</v>
      </c>
      <c r="K2267" s="23">
        <v>3</v>
      </c>
      <c r="L2267" s="23" t="s">
        <v>24</v>
      </c>
      <c r="M2267" s="25">
        <v>10000</v>
      </c>
      <c r="N2267" s="23" t="s">
        <v>482</v>
      </c>
      <c r="O2267" s="26">
        <f t="shared" si="551"/>
        <v>1</v>
      </c>
      <c r="P2267" s="27">
        <f>O2267*$P$2265</f>
        <v>900</v>
      </c>
    </row>
    <row r="2268" spans="1:16" x14ac:dyDescent="0.25">
      <c r="B2268" s="1"/>
      <c r="C2268" s="1"/>
      <c r="D2268" s="1"/>
      <c r="E2268" s="1"/>
      <c r="F2268" s="1"/>
      <c r="G2268" s="1"/>
      <c r="H2268" s="1"/>
      <c r="I2268" s="2"/>
      <c r="J2268" s="1"/>
      <c r="K2268" s="1"/>
      <c r="L2268" s="1"/>
      <c r="M2268" s="3"/>
      <c r="N2268" s="1"/>
    </row>
    <row r="2269" spans="1:16" ht="15.75" thickBot="1" x14ac:dyDescent="0.3">
      <c r="B2269" s="1"/>
      <c r="C2269" s="1"/>
      <c r="D2269" s="1"/>
      <c r="E2269" s="1"/>
      <c r="F2269" s="1"/>
      <c r="G2269" s="1"/>
      <c r="H2269" s="1"/>
      <c r="I2269" s="2"/>
      <c r="J2269" s="1"/>
      <c r="K2269" s="1"/>
      <c r="L2269" s="1"/>
      <c r="M2269" s="3"/>
      <c r="N2269" s="1"/>
      <c r="P2269" s="11">
        <f>IFERROR(VLOOKUP($A2270,'PROGRAMA MES '!$A:$B,2,0),0)</f>
        <v>432000</v>
      </c>
    </row>
    <row r="2270" spans="1:16" x14ac:dyDescent="0.25">
      <c r="A2270" s="89" t="str">
        <f>B2270</f>
        <v>SP9471SP</v>
      </c>
      <c r="B2270" s="17" t="s">
        <v>1542</v>
      </c>
      <c r="C2270" s="17" t="s">
        <v>1543</v>
      </c>
      <c r="D2270" s="17">
        <v>99</v>
      </c>
      <c r="E2270" s="17" t="s">
        <v>15</v>
      </c>
      <c r="F2270" s="17">
        <v>1</v>
      </c>
      <c r="G2270" s="17" t="s">
        <v>16</v>
      </c>
      <c r="H2270" s="17" t="s">
        <v>17</v>
      </c>
      <c r="I2270" s="18">
        <v>4002827</v>
      </c>
      <c r="J2270" s="17" t="s">
        <v>0</v>
      </c>
      <c r="K2270" s="17">
        <v>99</v>
      </c>
      <c r="L2270" s="17" t="s">
        <v>15</v>
      </c>
      <c r="M2270" s="17">
        <v>100</v>
      </c>
      <c r="N2270" s="17" t="s">
        <v>2</v>
      </c>
      <c r="O2270" s="20">
        <f t="shared" ref="O2270:O2272" si="552">M2270/10000</f>
        <v>0.01</v>
      </c>
      <c r="P2270" s="21">
        <f>O2270*$P$2269</f>
        <v>4320</v>
      </c>
    </row>
    <row r="2271" spans="1:16" x14ac:dyDescent="0.25">
      <c r="A2271" s="91"/>
      <c r="B2271" s="13" t="s">
        <v>1542</v>
      </c>
      <c r="C2271" s="13" t="s">
        <v>1543</v>
      </c>
      <c r="D2271" s="13">
        <v>99</v>
      </c>
      <c r="E2271" s="13" t="s">
        <v>15</v>
      </c>
      <c r="F2271" s="13">
        <v>1</v>
      </c>
      <c r="G2271" s="13" t="s">
        <v>16</v>
      </c>
      <c r="H2271" s="13" t="s">
        <v>17</v>
      </c>
      <c r="I2271" s="14">
        <v>4005945</v>
      </c>
      <c r="J2271" s="13" t="s">
        <v>1544</v>
      </c>
      <c r="K2271" s="13">
        <v>53</v>
      </c>
      <c r="L2271" s="13" t="s">
        <v>130</v>
      </c>
      <c r="M2271" s="13">
        <v>42</v>
      </c>
      <c r="N2271" s="13" t="s">
        <v>1</v>
      </c>
      <c r="O2271" s="16">
        <f t="shared" si="552"/>
        <v>4.1999999999999997E-3</v>
      </c>
      <c r="P2271" s="22">
        <f t="shared" ref="P2271:P2272" si="553">O2271*$P$2269</f>
        <v>1814.3999999999999</v>
      </c>
    </row>
    <row r="2272" spans="1:16" ht="15.75" thickBot="1" x14ac:dyDescent="0.3">
      <c r="A2272" s="90"/>
      <c r="B2272" s="23" t="s">
        <v>1542</v>
      </c>
      <c r="C2272" s="23" t="s">
        <v>1543</v>
      </c>
      <c r="D2272" s="23">
        <v>99</v>
      </c>
      <c r="E2272" s="23" t="s">
        <v>15</v>
      </c>
      <c r="F2272" s="23">
        <v>1</v>
      </c>
      <c r="G2272" s="23" t="s">
        <v>21</v>
      </c>
      <c r="H2272" s="23" t="s">
        <v>17</v>
      </c>
      <c r="I2272" s="24" t="s">
        <v>1545</v>
      </c>
      <c r="J2272" s="23" t="s">
        <v>1546</v>
      </c>
      <c r="K2272" s="23">
        <v>3</v>
      </c>
      <c r="L2272" s="23" t="s">
        <v>24</v>
      </c>
      <c r="M2272" s="25">
        <v>10000</v>
      </c>
      <c r="N2272" s="23" t="s">
        <v>1</v>
      </c>
      <c r="O2272" s="26">
        <f t="shared" si="552"/>
        <v>1</v>
      </c>
      <c r="P2272" s="27">
        <f t="shared" si="553"/>
        <v>432000</v>
      </c>
    </row>
    <row r="2273" spans="1:16" x14ac:dyDescent="0.25">
      <c r="B2273" s="1"/>
      <c r="C2273" s="1"/>
      <c r="D2273" s="1"/>
      <c r="E2273" s="1"/>
      <c r="F2273" s="1"/>
      <c r="G2273" s="1"/>
      <c r="H2273" s="1"/>
      <c r="I2273" s="2"/>
      <c r="J2273" s="1"/>
      <c r="K2273" s="1"/>
      <c r="L2273" s="1"/>
      <c r="M2273" s="3"/>
      <c r="N2273" s="1"/>
    </row>
    <row r="2274" spans="1:16" ht="15.75" thickBot="1" x14ac:dyDescent="0.3">
      <c r="B2274" s="1"/>
      <c r="C2274" s="1"/>
      <c r="D2274" s="1"/>
      <c r="E2274" s="1"/>
      <c r="F2274" s="1"/>
      <c r="G2274" s="1"/>
      <c r="H2274" s="1"/>
      <c r="I2274" s="2"/>
      <c r="J2274" s="1"/>
      <c r="K2274" s="1"/>
      <c r="L2274" s="1"/>
      <c r="M2274" s="3"/>
      <c r="N2274" s="1"/>
      <c r="P2274" s="11">
        <f>IFERROR(VLOOKUP($A2275,'PROGRAMA MES '!$A:$B,2,0),0)</f>
        <v>222000</v>
      </c>
    </row>
    <row r="2275" spans="1:16" x14ac:dyDescent="0.25">
      <c r="A2275" s="89" t="str">
        <f>B2275</f>
        <v>SP9472</v>
      </c>
      <c r="B2275" s="17" t="s">
        <v>1547</v>
      </c>
      <c r="C2275" s="17" t="s">
        <v>1548</v>
      </c>
      <c r="D2275" s="17">
        <v>99</v>
      </c>
      <c r="E2275" s="17" t="s">
        <v>15</v>
      </c>
      <c r="F2275" s="17">
        <v>1</v>
      </c>
      <c r="G2275" s="17" t="s">
        <v>16</v>
      </c>
      <c r="H2275" s="17" t="s">
        <v>17</v>
      </c>
      <c r="I2275" s="18">
        <v>4002827</v>
      </c>
      <c r="J2275" s="17" t="s">
        <v>0</v>
      </c>
      <c r="K2275" s="17">
        <v>99</v>
      </c>
      <c r="L2275" s="17" t="s">
        <v>15</v>
      </c>
      <c r="M2275" s="17">
        <v>251.67</v>
      </c>
      <c r="N2275" s="17" t="s">
        <v>2</v>
      </c>
      <c r="O2275" s="20">
        <f t="shared" ref="O2275:O2278" si="554">M2275/10000</f>
        <v>2.5166999999999998E-2</v>
      </c>
      <c r="P2275" s="21">
        <f>O2275*$P$2274</f>
        <v>5587.0739999999996</v>
      </c>
    </row>
    <row r="2276" spans="1:16" x14ac:dyDescent="0.25">
      <c r="A2276" s="91"/>
      <c r="B2276" s="13" t="s">
        <v>1547</v>
      </c>
      <c r="C2276" s="13" t="s">
        <v>1548</v>
      </c>
      <c r="D2276" s="13">
        <v>99</v>
      </c>
      <c r="E2276" s="13" t="s">
        <v>15</v>
      </c>
      <c r="F2276" s="13">
        <v>1</v>
      </c>
      <c r="G2276" s="13" t="s">
        <v>16</v>
      </c>
      <c r="H2276" s="13" t="s">
        <v>17</v>
      </c>
      <c r="I2276" s="14">
        <v>4014919</v>
      </c>
      <c r="J2276" s="13" t="s">
        <v>1549</v>
      </c>
      <c r="K2276" s="13">
        <v>99</v>
      </c>
      <c r="L2276" s="13" t="s">
        <v>15</v>
      </c>
      <c r="M2276" s="13">
        <v>167</v>
      </c>
      <c r="N2276" s="13" t="s">
        <v>1</v>
      </c>
      <c r="O2276" s="16">
        <f t="shared" si="554"/>
        <v>1.67E-2</v>
      </c>
      <c r="P2276" s="22">
        <f t="shared" ref="P2276:P2278" si="555">O2276*$P$2274</f>
        <v>3707.4</v>
      </c>
    </row>
    <row r="2277" spans="1:16" x14ac:dyDescent="0.25">
      <c r="A2277" s="91"/>
      <c r="B2277" s="13" t="s">
        <v>1547</v>
      </c>
      <c r="C2277" s="13" t="s">
        <v>1548</v>
      </c>
      <c r="D2277" s="13">
        <v>99</v>
      </c>
      <c r="E2277" s="13" t="s">
        <v>15</v>
      </c>
      <c r="F2277" s="13">
        <v>1</v>
      </c>
      <c r="G2277" s="13" t="s">
        <v>16</v>
      </c>
      <c r="H2277" s="13" t="s">
        <v>17</v>
      </c>
      <c r="I2277" s="14">
        <v>4015222</v>
      </c>
      <c r="J2277" s="13" t="s">
        <v>1550</v>
      </c>
      <c r="K2277" s="13">
        <v>99</v>
      </c>
      <c r="L2277" s="13" t="s">
        <v>15</v>
      </c>
      <c r="M2277" s="13">
        <v>6.3</v>
      </c>
      <c r="N2277" s="13" t="s">
        <v>3</v>
      </c>
      <c r="O2277" s="16">
        <f t="shared" si="554"/>
        <v>6.3000000000000003E-4</v>
      </c>
      <c r="P2277" s="22">
        <f t="shared" si="555"/>
        <v>139.86000000000001</v>
      </c>
    </row>
    <row r="2278" spans="1:16" ht="15.75" thickBot="1" x14ac:dyDescent="0.3">
      <c r="A2278" s="90"/>
      <c r="B2278" s="23" t="s">
        <v>1547</v>
      </c>
      <c r="C2278" s="23" t="s">
        <v>1548</v>
      </c>
      <c r="D2278" s="23">
        <v>99</v>
      </c>
      <c r="E2278" s="23" t="s">
        <v>15</v>
      </c>
      <c r="F2278" s="23">
        <v>1</v>
      </c>
      <c r="G2278" s="23" t="s">
        <v>21</v>
      </c>
      <c r="H2278" s="23" t="s">
        <v>17</v>
      </c>
      <c r="I2278" s="24" t="s">
        <v>1551</v>
      </c>
      <c r="J2278" s="23" t="s">
        <v>1552</v>
      </c>
      <c r="K2278" s="23">
        <v>3</v>
      </c>
      <c r="L2278" s="23" t="s">
        <v>24</v>
      </c>
      <c r="M2278" s="25">
        <v>10000</v>
      </c>
      <c r="N2278" s="23" t="s">
        <v>1</v>
      </c>
      <c r="O2278" s="26">
        <f t="shared" si="554"/>
        <v>1</v>
      </c>
      <c r="P2278" s="27">
        <f t="shared" si="555"/>
        <v>222000</v>
      </c>
    </row>
    <row r="2279" spans="1:16" x14ac:dyDescent="0.25">
      <c r="B2279" s="1"/>
      <c r="C2279" s="1"/>
      <c r="D2279" s="1"/>
      <c r="E2279" s="1"/>
      <c r="F2279" s="1"/>
      <c r="G2279" s="1"/>
      <c r="H2279" s="1"/>
      <c r="I2279" s="2"/>
      <c r="J2279" s="1"/>
      <c r="K2279" s="1"/>
      <c r="L2279" s="1"/>
      <c r="M2279" s="3"/>
      <c r="N2279" s="1"/>
    </row>
    <row r="2280" spans="1:16" ht="15.75" thickBot="1" x14ac:dyDescent="0.3">
      <c r="B2280" s="1"/>
      <c r="C2280" s="1"/>
      <c r="D2280" s="1"/>
      <c r="E2280" s="1"/>
      <c r="F2280" s="1"/>
      <c r="G2280" s="1"/>
      <c r="H2280" s="1"/>
      <c r="I2280" s="2"/>
      <c r="J2280" s="1"/>
      <c r="K2280" s="1"/>
      <c r="L2280" s="1"/>
      <c r="M2280" s="3"/>
      <c r="N2280" s="1"/>
      <c r="P2280" s="11">
        <f>IFERROR(VLOOKUP($A2281,'PROGRAMA MES '!$A:$B,2,0),0)</f>
        <v>30000</v>
      </c>
    </row>
    <row r="2281" spans="1:16" x14ac:dyDescent="0.25">
      <c r="A2281" s="89" t="str">
        <f>B2281</f>
        <v>SP9477FL</v>
      </c>
      <c r="B2281" s="17" t="s">
        <v>1553</v>
      </c>
      <c r="C2281" s="17" t="s">
        <v>1554</v>
      </c>
      <c r="D2281" s="17">
        <v>99</v>
      </c>
      <c r="E2281" s="17" t="s">
        <v>15</v>
      </c>
      <c r="F2281" s="17">
        <v>1</v>
      </c>
      <c r="G2281" s="17" t="s">
        <v>16</v>
      </c>
      <c r="H2281" s="17" t="s">
        <v>17</v>
      </c>
      <c r="I2281" s="18">
        <v>4002827</v>
      </c>
      <c r="J2281" s="17" t="s">
        <v>0</v>
      </c>
      <c r="K2281" s="17">
        <v>99</v>
      </c>
      <c r="L2281" s="17" t="s">
        <v>15</v>
      </c>
      <c r="M2281" s="17">
        <v>141.4</v>
      </c>
      <c r="N2281" s="17" t="s">
        <v>2</v>
      </c>
      <c r="O2281" s="20">
        <f t="shared" ref="O2281:O2283" si="556">M2281/10000</f>
        <v>1.414E-2</v>
      </c>
      <c r="P2281" s="21">
        <f>O2281*$P$2280</f>
        <v>424.2</v>
      </c>
    </row>
    <row r="2282" spans="1:16" x14ac:dyDescent="0.25">
      <c r="A2282" s="91"/>
      <c r="B2282" s="13" t="s">
        <v>1553</v>
      </c>
      <c r="C2282" s="13" t="s">
        <v>1554</v>
      </c>
      <c r="D2282" s="13">
        <v>99</v>
      </c>
      <c r="E2282" s="13" t="s">
        <v>15</v>
      </c>
      <c r="F2282" s="13">
        <v>1</v>
      </c>
      <c r="G2282" s="13" t="s">
        <v>16</v>
      </c>
      <c r="H2282" s="13" t="s">
        <v>17</v>
      </c>
      <c r="I2282" s="14">
        <v>4011639</v>
      </c>
      <c r="J2282" s="13" t="s">
        <v>1519</v>
      </c>
      <c r="K2282" s="13">
        <v>99</v>
      </c>
      <c r="L2282" s="13" t="s">
        <v>15</v>
      </c>
      <c r="M2282" s="13">
        <v>50</v>
      </c>
      <c r="N2282" s="13" t="s">
        <v>1</v>
      </c>
      <c r="O2282" s="16">
        <f t="shared" si="556"/>
        <v>5.0000000000000001E-3</v>
      </c>
      <c r="P2282" s="22">
        <f t="shared" ref="P2282:P2283" si="557">O2282*$P$2280</f>
        <v>150</v>
      </c>
    </row>
    <row r="2283" spans="1:16" ht="15.75" thickBot="1" x14ac:dyDescent="0.3">
      <c r="A2283" s="90"/>
      <c r="B2283" s="23" t="s">
        <v>1553</v>
      </c>
      <c r="C2283" s="23" t="s">
        <v>1554</v>
      </c>
      <c r="D2283" s="23">
        <v>99</v>
      </c>
      <c r="E2283" s="23" t="s">
        <v>15</v>
      </c>
      <c r="F2283" s="23">
        <v>1</v>
      </c>
      <c r="G2283" s="23" t="s">
        <v>21</v>
      </c>
      <c r="H2283" s="23" t="s">
        <v>17</v>
      </c>
      <c r="I2283" s="24" t="s">
        <v>1555</v>
      </c>
      <c r="J2283" s="23" t="s">
        <v>1556</v>
      </c>
      <c r="K2283" s="23">
        <v>3</v>
      </c>
      <c r="L2283" s="23" t="s">
        <v>24</v>
      </c>
      <c r="M2283" s="25">
        <v>10000</v>
      </c>
      <c r="N2283" s="23" t="s">
        <v>1</v>
      </c>
      <c r="O2283" s="26">
        <f t="shared" si="556"/>
        <v>1</v>
      </c>
      <c r="P2283" s="27">
        <f t="shared" si="557"/>
        <v>30000</v>
      </c>
    </row>
    <row r="2284" spans="1:16" x14ac:dyDescent="0.25">
      <c r="B2284" s="1"/>
      <c r="C2284" s="1"/>
      <c r="D2284" s="1"/>
      <c r="E2284" s="1"/>
      <c r="F2284" s="1"/>
      <c r="G2284" s="1"/>
      <c r="H2284" s="1"/>
      <c r="I2284" s="2"/>
      <c r="J2284" s="1"/>
      <c r="K2284" s="1"/>
      <c r="L2284" s="1"/>
      <c r="M2284" s="3"/>
      <c r="N2284" s="1"/>
    </row>
    <row r="2285" spans="1:16" ht="15.75" thickBot="1" x14ac:dyDescent="0.3">
      <c r="B2285" s="1"/>
      <c r="C2285" s="1"/>
      <c r="D2285" s="1"/>
      <c r="E2285" s="1"/>
      <c r="F2285" s="1"/>
      <c r="G2285" s="1"/>
      <c r="H2285" s="1"/>
      <c r="I2285" s="2"/>
      <c r="J2285" s="1"/>
      <c r="K2285" s="1"/>
      <c r="L2285" s="1"/>
      <c r="M2285" s="3"/>
      <c r="N2285" s="1"/>
      <c r="P2285" s="11">
        <f>IFERROR(VLOOKUP($A2286,'PROGRAMA MES '!$A:$B,2,0),0)</f>
        <v>16000</v>
      </c>
    </row>
    <row r="2286" spans="1:16" x14ac:dyDescent="0.25">
      <c r="A2286" s="89" t="str">
        <f>B2286</f>
        <v>SP9500/1</v>
      </c>
      <c r="B2286" s="17" t="s">
        <v>1557</v>
      </c>
      <c r="C2286" s="17" t="s">
        <v>1558</v>
      </c>
      <c r="D2286" s="17">
        <v>99</v>
      </c>
      <c r="E2286" s="17" t="s">
        <v>15</v>
      </c>
      <c r="F2286" s="17">
        <v>1</v>
      </c>
      <c r="G2286" s="17" t="s">
        <v>16</v>
      </c>
      <c r="H2286" s="17" t="s">
        <v>17</v>
      </c>
      <c r="I2286" s="18">
        <v>4002827</v>
      </c>
      <c r="J2286" s="17" t="s">
        <v>0</v>
      </c>
      <c r="K2286" s="17">
        <v>99</v>
      </c>
      <c r="L2286" s="17" t="s">
        <v>15</v>
      </c>
      <c r="M2286" s="17">
        <v>100</v>
      </c>
      <c r="N2286" s="17" t="s">
        <v>2</v>
      </c>
      <c r="O2286" s="20">
        <f t="shared" ref="O2286:O2289" si="558">M2286/10000</f>
        <v>0.01</v>
      </c>
      <c r="P2286" s="21">
        <f>O2286*$P$2285</f>
        <v>160</v>
      </c>
    </row>
    <row r="2287" spans="1:16" x14ac:dyDescent="0.25">
      <c r="A2287" s="91"/>
      <c r="B2287" s="13" t="s">
        <v>1557</v>
      </c>
      <c r="C2287" s="13" t="s">
        <v>1558</v>
      </c>
      <c r="D2287" s="13">
        <v>99</v>
      </c>
      <c r="E2287" s="13" t="s">
        <v>15</v>
      </c>
      <c r="F2287" s="13">
        <v>1</v>
      </c>
      <c r="G2287" s="13" t="s">
        <v>16</v>
      </c>
      <c r="H2287" s="13" t="s">
        <v>17</v>
      </c>
      <c r="I2287" s="14">
        <v>4005783</v>
      </c>
      <c r="J2287" s="13" t="s">
        <v>1559</v>
      </c>
      <c r="K2287" s="13">
        <v>99</v>
      </c>
      <c r="L2287" s="13" t="s">
        <v>15</v>
      </c>
      <c r="M2287" s="13">
        <v>17.8</v>
      </c>
      <c r="N2287" s="13" t="s">
        <v>3</v>
      </c>
      <c r="O2287" s="16">
        <f t="shared" si="558"/>
        <v>1.7800000000000001E-3</v>
      </c>
      <c r="P2287" s="22">
        <f t="shared" ref="P2287:P2289" si="559">O2287*$P$2285</f>
        <v>28.48</v>
      </c>
    </row>
    <row r="2288" spans="1:16" x14ac:dyDescent="0.25">
      <c r="A2288" s="91"/>
      <c r="B2288" s="13" t="s">
        <v>1557</v>
      </c>
      <c r="C2288" s="13" t="s">
        <v>1558</v>
      </c>
      <c r="D2288" s="13">
        <v>99</v>
      </c>
      <c r="E2288" s="13" t="s">
        <v>15</v>
      </c>
      <c r="F2288" s="13">
        <v>1</v>
      </c>
      <c r="G2288" s="13" t="s">
        <v>16</v>
      </c>
      <c r="H2288" s="13" t="s">
        <v>17</v>
      </c>
      <c r="I2288" s="14">
        <v>4005790</v>
      </c>
      <c r="J2288" s="13" t="s">
        <v>1560</v>
      </c>
      <c r="K2288" s="13">
        <v>99</v>
      </c>
      <c r="L2288" s="13" t="s">
        <v>15</v>
      </c>
      <c r="M2288" s="13">
        <v>130</v>
      </c>
      <c r="N2288" s="13" t="s">
        <v>1</v>
      </c>
      <c r="O2288" s="16">
        <f t="shared" si="558"/>
        <v>1.2999999999999999E-2</v>
      </c>
      <c r="P2288" s="22">
        <f t="shared" si="559"/>
        <v>208</v>
      </c>
    </row>
    <row r="2289" spans="1:16" ht="15.75" thickBot="1" x14ac:dyDescent="0.3">
      <c r="A2289" s="90"/>
      <c r="B2289" s="23" t="s">
        <v>1557</v>
      </c>
      <c r="C2289" s="23" t="s">
        <v>1558</v>
      </c>
      <c r="D2289" s="23">
        <v>99</v>
      </c>
      <c r="E2289" s="23" t="s">
        <v>15</v>
      </c>
      <c r="F2289" s="23">
        <v>1</v>
      </c>
      <c r="G2289" s="23" t="s">
        <v>21</v>
      </c>
      <c r="H2289" s="23" t="s">
        <v>17</v>
      </c>
      <c r="I2289" s="24" t="s">
        <v>1561</v>
      </c>
      <c r="J2289" s="23" t="s">
        <v>1562</v>
      </c>
      <c r="K2289" s="23">
        <v>3</v>
      </c>
      <c r="L2289" s="23" t="s">
        <v>24</v>
      </c>
      <c r="M2289" s="25">
        <v>10000</v>
      </c>
      <c r="N2289" s="23" t="s">
        <v>1</v>
      </c>
      <c r="O2289" s="26">
        <f t="shared" si="558"/>
        <v>1</v>
      </c>
      <c r="P2289" s="27">
        <f t="shared" si="559"/>
        <v>16000</v>
      </c>
    </row>
    <row r="2290" spans="1:16" x14ac:dyDescent="0.25">
      <c r="B2290" s="1"/>
      <c r="C2290" s="1"/>
      <c r="D2290" s="1"/>
      <c r="E2290" s="1"/>
      <c r="F2290" s="1"/>
      <c r="G2290" s="1"/>
      <c r="H2290" s="1"/>
      <c r="I2290" s="2"/>
      <c r="J2290" s="1"/>
      <c r="K2290" s="1"/>
      <c r="L2290" s="1"/>
      <c r="M2290" s="3"/>
      <c r="N2290" s="1"/>
    </row>
    <row r="2291" spans="1:16" ht="15.75" thickBot="1" x14ac:dyDescent="0.3">
      <c r="B2291" s="1"/>
      <c r="C2291" s="1"/>
      <c r="D2291" s="1"/>
      <c r="E2291" s="1"/>
      <c r="F2291" s="1"/>
      <c r="G2291" s="1"/>
      <c r="H2291" s="1"/>
      <c r="I2291" s="2"/>
      <c r="J2291" s="1"/>
      <c r="K2291" s="1"/>
      <c r="L2291" s="1"/>
      <c r="M2291" s="3"/>
      <c r="N2291" s="1"/>
      <c r="P2291" s="11">
        <f>IFERROR(VLOOKUP($A2292,'PROGRAMA MES '!$A:$B,2,0),0)</f>
        <v>2400</v>
      </c>
    </row>
    <row r="2292" spans="1:16" x14ac:dyDescent="0.25">
      <c r="A2292" s="89" t="str">
        <f>B2292</f>
        <v>SP950010BA</v>
      </c>
      <c r="B2292" s="17" t="s">
        <v>1563</v>
      </c>
      <c r="C2292" s="17" t="s">
        <v>1564</v>
      </c>
      <c r="D2292" s="17">
        <v>99</v>
      </c>
      <c r="E2292" s="17" t="s">
        <v>15</v>
      </c>
      <c r="F2292" s="17">
        <v>1</v>
      </c>
      <c r="G2292" s="17" t="s">
        <v>16</v>
      </c>
      <c r="H2292" s="17" t="s">
        <v>17</v>
      </c>
      <c r="I2292" s="18">
        <v>4002827</v>
      </c>
      <c r="J2292" s="17" t="s">
        <v>0</v>
      </c>
      <c r="K2292" s="17">
        <v>99</v>
      </c>
      <c r="L2292" s="17" t="s">
        <v>15</v>
      </c>
      <c r="M2292" s="17">
        <v>78.599999999999994</v>
      </c>
      <c r="N2292" s="17" t="s">
        <v>2</v>
      </c>
      <c r="O2292" s="20">
        <f t="shared" ref="O2292:O2294" si="560">M2292/10000</f>
        <v>7.8599999999999989E-3</v>
      </c>
      <c r="P2292" s="21">
        <f>O2292*$P$2291</f>
        <v>18.863999999999997</v>
      </c>
    </row>
    <row r="2293" spans="1:16" x14ac:dyDescent="0.25">
      <c r="A2293" s="91"/>
      <c r="B2293" s="13" t="s">
        <v>1563</v>
      </c>
      <c r="C2293" s="13" t="s">
        <v>1564</v>
      </c>
      <c r="D2293" s="13">
        <v>99</v>
      </c>
      <c r="E2293" s="13" t="s">
        <v>15</v>
      </c>
      <c r="F2293" s="13">
        <v>1</v>
      </c>
      <c r="G2293" s="13" t="s">
        <v>16</v>
      </c>
      <c r="H2293" s="13" t="s">
        <v>17</v>
      </c>
      <c r="I2293" s="14">
        <v>4010024</v>
      </c>
      <c r="J2293" s="13" t="s">
        <v>1565</v>
      </c>
      <c r="K2293" s="13">
        <v>99</v>
      </c>
      <c r="L2293" s="13" t="s">
        <v>15</v>
      </c>
      <c r="M2293" s="13">
        <v>50</v>
      </c>
      <c r="N2293" s="13" t="s">
        <v>1</v>
      </c>
      <c r="O2293" s="16">
        <f t="shared" si="560"/>
        <v>5.0000000000000001E-3</v>
      </c>
      <c r="P2293" s="22">
        <f t="shared" ref="P2293:P2294" si="561">O2293*$P$2291</f>
        <v>12</v>
      </c>
    </row>
    <row r="2294" spans="1:16" ht="15.75" thickBot="1" x14ac:dyDescent="0.3">
      <c r="A2294" s="90"/>
      <c r="B2294" s="23" t="s">
        <v>1563</v>
      </c>
      <c r="C2294" s="23" t="s">
        <v>1564</v>
      </c>
      <c r="D2294" s="23">
        <v>99</v>
      </c>
      <c r="E2294" s="23" t="s">
        <v>15</v>
      </c>
      <c r="F2294" s="23">
        <v>1</v>
      </c>
      <c r="G2294" s="23" t="s">
        <v>21</v>
      </c>
      <c r="H2294" s="23" t="s">
        <v>17</v>
      </c>
      <c r="I2294" s="24" t="s">
        <v>1566</v>
      </c>
      <c r="J2294" s="23" t="s">
        <v>1567</v>
      </c>
      <c r="K2294" s="23">
        <v>3</v>
      </c>
      <c r="L2294" s="23" t="s">
        <v>24</v>
      </c>
      <c r="M2294" s="25">
        <v>10000</v>
      </c>
      <c r="N2294" s="23" t="s">
        <v>1</v>
      </c>
      <c r="O2294" s="26">
        <f t="shared" si="560"/>
        <v>1</v>
      </c>
      <c r="P2294" s="27">
        <f t="shared" si="561"/>
        <v>2400</v>
      </c>
    </row>
    <row r="2295" spans="1:16" x14ac:dyDescent="0.25">
      <c r="B2295" s="1"/>
      <c r="C2295" s="1"/>
      <c r="D2295" s="1"/>
      <c r="E2295" s="1"/>
      <c r="F2295" s="1"/>
      <c r="G2295" s="1"/>
      <c r="H2295" s="1"/>
      <c r="I2295" s="2"/>
      <c r="J2295" s="1"/>
      <c r="K2295" s="1"/>
      <c r="L2295" s="1"/>
      <c r="M2295" s="3"/>
      <c r="N2295" s="1"/>
    </row>
    <row r="2296" spans="1:16" ht="15.75" thickBot="1" x14ac:dyDescent="0.3">
      <c r="B2296" s="1"/>
      <c r="C2296" s="1"/>
      <c r="D2296" s="1"/>
      <c r="E2296" s="1"/>
      <c r="F2296" s="1"/>
      <c r="G2296" s="1"/>
      <c r="H2296" s="1"/>
      <c r="I2296" s="2"/>
      <c r="J2296" s="1"/>
      <c r="K2296" s="1"/>
      <c r="L2296" s="1"/>
      <c r="M2296" s="3"/>
      <c r="N2296" s="1"/>
      <c r="P2296" s="11">
        <f>IFERROR(VLOOKUP($A2297,'PROGRAMA MES '!$A:$B,2,0),0)</f>
        <v>17400</v>
      </c>
    </row>
    <row r="2297" spans="1:16" x14ac:dyDescent="0.25">
      <c r="A2297" s="89" t="str">
        <f>B2297</f>
        <v>SP9500BA</v>
      </c>
      <c r="B2297" s="17" t="s">
        <v>1568</v>
      </c>
      <c r="C2297" s="17" t="s">
        <v>1569</v>
      </c>
      <c r="D2297" s="17">
        <v>99</v>
      </c>
      <c r="E2297" s="17" t="s">
        <v>15</v>
      </c>
      <c r="F2297" s="17">
        <v>1</v>
      </c>
      <c r="G2297" s="17" t="s">
        <v>16</v>
      </c>
      <c r="H2297" s="17" t="s">
        <v>17</v>
      </c>
      <c r="I2297" s="18">
        <v>4002827</v>
      </c>
      <c r="J2297" s="17" t="s">
        <v>0</v>
      </c>
      <c r="K2297" s="17">
        <v>99</v>
      </c>
      <c r="L2297" s="17" t="s">
        <v>15</v>
      </c>
      <c r="M2297" s="17">
        <v>78.55</v>
      </c>
      <c r="N2297" s="17" t="s">
        <v>2</v>
      </c>
      <c r="O2297" s="20">
        <f t="shared" ref="O2297:O2299" si="562">M2297/10000</f>
        <v>7.8549999999999991E-3</v>
      </c>
      <c r="P2297" s="21">
        <f>O2297*$P$2296</f>
        <v>136.67699999999999</v>
      </c>
    </row>
    <row r="2298" spans="1:16" x14ac:dyDescent="0.25">
      <c r="A2298" s="91"/>
      <c r="B2298" s="13" t="s">
        <v>1568</v>
      </c>
      <c r="C2298" s="13" t="s">
        <v>1569</v>
      </c>
      <c r="D2298" s="13">
        <v>99</v>
      </c>
      <c r="E2298" s="13" t="s">
        <v>15</v>
      </c>
      <c r="F2298" s="13">
        <v>1</v>
      </c>
      <c r="G2298" s="13" t="s">
        <v>16</v>
      </c>
      <c r="H2298" s="13" t="s">
        <v>17</v>
      </c>
      <c r="I2298" s="14">
        <v>4010024</v>
      </c>
      <c r="J2298" s="13" t="s">
        <v>1565</v>
      </c>
      <c r="K2298" s="13">
        <v>99</v>
      </c>
      <c r="L2298" s="13" t="s">
        <v>15</v>
      </c>
      <c r="M2298" s="13">
        <v>50</v>
      </c>
      <c r="N2298" s="13" t="s">
        <v>1</v>
      </c>
      <c r="O2298" s="16">
        <f t="shared" si="562"/>
        <v>5.0000000000000001E-3</v>
      </c>
      <c r="P2298" s="22">
        <f t="shared" ref="P2298:P2299" si="563">O2298*$P$2296</f>
        <v>87</v>
      </c>
    </row>
    <row r="2299" spans="1:16" ht="15.75" thickBot="1" x14ac:dyDescent="0.3">
      <c r="A2299" s="90"/>
      <c r="B2299" s="23" t="s">
        <v>1568</v>
      </c>
      <c r="C2299" s="23" t="s">
        <v>1569</v>
      </c>
      <c r="D2299" s="23">
        <v>99</v>
      </c>
      <c r="E2299" s="23" t="s">
        <v>15</v>
      </c>
      <c r="F2299" s="23">
        <v>1</v>
      </c>
      <c r="G2299" s="23" t="s">
        <v>21</v>
      </c>
      <c r="H2299" s="23" t="s">
        <v>17</v>
      </c>
      <c r="I2299" s="24" t="s">
        <v>1570</v>
      </c>
      <c r="J2299" s="23" t="s">
        <v>1571</v>
      </c>
      <c r="K2299" s="23">
        <v>3</v>
      </c>
      <c r="L2299" s="23" t="s">
        <v>24</v>
      </c>
      <c r="M2299" s="25">
        <v>10000</v>
      </c>
      <c r="N2299" s="23" t="s">
        <v>1</v>
      </c>
      <c r="O2299" s="26">
        <f t="shared" si="562"/>
        <v>1</v>
      </c>
      <c r="P2299" s="27">
        <f t="shared" si="563"/>
        <v>17400</v>
      </c>
    </row>
    <row r="2300" spans="1:16" x14ac:dyDescent="0.25">
      <c r="B2300" s="1"/>
      <c r="C2300" s="1"/>
      <c r="D2300" s="1"/>
      <c r="E2300" s="1"/>
      <c r="F2300" s="1"/>
      <c r="G2300" s="1"/>
      <c r="H2300" s="1"/>
      <c r="I2300" s="2"/>
      <c r="J2300" s="1"/>
      <c r="K2300" s="1"/>
      <c r="L2300" s="1"/>
      <c r="M2300" s="3"/>
      <c r="N2300" s="1"/>
    </row>
    <row r="2301" spans="1:16" ht="15.75" thickBot="1" x14ac:dyDescent="0.3">
      <c r="B2301" s="1"/>
      <c r="C2301" s="1"/>
      <c r="D2301" s="1"/>
      <c r="E2301" s="1"/>
      <c r="F2301" s="1"/>
      <c r="G2301" s="1"/>
      <c r="H2301" s="1"/>
      <c r="I2301" s="2"/>
      <c r="J2301" s="1"/>
      <c r="K2301" s="1"/>
      <c r="L2301" s="1"/>
      <c r="M2301" s="3"/>
      <c r="N2301" s="1"/>
      <c r="P2301" s="11">
        <f>IFERROR(VLOOKUP($A2302,'PROGRAMA MES '!$A:$B,2,0),0)</f>
        <v>0</v>
      </c>
    </row>
    <row r="2302" spans="1:16" x14ac:dyDescent="0.25">
      <c r="A2302" s="89" t="str">
        <f>B2302</f>
        <v>SP9502/2EX</v>
      </c>
      <c r="B2302" s="17" t="s">
        <v>1572</v>
      </c>
      <c r="C2302" s="17" t="s">
        <v>1573</v>
      </c>
      <c r="D2302" s="17">
        <v>4</v>
      </c>
      <c r="E2302" s="17" t="s">
        <v>1574</v>
      </c>
      <c r="F2302" s="17">
        <v>1</v>
      </c>
      <c r="G2302" s="17" t="s">
        <v>16</v>
      </c>
      <c r="H2302" s="17" t="s">
        <v>17</v>
      </c>
      <c r="I2302" s="18">
        <v>4010023</v>
      </c>
      <c r="J2302" s="17" t="s">
        <v>1575</v>
      </c>
      <c r="K2302" s="17">
        <v>99</v>
      </c>
      <c r="L2302" s="17" t="s">
        <v>15</v>
      </c>
      <c r="M2302" s="17">
        <v>100</v>
      </c>
      <c r="N2302" s="17" t="s">
        <v>1</v>
      </c>
      <c r="O2302" s="20">
        <f t="shared" ref="O2302:O2304" si="564">M2302/10000</f>
        <v>0.01</v>
      </c>
      <c r="P2302" s="21">
        <f>O2302*$P$2301</f>
        <v>0</v>
      </c>
    </row>
    <row r="2303" spans="1:16" x14ac:dyDescent="0.25">
      <c r="A2303" s="91"/>
      <c r="B2303" s="13" t="s">
        <v>1572</v>
      </c>
      <c r="C2303" s="13" t="s">
        <v>1573</v>
      </c>
      <c r="D2303" s="13">
        <v>4</v>
      </c>
      <c r="E2303" s="13" t="s">
        <v>1574</v>
      </c>
      <c r="F2303" s="13">
        <v>1</v>
      </c>
      <c r="G2303" s="13" t="s">
        <v>21</v>
      </c>
      <c r="H2303" s="13" t="s">
        <v>17</v>
      </c>
      <c r="I2303" s="14" t="s">
        <v>1576</v>
      </c>
      <c r="J2303" s="13" t="s">
        <v>1577</v>
      </c>
      <c r="K2303" s="13">
        <v>3</v>
      </c>
      <c r="L2303" s="13" t="s">
        <v>24</v>
      </c>
      <c r="M2303" s="15">
        <v>10000</v>
      </c>
      <c r="N2303" s="13" t="s">
        <v>1</v>
      </c>
      <c r="O2303" s="16">
        <f t="shared" si="564"/>
        <v>1</v>
      </c>
      <c r="P2303" s="22">
        <f t="shared" ref="P2303:P2304" si="565">O2303*$P$2301</f>
        <v>0</v>
      </c>
    </row>
    <row r="2304" spans="1:16" ht="15.75" thickBot="1" x14ac:dyDescent="0.3">
      <c r="A2304" s="90"/>
      <c r="B2304" s="23" t="s">
        <v>1572</v>
      </c>
      <c r="C2304" s="23" t="s">
        <v>1573</v>
      </c>
      <c r="D2304" s="23">
        <v>4</v>
      </c>
      <c r="E2304" s="23" t="s">
        <v>1574</v>
      </c>
      <c r="F2304" s="23">
        <v>1</v>
      </c>
      <c r="G2304" s="23" t="s">
        <v>21</v>
      </c>
      <c r="H2304" s="23" t="s">
        <v>17</v>
      </c>
      <c r="I2304" s="24" t="s">
        <v>1578</v>
      </c>
      <c r="J2304" s="23" t="s">
        <v>1573</v>
      </c>
      <c r="K2304" s="23">
        <v>99</v>
      </c>
      <c r="L2304" s="23" t="s">
        <v>15</v>
      </c>
      <c r="M2304" s="25">
        <v>10000</v>
      </c>
      <c r="N2304" s="23" t="s">
        <v>1</v>
      </c>
      <c r="O2304" s="26">
        <f t="shared" si="564"/>
        <v>1</v>
      </c>
      <c r="P2304" s="27">
        <f t="shared" si="565"/>
        <v>0</v>
      </c>
    </row>
    <row r="2305" spans="1:16" x14ac:dyDescent="0.25">
      <c r="B2305" s="1"/>
      <c r="C2305" s="1"/>
      <c r="D2305" s="1"/>
      <c r="E2305" s="1"/>
      <c r="F2305" s="1"/>
      <c r="G2305" s="1"/>
      <c r="H2305" s="1"/>
      <c r="I2305" s="2"/>
      <c r="J2305" s="1"/>
      <c r="K2305" s="1"/>
      <c r="L2305" s="1"/>
      <c r="M2305" s="3"/>
      <c r="N2305" s="1"/>
    </row>
    <row r="2306" spans="1:16" ht="15.75" thickBot="1" x14ac:dyDescent="0.3">
      <c r="B2306" s="1"/>
      <c r="C2306" s="1"/>
      <c r="D2306" s="1"/>
      <c r="E2306" s="1"/>
      <c r="F2306" s="1"/>
      <c r="G2306" s="1"/>
      <c r="H2306" s="1"/>
      <c r="I2306" s="2"/>
      <c r="J2306" s="1"/>
      <c r="K2306" s="1"/>
      <c r="L2306" s="1"/>
      <c r="M2306" s="3"/>
      <c r="N2306" s="1"/>
      <c r="P2306" s="11">
        <f>IFERROR(VLOOKUP($A2307,'PROGRAMA MES '!$A:$B,2,0),0)</f>
        <v>0</v>
      </c>
    </row>
    <row r="2307" spans="1:16" x14ac:dyDescent="0.25">
      <c r="A2307" s="89" t="str">
        <f>B2307</f>
        <v>SP9502/3</v>
      </c>
      <c r="B2307" s="17" t="s">
        <v>1579</v>
      </c>
      <c r="C2307" s="17" t="s">
        <v>1580</v>
      </c>
      <c r="D2307" s="17">
        <v>99</v>
      </c>
      <c r="E2307" s="17" t="s">
        <v>15</v>
      </c>
      <c r="F2307" s="17">
        <v>1</v>
      </c>
      <c r="G2307" s="17" t="s">
        <v>16</v>
      </c>
      <c r="H2307" s="17" t="s">
        <v>17</v>
      </c>
      <c r="I2307" s="18">
        <v>4002826</v>
      </c>
      <c r="J2307" s="17" t="s">
        <v>4</v>
      </c>
      <c r="K2307" s="17">
        <v>99</v>
      </c>
      <c r="L2307" s="17" t="s">
        <v>15</v>
      </c>
      <c r="M2307" s="17">
        <v>1</v>
      </c>
      <c r="N2307" s="17" t="s">
        <v>1</v>
      </c>
      <c r="O2307" s="20">
        <f t="shared" ref="O2307:O2310" si="566">M2307/10000</f>
        <v>1E-4</v>
      </c>
      <c r="P2307" s="21">
        <f>O2307*$P$2306</f>
        <v>0</v>
      </c>
    </row>
    <row r="2308" spans="1:16" x14ac:dyDescent="0.25">
      <c r="A2308" s="91"/>
      <c r="B2308" s="13" t="s">
        <v>1579</v>
      </c>
      <c r="C2308" s="13" t="s">
        <v>1580</v>
      </c>
      <c r="D2308" s="13">
        <v>99</v>
      </c>
      <c r="E2308" s="13" t="s">
        <v>15</v>
      </c>
      <c r="F2308" s="13">
        <v>1</v>
      </c>
      <c r="G2308" s="13" t="s">
        <v>16</v>
      </c>
      <c r="H2308" s="13" t="s">
        <v>17</v>
      </c>
      <c r="I2308" s="14">
        <v>4005782</v>
      </c>
      <c r="J2308" s="13" t="s">
        <v>1581</v>
      </c>
      <c r="K2308" s="13">
        <v>99</v>
      </c>
      <c r="L2308" s="13" t="s">
        <v>15</v>
      </c>
      <c r="M2308" s="13">
        <v>26.1</v>
      </c>
      <c r="N2308" s="13" t="s">
        <v>3</v>
      </c>
      <c r="O2308" s="16">
        <f t="shared" si="566"/>
        <v>2.6100000000000003E-3</v>
      </c>
      <c r="P2308" s="22">
        <f t="shared" ref="P2308:P2310" si="567">O2308*$P$2306</f>
        <v>0</v>
      </c>
    </row>
    <row r="2309" spans="1:16" x14ac:dyDescent="0.25">
      <c r="A2309" s="91"/>
      <c r="B2309" s="13" t="s">
        <v>1579</v>
      </c>
      <c r="C2309" s="13" t="s">
        <v>1580</v>
      </c>
      <c r="D2309" s="13">
        <v>99</v>
      </c>
      <c r="E2309" s="13" t="s">
        <v>15</v>
      </c>
      <c r="F2309" s="13">
        <v>1</v>
      </c>
      <c r="G2309" s="13" t="s">
        <v>16</v>
      </c>
      <c r="H2309" s="13" t="s">
        <v>17</v>
      </c>
      <c r="I2309" s="14">
        <v>4005791</v>
      </c>
      <c r="J2309" s="13" t="s">
        <v>1582</v>
      </c>
      <c r="K2309" s="13">
        <v>99</v>
      </c>
      <c r="L2309" s="13" t="s">
        <v>15</v>
      </c>
      <c r="M2309" s="13">
        <v>250</v>
      </c>
      <c r="N2309" s="13" t="s">
        <v>1</v>
      </c>
      <c r="O2309" s="16">
        <f t="shared" si="566"/>
        <v>2.5000000000000001E-2</v>
      </c>
      <c r="P2309" s="22">
        <f t="shared" si="567"/>
        <v>0</v>
      </c>
    </row>
    <row r="2310" spans="1:16" ht="15.75" thickBot="1" x14ac:dyDescent="0.3">
      <c r="A2310" s="90"/>
      <c r="B2310" s="23" t="s">
        <v>1579</v>
      </c>
      <c r="C2310" s="23" t="s">
        <v>1580</v>
      </c>
      <c r="D2310" s="23">
        <v>99</v>
      </c>
      <c r="E2310" s="23" t="s">
        <v>15</v>
      </c>
      <c r="F2310" s="23">
        <v>1</v>
      </c>
      <c r="G2310" s="23" t="s">
        <v>21</v>
      </c>
      <c r="H2310" s="23" t="s">
        <v>17</v>
      </c>
      <c r="I2310" s="24" t="s">
        <v>1583</v>
      </c>
      <c r="J2310" s="23" t="s">
        <v>1584</v>
      </c>
      <c r="K2310" s="23">
        <v>3</v>
      </c>
      <c r="L2310" s="23" t="s">
        <v>24</v>
      </c>
      <c r="M2310" s="25">
        <v>10000</v>
      </c>
      <c r="N2310" s="23" t="s">
        <v>1</v>
      </c>
      <c r="O2310" s="26">
        <f t="shared" si="566"/>
        <v>1</v>
      </c>
      <c r="P2310" s="27">
        <f t="shared" si="567"/>
        <v>0</v>
      </c>
    </row>
    <row r="2311" spans="1:16" x14ac:dyDescent="0.25">
      <c r="B2311" s="1"/>
      <c r="C2311" s="1"/>
      <c r="D2311" s="1"/>
      <c r="E2311" s="1"/>
      <c r="F2311" s="1"/>
      <c r="G2311" s="1"/>
      <c r="H2311" s="1"/>
      <c r="I2311" s="2"/>
      <c r="J2311" s="1"/>
      <c r="K2311" s="1"/>
      <c r="L2311" s="1"/>
      <c r="M2311" s="3"/>
      <c r="N2311" s="1"/>
    </row>
    <row r="2312" spans="1:16" ht="15.75" thickBot="1" x14ac:dyDescent="0.3">
      <c r="B2312" s="1"/>
      <c r="C2312" s="1"/>
      <c r="D2312" s="1"/>
      <c r="E2312" s="1"/>
      <c r="F2312" s="1"/>
      <c r="G2312" s="1"/>
      <c r="H2312" s="1"/>
      <c r="I2312" s="2"/>
      <c r="J2312" s="1"/>
      <c r="K2312" s="1"/>
      <c r="L2312" s="1"/>
      <c r="M2312" s="3"/>
      <c r="N2312" s="1"/>
      <c r="P2312" s="11">
        <f>IFERROR(VLOOKUP($A2313,'PROGRAMA MES '!$A:$B,2,0),0)</f>
        <v>0</v>
      </c>
    </row>
    <row r="2313" spans="1:16" x14ac:dyDescent="0.25">
      <c r="A2313" s="89" t="str">
        <f>B2313</f>
        <v>SP950204</v>
      </c>
      <c r="B2313" s="17" t="s">
        <v>1585</v>
      </c>
      <c r="C2313" s="17" t="s">
        <v>1586</v>
      </c>
      <c r="D2313" s="17">
        <v>54</v>
      </c>
      <c r="E2313" s="17" t="s">
        <v>769</v>
      </c>
      <c r="F2313" s="17">
        <v>1</v>
      </c>
      <c r="G2313" s="17" t="s">
        <v>16</v>
      </c>
      <c r="H2313" s="17" t="s">
        <v>17</v>
      </c>
      <c r="I2313" s="18">
        <v>4012306</v>
      </c>
      <c r="J2313" s="17" t="s">
        <v>1048</v>
      </c>
      <c r="K2313" s="17">
        <v>99</v>
      </c>
      <c r="L2313" s="17" t="s">
        <v>15</v>
      </c>
      <c r="M2313" s="17">
        <v>100</v>
      </c>
      <c r="N2313" s="17" t="s">
        <v>1</v>
      </c>
      <c r="O2313" s="20">
        <f t="shared" ref="O2313:O2314" si="568">M2313/10000</f>
        <v>0.01</v>
      </c>
      <c r="P2313" s="21">
        <f>O2313*$P$2312</f>
        <v>0</v>
      </c>
    </row>
    <row r="2314" spans="1:16" ht="15.75" thickBot="1" x14ac:dyDescent="0.3">
      <c r="A2314" s="90"/>
      <c r="B2314" s="23" t="s">
        <v>1585</v>
      </c>
      <c r="C2314" s="23" t="s">
        <v>1586</v>
      </c>
      <c r="D2314" s="23">
        <v>54</v>
      </c>
      <c r="E2314" s="23" t="s">
        <v>769</v>
      </c>
      <c r="F2314" s="23">
        <v>1</v>
      </c>
      <c r="G2314" s="23" t="s">
        <v>21</v>
      </c>
      <c r="H2314" s="23" t="s">
        <v>17</v>
      </c>
      <c r="I2314" s="24" t="s">
        <v>1587</v>
      </c>
      <c r="J2314" s="23" t="s">
        <v>1586</v>
      </c>
      <c r="K2314" s="23">
        <v>56</v>
      </c>
      <c r="L2314" s="23" t="s">
        <v>772</v>
      </c>
      <c r="M2314" s="25">
        <v>10000</v>
      </c>
      <c r="N2314" s="23" t="s">
        <v>1</v>
      </c>
      <c r="O2314" s="26">
        <f t="shared" si="568"/>
        <v>1</v>
      </c>
      <c r="P2314" s="27">
        <f>O2314*$P$2312</f>
        <v>0</v>
      </c>
    </row>
    <row r="2315" spans="1:16" x14ac:dyDescent="0.25">
      <c r="B2315" s="1"/>
      <c r="C2315" s="1"/>
      <c r="D2315" s="1"/>
      <c r="E2315" s="1"/>
      <c r="F2315" s="1"/>
      <c r="G2315" s="1"/>
      <c r="H2315" s="1"/>
      <c r="I2315" s="2"/>
      <c r="J2315" s="1"/>
      <c r="K2315" s="1"/>
      <c r="L2315" s="1"/>
      <c r="M2315" s="3"/>
      <c r="N2315" s="1"/>
    </row>
    <row r="2316" spans="1:16" ht="15.75" thickBot="1" x14ac:dyDescent="0.3">
      <c r="B2316" s="1"/>
      <c r="C2316" s="1"/>
      <c r="D2316" s="1"/>
      <c r="E2316" s="1"/>
      <c r="F2316" s="1"/>
      <c r="G2316" s="1"/>
      <c r="H2316" s="1"/>
      <c r="I2316" s="2"/>
      <c r="J2316" s="1"/>
      <c r="K2316" s="1"/>
      <c r="L2316" s="1"/>
      <c r="M2316" s="3"/>
      <c r="N2316" s="1"/>
      <c r="P2316" s="11">
        <f>IFERROR(VLOOKUP($A2317,'PROGRAMA MES '!$A:$B,2,0),0)</f>
        <v>0</v>
      </c>
    </row>
    <row r="2317" spans="1:16" x14ac:dyDescent="0.25">
      <c r="A2317" s="89" t="str">
        <f>B2317</f>
        <v>SP950253</v>
      </c>
      <c r="B2317" s="17" t="s">
        <v>1588</v>
      </c>
      <c r="C2317" s="17" t="s">
        <v>1589</v>
      </c>
      <c r="D2317" s="17">
        <v>99</v>
      </c>
      <c r="E2317" s="17" t="s">
        <v>15</v>
      </c>
      <c r="F2317" s="17">
        <v>1</v>
      </c>
      <c r="G2317" s="17" t="s">
        <v>16</v>
      </c>
      <c r="H2317" s="17" t="s">
        <v>17</v>
      </c>
      <c r="I2317" s="18">
        <v>4013770</v>
      </c>
      <c r="J2317" s="17" t="s">
        <v>742</v>
      </c>
      <c r="K2317" s="17">
        <v>99</v>
      </c>
      <c r="L2317" s="17" t="s">
        <v>15</v>
      </c>
      <c r="M2317" s="19">
        <v>10000</v>
      </c>
      <c r="N2317" s="17" t="s">
        <v>1</v>
      </c>
      <c r="O2317" s="20">
        <f t="shared" ref="O2317:O2318" si="569">M2317/10000</f>
        <v>1</v>
      </c>
      <c r="P2317" s="21">
        <f>O2317*$P$2316</f>
        <v>0</v>
      </c>
    </row>
    <row r="2318" spans="1:16" ht="15.75" thickBot="1" x14ac:dyDescent="0.3">
      <c r="A2318" s="90"/>
      <c r="B2318" s="23" t="s">
        <v>1588</v>
      </c>
      <c r="C2318" s="23" t="s">
        <v>1589</v>
      </c>
      <c r="D2318" s="23">
        <v>99</v>
      </c>
      <c r="E2318" s="23" t="s">
        <v>15</v>
      </c>
      <c r="F2318" s="23">
        <v>1</v>
      </c>
      <c r="G2318" s="23" t="s">
        <v>21</v>
      </c>
      <c r="H2318" s="23" t="s">
        <v>17</v>
      </c>
      <c r="I2318" s="24" t="s">
        <v>1590</v>
      </c>
      <c r="J2318" s="23" t="s">
        <v>1591</v>
      </c>
      <c r="K2318" s="23">
        <v>3</v>
      </c>
      <c r="L2318" s="23" t="s">
        <v>24</v>
      </c>
      <c r="M2318" s="25">
        <v>10000</v>
      </c>
      <c r="N2318" s="23" t="s">
        <v>1</v>
      </c>
      <c r="O2318" s="26">
        <f t="shared" si="569"/>
        <v>1</v>
      </c>
      <c r="P2318" s="27">
        <f>O2318*$P$2316</f>
        <v>0</v>
      </c>
    </row>
    <row r="2319" spans="1:16" x14ac:dyDescent="0.25">
      <c r="B2319" s="1"/>
      <c r="C2319" s="1"/>
      <c r="D2319" s="1"/>
      <c r="E2319" s="1"/>
      <c r="F2319" s="1"/>
      <c r="G2319" s="1"/>
      <c r="H2319" s="1"/>
      <c r="I2319" s="2"/>
      <c r="J2319" s="1"/>
      <c r="K2319" s="1"/>
      <c r="L2319" s="1"/>
      <c r="M2319" s="3"/>
      <c r="N2319" s="1"/>
    </row>
    <row r="2320" spans="1:16" ht="15.75" thickBot="1" x14ac:dyDescent="0.3">
      <c r="B2320" s="1"/>
      <c r="C2320" s="1"/>
      <c r="D2320" s="1"/>
      <c r="E2320" s="1"/>
      <c r="F2320" s="1"/>
      <c r="G2320" s="1"/>
      <c r="H2320" s="1"/>
      <c r="I2320" s="2"/>
      <c r="J2320" s="1"/>
      <c r="K2320" s="1"/>
      <c r="L2320" s="1"/>
      <c r="M2320" s="3"/>
      <c r="N2320" s="1"/>
      <c r="P2320" s="11">
        <f>IFERROR(VLOOKUP($A2321,'PROGRAMA MES '!$A:$B,2,0),0)</f>
        <v>4500</v>
      </c>
    </row>
    <row r="2321" spans="1:16" x14ac:dyDescent="0.25">
      <c r="A2321" s="89" t="str">
        <f>B2321</f>
        <v>SP9502BA</v>
      </c>
      <c r="B2321" s="17" t="s">
        <v>1592</v>
      </c>
      <c r="C2321" s="17" t="s">
        <v>283</v>
      </c>
      <c r="D2321" s="17">
        <v>99</v>
      </c>
      <c r="E2321" s="17" t="s">
        <v>15</v>
      </c>
      <c r="F2321" s="17">
        <v>1</v>
      </c>
      <c r="G2321" s="17" t="s">
        <v>16</v>
      </c>
      <c r="H2321" s="17" t="s">
        <v>17</v>
      </c>
      <c r="I2321" s="18">
        <v>4002827</v>
      </c>
      <c r="J2321" s="17" t="s">
        <v>0</v>
      </c>
      <c r="K2321" s="17">
        <v>99</v>
      </c>
      <c r="L2321" s="17" t="s">
        <v>15</v>
      </c>
      <c r="M2321" s="17">
        <v>161.19999999999999</v>
      </c>
      <c r="N2321" s="17" t="s">
        <v>2</v>
      </c>
      <c r="O2321" s="20">
        <f t="shared" ref="O2321:O2323" si="570">M2321/10000</f>
        <v>1.6119999999999999E-2</v>
      </c>
      <c r="P2321" s="21">
        <f>O2321*$P$2320</f>
        <v>72.539999999999992</v>
      </c>
    </row>
    <row r="2322" spans="1:16" x14ac:dyDescent="0.25">
      <c r="A2322" s="91"/>
      <c r="B2322" s="13" t="s">
        <v>1592</v>
      </c>
      <c r="C2322" s="13" t="s">
        <v>283</v>
      </c>
      <c r="D2322" s="13">
        <v>99</v>
      </c>
      <c r="E2322" s="13" t="s">
        <v>15</v>
      </c>
      <c r="F2322" s="13">
        <v>1</v>
      </c>
      <c r="G2322" s="13" t="s">
        <v>16</v>
      </c>
      <c r="H2322" s="13" t="s">
        <v>17</v>
      </c>
      <c r="I2322" s="14">
        <v>4010023</v>
      </c>
      <c r="J2322" s="13" t="s">
        <v>1575</v>
      </c>
      <c r="K2322" s="13">
        <v>99</v>
      </c>
      <c r="L2322" s="13" t="s">
        <v>15</v>
      </c>
      <c r="M2322" s="13">
        <v>100</v>
      </c>
      <c r="N2322" s="13" t="s">
        <v>1</v>
      </c>
      <c r="O2322" s="16">
        <f t="shared" si="570"/>
        <v>0.01</v>
      </c>
      <c r="P2322" s="22">
        <f t="shared" ref="P2322:P2323" si="571">O2322*$P$2320</f>
        <v>45</v>
      </c>
    </row>
    <row r="2323" spans="1:16" ht="15.75" thickBot="1" x14ac:dyDescent="0.3">
      <c r="A2323" s="90"/>
      <c r="B2323" s="23" t="s">
        <v>1592</v>
      </c>
      <c r="C2323" s="23" t="s">
        <v>283</v>
      </c>
      <c r="D2323" s="23">
        <v>99</v>
      </c>
      <c r="E2323" s="23" t="s">
        <v>15</v>
      </c>
      <c r="F2323" s="23">
        <v>1</v>
      </c>
      <c r="G2323" s="23" t="s">
        <v>21</v>
      </c>
      <c r="H2323" s="23" t="s">
        <v>17</v>
      </c>
      <c r="I2323" s="24" t="s">
        <v>1593</v>
      </c>
      <c r="J2323" s="23" t="s">
        <v>283</v>
      </c>
      <c r="K2323" s="23">
        <v>3</v>
      </c>
      <c r="L2323" s="23" t="s">
        <v>24</v>
      </c>
      <c r="M2323" s="25">
        <v>10000</v>
      </c>
      <c r="N2323" s="23" t="s">
        <v>1</v>
      </c>
      <c r="O2323" s="26">
        <f t="shared" si="570"/>
        <v>1</v>
      </c>
      <c r="P2323" s="27">
        <f t="shared" si="571"/>
        <v>4500</v>
      </c>
    </row>
    <row r="2324" spans="1:16" x14ac:dyDescent="0.25">
      <c r="B2324" s="1"/>
      <c r="C2324" s="1"/>
      <c r="D2324" s="1"/>
      <c r="E2324" s="1"/>
      <c r="F2324" s="1"/>
      <c r="G2324" s="1"/>
      <c r="H2324" s="1"/>
      <c r="I2324" s="2"/>
      <c r="J2324" s="1"/>
      <c r="K2324" s="1"/>
      <c r="L2324" s="1"/>
      <c r="M2324" s="3"/>
      <c r="N2324" s="1"/>
    </row>
    <row r="2325" spans="1:16" ht="15.75" thickBot="1" x14ac:dyDescent="0.3">
      <c r="B2325" s="1"/>
      <c r="C2325" s="1"/>
      <c r="D2325" s="1"/>
      <c r="E2325" s="1"/>
      <c r="F2325" s="1"/>
      <c r="G2325" s="1"/>
      <c r="H2325" s="1"/>
      <c r="I2325" s="2"/>
      <c r="J2325" s="1"/>
      <c r="K2325" s="1"/>
      <c r="L2325" s="1"/>
      <c r="M2325" s="3"/>
      <c r="N2325" s="1"/>
      <c r="P2325" s="11">
        <f>IFERROR(VLOOKUP($A2326,'PROGRAMA MES '!$A:$B,2,0),0)</f>
        <v>30000</v>
      </c>
    </row>
    <row r="2326" spans="1:16" x14ac:dyDescent="0.25">
      <c r="A2326" s="89" t="str">
        <f>B2326</f>
        <v>SP9502BA/2</v>
      </c>
      <c r="B2326" s="17" t="s">
        <v>1578</v>
      </c>
      <c r="C2326" s="17" t="s">
        <v>1573</v>
      </c>
      <c r="D2326" s="17">
        <v>99</v>
      </c>
      <c r="E2326" s="17" t="s">
        <v>15</v>
      </c>
      <c r="F2326" s="17">
        <v>1</v>
      </c>
      <c r="G2326" s="17" t="s">
        <v>16</v>
      </c>
      <c r="H2326" s="17" t="s">
        <v>17</v>
      </c>
      <c r="I2326" s="18">
        <v>4010023</v>
      </c>
      <c r="J2326" s="17" t="s">
        <v>1575</v>
      </c>
      <c r="K2326" s="17">
        <v>99</v>
      </c>
      <c r="L2326" s="17" t="s">
        <v>15</v>
      </c>
      <c r="M2326" s="17">
        <v>100</v>
      </c>
      <c r="N2326" s="17" t="s">
        <v>1</v>
      </c>
      <c r="O2326" s="20">
        <f t="shared" ref="O2326:O2327" si="572">M2326/10000</f>
        <v>0.01</v>
      </c>
      <c r="P2326" s="21">
        <f>O2326*$P$2325</f>
        <v>300</v>
      </c>
    </row>
    <row r="2327" spans="1:16" ht="15.75" thickBot="1" x14ac:dyDescent="0.3">
      <c r="A2327" s="90"/>
      <c r="B2327" s="23" t="s">
        <v>1578</v>
      </c>
      <c r="C2327" s="23" t="s">
        <v>1573</v>
      </c>
      <c r="D2327" s="23">
        <v>99</v>
      </c>
      <c r="E2327" s="23" t="s">
        <v>15</v>
      </c>
      <c r="F2327" s="23">
        <v>1</v>
      </c>
      <c r="G2327" s="23" t="s">
        <v>21</v>
      </c>
      <c r="H2327" s="23" t="s">
        <v>17</v>
      </c>
      <c r="I2327" s="24" t="s">
        <v>1576</v>
      </c>
      <c r="J2327" s="23" t="s">
        <v>1577</v>
      </c>
      <c r="K2327" s="23">
        <v>3</v>
      </c>
      <c r="L2327" s="23" t="s">
        <v>24</v>
      </c>
      <c r="M2327" s="25">
        <v>10000</v>
      </c>
      <c r="N2327" s="23" t="s">
        <v>1</v>
      </c>
      <c r="O2327" s="26">
        <f t="shared" si="572"/>
        <v>1</v>
      </c>
      <c r="P2327" s="27">
        <f>O2327*$P$2325</f>
        <v>30000</v>
      </c>
    </row>
    <row r="2328" spans="1:16" x14ac:dyDescent="0.25">
      <c r="B2328" s="1"/>
      <c r="C2328" s="1"/>
      <c r="D2328" s="1"/>
      <c r="E2328" s="1"/>
      <c r="F2328" s="1"/>
      <c r="G2328" s="1"/>
      <c r="H2328" s="1"/>
      <c r="I2328" s="2"/>
      <c r="J2328" s="1"/>
      <c r="K2328" s="1"/>
      <c r="L2328" s="1"/>
      <c r="M2328" s="3"/>
      <c r="N2328" s="1"/>
    </row>
    <row r="2329" spans="1:16" ht="15.75" thickBot="1" x14ac:dyDescent="0.3">
      <c r="B2329" s="1"/>
      <c r="C2329" s="1"/>
      <c r="D2329" s="1"/>
      <c r="E2329" s="1"/>
      <c r="F2329" s="1"/>
      <c r="G2329" s="1"/>
      <c r="H2329" s="1"/>
      <c r="I2329" s="2"/>
      <c r="J2329" s="1"/>
      <c r="K2329" s="1"/>
      <c r="L2329" s="1"/>
      <c r="M2329" s="3"/>
      <c r="N2329" s="1"/>
      <c r="P2329" s="11">
        <f>IFERROR(VLOOKUP($A2330,'PROGRAMA MES '!$A:$B,2,0),0)</f>
        <v>22000</v>
      </c>
    </row>
    <row r="2330" spans="1:16" x14ac:dyDescent="0.25">
      <c r="A2330" s="89" t="str">
        <f>B2330</f>
        <v>SP950404</v>
      </c>
      <c r="B2330" s="17" t="s">
        <v>1594</v>
      </c>
      <c r="C2330" s="17" t="s">
        <v>1595</v>
      </c>
      <c r="D2330" s="17">
        <v>54</v>
      </c>
      <c r="E2330" s="17" t="s">
        <v>769</v>
      </c>
      <c r="F2330" s="17">
        <v>1</v>
      </c>
      <c r="G2330" s="17" t="s">
        <v>16</v>
      </c>
      <c r="H2330" s="17" t="s">
        <v>17</v>
      </c>
      <c r="I2330" s="18">
        <v>4012306</v>
      </c>
      <c r="J2330" s="17" t="s">
        <v>1048</v>
      </c>
      <c r="K2330" s="17">
        <v>99</v>
      </c>
      <c r="L2330" s="17" t="s">
        <v>15</v>
      </c>
      <c r="M2330" s="17">
        <v>100</v>
      </c>
      <c r="N2330" s="17" t="s">
        <v>1</v>
      </c>
      <c r="O2330" s="20">
        <f t="shared" ref="O2330:O2331" si="573">M2330/10000</f>
        <v>0.01</v>
      </c>
      <c r="P2330" s="21">
        <f>O2330*$P$2329</f>
        <v>220</v>
      </c>
    </row>
    <row r="2331" spans="1:16" ht="15.75" thickBot="1" x14ac:dyDescent="0.3">
      <c r="A2331" s="90"/>
      <c r="B2331" s="23" t="s">
        <v>1594</v>
      </c>
      <c r="C2331" s="23" t="s">
        <v>1595</v>
      </c>
      <c r="D2331" s="23">
        <v>54</v>
      </c>
      <c r="E2331" s="23" t="s">
        <v>769</v>
      </c>
      <c r="F2331" s="23">
        <v>1</v>
      </c>
      <c r="G2331" s="23" t="s">
        <v>21</v>
      </c>
      <c r="H2331" s="23" t="s">
        <v>17</v>
      </c>
      <c r="I2331" s="24" t="s">
        <v>1596</v>
      </c>
      <c r="J2331" s="23" t="s">
        <v>1595</v>
      </c>
      <c r="K2331" s="23">
        <v>56</v>
      </c>
      <c r="L2331" s="23" t="s">
        <v>772</v>
      </c>
      <c r="M2331" s="25">
        <v>10000</v>
      </c>
      <c r="N2331" s="23" t="s">
        <v>1</v>
      </c>
      <c r="O2331" s="26">
        <f t="shared" si="573"/>
        <v>1</v>
      </c>
      <c r="P2331" s="27">
        <f>O2331*$P$2329</f>
        <v>22000</v>
      </c>
    </row>
    <row r="2332" spans="1:16" x14ac:dyDescent="0.25">
      <c r="B2332" s="1"/>
      <c r="C2332" s="1"/>
      <c r="D2332" s="1"/>
      <c r="E2332" s="1"/>
      <c r="F2332" s="1"/>
      <c r="G2332" s="1"/>
      <c r="H2332" s="1"/>
      <c r="I2332" s="2"/>
      <c r="J2332" s="1"/>
      <c r="K2332" s="1"/>
      <c r="L2332" s="1"/>
      <c r="M2332" s="3"/>
      <c r="N2332" s="1"/>
    </row>
    <row r="2333" spans="1:16" ht="15.75" thickBot="1" x14ac:dyDescent="0.3">
      <c r="B2333" s="1"/>
      <c r="C2333" s="1"/>
      <c r="D2333" s="1"/>
      <c r="E2333" s="1"/>
      <c r="F2333" s="1"/>
      <c r="G2333" s="1"/>
      <c r="H2333" s="1"/>
      <c r="I2333" s="2"/>
      <c r="J2333" s="1"/>
      <c r="K2333" s="1"/>
      <c r="L2333" s="1"/>
      <c r="M2333" s="3"/>
      <c r="N2333" s="1"/>
      <c r="P2333" s="11">
        <f>IFERROR(VLOOKUP($A2334,'PROGRAMA MES '!$A:$B,2,0),0)</f>
        <v>0</v>
      </c>
    </row>
    <row r="2334" spans="1:16" x14ac:dyDescent="0.25">
      <c r="A2334" s="89" t="str">
        <f>B2334</f>
        <v>SP950453</v>
      </c>
      <c r="B2334" s="17" t="s">
        <v>1597</v>
      </c>
      <c r="C2334" s="17" t="s">
        <v>1598</v>
      </c>
      <c r="D2334" s="17">
        <v>99</v>
      </c>
      <c r="E2334" s="17" t="s">
        <v>15</v>
      </c>
      <c r="F2334" s="17">
        <v>1</v>
      </c>
      <c r="G2334" s="17" t="s">
        <v>16</v>
      </c>
      <c r="H2334" s="17" t="s">
        <v>17</v>
      </c>
      <c r="I2334" s="18">
        <v>4002826</v>
      </c>
      <c r="J2334" s="17" t="s">
        <v>4</v>
      </c>
      <c r="K2334" s="17">
        <v>99</v>
      </c>
      <c r="L2334" s="17" t="s">
        <v>15</v>
      </c>
      <c r="M2334" s="17">
        <v>1</v>
      </c>
      <c r="N2334" s="17" t="s">
        <v>1</v>
      </c>
      <c r="O2334" s="20">
        <f t="shared" ref="O2334:O2412" si="574">M2334/10000</f>
        <v>1E-4</v>
      </c>
      <c r="P2334" s="21">
        <f>O2334*$P$2333</f>
        <v>0</v>
      </c>
    </row>
    <row r="2335" spans="1:16" x14ac:dyDescent="0.25">
      <c r="A2335" s="91"/>
      <c r="B2335" s="13" t="s">
        <v>1597</v>
      </c>
      <c r="C2335" s="13" t="s">
        <v>1598</v>
      </c>
      <c r="D2335" s="13">
        <v>99</v>
      </c>
      <c r="E2335" s="13" t="s">
        <v>15</v>
      </c>
      <c r="F2335" s="13">
        <v>1</v>
      </c>
      <c r="G2335" s="13" t="s">
        <v>16</v>
      </c>
      <c r="H2335" s="13" t="s">
        <v>17</v>
      </c>
      <c r="I2335" s="14">
        <v>4013770</v>
      </c>
      <c r="J2335" s="13" t="s">
        <v>742</v>
      </c>
      <c r="K2335" s="13">
        <v>99</v>
      </c>
      <c r="L2335" s="13" t="s">
        <v>15</v>
      </c>
      <c r="M2335" s="15">
        <v>10000</v>
      </c>
      <c r="N2335" s="13" t="s">
        <v>1</v>
      </c>
      <c r="O2335" s="16">
        <f t="shared" si="574"/>
        <v>1</v>
      </c>
      <c r="P2335" s="22">
        <f t="shared" ref="P2335:P2336" si="575">O2335*$P$2333</f>
        <v>0</v>
      </c>
    </row>
    <row r="2336" spans="1:16" ht="15.75" thickBot="1" x14ac:dyDescent="0.3">
      <c r="A2336" s="90"/>
      <c r="B2336" s="23" t="s">
        <v>1597</v>
      </c>
      <c r="C2336" s="23" t="s">
        <v>1598</v>
      </c>
      <c r="D2336" s="23">
        <v>99</v>
      </c>
      <c r="E2336" s="23" t="s">
        <v>15</v>
      </c>
      <c r="F2336" s="23">
        <v>1</v>
      </c>
      <c r="G2336" s="23" t="s">
        <v>21</v>
      </c>
      <c r="H2336" s="23" t="s">
        <v>17</v>
      </c>
      <c r="I2336" s="24" t="s">
        <v>1599</v>
      </c>
      <c r="J2336" s="23" t="s">
        <v>1600</v>
      </c>
      <c r="K2336" s="23">
        <v>3</v>
      </c>
      <c r="L2336" s="23" t="s">
        <v>24</v>
      </c>
      <c r="M2336" s="25">
        <v>10000</v>
      </c>
      <c r="N2336" s="23" t="s">
        <v>1</v>
      </c>
      <c r="O2336" s="26">
        <f t="shared" si="574"/>
        <v>1</v>
      </c>
      <c r="P2336" s="27">
        <f t="shared" si="575"/>
        <v>0</v>
      </c>
    </row>
    <row r="2337" spans="1:16" x14ac:dyDescent="0.25">
      <c r="B2337" s="1"/>
      <c r="C2337" s="1"/>
      <c r="D2337" s="1"/>
      <c r="E2337" s="1"/>
      <c r="F2337" s="1"/>
      <c r="G2337" s="1"/>
      <c r="H2337" s="1"/>
      <c r="I2337" s="2"/>
      <c r="J2337" s="1"/>
      <c r="K2337" s="1"/>
      <c r="L2337" s="1"/>
      <c r="M2337" s="3"/>
      <c r="N2337" s="1"/>
    </row>
    <row r="2338" spans="1:16" ht="15.75" thickBot="1" x14ac:dyDescent="0.3">
      <c r="B2338" s="1"/>
      <c r="C2338" s="1"/>
      <c r="D2338" s="1"/>
      <c r="E2338" s="1"/>
      <c r="F2338" s="1"/>
      <c r="G2338" s="1"/>
      <c r="H2338" s="1"/>
      <c r="I2338" s="2"/>
      <c r="J2338" s="1"/>
      <c r="K2338" s="1"/>
      <c r="L2338" s="1"/>
      <c r="M2338" s="3"/>
      <c r="N2338" s="1"/>
      <c r="P2338" s="11">
        <f>IFERROR(VLOOKUP($A2339,'PROGRAMA MES '!$A:$B,2,0),0)</f>
        <v>100</v>
      </c>
    </row>
    <row r="2339" spans="1:16" x14ac:dyDescent="0.25">
      <c r="A2339" s="89" t="str">
        <f>B2339</f>
        <v>SP9504BA</v>
      </c>
      <c r="B2339" s="17" t="s">
        <v>1601</v>
      </c>
      <c r="C2339" s="17" t="s">
        <v>288</v>
      </c>
      <c r="D2339" s="17">
        <v>99</v>
      </c>
      <c r="E2339" s="17" t="s">
        <v>15</v>
      </c>
      <c r="F2339" s="17">
        <v>1</v>
      </c>
      <c r="G2339" s="17" t="s">
        <v>16</v>
      </c>
      <c r="H2339" s="17" t="s">
        <v>17</v>
      </c>
      <c r="I2339" s="18">
        <v>4010849</v>
      </c>
      <c r="J2339" s="17" t="s">
        <v>1602</v>
      </c>
      <c r="K2339" s="17">
        <v>99</v>
      </c>
      <c r="L2339" s="17" t="s">
        <v>15</v>
      </c>
      <c r="M2339" s="17">
        <v>100</v>
      </c>
      <c r="N2339" s="17" t="s">
        <v>1</v>
      </c>
      <c r="O2339" s="20">
        <f t="shared" si="574"/>
        <v>0.01</v>
      </c>
      <c r="P2339" s="21">
        <f>O2339*$P$2338</f>
        <v>1</v>
      </c>
    </row>
    <row r="2340" spans="1:16" ht="15.75" thickBot="1" x14ac:dyDescent="0.3">
      <c r="A2340" s="90"/>
      <c r="B2340" s="23" t="s">
        <v>1601</v>
      </c>
      <c r="C2340" s="23" t="s">
        <v>288</v>
      </c>
      <c r="D2340" s="23">
        <v>99</v>
      </c>
      <c r="E2340" s="23" t="s">
        <v>15</v>
      </c>
      <c r="F2340" s="23">
        <v>1</v>
      </c>
      <c r="G2340" s="23" t="s">
        <v>21</v>
      </c>
      <c r="H2340" s="23" t="s">
        <v>17</v>
      </c>
      <c r="I2340" s="24" t="s">
        <v>1603</v>
      </c>
      <c r="J2340" s="23" t="s">
        <v>1604</v>
      </c>
      <c r="K2340" s="23">
        <v>3</v>
      </c>
      <c r="L2340" s="23" t="s">
        <v>24</v>
      </c>
      <c r="M2340" s="25">
        <v>10000</v>
      </c>
      <c r="N2340" s="23" t="s">
        <v>1</v>
      </c>
      <c r="O2340" s="26">
        <f t="shared" si="574"/>
        <v>1</v>
      </c>
      <c r="P2340" s="27">
        <f>O2340*$P$2338</f>
        <v>100</v>
      </c>
    </row>
    <row r="2341" spans="1:16" x14ac:dyDescent="0.25">
      <c r="B2341" s="1"/>
      <c r="C2341" s="1"/>
      <c r="D2341" s="1"/>
      <c r="E2341" s="1"/>
      <c r="F2341" s="1"/>
      <c r="G2341" s="1"/>
      <c r="H2341" s="1"/>
      <c r="I2341" s="2"/>
      <c r="J2341" s="1"/>
      <c r="K2341" s="1"/>
      <c r="L2341" s="1"/>
      <c r="M2341" s="3"/>
      <c r="N2341" s="1"/>
    </row>
    <row r="2342" spans="1:16" ht="15.75" thickBot="1" x14ac:dyDescent="0.3">
      <c r="B2342" s="1"/>
      <c r="C2342" s="1"/>
      <c r="D2342" s="1"/>
      <c r="E2342" s="1"/>
      <c r="F2342" s="1"/>
      <c r="G2342" s="1"/>
      <c r="H2342" s="1"/>
      <c r="I2342" s="2"/>
      <c r="J2342" s="1"/>
      <c r="K2342" s="1"/>
      <c r="L2342" s="1"/>
      <c r="M2342" s="3"/>
      <c r="N2342" s="1"/>
      <c r="P2342" s="11">
        <f>IFERROR(VLOOKUP($A2343,'PROGRAMA MES '!$A:$B,2,0),0)</f>
        <v>5000</v>
      </c>
    </row>
    <row r="2343" spans="1:16" x14ac:dyDescent="0.25">
      <c r="A2343" s="89" t="str">
        <f>B2343</f>
        <v>SP9504BA/2</v>
      </c>
      <c r="B2343" s="17" t="s">
        <v>1605</v>
      </c>
      <c r="C2343" s="17" t="s">
        <v>1606</v>
      </c>
      <c r="D2343" s="17">
        <v>99</v>
      </c>
      <c r="E2343" s="17" t="s">
        <v>15</v>
      </c>
      <c r="F2343" s="17">
        <v>1</v>
      </c>
      <c r="G2343" s="17" t="s">
        <v>16</v>
      </c>
      <c r="H2343" s="17" t="s">
        <v>17</v>
      </c>
      <c r="I2343" s="18">
        <v>4010849</v>
      </c>
      <c r="J2343" s="17" t="s">
        <v>1602</v>
      </c>
      <c r="K2343" s="17">
        <v>99</v>
      </c>
      <c r="L2343" s="17" t="s">
        <v>15</v>
      </c>
      <c r="M2343" s="17">
        <v>100</v>
      </c>
      <c r="N2343" s="17" t="s">
        <v>1</v>
      </c>
      <c r="O2343" s="20">
        <f t="shared" si="574"/>
        <v>0.01</v>
      </c>
      <c r="P2343" s="21">
        <f>O2343*$P$2342</f>
        <v>50</v>
      </c>
    </row>
    <row r="2344" spans="1:16" ht="15.75" thickBot="1" x14ac:dyDescent="0.3">
      <c r="A2344" s="90"/>
      <c r="B2344" s="23" t="s">
        <v>1605</v>
      </c>
      <c r="C2344" s="23" t="s">
        <v>1606</v>
      </c>
      <c r="D2344" s="23">
        <v>99</v>
      </c>
      <c r="E2344" s="23" t="s">
        <v>15</v>
      </c>
      <c r="F2344" s="23">
        <v>1</v>
      </c>
      <c r="G2344" s="23" t="s">
        <v>21</v>
      </c>
      <c r="H2344" s="23" t="s">
        <v>17</v>
      </c>
      <c r="I2344" s="24" t="s">
        <v>1607</v>
      </c>
      <c r="J2344" s="23" t="s">
        <v>1606</v>
      </c>
      <c r="K2344" s="23">
        <v>3</v>
      </c>
      <c r="L2344" s="23" t="s">
        <v>24</v>
      </c>
      <c r="M2344" s="25">
        <v>10000</v>
      </c>
      <c r="N2344" s="23" t="s">
        <v>1</v>
      </c>
      <c r="O2344" s="26">
        <f t="shared" si="574"/>
        <v>1</v>
      </c>
      <c r="P2344" s="27">
        <f>O2344*$P$2342</f>
        <v>5000</v>
      </c>
    </row>
    <row r="2345" spans="1:16" x14ac:dyDescent="0.25">
      <c r="B2345" s="1"/>
      <c r="C2345" s="1"/>
      <c r="D2345" s="1"/>
      <c r="E2345" s="1"/>
      <c r="F2345" s="1"/>
      <c r="G2345" s="1"/>
      <c r="H2345" s="1"/>
      <c r="I2345" s="2"/>
      <c r="J2345" s="1"/>
      <c r="K2345" s="1"/>
      <c r="L2345" s="1"/>
      <c r="M2345" s="3"/>
      <c r="N2345" s="1"/>
    </row>
    <row r="2346" spans="1:16" ht="15.75" thickBot="1" x14ac:dyDescent="0.3">
      <c r="B2346" s="1"/>
      <c r="C2346" s="1"/>
      <c r="D2346" s="1"/>
      <c r="E2346" s="1"/>
      <c r="F2346" s="1"/>
      <c r="G2346" s="1"/>
      <c r="H2346" s="1"/>
      <c r="I2346" s="2"/>
      <c r="J2346" s="1"/>
      <c r="K2346" s="1"/>
      <c r="L2346" s="1"/>
      <c r="M2346" s="3"/>
      <c r="N2346" s="1"/>
      <c r="P2346" s="11">
        <f>IFERROR(VLOOKUP($A2347,'PROGRAMA MES '!$A:$B,2,0),0)</f>
        <v>5000</v>
      </c>
    </row>
    <row r="2347" spans="1:16" x14ac:dyDescent="0.25">
      <c r="A2347" s="89" t="str">
        <f>B2347</f>
        <v>SP9506/2</v>
      </c>
      <c r="B2347" s="17" t="s">
        <v>1608</v>
      </c>
      <c r="C2347" s="17" t="s">
        <v>1609</v>
      </c>
      <c r="D2347" s="17">
        <v>99</v>
      </c>
      <c r="E2347" s="17" t="s">
        <v>15</v>
      </c>
      <c r="F2347" s="17">
        <v>1</v>
      </c>
      <c r="G2347" s="17" t="s">
        <v>16</v>
      </c>
      <c r="H2347" s="17" t="s">
        <v>17</v>
      </c>
      <c r="I2347" s="18">
        <v>4002827</v>
      </c>
      <c r="J2347" s="17" t="s">
        <v>0</v>
      </c>
      <c r="K2347" s="17">
        <v>99</v>
      </c>
      <c r="L2347" s="17" t="s">
        <v>15</v>
      </c>
      <c r="M2347" s="17">
        <v>100</v>
      </c>
      <c r="N2347" s="17" t="s">
        <v>2</v>
      </c>
      <c r="O2347" s="20">
        <f t="shared" si="574"/>
        <v>0.01</v>
      </c>
      <c r="P2347" s="21">
        <f>O2347*$P$2346</f>
        <v>50</v>
      </c>
    </row>
    <row r="2348" spans="1:16" x14ac:dyDescent="0.25">
      <c r="A2348" s="91"/>
      <c r="B2348" s="13" t="s">
        <v>1608</v>
      </c>
      <c r="C2348" s="13" t="s">
        <v>1609</v>
      </c>
      <c r="D2348" s="13">
        <v>99</v>
      </c>
      <c r="E2348" s="13" t="s">
        <v>15</v>
      </c>
      <c r="F2348" s="13">
        <v>1</v>
      </c>
      <c r="G2348" s="13" t="s">
        <v>16</v>
      </c>
      <c r="H2348" s="13" t="s">
        <v>17</v>
      </c>
      <c r="I2348" s="14">
        <v>4005737</v>
      </c>
      <c r="J2348" s="13" t="s">
        <v>1610</v>
      </c>
      <c r="K2348" s="13">
        <v>99</v>
      </c>
      <c r="L2348" s="13" t="s">
        <v>15</v>
      </c>
      <c r="M2348" s="13">
        <v>200</v>
      </c>
      <c r="N2348" s="13" t="s">
        <v>1</v>
      </c>
      <c r="O2348" s="16">
        <f t="shared" si="574"/>
        <v>0.02</v>
      </c>
      <c r="P2348" s="22">
        <f t="shared" ref="P2348:P2350" si="576">O2348*$P$2346</f>
        <v>100</v>
      </c>
    </row>
    <row r="2349" spans="1:16" x14ac:dyDescent="0.25">
      <c r="A2349" s="91"/>
      <c r="B2349" s="13" t="s">
        <v>1608</v>
      </c>
      <c r="C2349" s="13" t="s">
        <v>1609</v>
      </c>
      <c r="D2349" s="13">
        <v>99</v>
      </c>
      <c r="E2349" s="13" t="s">
        <v>15</v>
      </c>
      <c r="F2349" s="13">
        <v>1</v>
      </c>
      <c r="G2349" s="13" t="s">
        <v>16</v>
      </c>
      <c r="H2349" s="13" t="s">
        <v>17</v>
      </c>
      <c r="I2349" s="14">
        <v>4005778</v>
      </c>
      <c r="J2349" s="13" t="s">
        <v>1611</v>
      </c>
      <c r="K2349" s="13">
        <v>99</v>
      </c>
      <c r="L2349" s="13" t="s">
        <v>15</v>
      </c>
      <c r="M2349" s="13">
        <v>29.9</v>
      </c>
      <c r="N2349" s="13" t="s">
        <v>3</v>
      </c>
      <c r="O2349" s="16">
        <f t="shared" si="574"/>
        <v>2.99E-3</v>
      </c>
      <c r="P2349" s="22">
        <f t="shared" si="576"/>
        <v>14.950000000000001</v>
      </c>
    </row>
    <row r="2350" spans="1:16" ht="15.75" thickBot="1" x14ac:dyDescent="0.3">
      <c r="A2350" s="90"/>
      <c r="B2350" s="23" t="s">
        <v>1608</v>
      </c>
      <c r="C2350" s="23" t="s">
        <v>1609</v>
      </c>
      <c r="D2350" s="23">
        <v>99</v>
      </c>
      <c r="E2350" s="23" t="s">
        <v>15</v>
      </c>
      <c r="F2350" s="23">
        <v>1</v>
      </c>
      <c r="G2350" s="23" t="s">
        <v>21</v>
      </c>
      <c r="H2350" s="23" t="s">
        <v>17</v>
      </c>
      <c r="I2350" s="24" t="s">
        <v>1612</v>
      </c>
      <c r="J2350" s="23" t="s">
        <v>1613</v>
      </c>
      <c r="K2350" s="23">
        <v>3</v>
      </c>
      <c r="L2350" s="23" t="s">
        <v>24</v>
      </c>
      <c r="M2350" s="25">
        <v>10000</v>
      </c>
      <c r="N2350" s="23" t="s">
        <v>1</v>
      </c>
      <c r="O2350" s="26">
        <f t="shared" si="574"/>
        <v>1</v>
      </c>
      <c r="P2350" s="27">
        <f t="shared" si="576"/>
        <v>5000</v>
      </c>
    </row>
    <row r="2351" spans="1:16" x14ac:dyDescent="0.25">
      <c r="B2351" s="1"/>
      <c r="C2351" s="1"/>
      <c r="D2351" s="1"/>
      <c r="E2351" s="1"/>
      <c r="F2351" s="1"/>
      <c r="G2351" s="1"/>
      <c r="H2351" s="1"/>
      <c r="I2351" s="2"/>
      <c r="J2351" s="1"/>
      <c r="K2351" s="1"/>
      <c r="L2351" s="1"/>
      <c r="M2351" s="3"/>
      <c r="N2351" s="1"/>
    </row>
    <row r="2352" spans="1:16" ht="15.75" thickBot="1" x14ac:dyDescent="0.3">
      <c r="B2352" s="1"/>
      <c r="C2352" s="1"/>
      <c r="D2352" s="1"/>
      <c r="E2352" s="1"/>
      <c r="F2352" s="1"/>
      <c r="G2352" s="1"/>
      <c r="H2352" s="1"/>
      <c r="I2352" s="2"/>
      <c r="J2352" s="1"/>
      <c r="K2352" s="1"/>
      <c r="L2352" s="1"/>
      <c r="M2352" s="3"/>
      <c r="N2352" s="1"/>
      <c r="P2352" s="11">
        <f>IFERROR(VLOOKUP($A2353,'PROGRAMA MES '!$A:$B,2,0),0)</f>
        <v>0</v>
      </c>
    </row>
    <row r="2353" spans="1:16" x14ac:dyDescent="0.25">
      <c r="A2353" s="89" t="str">
        <f>B2353</f>
        <v>SP950604</v>
      </c>
      <c r="B2353" s="17" t="s">
        <v>1614</v>
      </c>
      <c r="C2353" s="17" t="s">
        <v>1615</v>
      </c>
      <c r="D2353" s="17">
        <v>54</v>
      </c>
      <c r="E2353" s="17" t="s">
        <v>769</v>
      </c>
      <c r="F2353" s="17">
        <v>1</v>
      </c>
      <c r="G2353" s="17" t="s">
        <v>16</v>
      </c>
      <c r="H2353" s="17" t="s">
        <v>17</v>
      </c>
      <c r="I2353" s="18">
        <v>4012306</v>
      </c>
      <c r="J2353" s="17" t="s">
        <v>1048</v>
      </c>
      <c r="K2353" s="17">
        <v>99</v>
      </c>
      <c r="L2353" s="17" t="s">
        <v>15</v>
      </c>
      <c r="M2353" s="17">
        <v>100</v>
      </c>
      <c r="N2353" s="17" t="s">
        <v>1</v>
      </c>
      <c r="O2353" s="20">
        <f t="shared" si="574"/>
        <v>0.01</v>
      </c>
      <c r="P2353" s="21">
        <f>O2353*$P$2352</f>
        <v>0</v>
      </c>
    </row>
    <row r="2354" spans="1:16" ht="15.75" thickBot="1" x14ac:dyDescent="0.3">
      <c r="A2354" s="90"/>
      <c r="B2354" s="23" t="s">
        <v>1614</v>
      </c>
      <c r="C2354" s="23" t="s">
        <v>1615</v>
      </c>
      <c r="D2354" s="23">
        <v>54</v>
      </c>
      <c r="E2354" s="23" t="s">
        <v>769</v>
      </c>
      <c r="F2354" s="23">
        <v>1</v>
      </c>
      <c r="G2354" s="23" t="s">
        <v>21</v>
      </c>
      <c r="H2354" s="23" t="s">
        <v>17</v>
      </c>
      <c r="I2354" s="24" t="s">
        <v>1616</v>
      </c>
      <c r="J2354" s="23" t="s">
        <v>1586</v>
      </c>
      <c r="K2354" s="23">
        <v>56</v>
      </c>
      <c r="L2354" s="23" t="s">
        <v>772</v>
      </c>
      <c r="M2354" s="25">
        <v>10000</v>
      </c>
      <c r="N2354" s="23" t="s">
        <v>1</v>
      </c>
      <c r="O2354" s="26">
        <f t="shared" si="574"/>
        <v>1</v>
      </c>
      <c r="P2354" s="27">
        <f>O2354*$P$2352</f>
        <v>0</v>
      </c>
    </row>
    <row r="2355" spans="1:16" x14ac:dyDescent="0.25">
      <c r="B2355" s="1"/>
      <c r="C2355" s="1"/>
      <c r="D2355" s="1"/>
      <c r="E2355" s="1"/>
      <c r="F2355" s="1"/>
      <c r="G2355" s="1"/>
      <c r="H2355" s="1"/>
      <c r="I2355" s="2"/>
      <c r="J2355" s="1"/>
      <c r="K2355" s="1"/>
      <c r="L2355" s="1"/>
      <c r="M2355" s="3"/>
      <c r="N2355" s="1"/>
    </row>
    <row r="2356" spans="1:16" ht="15.75" thickBot="1" x14ac:dyDescent="0.3">
      <c r="B2356" s="1"/>
      <c r="C2356" s="1"/>
      <c r="D2356" s="1"/>
      <c r="E2356" s="1"/>
      <c r="F2356" s="1"/>
      <c r="G2356" s="1"/>
      <c r="H2356" s="1"/>
      <c r="I2356" s="2"/>
      <c r="J2356" s="1"/>
      <c r="K2356" s="1"/>
      <c r="L2356" s="1"/>
      <c r="M2356" s="3"/>
      <c r="N2356" s="1"/>
      <c r="P2356" s="11">
        <f>IFERROR(VLOOKUP($A2357,'PROGRAMA MES '!$A:$B,2,0),0)</f>
        <v>0</v>
      </c>
    </row>
    <row r="2357" spans="1:16" x14ac:dyDescent="0.25">
      <c r="A2357" s="89" t="str">
        <f>B2357</f>
        <v>SP950653</v>
      </c>
      <c r="B2357" s="17" t="s">
        <v>1617</v>
      </c>
      <c r="C2357" s="17" t="s">
        <v>1618</v>
      </c>
      <c r="D2357" s="17">
        <v>99</v>
      </c>
      <c r="E2357" s="17" t="s">
        <v>15</v>
      </c>
      <c r="F2357" s="17">
        <v>1</v>
      </c>
      <c r="G2357" s="17" t="s">
        <v>16</v>
      </c>
      <c r="H2357" s="17" t="s">
        <v>17</v>
      </c>
      <c r="I2357" s="18">
        <v>4002546</v>
      </c>
      <c r="J2357" s="17" t="s">
        <v>179</v>
      </c>
      <c r="K2357" s="17">
        <v>99</v>
      </c>
      <c r="L2357" s="17" t="s">
        <v>15</v>
      </c>
      <c r="M2357" s="19">
        <v>10000</v>
      </c>
      <c r="N2357" s="17" t="s">
        <v>1</v>
      </c>
      <c r="O2357" s="20">
        <f t="shared" si="574"/>
        <v>1</v>
      </c>
      <c r="P2357" s="21">
        <f>O2357*$P$2356</f>
        <v>0</v>
      </c>
    </row>
    <row r="2358" spans="1:16" x14ac:dyDescent="0.25">
      <c r="A2358" s="91"/>
      <c r="B2358" s="13" t="s">
        <v>1617</v>
      </c>
      <c r="C2358" s="13" t="s">
        <v>1618</v>
      </c>
      <c r="D2358" s="13">
        <v>99</v>
      </c>
      <c r="E2358" s="13" t="s">
        <v>15</v>
      </c>
      <c r="F2358" s="13">
        <v>1</v>
      </c>
      <c r="G2358" s="13" t="s">
        <v>16</v>
      </c>
      <c r="H2358" s="13" t="s">
        <v>17</v>
      </c>
      <c r="I2358" s="14">
        <v>4002826</v>
      </c>
      <c r="J2358" s="13" t="s">
        <v>4</v>
      </c>
      <c r="K2358" s="13">
        <v>99</v>
      </c>
      <c r="L2358" s="13" t="s">
        <v>15</v>
      </c>
      <c r="M2358" s="13">
        <v>1</v>
      </c>
      <c r="N2358" s="13" t="s">
        <v>1</v>
      </c>
      <c r="O2358" s="16">
        <f t="shared" si="574"/>
        <v>1E-4</v>
      </c>
      <c r="P2358" s="22">
        <f t="shared" ref="P2358:P2360" si="577">O2358*$P$2356</f>
        <v>0</v>
      </c>
    </row>
    <row r="2359" spans="1:16" x14ac:dyDescent="0.25">
      <c r="A2359" s="91"/>
      <c r="B2359" s="13" t="s">
        <v>1617</v>
      </c>
      <c r="C2359" s="13" t="s">
        <v>1618</v>
      </c>
      <c r="D2359" s="13">
        <v>99</v>
      </c>
      <c r="E2359" s="13" t="s">
        <v>15</v>
      </c>
      <c r="F2359" s="13">
        <v>1</v>
      </c>
      <c r="G2359" s="13" t="s">
        <v>16</v>
      </c>
      <c r="H2359" s="13" t="s">
        <v>17</v>
      </c>
      <c r="I2359" s="14">
        <v>4013770</v>
      </c>
      <c r="J2359" s="13" t="s">
        <v>742</v>
      </c>
      <c r="K2359" s="13">
        <v>99</v>
      </c>
      <c r="L2359" s="13" t="s">
        <v>15</v>
      </c>
      <c r="M2359" s="15">
        <v>10000</v>
      </c>
      <c r="N2359" s="13" t="s">
        <v>1</v>
      </c>
      <c r="O2359" s="16">
        <f t="shared" si="574"/>
        <v>1</v>
      </c>
      <c r="P2359" s="22">
        <f t="shared" si="577"/>
        <v>0</v>
      </c>
    </row>
    <row r="2360" spans="1:16" ht="15.75" thickBot="1" x14ac:dyDescent="0.3">
      <c r="A2360" s="90"/>
      <c r="B2360" s="23" t="s">
        <v>1617</v>
      </c>
      <c r="C2360" s="23" t="s">
        <v>1618</v>
      </c>
      <c r="D2360" s="23">
        <v>99</v>
      </c>
      <c r="E2360" s="23" t="s">
        <v>15</v>
      </c>
      <c r="F2360" s="23">
        <v>1</v>
      </c>
      <c r="G2360" s="23" t="s">
        <v>21</v>
      </c>
      <c r="H2360" s="23" t="s">
        <v>17</v>
      </c>
      <c r="I2360" s="24" t="s">
        <v>1619</v>
      </c>
      <c r="J2360" s="23" t="s">
        <v>1620</v>
      </c>
      <c r="K2360" s="23">
        <v>3</v>
      </c>
      <c r="L2360" s="23" t="s">
        <v>24</v>
      </c>
      <c r="M2360" s="25">
        <v>10000</v>
      </c>
      <c r="N2360" s="23" t="s">
        <v>1</v>
      </c>
      <c r="O2360" s="26">
        <f t="shared" si="574"/>
        <v>1</v>
      </c>
      <c r="P2360" s="27">
        <f t="shared" si="577"/>
        <v>0</v>
      </c>
    </row>
    <row r="2361" spans="1:16" x14ac:dyDescent="0.25">
      <c r="B2361" s="1"/>
      <c r="C2361" s="1"/>
      <c r="D2361" s="1"/>
      <c r="E2361" s="1"/>
      <c r="F2361" s="1"/>
      <c r="G2361" s="1"/>
      <c r="H2361" s="1"/>
      <c r="I2361" s="2"/>
      <c r="J2361" s="1"/>
      <c r="K2361" s="1"/>
      <c r="L2361" s="1"/>
      <c r="M2361" s="3"/>
      <c r="N2361" s="1"/>
    </row>
    <row r="2362" spans="1:16" ht="15.75" thickBot="1" x14ac:dyDescent="0.3">
      <c r="B2362" s="1"/>
      <c r="C2362" s="1"/>
      <c r="D2362" s="1"/>
      <c r="E2362" s="1"/>
      <c r="F2362" s="1"/>
      <c r="G2362" s="1"/>
      <c r="H2362" s="1"/>
      <c r="I2362" s="2"/>
      <c r="J2362" s="1"/>
      <c r="K2362" s="1"/>
      <c r="L2362" s="1"/>
      <c r="M2362" s="3"/>
      <c r="N2362" s="1"/>
      <c r="P2362" s="11">
        <f>IFERROR(VLOOKUP($A2363,'PROGRAMA MES '!$A:$B,2,0),0)</f>
        <v>6000</v>
      </c>
    </row>
    <row r="2363" spans="1:16" x14ac:dyDescent="0.25">
      <c r="A2363" s="89" t="str">
        <f>B2363</f>
        <v>SP9506BA</v>
      </c>
      <c r="B2363" s="17" t="s">
        <v>1621</v>
      </c>
      <c r="C2363" s="17" t="s">
        <v>298</v>
      </c>
      <c r="D2363" s="17">
        <v>99</v>
      </c>
      <c r="E2363" s="17" t="s">
        <v>15</v>
      </c>
      <c r="F2363" s="17">
        <v>1</v>
      </c>
      <c r="G2363" s="17" t="s">
        <v>16</v>
      </c>
      <c r="H2363" s="17" t="s">
        <v>17</v>
      </c>
      <c r="I2363" s="18">
        <v>4002827</v>
      </c>
      <c r="J2363" s="17" t="s">
        <v>0</v>
      </c>
      <c r="K2363" s="17">
        <v>99</v>
      </c>
      <c r="L2363" s="17" t="s">
        <v>15</v>
      </c>
      <c r="M2363" s="17">
        <v>167.3</v>
      </c>
      <c r="N2363" s="17" t="s">
        <v>2</v>
      </c>
      <c r="O2363" s="20">
        <f t="shared" si="574"/>
        <v>1.6730000000000002E-2</v>
      </c>
      <c r="P2363" s="21">
        <f>O2363*$P$2362</f>
        <v>100.38000000000001</v>
      </c>
    </row>
    <row r="2364" spans="1:16" x14ac:dyDescent="0.25">
      <c r="A2364" s="91"/>
      <c r="B2364" s="13" t="s">
        <v>1621</v>
      </c>
      <c r="C2364" s="13" t="s">
        <v>298</v>
      </c>
      <c r="D2364" s="13">
        <v>99</v>
      </c>
      <c r="E2364" s="13" t="s">
        <v>15</v>
      </c>
      <c r="F2364" s="13">
        <v>1</v>
      </c>
      <c r="G2364" s="13" t="s">
        <v>16</v>
      </c>
      <c r="H2364" s="13" t="s">
        <v>17</v>
      </c>
      <c r="I2364" s="14">
        <v>4010020</v>
      </c>
      <c r="J2364" s="13" t="s">
        <v>1622</v>
      </c>
      <c r="K2364" s="13">
        <v>99</v>
      </c>
      <c r="L2364" s="13" t="s">
        <v>15</v>
      </c>
      <c r="M2364" s="13">
        <v>100</v>
      </c>
      <c r="N2364" s="13" t="s">
        <v>1</v>
      </c>
      <c r="O2364" s="16">
        <f t="shared" si="574"/>
        <v>0.01</v>
      </c>
      <c r="P2364" s="22">
        <f t="shared" ref="P2364:P2365" si="578">O2364*$P$2362</f>
        <v>60</v>
      </c>
    </row>
    <row r="2365" spans="1:16" ht="15.75" thickBot="1" x14ac:dyDescent="0.3">
      <c r="A2365" s="90"/>
      <c r="B2365" s="23" t="s">
        <v>1621</v>
      </c>
      <c r="C2365" s="23" t="s">
        <v>298</v>
      </c>
      <c r="D2365" s="23">
        <v>99</v>
      </c>
      <c r="E2365" s="23" t="s">
        <v>15</v>
      </c>
      <c r="F2365" s="23">
        <v>1</v>
      </c>
      <c r="G2365" s="23" t="s">
        <v>21</v>
      </c>
      <c r="H2365" s="23" t="s">
        <v>17</v>
      </c>
      <c r="I2365" s="24" t="s">
        <v>1623</v>
      </c>
      <c r="J2365" s="23" t="s">
        <v>298</v>
      </c>
      <c r="K2365" s="23">
        <v>3</v>
      </c>
      <c r="L2365" s="23" t="s">
        <v>24</v>
      </c>
      <c r="M2365" s="25">
        <v>10000</v>
      </c>
      <c r="N2365" s="23" t="s">
        <v>1</v>
      </c>
      <c r="O2365" s="26">
        <f t="shared" si="574"/>
        <v>1</v>
      </c>
      <c r="P2365" s="27">
        <f t="shared" si="578"/>
        <v>6000</v>
      </c>
    </row>
    <row r="2366" spans="1:16" x14ac:dyDescent="0.25">
      <c r="B2366" s="1"/>
      <c r="C2366" s="1"/>
      <c r="D2366" s="1"/>
      <c r="E2366" s="1"/>
      <c r="F2366" s="1"/>
      <c r="G2366" s="1"/>
      <c r="H2366" s="1"/>
      <c r="I2366" s="2"/>
      <c r="J2366" s="1"/>
      <c r="K2366" s="1"/>
      <c r="L2366" s="1"/>
      <c r="M2366" s="3"/>
      <c r="N2366" s="1"/>
    </row>
    <row r="2367" spans="1:16" ht="15.75" thickBot="1" x14ac:dyDescent="0.3">
      <c r="B2367" s="1"/>
      <c r="C2367" s="1"/>
      <c r="D2367" s="1"/>
      <c r="E2367" s="1"/>
      <c r="F2367" s="1"/>
      <c r="G2367" s="1"/>
      <c r="H2367" s="1"/>
      <c r="I2367" s="2"/>
      <c r="J2367" s="1"/>
      <c r="K2367" s="1"/>
      <c r="L2367" s="1"/>
      <c r="M2367" s="3"/>
      <c r="N2367" s="1"/>
      <c r="P2367" s="11">
        <f>IFERROR(VLOOKUP($A2368,'PROGRAMA MES '!$A:$B,2,0),0)</f>
        <v>3000</v>
      </c>
    </row>
    <row r="2368" spans="1:16" x14ac:dyDescent="0.25">
      <c r="A2368" s="89" t="str">
        <f>B2368</f>
        <v>SP9506BA/2</v>
      </c>
      <c r="B2368" s="17" t="s">
        <v>1624</v>
      </c>
      <c r="C2368" s="17" t="s">
        <v>1625</v>
      </c>
      <c r="D2368" s="17">
        <v>99</v>
      </c>
      <c r="E2368" s="17" t="s">
        <v>15</v>
      </c>
      <c r="F2368" s="17">
        <v>1</v>
      </c>
      <c r="G2368" s="17" t="s">
        <v>16</v>
      </c>
      <c r="H2368" s="17" t="s">
        <v>17</v>
      </c>
      <c r="I2368" s="18">
        <v>4002827</v>
      </c>
      <c r="J2368" s="17" t="s">
        <v>0</v>
      </c>
      <c r="K2368" s="17">
        <v>99</v>
      </c>
      <c r="L2368" s="17" t="s">
        <v>15</v>
      </c>
      <c r="M2368" s="17">
        <v>167.3</v>
      </c>
      <c r="N2368" s="17" t="s">
        <v>2</v>
      </c>
      <c r="O2368" s="20">
        <f t="shared" si="574"/>
        <v>1.6730000000000002E-2</v>
      </c>
      <c r="P2368" s="21">
        <f>O2368*$P$2367</f>
        <v>50.190000000000005</v>
      </c>
    </row>
    <row r="2369" spans="1:16" x14ac:dyDescent="0.25">
      <c r="A2369" s="91"/>
      <c r="B2369" s="13" t="s">
        <v>1624</v>
      </c>
      <c r="C2369" s="13" t="s">
        <v>1625</v>
      </c>
      <c r="D2369" s="13">
        <v>99</v>
      </c>
      <c r="E2369" s="13" t="s">
        <v>15</v>
      </c>
      <c r="F2369" s="13">
        <v>1</v>
      </c>
      <c r="G2369" s="13" t="s">
        <v>16</v>
      </c>
      <c r="H2369" s="13" t="s">
        <v>17</v>
      </c>
      <c r="I2369" s="14">
        <v>4010020</v>
      </c>
      <c r="J2369" s="13" t="s">
        <v>1622</v>
      </c>
      <c r="K2369" s="13">
        <v>99</v>
      </c>
      <c r="L2369" s="13" t="s">
        <v>15</v>
      </c>
      <c r="M2369" s="13">
        <v>100</v>
      </c>
      <c r="N2369" s="13" t="s">
        <v>1</v>
      </c>
      <c r="O2369" s="16">
        <f t="shared" si="574"/>
        <v>0.01</v>
      </c>
      <c r="P2369" s="22">
        <f t="shared" ref="P2369:P2370" si="579">O2369*$P$2367</f>
        <v>30</v>
      </c>
    </row>
    <row r="2370" spans="1:16" ht="15.75" thickBot="1" x14ac:dyDescent="0.3">
      <c r="A2370" s="90"/>
      <c r="B2370" s="23" t="s">
        <v>1624</v>
      </c>
      <c r="C2370" s="23" t="s">
        <v>1625</v>
      </c>
      <c r="D2370" s="23">
        <v>99</v>
      </c>
      <c r="E2370" s="23" t="s">
        <v>15</v>
      </c>
      <c r="F2370" s="23">
        <v>1</v>
      </c>
      <c r="G2370" s="23" t="s">
        <v>21</v>
      </c>
      <c r="H2370" s="23" t="s">
        <v>17</v>
      </c>
      <c r="I2370" s="24" t="s">
        <v>1626</v>
      </c>
      <c r="J2370" s="23" t="s">
        <v>1627</v>
      </c>
      <c r="K2370" s="23">
        <v>3</v>
      </c>
      <c r="L2370" s="23" t="s">
        <v>24</v>
      </c>
      <c r="M2370" s="25">
        <v>10000</v>
      </c>
      <c r="N2370" s="23" t="s">
        <v>1</v>
      </c>
      <c r="O2370" s="26">
        <f t="shared" si="574"/>
        <v>1</v>
      </c>
      <c r="P2370" s="27">
        <f t="shared" si="579"/>
        <v>3000</v>
      </c>
    </row>
    <row r="2371" spans="1:16" x14ac:dyDescent="0.25">
      <c r="B2371" s="1"/>
      <c r="C2371" s="1"/>
      <c r="D2371" s="1"/>
      <c r="E2371" s="1"/>
      <c r="F2371" s="1"/>
      <c r="G2371" s="1"/>
      <c r="H2371" s="1"/>
      <c r="I2371" s="2"/>
      <c r="J2371" s="1"/>
      <c r="K2371" s="1"/>
      <c r="L2371" s="1"/>
      <c r="M2371" s="3"/>
      <c r="N2371" s="1"/>
    </row>
    <row r="2372" spans="1:16" ht="15.75" thickBot="1" x14ac:dyDescent="0.3">
      <c r="B2372" s="1"/>
      <c r="C2372" s="1"/>
      <c r="D2372" s="1"/>
      <c r="E2372" s="1"/>
      <c r="F2372" s="1"/>
      <c r="G2372" s="1"/>
      <c r="H2372" s="1"/>
      <c r="I2372" s="2"/>
      <c r="J2372" s="1"/>
      <c r="K2372" s="1"/>
      <c r="L2372" s="1"/>
      <c r="M2372" s="3"/>
      <c r="N2372" s="1"/>
      <c r="P2372" s="11">
        <f>IFERROR(VLOOKUP($A2373,'PROGRAMA MES '!$A:$B,2,0),0)</f>
        <v>6400</v>
      </c>
    </row>
    <row r="2373" spans="1:16" x14ac:dyDescent="0.25">
      <c r="A2373" s="89" t="str">
        <f>B2373</f>
        <v>SP9509/3</v>
      </c>
      <c r="B2373" s="17" t="s">
        <v>1628</v>
      </c>
      <c r="C2373" s="17" t="s">
        <v>1629</v>
      </c>
      <c r="D2373" s="17">
        <v>99</v>
      </c>
      <c r="E2373" s="17" t="s">
        <v>15</v>
      </c>
      <c r="F2373" s="17">
        <v>1</v>
      </c>
      <c r="G2373" s="17" t="s">
        <v>16</v>
      </c>
      <c r="H2373" s="17" t="s">
        <v>17</v>
      </c>
      <c r="I2373" s="18">
        <v>4002827</v>
      </c>
      <c r="J2373" s="17" t="s">
        <v>0</v>
      </c>
      <c r="K2373" s="17">
        <v>99</v>
      </c>
      <c r="L2373" s="17" t="s">
        <v>15</v>
      </c>
      <c r="M2373" s="17">
        <v>100</v>
      </c>
      <c r="N2373" s="17" t="s">
        <v>2</v>
      </c>
      <c r="O2373" s="20">
        <f t="shared" si="574"/>
        <v>0.01</v>
      </c>
      <c r="P2373" s="21">
        <f>O2373*$P$2372</f>
        <v>64</v>
      </c>
    </row>
    <row r="2374" spans="1:16" x14ac:dyDescent="0.25">
      <c r="A2374" s="91"/>
      <c r="B2374" s="13" t="s">
        <v>1628</v>
      </c>
      <c r="C2374" s="13" t="s">
        <v>1629</v>
      </c>
      <c r="D2374" s="13">
        <v>99</v>
      </c>
      <c r="E2374" s="13" t="s">
        <v>15</v>
      </c>
      <c r="F2374" s="13">
        <v>1</v>
      </c>
      <c r="G2374" s="13" t="s">
        <v>16</v>
      </c>
      <c r="H2374" s="13" t="s">
        <v>17</v>
      </c>
      <c r="I2374" s="14">
        <v>4005739</v>
      </c>
      <c r="J2374" s="13" t="s">
        <v>1630</v>
      </c>
      <c r="K2374" s="13">
        <v>99</v>
      </c>
      <c r="L2374" s="13" t="s">
        <v>15</v>
      </c>
      <c r="M2374" s="13">
        <v>250</v>
      </c>
      <c r="N2374" s="13" t="s">
        <v>1</v>
      </c>
      <c r="O2374" s="16">
        <f t="shared" si="574"/>
        <v>2.5000000000000001E-2</v>
      </c>
      <c r="P2374" s="22">
        <f t="shared" ref="P2374:P2376" si="580">O2374*$P$2372</f>
        <v>160</v>
      </c>
    </row>
    <row r="2375" spans="1:16" x14ac:dyDescent="0.25">
      <c r="A2375" s="91"/>
      <c r="B2375" s="13" t="s">
        <v>1628</v>
      </c>
      <c r="C2375" s="13" t="s">
        <v>1629</v>
      </c>
      <c r="D2375" s="13">
        <v>99</v>
      </c>
      <c r="E2375" s="13" t="s">
        <v>15</v>
      </c>
      <c r="F2375" s="13">
        <v>1</v>
      </c>
      <c r="G2375" s="13" t="s">
        <v>16</v>
      </c>
      <c r="H2375" s="13" t="s">
        <v>17</v>
      </c>
      <c r="I2375" s="14">
        <v>4005780</v>
      </c>
      <c r="J2375" s="13" t="s">
        <v>1631</v>
      </c>
      <c r="K2375" s="13">
        <v>99</v>
      </c>
      <c r="L2375" s="13" t="s">
        <v>15</v>
      </c>
      <c r="M2375" s="13">
        <v>27</v>
      </c>
      <c r="N2375" s="13" t="s">
        <v>3</v>
      </c>
      <c r="O2375" s="16">
        <f t="shared" si="574"/>
        <v>2.7000000000000001E-3</v>
      </c>
      <c r="P2375" s="22">
        <f t="shared" si="580"/>
        <v>17.28</v>
      </c>
    </row>
    <row r="2376" spans="1:16" ht="15.75" thickBot="1" x14ac:dyDescent="0.3">
      <c r="A2376" s="90"/>
      <c r="B2376" s="23" t="s">
        <v>1628</v>
      </c>
      <c r="C2376" s="23" t="s">
        <v>1629</v>
      </c>
      <c r="D2376" s="23">
        <v>99</v>
      </c>
      <c r="E2376" s="23" t="s">
        <v>15</v>
      </c>
      <c r="F2376" s="23">
        <v>1</v>
      </c>
      <c r="G2376" s="23" t="s">
        <v>21</v>
      </c>
      <c r="H2376" s="23" t="s">
        <v>17</v>
      </c>
      <c r="I2376" s="24" t="s">
        <v>1632</v>
      </c>
      <c r="J2376" s="23" t="s">
        <v>1633</v>
      </c>
      <c r="K2376" s="23">
        <v>3</v>
      </c>
      <c r="L2376" s="23" t="s">
        <v>24</v>
      </c>
      <c r="M2376" s="25">
        <v>10000</v>
      </c>
      <c r="N2376" s="23" t="s">
        <v>1</v>
      </c>
      <c r="O2376" s="26">
        <f t="shared" si="574"/>
        <v>1</v>
      </c>
      <c r="P2376" s="27">
        <f t="shared" si="580"/>
        <v>6400</v>
      </c>
    </row>
    <row r="2377" spans="1:16" x14ac:dyDescent="0.25">
      <c r="B2377" s="1"/>
      <c r="C2377" s="1"/>
      <c r="D2377" s="1"/>
      <c r="E2377" s="1"/>
      <c r="F2377" s="1"/>
      <c r="G2377" s="1"/>
      <c r="H2377" s="1"/>
      <c r="I2377" s="2"/>
      <c r="J2377" s="1"/>
      <c r="K2377" s="1"/>
      <c r="L2377" s="1"/>
      <c r="M2377" s="3"/>
      <c r="N2377" s="1"/>
    </row>
    <row r="2378" spans="1:16" ht="15.75" thickBot="1" x14ac:dyDescent="0.3">
      <c r="B2378" s="1"/>
      <c r="C2378" s="1"/>
      <c r="D2378" s="1"/>
      <c r="E2378" s="1"/>
      <c r="F2378" s="1"/>
      <c r="G2378" s="1"/>
      <c r="H2378" s="1"/>
      <c r="I2378" s="2"/>
      <c r="J2378" s="1"/>
      <c r="K2378" s="1"/>
      <c r="L2378" s="1"/>
      <c r="M2378" s="3"/>
      <c r="N2378" s="1"/>
      <c r="P2378" s="11">
        <f>IFERROR(VLOOKUP($A2379,'PROGRAMA MES '!$A:$B,2,0),0)</f>
        <v>0</v>
      </c>
    </row>
    <row r="2379" spans="1:16" x14ac:dyDescent="0.25">
      <c r="A2379" s="89" t="str">
        <f>B2379</f>
        <v>SP950904</v>
      </c>
      <c r="B2379" s="17" t="s">
        <v>1634</v>
      </c>
      <c r="C2379" s="17" t="s">
        <v>1635</v>
      </c>
      <c r="D2379" s="17">
        <v>54</v>
      </c>
      <c r="E2379" s="17" t="s">
        <v>769</v>
      </c>
      <c r="F2379" s="17">
        <v>2</v>
      </c>
      <c r="G2379" s="17" t="s">
        <v>16</v>
      </c>
      <c r="H2379" s="17" t="s">
        <v>17</v>
      </c>
      <c r="I2379" s="18">
        <v>4012306</v>
      </c>
      <c r="J2379" s="17" t="s">
        <v>1048</v>
      </c>
      <c r="K2379" s="17">
        <v>99</v>
      </c>
      <c r="L2379" s="17" t="s">
        <v>15</v>
      </c>
      <c r="M2379" s="17">
        <v>100</v>
      </c>
      <c r="N2379" s="17" t="s">
        <v>1</v>
      </c>
      <c r="O2379" s="20">
        <f t="shared" si="574"/>
        <v>0.01</v>
      </c>
      <c r="P2379" s="21">
        <f>O2379*$P$2378</f>
        <v>0</v>
      </c>
    </row>
    <row r="2380" spans="1:16" ht="15.75" thickBot="1" x14ac:dyDescent="0.3">
      <c r="A2380" s="90"/>
      <c r="B2380" s="23" t="s">
        <v>1634</v>
      </c>
      <c r="C2380" s="23" t="s">
        <v>1635</v>
      </c>
      <c r="D2380" s="23">
        <v>54</v>
      </c>
      <c r="E2380" s="23" t="s">
        <v>769</v>
      </c>
      <c r="F2380" s="23">
        <v>2</v>
      </c>
      <c r="G2380" s="23" t="s">
        <v>21</v>
      </c>
      <c r="H2380" s="23" t="s">
        <v>17</v>
      </c>
      <c r="I2380" s="24" t="s">
        <v>1636</v>
      </c>
      <c r="J2380" s="23" t="s">
        <v>1637</v>
      </c>
      <c r="K2380" s="23">
        <v>56</v>
      </c>
      <c r="L2380" s="23" t="s">
        <v>772</v>
      </c>
      <c r="M2380" s="25">
        <v>10000</v>
      </c>
      <c r="N2380" s="23" t="s">
        <v>1</v>
      </c>
      <c r="O2380" s="26">
        <f t="shared" si="574"/>
        <v>1</v>
      </c>
      <c r="P2380" s="27">
        <f>O2380*$P$2378</f>
        <v>0</v>
      </c>
    </row>
    <row r="2381" spans="1:16" x14ac:dyDescent="0.25">
      <c r="B2381" s="1"/>
      <c r="C2381" s="1"/>
      <c r="D2381" s="1"/>
      <c r="E2381" s="1"/>
      <c r="F2381" s="1"/>
      <c r="G2381" s="1"/>
      <c r="H2381" s="1"/>
      <c r="I2381" s="2"/>
      <c r="J2381" s="1"/>
      <c r="K2381" s="1"/>
      <c r="L2381" s="1"/>
      <c r="M2381" s="3"/>
      <c r="N2381" s="1"/>
    </row>
    <row r="2382" spans="1:16" ht="15.75" thickBot="1" x14ac:dyDescent="0.3">
      <c r="B2382" s="1"/>
      <c r="C2382" s="1"/>
      <c r="D2382" s="1"/>
      <c r="E2382" s="1"/>
      <c r="F2382" s="1"/>
      <c r="G2382" s="1"/>
      <c r="H2382" s="1"/>
      <c r="I2382" s="2"/>
      <c r="J2382" s="1"/>
      <c r="K2382" s="1"/>
      <c r="L2382" s="1"/>
      <c r="M2382" s="3"/>
      <c r="N2382" s="1"/>
      <c r="P2382" s="11">
        <f>IFERROR(VLOOKUP($A2383,'PROGRAMA MES '!$A:$B,2,0),0)</f>
        <v>0</v>
      </c>
    </row>
    <row r="2383" spans="1:16" ht="15.75" thickBot="1" x14ac:dyDescent="0.3">
      <c r="A2383" s="30" t="str">
        <f>B2383</f>
        <v>SP9510</v>
      </c>
      <c r="B2383" s="31" t="s">
        <v>1638</v>
      </c>
      <c r="C2383" s="31" t="s">
        <v>1639</v>
      </c>
      <c r="D2383" s="31">
        <v>51</v>
      </c>
      <c r="E2383" s="31" t="s">
        <v>101</v>
      </c>
      <c r="F2383" s="31">
        <v>1</v>
      </c>
      <c r="G2383" s="31" t="s">
        <v>21</v>
      </c>
      <c r="H2383" s="31" t="s">
        <v>17</v>
      </c>
      <c r="I2383" s="32" t="s">
        <v>1640</v>
      </c>
      <c r="J2383" s="31" t="s">
        <v>1641</v>
      </c>
      <c r="K2383" s="31">
        <v>3</v>
      </c>
      <c r="L2383" s="31" t="s">
        <v>24</v>
      </c>
      <c r="M2383" s="33">
        <v>10000</v>
      </c>
      <c r="N2383" s="31" t="s">
        <v>1</v>
      </c>
      <c r="O2383" s="34">
        <f t="shared" si="574"/>
        <v>1</v>
      </c>
      <c r="P2383" s="35">
        <f>O2383*$P$2382</f>
        <v>0</v>
      </c>
    </row>
    <row r="2384" spans="1:16" x14ac:dyDescent="0.25">
      <c r="B2384" s="1"/>
      <c r="C2384" s="1"/>
      <c r="D2384" s="1"/>
      <c r="E2384" s="1"/>
      <c r="F2384" s="1"/>
      <c r="G2384" s="1"/>
      <c r="H2384" s="1"/>
      <c r="I2384" s="2"/>
      <c r="J2384" s="1"/>
      <c r="K2384" s="1"/>
      <c r="L2384" s="1"/>
      <c r="M2384" s="3"/>
      <c r="N2384" s="1"/>
    </row>
    <row r="2385" spans="1:16" ht="15.75" thickBot="1" x14ac:dyDescent="0.3">
      <c r="B2385" s="1"/>
      <c r="C2385" s="1"/>
      <c r="D2385" s="1"/>
      <c r="E2385" s="1"/>
      <c r="F2385" s="1"/>
      <c r="G2385" s="1"/>
      <c r="H2385" s="1"/>
      <c r="I2385" s="2"/>
      <c r="J2385" s="1"/>
      <c r="K2385" s="1"/>
      <c r="L2385" s="1"/>
      <c r="M2385" s="3"/>
      <c r="N2385" s="1"/>
      <c r="P2385" s="11">
        <f>IFERROR(VLOOKUP($A2386,'PROGRAMA MES '!$A:$B,2,0),0)</f>
        <v>0</v>
      </c>
    </row>
    <row r="2386" spans="1:16" x14ac:dyDescent="0.25">
      <c r="A2386" s="89" t="str">
        <f>B2386</f>
        <v>SP9516AM</v>
      </c>
      <c r="B2386" s="17" t="s">
        <v>1642</v>
      </c>
      <c r="C2386" s="17" t="s">
        <v>1643</v>
      </c>
      <c r="D2386" s="17">
        <v>51</v>
      </c>
      <c r="E2386" s="17" t="s">
        <v>101</v>
      </c>
      <c r="F2386" s="17">
        <v>1</v>
      </c>
      <c r="G2386" s="17" t="s">
        <v>16</v>
      </c>
      <c r="H2386" s="17" t="s">
        <v>17</v>
      </c>
      <c r="I2386" s="18">
        <v>4001358</v>
      </c>
      <c r="J2386" s="17" t="s">
        <v>320</v>
      </c>
      <c r="K2386" s="17">
        <v>99</v>
      </c>
      <c r="L2386" s="17" t="s">
        <v>15</v>
      </c>
      <c r="M2386" s="19">
        <v>1000</v>
      </c>
      <c r="N2386" s="17" t="s">
        <v>1</v>
      </c>
      <c r="O2386" s="20">
        <f t="shared" si="574"/>
        <v>0.1</v>
      </c>
      <c r="P2386" s="21">
        <f>O2386*$P$2385</f>
        <v>0</v>
      </c>
    </row>
    <row r="2387" spans="1:16" x14ac:dyDescent="0.25">
      <c r="A2387" s="91"/>
      <c r="B2387" s="13" t="s">
        <v>1642</v>
      </c>
      <c r="C2387" s="13" t="s">
        <v>1643</v>
      </c>
      <c r="D2387" s="13">
        <v>51</v>
      </c>
      <c r="E2387" s="13" t="s">
        <v>101</v>
      </c>
      <c r="F2387" s="13">
        <v>1</v>
      </c>
      <c r="G2387" s="13" t="s">
        <v>16</v>
      </c>
      <c r="H2387" s="13" t="s">
        <v>17</v>
      </c>
      <c r="I2387" s="14">
        <v>4002826</v>
      </c>
      <c r="J2387" s="13" t="s">
        <v>4</v>
      </c>
      <c r="K2387" s="13">
        <v>99</v>
      </c>
      <c r="L2387" s="13" t="s">
        <v>15</v>
      </c>
      <c r="M2387" s="13">
        <v>9</v>
      </c>
      <c r="N2387" s="13" t="s">
        <v>1</v>
      </c>
      <c r="O2387" s="16">
        <f t="shared" si="574"/>
        <v>8.9999999999999998E-4</v>
      </c>
      <c r="P2387" s="22">
        <f t="shared" ref="P2387:P2389" si="581">O2387*$P$2385</f>
        <v>0</v>
      </c>
    </row>
    <row r="2388" spans="1:16" x14ac:dyDescent="0.25">
      <c r="A2388" s="91"/>
      <c r="B2388" s="13" t="s">
        <v>1642</v>
      </c>
      <c r="C2388" s="13" t="s">
        <v>1643</v>
      </c>
      <c r="D2388" s="13">
        <v>51</v>
      </c>
      <c r="E2388" s="13" t="s">
        <v>101</v>
      </c>
      <c r="F2388" s="13">
        <v>1</v>
      </c>
      <c r="G2388" s="13" t="s">
        <v>16</v>
      </c>
      <c r="H2388" s="13" t="s">
        <v>17</v>
      </c>
      <c r="I2388" s="14">
        <v>4014904</v>
      </c>
      <c r="J2388" s="13" t="s">
        <v>1644</v>
      </c>
      <c r="K2388" s="13">
        <v>99</v>
      </c>
      <c r="L2388" s="13" t="s">
        <v>15</v>
      </c>
      <c r="M2388" s="15">
        <v>10000</v>
      </c>
      <c r="N2388" s="13" t="s">
        <v>1</v>
      </c>
      <c r="O2388" s="16">
        <f t="shared" si="574"/>
        <v>1</v>
      </c>
      <c r="P2388" s="22">
        <f t="shared" si="581"/>
        <v>0</v>
      </c>
    </row>
    <row r="2389" spans="1:16" ht="15.75" thickBot="1" x14ac:dyDescent="0.3">
      <c r="A2389" s="90"/>
      <c r="B2389" s="23" t="s">
        <v>1642</v>
      </c>
      <c r="C2389" s="23" t="s">
        <v>1643</v>
      </c>
      <c r="D2389" s="23">
        <v>51</v>
      </c>
      <c r="E2389" s="23" t="s">
        <v>101</v>
      </c>
      <c r="F2389" s="23">
        <v>1</v>
      </c>
      <c r="G2389" s="23" t="s">
        <v>21</v>
      </c>
      <c r="H2389" s="23" t="s">
        <v>17</v>
      </c>
      <c r="I2389" s="24" t="s">
        <v>1645</v>
      </c>
      <c r="J2389" s="23" t="s">
        <v>1646</v>
      </c>
      <c r="K2389" s="23">
        <v>3</v>
      </c>
      <c r="L2389" s="23" t="s">
        <v>24</v>
      </c>
      <c r="M2389" s="25">
        <v>10000</v>
      </c>
      <c r="N2389" s="23" t="s">
        <v>1</v>
      </c>
      <c r="O2389" s="26">
        <f t="shared" si="574"/>
        <v>1</v>
      </c>
      <c r="P2389" s="27">
        <f t="shared" si="581"/>
        <v>0</v>
      </c>
    </row>
    <row r="2390" spans="1:16" x14ac:dyDescent="0.25">
      <c r="B2390" s="1"/>
      <c r="C2390" s="1"/>
      <c r="D2390" s="1"/>
      <c r="E2390" s="1"/>
      <c r="F2390" s="1"/>
      <c r="G2390" s="1"/>
      <c r="H2390" s="1"/>
      <c r="I2390" s="2"/>
      <c r="J2390" s="1"/>
      <c r="K2390" s="1"/>
      <c r="L2390" s="1"/>
      <c r="M2390" s="3"/>
      <c r="N2390" s="1"/>
    </row>
    <row r="2391" spans="1:16" ht="15.75" thickBot="1" x14ac:dyDescent="0.3">
      <c r="B2391" s="1"/>
      <c r="C2391" s="1"/>
      <c r="D2391" s="1"/>
      <c r="E2391" s="1"/>
      <c r="F2391" s="1"/>
      <c r="G2391" s="1"/>
      <c r="H2391" s="1"/>
      <c r="I2391" s="2"/>
      <c r="J2391" s="1"/>
      <c r="K2391" s="1"/>
      <c r="L2391" s="1"/>
      <c r="M2391" s="3"/>
      <c r="N2391" s="1"/>
      <c r="P2391" s="11">
        <f>IFERROR(VLOOKUP($A2392,'PROGRAMA MES '!$A:$B,2,0),0)</f>
        <v>0</v>
      </c>
    </row>
    <row r="2392" spans="1:16" x14ac:dyDescent="0.25">
      <c r="A2392" s="89" t="str">
        <f>B2392</f>
        <v>SP9516AZ</v>
      </c>
      <c r="B2392" s="17" t="s">
        <v>1647</v>
      </c>
      <c r="C2392" s="17" t="s">
        <v>1648</v>
      </c>
      <c r="D2392" s="17">
        <v>51</v>
      </c>
      <c r="E2392" s="17" t="s">
        <v>101</v>
      </c>
      <c r="F2392" s="17">
        <v>1</v>
      </c>
      <c r="G2392" s="17" t="s">
        <v>16</v>
      </c>
      <c r="H2392" s="17" t="s">
        <v>17</v>
      </c>
      <c r="I2392" s="18">
        <v>4001358</v>
      </c>
      <c r="J2392" s="17" t="s">
        <v>320</v>
      </c>
      <c r="K2392" s="17">
        <v>99</v>
      </c>
      <c r="L2392" s="17" t="s">
        <v>15</v>
      </c>
      <c r="M2392" s="19">
        <v>1000</v>
      </c>
      <c r="N2392" s="17" t="s">
        <v>1</v>
      </c>
      <c r="O2392" s="20">
        <f t="shared" si="574"/>
        <v>0.1</v>
      </c>
      <c r="P2392" s="21">
        <f>O2392*$P$2391</f>
        <v>0</v>
      </c>
    </row>
    <row r="2393" spans="1:16" x14ac:dyDescent="0.25">
      <c r="A2393" s="91"/>
      <c r="B2393" s="13" t="s">
        <v>1647</v>
      </c>
      <c r="C2393" s="13" t="s">
        <v>1648</v>
      </c>
      <c r="D2393" s="13">
        <v>51</v>
      </c>
      <c r="E2393" s="13" t="s">
        <v>101</v>
      </c>
      <c r="F2393" s="13">
        <v>1</v>
      </c>
      <c r="G2393" s="13" t="s">
        <v>16</v>
      </c>
      <c r="H2393" s="13" t="s">
        <v>17</v>
      </c>
      <c r="I2393" s="14">
        <v>4002826</v>
      </c>
      <c r="J2393" s="13" t="s">
        <v>4</v>
      </c>
      <c r="K2393" s="13">
        <v>99</v>
      </c>
      <c r="L2393" s="13" t="s">
        <v>15</v>
      </c>
      <c r="M2393" s="13">
        <v>9</v>
      </c>
      <c r="N2393" s="13" t="s">
        <v>1</v>
      </c>
      <c r="O2393" s="16">
        <f t="shared" si="574"/>
        <v>8.9999999999999998E-4</v>
      </c>
      <c r="P2393" s="22">
        <f t="shared" ref="P2393:P2395" si="582">O2393*$P$2391</f>
        <v>0</v>
      </c>
    </row>
    <row r="2394" spans="1:16" x14ac:dyDescent="0.25">
      <c r="A2394" s="91"/>
      <c r="B2394" s="13" t="s">
        <v>1647</v>
      </c>
      <c r="C2394" s="13" t="s">
        <v>1648</v>
      </c>
      <c r="D2394" s="13">
        <v>51</v>
      </c>
      <c r="E2394" s="13" t="s">
        <v>101</v>
      </c>
      <c r="F2394" s="13">
        <v>1</v>
      </c>
      <c r="G2394" s="13" t="s">
        <v>16</v>
      </c>
      <c r="H2394" s="13" t="s">
        <v>17</v>
      </c>
      <c r="I2394" s="14">
        <v>4014903</v>
      </c>
      <c r="J2394" s="13" t="s">
        <v>1649</v>
      </c>
      <c r="K2394" s="13">
        <v>99</v>
      </c>
      <c r="L2394" s="13" t="s">
        <v>15</v>
      </c>
      <c r="M2394" s="15">
        <v>10000</v>
      </c>
      <c r="N2394" s="13" t="s">
        <v>1</v>
      </c>
      <c r="O2394" s="16">
        <f t="shared" si="574"/>
        <v>1</v>
      </c>
      <c r="P2394" s="22">
        <f t="shared" si="582"/>
        <v>0</v>
      </c>
    </row>
    <row r="2395" spans="1:16" ht="15.75" thickBot="1" x14ac:dyDescent="0.3">
      <c r="A2395" s="90"/>
      <c r="B2395" s="23" t="s">
        <v>1647</v>
      </c>
      <c r="C2395" s="23" t="s">
        <v>1648</v>
      </c>
      <c r="D2395" s="23">
        <v>51</v>
      </c>
      <c r="E2395" s="23" t="s">
        <v>101</v>
      </c>
      <c r="F2395" s="23">
        <v>1</v>
      </c>
      <c r="G2395" s="23" t="s">
        <v>21</v>
      </c>
      <c r="H2395" s="23" t="s">
        <v>17</v>
      </c>
      <c r="I2395" s="24" t="s">
        <v>1650</v>
      </c>
      <c r="J2395" s="23" t="s">
        <v>1651</v>
      </c>
      <c r="K2395" s="23">
        <v>3</v>
      </c>
      <c r="L2395" s="23" t="s">
        <v>24</v>
      </c>
      <c r="M2395" s="25">
        <v>10000</v>
      </c>
      <c r="N2395" s="23" t="s">
        <v>1</v>
      </c>
      <c r="O2395" s="26">
        <f t="shared" si="574"/>
        <v>1</v>
      </c>
      <c r="P2395" s="27">
        <f t="shared" si="582"/>
        <v>0</v>
      </c>
    </row>
    <row r="2396" spans="1:16" x14ac:dyDescent="0.25">
      <c r="B2396" s="1"/>
      <c r="C2396" s="1"/>
      <c r="D2396" s="1"/>
      <c r="E2396" s="1"/>
      <c r="F2396" s="1"/>
      <c r="G2396" s="1"/>
      <c r="H2396" s="1"/>
      <c r="I2396" s="2"/>
      <c r="J2396" s="1"/>
      <c r="K2396" s="1"/>
      <c r="L2396" s="1"/>
      <c r="M2396" s="3"/>
      <c r="N2396" s="1"/>
    </row>
    <row r="2397" spans="1:16" ht="15.75" thickBot="1" x14ac:dyDescent="0.3">
      <c r="B2397" s="1"/>
      <c r="C2397" s="1"/>
      <c r="D2397" s="1"/>
      <c r="E2397" s="1"/>
      <c r="F2397" s="1"/>
      <c r="G2397" s="1"/>
      <c r="H2397" s="1"/>
      <c r="I2397" s="2"/>
      <c r="J2397" s="1"/>
      <c r="K2397" s="1"/>
      <c r="L2397" s="1"/>
      <c r="M2397" s="3"/>
      <c r="N2397" s="1"/>
      <c r="P2397" s="11">
        <f>IFERROR(VLOOKUP($A2398,'PROGRAMA MES '!$A:$B,2,0),0)</f>
        <v>0</v>
      </c>
    </row>
    <row r="2398" spans="1:16" x14ac:dyDescent="0.25">
      <c r="A2398" s="89" t="str">
        <f>B2398</f>
        <v>SP9516VD</v>
      </c>
      <c r="B2398" s="17" t="s">
        <v>1652</v>
      </c>
      <c r="C2398" s="17" t="s">
        <v>1653</v>
      </c>
      <c r="D2398" s="17">
        <v>51</v>
      </c>
      <c r="E2398" s="17" t="s">
        <v>101</v>
      </c>
      <c r="F2398" s="17">
        <v>1</v>
      </c>
      <c r="G2398" s="17" t="s">
        <v>16</v>
      </c>
      <c r="H2398" s="17" t="s">
        <v>17</v>
      </c>
      <c r="I2398" s="18">
        <v>4001358</v>
      </c>
      <c r="J2398" s="17" t="s">
        <v>320</v>
      </c>
      <c r="K2398" s="17">
        <v>99</v>
      </c>
      <c r="L2398" s="17" t="s">
        <v>15</v>
      </c>
      <c r="M2398" s="19">
        <v>1000</v>
      </c>
      <c r="N2398" s="17" t="s">
        <v>1</v>
      </c>
      <c r="O2398" s="20">
        <f t="shared" si="574"/>
        <v>0.1</v>
      </c>
      <c r="P2398" s="21">
        <f>O2398*$P$2397</f>
        <v>0</v>
      </c>
    </row>
    <row r="2399" spans="1:16" x14ac:dyDescent="0.25">
      <c r="A2399" s="91"/>
      <c r="B2399" s="13" t="s">
        <v>1652</v>
      </c>
      <c r="C2399" s="13" t="s">
        <v>1653</v>
      </c>
      <c r="D2399" s="13">
        <v>51</v>
      </c>
      <c r="E2399" s="13" t="s">
        <v>101</v>
      </c>
      <c r="F2399" s="13">
        <v>1</v>
      </c>
      <c r="G2399" s="13" t="s">
        <v>16</v>
      </c>
      <c r="H2399" s="13" t="s">
        <v>17</v>
      </c>
      <c r="I2399" s="14">
        <v>4002826</v>
      </c>
      <c r="J2399" s="13" t="s">
        <v>4</v>
      </c>
      <c r="K2399" s="13">
        <v>99</v>
      </c>
      <c r="L2399" s="13" t="s">
        <v>15</v>
      </c>
      <c r="M2399" s="13">
        <v>9</v>
      </c>
      <c r="N2399" s="13" t="s">
        <v>1</v>
      </c>
      <c r="O2399" s="16">
        <f t="shared" si="574"/>
        <v>8.9999999999999998E-4</v>
      </c>
      <c r="P2399" s="22">
        <f t="shared" ref="P2399:P2401" si="583">O2399*$P$2397</f>
        <v>0</v>
      </c>
    </row>
    <row r="2400" spans="1:16" x14ac:dyDescent="0.25">
      <c r="A2400" s="91"/>
      <c r="B2400" s="13" t="s">
        <v>1652</v>
      </c>
      <c r="C2400" s="13" t="s">
        <v>1653</v>
      </c>
      <c r="D2400" s="13">
        <v>51</v>
      </c>
      <c r="E2400" s="13" t="s">
        <v>101</v>
      </c>
      <c r="F2400" s="13">
        <v>1</v>
      </c>
      <c r="G2400" s="13" t="s">
        <v>16</v>
      </c>
      <c r="H2400" s="13" t="s">
        <v>17</v>
      </c>
      <c r="I2400" s="14">
        <v>4014906</v>
      </c>
      <c r="J2400" s="13" t="s">
        <v>1654</v>
      </c>
      <c r="K2400" s="13">
        <v>99</v>
      </c>
      <c r="L2400" s="13" t="s">
        <v>15</v>
      </c>
      <c r="M2400" s="15">
        <v>10000</v>
      </c>
      <c r="N2400" s="13" t="s">
        <v>1</v>
      </c>
      <c r="O2400" s="16">
        <f t="shared" si="574"/>
        <v>1</v>
      </c>
      <c r="P2400" s="22">
        <f t="shared" si="583"/>
        <v>0</v>
      </c>
    </row>
    <row r="2401" spans="1:16" ht="15.75" thickBot="1" x14ac:dyDescent="0.3">
      <c r="A2401" s="90"/>
      <c r="B2401" s="23" t="s">
        <v>1652</v>
      </c>
      <c r="C2401" s="23" t="s">
        <v>1653</v>
      </c>
      <c r="D2401" s="23">
        <v>51</v>
      </c>
      <c r="E2401" s="23" t="s">
        <v>101</v>
      </c>
      <c r="F2401" s="23">
        <v>1</v>
      </c>
      <c r="G2401" s="23" t="s">
        <v>21</v>
      </c>
      <c r="H2401" s="23" t="s">
        <v>17</v>
      </c>
      <c r="I2401" s="24" t="s">
        <v>1655</v>
      </c>
      <c r="J2401" s="23" t="s">
        <v>1656</v>
      </c>
      <c r="K2401" s="23">
        <v>3</v>
      </c>
      <c r="L2401" s="23" t="s">
        <v>24</v>
      </c>
      <c r="M2401" s="25">
        <v>10000</v>
      </c>
      <c r="N2401" s="23" t="s">
        <v>1</v>
      </c>
      <c r="O2401" s="26">
        <f t="shared" si="574"/>
        <v>1</v>
      </c>
      <c r="P2401" s="27">
        <f t="shared" si="583"/>
        <v>0</v>
      </c>
    </row>
    <row r="2402" spans="1:16" x14ac:dyDescent="0.25">
      <c r="B2402" s="1"/>
      <c r="C2402" s="1"/>
      <c r="D2402" s="1"/>
      <c r="E2402" s="1"/>
      <c r="F2402" s="1"/>
      <c r="G2402" s="1"/>
      <c r="H2402" s="1"/>
      <c r="I2402" s="2"/>
      <c r="J2402" s="1"/>
      <c r="K2402" s="1"/>
      <c r="L2402" s="1"/>
      <c r="M2402" s="3"/>
      <c r="N2402" s="1"/>
    </row>
    <row r="2403" spans="1:16" ht="15.75" thickBot="1" x14ac:dyDescent="0.3">
      <c r="B2403" s="1"/>
      <c r="C2403" s="1"/>
      <c r="D2403" s="1"/>
      <c r="E2403" s="1"/>
      <c r="F2403" s="1"/>
      <c r="G2403" s="1"/>
      <c r="H2403" s="1"/>
      <c r="I2403" s="2"/>
      <c r="J2403" s="1"/>
      <c r="K2403" s="1"/>
      <c r="L2403" s="1"/>
      <c r="M2403" s="3"/>
      <c r="N2403" s="1"/>
      <c r="P2403" s="11">
        <f>IFERROR(VLOOKUP($A2404,'PROGRAMA MES '!$A:$B,2,0),0)</f>
        <v>0</v>
      </c>
    </row>
    <row r="2404" spans="1:16" x14ac:dyDescent="0.25">
      <c r="A2404" s="89" t="str">
        <f>B2404</f>
        <v>SP9516VR</v>
      </c>
      <c r="B2404" s="17" t="s">
        <v>1657</v>
      </c>
      <c r="C2404" s="17" t="s">
        <v>1658</v>
      </c>
      <c r="D2404" s="17">
        <v>51</v>
      </c>
      <c r="E2404" s="17" t="s">
        <v>101</v>
      </c>
      <c r="F2404" s="17">
        <v>1</v>
      </c>
      <c r="G2404" s="17" t="s">
        <v>16</v>
      </c>
      <c r="H2404" s="17" t="s">
        <v>17</v>
      </c>
      <c r="I2404" s="18">
        <v>4001358</v>
      </c>
      <c r="J2404" s="17" t="s">
        <v>320</v>
      </c>
      <c r="K2404" s="17">
        <v>99</v>
      </c>
      <c r="L2404" s="17" t="s">
        <v>15</v>
      </c>
      <c r="M2404" s="19">
        <v>1000</v>
      </c>
      <c r="N2404" s="17" t="s">
        <v>1</v>
      </c>
      <c r="O2404" s="20">
        <f t="shared" si="574"/>
        <v>0.1</v>
      </c>
      <c r="P2404" s="21">
        <f>O2404*$P$2403</f>
        <v>0</v>
      </c>
    </row>
    <row r="2405" spans="1:16" x14ac:dyDescent="0.25">
      <c r="A2405" s="91"/>
      <c r="B2405" s="13" t="s">
        <v>1657</v>
      </c>
      <c r="C2405" s="13" t="s">
        <v>1658</v>
      </c>
      <c r="D2405" s="13">
        <v>51</v>
      </c>
      <c r="E2405" s="13" t="s">
        <v>101</v>
      </c>
      <c r="F2405" s="13">
        <v>1</v>
      </c>
      <c r="G2405" s="13" t="s">
        <v>16</v>
      </c>
      <c r="H2405" s="13" t="s">
        <v>17</v>
      </c>
      <c r="I2405" s="14">
        <v>4002826</v>
      </c>
      <c r="J2405" s="13" t="s">
        <v>4</v>
      </c>
      <c r="K2405" s="13">
        <v>99</v>
      </c>
      <c r="L2405" s="13" t="s">
        <v>15</v>
      </c>
      <c r="M2405" s="13">
        <v>9</v>
      </c>
      <c r="N2405" s="13" t="s">
        <v>1</v>
      </c>
      <c r="O2405" s="16">
        <f t="shared" si="574"/>
        <v>8.9999999999999998E-4</v>
      </c>
      <c r="P2405" s="22">
        <f t="shared" ref="P2405:P2407" si="584">O2405*$P$2403</f>
        <v>0</v>
      </c>
    </row>
    <row r="2406" spans="1:16" x14ac:dyDescent="0.25">
      <c r="A2406" s="91"/>
      <c r="B2406" s="13" t="s">
        <v>1657</v>
      </c>
      <c r="C2406" s="13" t="s">
        <v>1658</v>
      </c>
      <c r="D2406" s="13">
        <v>51</v>
      </c>
      <c r="E2406" s="13" t="s">
        <v>101</v>
      </c>
      <c r="F2406" s="13">
        <v>1</v>
      </c>
      <c r="G2406" s="13" t="s">
        <v>16</v>
      </c>
      <c r="H2406" s="13" t="s">
        <v>17</v>
      </c>
      <c r="I2406" s="14">
        <v>4014905</v>
      </c>
      <c r="J2406" s="13" t="s">
        <v>1659</v>
      </c>
      <c r="K2406" s="13">
        <v>99</v>
      </c>
      <c r="L2406" s="13" t="s">
        <v>15</v>
      </c>
      <c r="M2406" s="15">
        <v>10000</v>
      </c>
      <c r="N2406" s="13" t="s">
        <v>1</v>
      </c>
      <c r="O2406" s="16">
        <f t="shared" si="574"/>
        <v>1</v>
      </c>
      <c r="P2406" s="22">
        <f t="shared" si="584"/>
        <v>0</v>
      </c>
    </row>
    <row r="2407" spans="1:16" ht="15.75" thickBot="1" x14ac:dyDescent="0.3">
      <c r="A2407" s="90"/>
      <c r="B2407" s="23" t="s">
        <v>1657</v>
      </c>
      <c r="C2407" s="23" t="s">
        <v>1658</v>
      </c>
      <c r="D2407" s="23">
        <v>51</v>
      </c>
      <c r="E2407" s="23" t="s">
        <v>101</v>
      </c>
      <c r="F2407" s="23">
        <v>1</v>
      </c>
      <c r="G2407" s="23" t="s">
        <v>21</v>
      </c>
      <c r="H2407" s="23" t="s">
        <v>17</v>
      </c>
      <c r="I2407" s="24" t="s">
        <v>1660</v>
      </c>
      <c r="J2407" s="23" t="s">
        <v>1661</v>
      </c>
      <c r="K2407" s="23">
        <v>3</v>
      </c>
      <c r="L2407" s="23" t="s">
        <v>24</v>
      </c>
      <c r="M2407" s="25">
        <v>10000</v>
      </c>
      <c r="N2407" s="23" t="s">
        <v>1</v>
      </c>
      <c r="O2407" s="26">
        <f t="shared" si="574"/>
        <v>1</v>
      </c>
      <c r="P2407" s="27">
        <f t="shared" si="584"/>
        <v>0</v>
      </c>
    </row>
    <row r="2408" spans="1:16" x14ac:dyDescent="0.25">
      <c r="B2408" s="1"/>
      <c r="C2408" s="1"/>
      <c r="D2408" s="1"/>
      <c r="E2408" s="1"/>
      <c r="F2408" s="1"/>
      <c r="G2408" s="1"/>
      <c r="H2408" s="1"/>
      <c r="I2408" s="2"/>
      <c r="J2408" s="1"/>
      <c r="K2408" s="1"/>
      <c r="L2408" s="1"/>
      <c r="M2408" s="3"/>
      <c r="N2408" s="1"/>
    </row>
    <row r="2409" spans="1:16" ht="15.75" thickBot="1" x14ac:dyDescent="0.3">
      <c r="B2409" s="1"/>
      <c r="C2409" s="1"/>
      <c r="D2409" s="1"/>
      <c r="E2409" s="1"/>
      <c r="F2409" s="1"/>
      <c r="G2409" s="1"/>
      <c r="H2409" s="1"/>
      <c r="I2409" s="2"/>
      <c r="J2409" s="1"/>
      <c r="K2409" s="1"/>
      <c r="L2409" s="1"/>
      <c r="M2409" s="3"/>
      <c r="N2409" s="1"/>
      <c r="P2409" s="11">
        <f>IFERROR(VLOOKUP($A2410,'PROGRAMA MES '!$A:$B,2,0),0)</f>
        <v>1000</v>
      </c>
    </row>
    <row r="2410" spans="1:16" x14ac:dyDescent="0.25">
      <c r="A2410" s="89" t="str">
        <f>B2410</f>
        <v>SP9517</v>
      </c>
      <c r="B2410" s="17" t="s">
        <v>1662</v>
      </c>
      <c r="C2410" s="17" t="s">
        <v>1663</v>
      </c>
      <c r="D2410" s="17">
        <v>99</v>
      </c>
      <c r="E2410" s="17" t="s">
        <v>15</v>
      </c>
      <c r="F2410" s="17">
        <v>1</v>
      </c>
      <c r="G2410" s="17" t="s">
        <v>16</v>
      </c>
      <c r="H2410" s="17" t="s">
        <v>17</v>
      </c>
      <c r="I2410" s="18">
        <v>4001358</v>
      </c>
      <c r="J2410" s="17" t="s">
        <v>320</v>
      </c>
      <c r="K2410" s="17">
        <v>99</v>
      </c>
      <c r="L2410" s="17" t="s">
        <v>15</v>
      </c>
      <c r="M2410" s="19">
        <v>1000</v>
      </c>
      <c r="N2410" s="17" t="s">
        <v>1</v>
      </c>
      <c r="O2410" s="20">
        <f t="shared" si="574"/>
        <v>0.1</v>
      </c>
      <c r="P2410" s="21">
        <f>O2410*$P$2409</f>
        <v>100</v>
      </c>
    </row>
    <row r="2411" spans="1:16" x14ac:dyDescent="0.25">
      <c r="A2411" s="91"/>
      <c r="B2411" s="13" t="s">
        <v>1662</v>
      </c>
      <c r="C2411" s="13" t="s">
        <v>1663</v>
      </c>
      <c r="D2411" s="13">
        <v>99</v>
      </c>
      <c r="E2411" s="13" t="s">
        <v>15</v>
      </c>
      <c r="F2411" s="13">
        <v>1</v>
      </c>
      <c r="G2411" s="13" t="s">
        <v>16</v>
      </c>
      <c r="H2411" s="13" t="s">
        <v>17</v>
      </c>
      <c r="I2411" s="14">
        <v>4002826</v>
      </c>
      <c r="J2411" s="13" t="s">
        <v>4</v>
      </c>
      <c r="K2411" s="13">
        <v>99</v>
      </c>
      <c r="L2411" s="13" t="s">
        <v>15</v>
      </c>
      <c r="M2411" s="13">
        <v>1</v>
      </c>
      <c r="N2411" s="13" t="s">
        <v>1</v>
      </c>
      <c r="O2411" s="16">
        <f t="shared" si="574"/>
        <v>1E-4</v>
      </c>
      <c r="P2411" s="22">
        <f t="shared" ref="P2411:P2413" si="585">O2411*$P$2409</f>
        <v>0.1</v>
      </c>
    </row>
    <row r="2412" spans="1:16" x14ac:dyDescent="0.25">
      <c r="A2412" s="91"/>
      <c r="B2412" s="13" t="s">
        <v>1662</v>
      </c>
      <c r="C2412" s="13" t="s">
        <v>1663</v>
      </c>
      <c r="D2412" s="13">
        <v>99</v>
      </c>
      <c r="E2412" s="13" t="s">
        <v>15</v>
      </c>
      <c r="F2412" s="13">
        <v>1</v>
      </c>
      <c r="G2412" s="13" t="s">
        <v>16</v>
      </c>
      <c r="H2412" s="13" t="s">
        <v>17</v>
      </c>
      <c r="I2412" s="14">
        <v>4004401</v>
      </c>
      <c r="J2412" s="13" t="s">
        <v>1664</v>
      </c>
      <c r="K2412" s="13">
        <v>99</v>
      </c>
      <c r="L2412" s="13" t="s">
        <v>15</v>
      </c>
      <c r="M2412" s="15">
        <v>10000</v>
      </c>
      <c r="N2412" s="13" t="s">
        <v>1</v>
      </c>
      <c r="O2412" s="16">
        <f t="shared" si="574"/>
        <v>1</v>
      </c>
      <c r="P2412" s="22">
        <f t="shared" si="585"/>
        <v>1000</v>
      </c>
    </row>
    <row r="2413" spans="1:16" ht="15.75" thickBot="1" x14ac:dyDescent="0.3">
      <c r="A2413" s="90"/>
      <c r="B2413" s="23" t="s">
        <v>1662</v>
      </c>
      <c r="C2413" s="23" t="s">
        <v>1663</v>
      </c>
      <c r="D2413" s="23">
        <v>99</v>
      </c>
      <c r="E2413" s="23" t="s">
        <v>15</v>
      </c>
      <c r="F2413" s="23">
        <v>1</v>
      </c>
      <c r="G2413" s="23" t="s">
        <v>21</v>
      </c>
      <c r="H2413" s="23" t="s">
        <v>17</v>
      </c>
      <c r="I2413" s="24" t="s">
        <v>1665</v>
      </c>
      <c r="J2413" s="23" t="s">
        <v>1666</v>
      </c>
      <c r="K2413" s="23">
        <v>3</v>
      </c>
      <c r="L2413" s="23" t="s">
        <v>24</v>
      </c>
      <c r="M2413" s="25">
        <v>10000</v>
      </c>
      <c r="N2413" s="23" t="s">
        <v>1</v>
      </c>
      <c r="O2413" s="26">
        <f t="shared" ref="O2413" si="586">M2413/10000</f>
        <v>1</v>
      </c>
      <c r="P2413" s="27">
        <f t="shared" si="585"/>
        <v>1000</v>
      </c>
    </row>
    <row r="2414" spans="1:16" x14ac:dyDescent="0.25">
      <c r="B2414" s="1"/>
      <c r="C2414" s="1"/>
      <c r="D2414" s="1"/>
      <c r="E2414" s="1"/>
      <c r="F2414" s="1"/>
      <c r="G2414" s="1"/>
      <c r="H2414" s="1"/>
      <c r="I2414" s="2"/>
      <c r="J2414" s="1"/>
      <c r="K2414" s="1"/>
      <c r="L2414" s="1"/>
      <c r="M2414" s="3"/>
      <c r="N2414" s="1"/>
    </row>
    <row r="2415" spans="1:16" ht="15.75" thickBot="1" x14ac:dyDescent="0.3">
      <c r="B2415" s="1"/>
      <c r="C2415" s="1"/>
      <c r="D2415" s="1"/>
      <c r="E2415" s="1"/>
      <c r="F2415" s="1"/>
      <c r="G2415" s="1"/>
      <c r="H2415" s="1"/>
      <c r="I2415" s="2"/>
      <c r="J2415" s="1"/>
      <c r="K2415" s="1"/>
      <c r="L2415" s="1"/>
      <c r="M2415" s="3"/>
      <c r="N2415" s="1"/>
      <c r="P2415" s="11">
        <f>IFERROR(VLOOKUP($A2416,'PROGRAMA MES '!$A:$B,2,0),0)</f>
        <v>0</v>
      </c>
    </row>
    <row r="2416" spans="1:16" x14ac:dyDescent="0.25">
      <c r="A2416" s="89" t="str">
        <f>B2416</f>
        <v>SP952253</v>
      </c>
      <c r="B2416" s="17" t="s">
        <v>1667</v>
      </c>
      <c r="C2416" s="17" t="s">
        <v>1668</v>
      </c>
      <c r="D2416" s="17">
        <v>54</v>
      </c>
      <c r="E2416" s="17" t="s">
        <v>769</v>
      </c>
      <c r="F2416" s="17">
        <v>1</v>
      </c>
      <c r="G2416" s="17" t="s">
        <v>16</v>
      </c>
      <c r="H2416" s="17" t="s">
        <v>17</v>
      </c>
      <c r="I2416" s="18">
        <v>4002826</v>
      </c>
      <c r="J2416" s="17" t="s">
        <v>4</v>
      </c>
      <c r="K2416" s="17">
        <v>99</v>
      </c>
      <c r="L2416" s="17" t="s">
        <v>15</v>
      </c>
      <c r="M2416" s="17">
        <v>1</v>
      </c>
      <c r="N2416" s="17" t="s">
        <v>1</v>
      </c>
      <c r="O2416" s="20">
        <f t="shared" ref="O2416:O2418" si="587">M2416/10000</f>
        <v>1E-4</v>
      </c>
      <c r="P2416" s="21">
        <f>O2416*$P$2415</f>
        <v>0</v>
      </c>
    </row>
    <row r="2417" spans="1:16" x14ac:dyDescent="0.25">
      <c r="A2417" s="91"/>
      <c r="B2417" s="13" t="s">
        <v>1667</v>
      </c>
      <c r="C2417" s="13" t="s">
        <v>1668</v>
      </c>
      <c r="D2417" s="13">
        <v>54</v>
      </c>
      <c r="E2417" s="13" t="s">
        <v>769</v>
      </c>
      <c r="F2417" s="13">
        <v>1</v>
      </c>
      <c r="G2417" s="13" t="s">
        <v>16</v>
      </c>
      <c r="H2417" s="13" t="s">
        <v>17</v>
      </c>
      <c r="I2417" s="14">
        <v>4013770</v>
      </c>
      <c r="J2417" s="13" t="s">
        <v>742</v>
      </c>
      <c r="K2417" s="13">
        <v>99</v>
      </c>
      <c r="L2417" s="13" t="s">
        <v>15</v>
      </c>
      <c r="M2417" s="15">
        <v>10000</v>
      </c>
      <c r="N2417" s="13" t="s">
        <v>1</v>
      </c>
      <c r="O2417" s="16">
        <f t="shared" si="587"/>
        <v>1</v>
      </c>
      <c r="P2417" s="22">
        <f t="shared" ref="P2417:P2418" si="588">O2417*$P$2415</f>
        <v>0</v>
      </c>
    </row>
    <row r="2418" spans="1:16" ht="15.75" thickBot="1" x14ac:dyDescent="0.3">
      <c r="A2418" s="90"/>
      <c r="B2418" s="23" t="s">
        <v>1667</v>
      </c>
      <c r="C2418" s="23" t="s">
        <v>1668</v>
      </c>
      <c r="D2418" s="23">
        <v>54</v>
      </c>
      <c r="E2418" s="23" t="s">
        <v>769</v>
      </c>
      <c r="F2418" s="23">
        <v>1</v>
      </c>
      <c r="G2418" s="23" t="s">
        <v>21</v>
      </c>
      <c r="H2418" s="23" t="s">
        <v>17</v>
      </c>
      <c r="I2418" s="24" t="s">
        <v>1669</v>
      </c>
      <c r="J2418" s="23" t="s">
        <v>1670</v>
      </c>
      <c r="K2418" s="23">
        <v>56</v>
      </c>
      <c r="L2418" s="23" t="s">
        <v>772</v>
      </c>
      <c r="M2418" s="25">
        <v>10000</v>
      </c>
      <c r="N2418" s="23" t="s">
        <v>1</v>
      </c>
      <c r="O2418" s="26">
        <f t="shared" si="587"/>
        <v>1</v>
      </c>
      <c r="P2418" s="27">
        <f t="shared" si="588"/>
        <v>0</v>
      </c>
    </row>
    <row r="2419" spans="1:16" x14ac:dyDescent="0.25">
      <c r="B2419" s="1"/>
      <c r="C2419" s="1"/>
      <c r="D2419" s="1"/>
      <c r="E2419" s="1"/>
      <c r="F2419" s="1"/>
      <c r="G2419" s="1"/>
      <c r="H2419" s="1"/>
      <c r="I2419" s="2"/>
      <c r="J2419" s="1"/>
      <c r="K2419" s="1"/>
      <c r="L2419" s="1"/>
      <c r="M2419" s="3"/>
      <c r="N2419" s="1"/>
    </row>
    <row r="2420" spans="1:16" ht="15.75" thickBot="1" x14ac:dyDescent="0.3">
      <c r="B2420" s="1"/>
      <c r="C2420" s="1"/>
      <c r="D2420" s="1"/>
      <c r="E2420" s="1"/>
      <c r="F2420" s="1"/>
      <c r="G2420" s="1"/>
      <c r="H2420" s="1"/>
      <c r="I2420" s="2"/>
      <c r="J2420" s="1"/>
      <c r="K2420" s="1"/>
      <c r="L2420" s="1"/>
      <c r="M2420" s="3"/>
      <c r="N2420" s="1"/>
      <c r="P2420" s="11">
        <f>IFERROR(VLOOKUP($A2421,'PROGRAMA MES '!$A:$B,2,0),0)</f>
        <v>3000</v>
      </c>
    </row>
    <row r="2421" spans="1:16" x14ac:dyDescent="0.25">
      <c r="A2421" s="89" t="str">
        <f>B2421</f>
        <v>SP9522FRBA</v>
      </c>
      <c r="B2421" s="17" t="s">
        <v>1671</v>
      </c>
      <c r="C2421" s="17" t="s">
        <v>1672</v>
      </c>
      <c r="D2421" s="17">
        <v>51</v>
      </c>
      <c r="E2421" s="17" t="s">
        <v>101</v>
      </c>
      <c r="F2421" s="17">
        <v>1</v>
      </c>
      <c r="G2421" s="17" t="s">
        <v>16</v>
      </c>
      <c r="H2421" s="17" t="s">
        <v>17</v>
      </c>
      <c r="I2421" s="18">
        <v>4002827</v>
      </c>
      <c r="J2421" s="17" t="s">
        <v>0</v>
      </c>
      <c r="K2421" s="17">
        <v>99</v>
      </c>
      <c r="L2421" s="17" t="s">
        <v>15</v>
      </c>
      <c r="M2421" s="17">
        <v>142.49</v>
      </c>
      <c r="N2421" s="17" t="s">
        <v>2</v>
      </c>
      <c r="O2421" s="20">
        <f t="shared" ref="O2421:O2423" si="589">M2421/10000</f>
        <v>1.4249000000000001E-2</v>
      </c>
      <c r="P2421" s="21">
        <f>O2421*$P$2420</f>
        <v>42.747000000000007</v>
      </c>
    </row>
    <row r="2422" spans="1:16" x14ac:dyDescent="0.25">
      <c r="A2422" s="91"/>
      <c r="B2422" s="13" t="s">
        <v>1671</v>
      </c>
      <c r="C2422" s="13" t="s">
        <v>1672</v>
      </c>
      <c r="D2422" s="13">
        <v>51</v>
      </c>
      <c r="E2422" s="13" t="s">
        <v>101</v>
      </c>
      <c r="F2422" s="13">
        <v>1</v>
      </c>
      <c r="G2422" s="13" t="s">
        <v>16</v>
      </c>
      <c r="H2422" s="13" t="s">
        <v>17</v>
      </c>
      <c r="I2422" s="14">
        <v>4010022</v>
      </c>
      <c r="J2422" s="13" t="s">
        <v>711</v>
      </c>
      <c r="K2422" s="13">
        <v>99</v>
      </c>
      <c r="L2422" s="13" t="s">
        <v>15</v>
      </c>
      <c r="M2422" s="13">
        <v>84</v>
      </c>
      <c r="N2422" s="13" t="s">
        <v>1</v>
      </c>
      <c r="O2422" s="16">
        <f t="shared" si="589"/>
        <v>8.3999999999999995E-3</v>
      </c>
      <c r="P2422" s="22">
        <f t="shared" ref="P2422:P2423" si="590">O2422*$P$2420</f>
        <v>25.2</v>
      </c>
    </row>
    <row r="2423" spans="1:16" ht="15.75" thickBot="1" x14ac:dyDescent="0.3">
      <c r="A2423" s="90"/>
      <c r="B2423" s="23" t="s">
        <v>1671</v>
      </c>
      <c r="C2423" s="23" t="s">
        <v>1672</v>
      </c>
      <c r="D2423" s="23">
        <v>51</v>
      </c>
      <c r="E2423" s="23" t="s">
        <v>101</v>
      </c>
      <c r="F2423" s="23">
        <v>1</v>
      </c>
      <c r="G2423" s="23" t="s">
        <v>21</v>
      </c>
      <c r="H2423" s="23" t="s">
        <v>17</v>
      </c>
      <c r="I2423" s="24" t="s">
        <v>1673</v>
      </c>
      <c r="J2423" s="23" t="s">
        <v>1672</v>
      </c>
      <c r="K2423" s="23">
        <v>3</v>
      </c>
      <c r="L2423" s="23" t="s">
        <v>24</v>
      </c>
      <c r="M2423" s="25">
        <v>10000</v>
      </c>
      <c r="N2423" s="23" t="s">
        <v>1</v>
      </c>
      <c r="O2423" s="26">
        <f t="shared" si="589"/>
        <v>1</v>
      </c>
      <c r="P2423" s="27">
        <f t="shared" si="590"/>
        <v>3000</v>
      </c>
    </row>
    <row r="2424" spans="1:16" x14ac:dyDescent="0.25">
      <c r="B2424" s="1"/>
      <c r="C2424" s="1"/>
      <c r="D2424" s="1"/>
      <c r="E2424" s="1"/>
      <c r="F2424" s="1"/>
      <c r="G2424" s="1"/>
      <c r="H2424" s="1"/>
      <c r="I2424" s="2"/>
      <c r="J2424" s="1"/>
      <c r="K2424" s="1"/>
      <c r="L2424" s="1"/>
      <c r="M2424" s="3"/>
      <c r="N2424" s="1"/>
    </row>
    <row r="2425" spans="1:16" ht="15.75" thickBot="1" x14ac:dyDescent="0.3">
      <c r="B2425" s="1"/>
      <c r="C2425" s="1"/>
      <c r="D2425" s="1"/>
      <c r="E2425" s="1"/>
      <c r="F2425" s="1"/>
      <c r="G2425" s="1"/>
      <c r="H2425" s="1"/>
      <c r="I2425" s="2"/>
      <c r="J2425" s="1"/>
      <c r="K2425" s="1"/>
      <c r="L2425" s="1"/>
      <c r="M2425" s="3"/>
      <c r="N2425" s="1"/>
      <c r="P2425" s="11">
        <f>IFERROR(VLOOKUP($A2426,'PROGRAMA MES '!$A:$B,2,0),0)</f>
        <v>156000</v>
      </c>
    </row>
    <row r="2426" spans="1:16" x14ac:dyDescent="0.25">
      <c r="A2426" s="89" t="str">
        <f>B2426</f>
        <v>SP9523FR</v>
      </c>
      <c r="B2426" s="17" t="s">
        <v>1674</v>
      </c>
      <c r="C2426" s="17" t="s">
        <v>1675</v>
      </c>
      <c r="D2426" s="17">
        <v>99</v>
      </c>
      <c r="E2426" s="17" t="s">
        <v>15</v>
      </c>
      <c r="F2426" s="17">
        <v>1</v>
      </c>
      <c r="G2426" s="17" t="s">
        <v>16</v>
      </c>
      <c r="H2426" s="17" t="s">
        <v>17</v>
      </c>
      <c r="I2426" s="18">
        <v>4001170</v>
      </c>
      <c r="J2426" s="17" t="s">
        <v>705</v>
      </c>
      <c r="K2426" s="17">
        <v>99</v>
      </c>
      <c r="L2426" s="17" t="s">
        <v>15</v>
      </c>
      <c r="M2426" s="17">
        <v>84</v>
      </c>
      <c r="N2426" s="17" t="s">
        <v>1</v>
      </c>
      <c r="O2426" s="20">
        <f t="shared" ref="O2426:O2429" si="591">M2426/10000</f>
        <v>8.3999999999999995E-3</v>
      </c>
      <c r="P2426" s="21">
        <f>O2426*$P$2425</f>
        <v>1310.3999999999999</v>
      </c>
    </row>
    <row r="2427" spans="1:16" x14ac:dyDescent="0.25">
      <c r="A2427" s="91"/>
      <c r="B2427" s="13" t="s">
        <v>1674</v>
      </c>
      <c r="C2427" s="13" t="s">
        <v>1675</v>
      </c>
      <c r="D2427" s="13">
        <v>99</v>
      </c>
      <c r="E2427" s="13" t="s">
        <v>15</v>
      </c>
      <c r="F2427" s="13">
        <v>1</v>
      </c>
      <c r="G2427" s="13" t="s">
        <v>16</v>
      </c>
      <c r="H2427" s="13" t="s">
        <v>17</v>
      </c>
      <c r="I2427" s="14">
        <v>4002827</v>
      </c>
      <c r="J2427" s="13" t="s">
        <v>0</v>
      </c>
      <c r="K2427" s="13">
        <v>99</v>
      </c>
      <c r="L2427" s="13" t="s">
        <v>15</v>
      </c>
      <c r="M2427" s="13">
        <v>210</v>
      </c>
      <c r="N2427" s="13" t="s">
        <v>2</v>
      </c>
      <c r="O2427" s="16">
        <f t="shared" si="591"/>
        <v>2.1000000000000001E-2</v>
      </c>
      <c r="P2427" s="22">
        <f t="shared" ref="P2427:P2429" si="592">O2427*$P$2425</f>
        <v>3276</v>
      </c>
    </row>
    <row r="2428" spans="1:16" x14ac:dyDescent="0.25">
      <c r="A2428" s="91"/>
      <c r="B2428" s="13" t="s">
        <v>1674</v>
      </c>
      <c r="C2428" s="13" t="s">
        <v>1675</v>
      </c>
      <c r="D2428" s="13">
        <v>99</v>
      </c>
      <c r="E2428" s="13" t="s">
        <v>15</v>
      </c>
      <c r="F2428" s="13">
        <v>1</v>
      </c>
      <c r="G2428" s="13" t="s">
        <v>16</v>
      </c>
      <c r="H2428" s="13" t="s">
        <v>17</v>
      </c>
      <c r="I2428" s="14">
        <v>4006944</v>
      </c>
      <c r="J2428" s="13" t="s">
        <v>1676</v>
      </c>
      <c r="K2428" s="13">
        <v>99</v>
      </c>
      <c r="L2428" s="13" t="s">
        <v>15</v>
      </c>
      <c r="M2428" s="15">
        <v>1000</v>
      </c>
      <c r="N2428" s="13" t="s">
        <v>1</v>
      </c>
      <c r="O2428" s="16">
        <f t="shared" si="591"/>
        <v>0.1</v>
      </c>
      <c r="P2428" s="22">
        <f t="shared" si="592"/>
        <v>15600</v>
      </c>
    </row>
    <row r="2429" spans="1:16" ht="15.75" thickBot="1" x14ac:dyDescent="0.3">
      <c r="A2429" s="90"/>
      <c r="B2429" s="23" t="s">
        <v>1674</v>
      </c>
      <c r="C2429" s="23" t="s">
        <v>1675</v>
      </c>
      <c r="D2429" s="23">
        <v>99</v>
      </c>
      <c r="E2429" s="23" t="s">
        <v>15</v>
      </c>
      <c r="F2429" s="23">
        <v>1</v>
      </c>
      <c r="G2429" s="23" t="s">
        <v>21</v>
      </c>
      <c r="H2429" s="23" t="s">
        <v>17</v>
      </c>
      <c r="I2429" s="24" t="s">
        <v>1677</v>
      </c>
      <c r="J2429" s="23" t="s">
        <v>1678</v>
      </c>
      <c r="K2429" s="23">
        <v>3</v>
      </c>
      <c r="L2429" s="23" t="s">
        <v>24</v>
      </c>
      <c r="M2429" s="25">
        <v>10000</v>
      </c>
      <c r="N2429" s="23" t="s">
        <v>1</v>
      </c>
      <c r="O2429" s="26">
        <f t="shared" si="591"/>
        <v>1</v>
      </c>
      <c r="P2429" s="27">
        <f t="shared" si="592"/>
        <v>156000</v>
      </c>
    </row>
    <row r="2430" spans="1:16" x14ac:dyDescent="0.25">
      <c r="B2430" s="1"/>
      <c r="C2430" s="1"/>
      <c r="D2430" s="1"/>
      <c r="E2430" s="1"/>
      <c r="F2430" s="1"/>
      <c r="G2430" s="1"/>
      <c r="H2430" s="1"/>
      <c r="I2430" s="2"/>
      <c r="J2430" s="1"/>
      <c r="K2430" s="1"/>
      <c r="L2430" s="1"/>
      <c r="M2430" s="3"/>
      <c r="N2430" s="1"/>
    </row>
    <row r="2431" spans="1:16" ht="15.75" thickBot="1" x14ac:dyDescent="0.3">
      <c r="B2431" s="1"/>
      <c r="C2431" s="1"/>
      <c r="D2431" s="1"/>
      <c r="E2431" s="1"/>
      <c r="F2431" s="1"/>
      <c r="G2431" s="1"/>
      <c r="H2431" s="1"/>
      <c r="I2431" s="2"/>
      <c r="J2431" s="1"/>
      <c r="K2431" s="1"/>
      <c r="L2431" s="1"/>
      <c r="M2431" s="3"/>
      <c r="N2431" s="1"/>
      <c r="P2431" s="11">
        <f>IFERROR(VLOOKUP($A2432,'PROGRAMA MES '!$A:$B,2,0),0)</f>
        <v>0</v>
      </c>
    </row>
    <row r="2432" spans="1:16" x14ac:dyDescent="0.25">
      <c r="A2432" s="89" t="str">
        <f>B2432</f>
        <v>SP9524</v>
      </c>
      <c r="B2432" s="17" t="s">
        <v>1679</v>
      </c>
      <c r="C2432" s="17" t="s">
        <v>1680</v>
      </c>
      <c r="D2432" s="17">
        <v>51</v>
      </c>
      <c r="E2432" s="17" t="s">
        <v>101</v>
      </c>
      <c r="F2432" s="17">
        <v>1</v>
      </c>
      <c r="G2432" s="17" t="s">
        <v>16</v>
      </c>
      <c r="H2432" s="17" t="s">
        <v>17</v>
      </c>
      <c r="I2432" s="18">
        <v>4002546</v>
      </c>
      <c r="J2432" s="17" t="s">
        <v>179</v>
      </c>
      <c r="K2432" s="17">
        <v>99</v>
      </c>
      <c r="L2432" s="17" t="s">
        <v>15</v>
      </c>
      <c r="M2432" s="17">
        <v>84</v>
      </c>
      <c r="N2432" s="17" t="s">
        <v>1</v>
      </c>
      <c r="O2432" s="20">
        <f t="shared" ref="O2432:O2434" si="593">M2432/10000</f>
        <v>8.3999999999999995E-3</v>
      </c>
      <c r="P2432" s="21">
        <f>O2432*$P$2431</f>
        <v>0</v>
      </c>
    </row>
    <row r="2433" spans="1:16" x14ac:dyDescent="0.25">
      <c r="A2433" s="91"/>
      <c r="B2433" s="13" t="s">
        <v>1679</v>
      </c>
      <c r="C2433" s="13" t="s">
        <v>1680</v>
      </c>
      <c r="D2433" s="13">
        <v>51</v>
      </c>
      <c r="E2433" s="13" t="s">
        <v>101</v>
      </c>
      <c r="F2433" s="13">
        <v>1</v>
      </c>
      <c r="G2433" s="13" t="s">
        <v>16</v>
      </c>
      <c r="H2433" s="13" t="s">
        <v>17</v>
      </c>
      <c r="I2433" s="14">
        <v>4014396</v>
      </c>
      <c r="J2433" s="13" t="s">
        <v>1681</v>
      </c>
      <c r="K2433" s="13">
        <v>99</v>
      </c>
      <c r="L2433" s="13" t="s">
        <v>15</v>
      </c>
      <c r="M2433" s="13">
        <v>84</v>
      </c>
      <c r="N2433" s="13" t="s">
        <v>1</v>
      </c>
      <c r="O2433" s="16">
        <f t="shared" si="593"/>
        <v>8.3999999999999995E-3</v>
      </c>
      <c r="P2433" s="22">
        <f t="shared" ref="P2433:P2434" si="594">O2433*$P$2431</f>
        <v>0</v>
      </c>
    </row>
    <row r="2434" spans="1:16" ht="15.75" thickBot="1" x14ac:dyDescent="0.3">
      <c r="A2434" s="90"/>
      <c r="B2434" s="23" t="s">
        <v>1679</v>
      </c>
      <c r="C2434" s="23" t="s">
        <v>1680</v>
      </c>
      <c r="D2434" s="23">
        <v>51</v>
      </c>
      <c r="E2434" s="23" t="s">
        <v>101</v>
      </c>
      <c r="F2434" s="23">
        <v>1</v>
      </c>
      <c r="G2434" s="23" t="s">
        <v>21</v>
      </c>
      <c r="H2434" s="23" t="s">
        <v>17</v>
      </c>
      <c r="I2434" s="24" t="s">
        <v>1682</v>
      </c>
      <c r="J2434" s="23" t="s">
        <v>1683</v>
      </c>
      <c r="K2434" s="23">
        <v>3</v>
      </c>
      <c r="L2434" s="23" t="s">
        <v>24</v>
      </c>
      <c r="M2434" s="25">
        <v>10000</v>
      </c>
      <c r="N2434" s="23" t="s">
        <v>1</v>
      </c>
      <c r="O2434" s="26">
        <f t="shared" si="593"/>
        <v>1</v>
      </c>
      <c r="P2434" s="27">
        <f t="shared" si="594"/>
        <v>0</v>
      </c>
    </row>
    <row r="2435" spans="1:16" x14ac:dyDescent="0.25">
      <c r="B2435" s="1"/>
      <c r="C2435" s="1"/>
      <c r="D2435" s="1"/>
      <c r="E2435" s="1"/>
      <c r="F2435" s="1"/>
      <c r="G2435" s="1"/>
      <c r="H2435" s="1"/>
      <c r="I2435" s="2"/>
      <c r="J2435" s="1"/>
      <c r="K2435" s="1"/>
      <c r="L2435" s="1"/>
      <c r="M2435" s="3"/>
      <c r="N2435" s="1"/>
    </row>
    <row r="2436" spans="1:16" ht="15.75" thickBot="1" x14ac:dyDescent="0.3">
      <c r="B2436" s="1"/>
      <c r="C2436" s="1"/>
      <c r="D2436" s="1"/>
      <c r="E2436" s="1"/>
      <c r="F2436" s="1"/>
      <c r="G2436" s="1"/>
      <c r="H2436" s="1"/>
      <c r="I2436" s="2"/>
      <c r="J2436" s="1"/>
      <c r="K2436" s="1"/>
      <c r="L2436" s="1"/>
      <c r="M2436" s="3"/>
      <c r="N2436" s="1"/>
      <c r="P2436" s="11">
        <f>IFERROR(VLOOKUP($A2437,'PROGRAMA MES '!$A:$B,2,0),0)</f>
        <v>156000</v>
      </c>
    </row>
    <row r="2437" spans="1:16" x14ac:dyDescent="0.25">
      <c r="A2437" s="89" t="str">
        <f>B2437</f>
        <v>SP9526FR</v>
      </c>
      <c r="B2437" s="17" t="s">
        <v>1684</v>
      </c>
      <c r="C2437" s="17" t="s">
        <v>1685</v>
      </c>
      <c r="D2437" s="17">
        <v>99</v>
      </c>
      <c r="E2437" s="17" t="s">
        <v>15</v>
      </c>
      <c r="F2437" s="17">
        <v>1</v>
      </c>
      <c r="G2437" s="17" t="s">
        <v>16</v>
      </c>
      <c r="H2437" s="17" t="s">
        <v>17</v>
      </c>
      <c r="I2437" s="18">
        <v>4002827</v>
      </c>
      <c r="J2437" s="17" t="s">
        <v>0</v>
      </c>
      <c r="K2437" s="17">
        <v>99</v>
      </c>
      <c r="L2437" s="17" t="s">
        <v>15</v>
      </c>
      <c r="M2437" s="17">
        <v>166.6</v>
      </c>
      <c r="N2437" s="17" t="s">
        <v>2</v>
      </c>
      <c r="O2437" s="20">
        <f t="shared" ref="O2437:O2440" si="595">M2437/10000</f>
        <v>1.6659999999999998E-2</v>
      </c>
      <c r="P2437" s="21">
        <f>O2437*$P$2436</f>
        <v>2598.9599999999996</v>
      </c>
    </row>
    <row r="2438" spans="1:16" x14ac:dyDescent="0.25">
      <c r="A2438" s="91"/>
      <c r="B2438" s="13" t="s">
        <v>1684</v>
      </c>
      <c r="C2438" s="13" t="s">
        <v>1685</v>
      </c>
      <c r="D2438" s="13">
        <v>99</v>
      </c>
      <c r="E2438" s="13" t="s">
        <v>15</v>
      </c>
      <c r="F2438" s="13">
        <v>1</v>
      </c>
      <c r="G2438" s="13" t="s">
        <v>16</v>
      </c>
      <c r="H2438" s="13" t="s">
        <v>17</v>
      </c>
      <c r="I2438" s="14">
        <v>4009139</v>
      </c>
      <c r="J2438" s="13" t="s">
        <v>1686</v>
      </c>
      <c r="K2438" s="13">
        <v>99</v>
      </c>
      <c r="L2438" s="13" t="s">
        <v>15</v>
      </c>
      <c r="M2438" s="13">
        <v>84</v>
      </c>
      <c r="N2438" s="13" t="s">
        <v>1</v>
      </c>
      <c r="O2438" s="16">
        <f t="shared" si="595"/>
        <v>8.3999999999999995E-3</v>
      </c>
      <c r="P2438" s="22">
        <f t="shared" ref="P2438:P2440" si="596">O2438*$P$2436</f>
        <v>1310.3999999999999</v>
      </c>
    </row>
    <row r="2439" spans="1:16" x14ac:dyDescent="0.25">
      <c r="A2439" s="91"/>
      <c r="B2439" s="13" t="s">
        <v>1684</v>
      </c>
      <c r="C2439" s="13" t="s">
        <v>1685</v>
      </c>
      <c r="D2439" s="13">
        <v>99</v>
      </c>
      <c r="E2439" s="13" t="s">
        <v>15</v>
      </c>
      <c r="F2439" s="13">
        <v>1</v>
      </c>
      <c r="G2439" s="13" t="s">
        <v>16</v>
      </c>
      <c r="H2439" s="13" t="s">
        <v>17</v>
      </c>
      <c r="I2439" s="14">
        <v>4009387</v>
      </c>
      <c r="J2439" s="13" t="s">
        <v>1687</v>
      </c>
      <c r="K2439" s="13">
        <v>99</v>
      </c>
      <c r="L2439" s="13" t="s">
        <v>15</v>
      </c>
      <c r="M2439" s="15">
        <v>1000</v>
      </c>
      <c r="N2439" s="13" t="s">
        <v>1</v>
      </c>
      <c r="O2439" s="16">
        <f t="shared" si="595"/>
        <v>0.1</v>
      </c>
      <c r="P2439" s="22">
        <f t="shared" si="596"/>
        <v>15600</v>
      </c>
    </row>
    <row r="2440" spans="1:16" ht="15.75" thickBot="1" x14ac:dyDescent="0.3">
      <c r="A2440" s="90"/>
      <c r="B2440" s="23" t="s">
        <v>1684</v>
      </c>
      <c r="C2440" s="23" t="s">
        <v>1685</v>
      </c>
      <c r="D2440" s="23">
        <v>99</v>
      </c>
      <c r="E2440" s="23" t="s">
        <v>15</v>
      </c>
      <c r="F2440" s="23">
        <v>1</v>
      </c>
      <c r="G2440" s="23" t="s">
        <v>21</v>
      </c>
      <c r="H2440" s="23" t="s">
        <v>17</v>
      </c>
      <c r="I2440" s="24" t="s">
        <v>1688</v>
      </c>
      <c r="J2440" s="23" t="s">
        <v>1689</v>
      </c>
      <c r="K2440" s="23">
        <v>3</v>
      </c>
      <c r="L2440" s="23" t="s">
        <v>24</v>
      </c>
      <c r="M2440" s="25">
        <v>10000</v>
      </c>
      <c r="N2440" s="23" t="s">
        <v>1</v>
      </c>
      <c r="O2440" s="26">
        <f t="shared" si="595"/>
        <v>1</v>
      </c>
      <c r="P2440" s="27">
        <f t="shared" si="596"/>
        <v>156000</v>
      </c>
    </row>
    <row r="2441" spans="1:16" x14ac:dyDescent="0.25">
      <c r="B2441" s="1"/>
      <c r="C2441" s="1"/>
      <c r="D2441" s="1"/>
      <c r="E2441" s="1"/>
      <c r="F2441" s="1"/>
      <c r="G2441" s="1"/>
      <c r="H2441" s="1"/>
      <c r="I2441" s="2"/>
      <c r="J2441" s="1"/>
      <c r="K2441" s="1"/>
      <c r="L2441" s="1"/>
      <c r="M2441" s="3"/>
      <c r="N2441" s="1"/>
    </row>
    <row r="2442" spans="1:16" ht="15.75" thickBot="1" x14ac:dyDescent="0.3">
      <c r="B2442" s="1"/>
      <c r="C2442" s="1"/>
      <c r="D2442" s="1"/>
      <c r="E2442" s="1"/>
      <c r="F2442" s="1"/>
      <c r="G2442" s="1"/>
      <c r="H2442" s="1"/>
      <c r="I2442" s="2"/>
      <c r="J2442" s="1"/>
      <c r="K2442" s="1"/>
      <c r="L2442" s="1"/>
      <c r="M2442" s="3"/>
      <c r="N2442" s="1"/>
      <c r="P2442" s="11">
        <f>IFERROR(VLOOKUP($A2443,'PROGRAMA MES '!$A:$B,2,0),0)</f>
        <v>20000</v>
      </c>
    </row>
    <row r="2443" spans="1:16" x14ac:dyDescent="0.25">
      <c r="A2443" s="89" t="str">
        <f>B2443</f>
        <v>SP9527</v>
      </c>
      <c r="B2443" s="17" t="s">
        <v>1690</v>
      </c>
      <c r="C2443" s="17" t="s">
        <v>1691</v>
      </c>
      <c r="D2443" s="17">
        <v>99</v>
      </c>
      <c r="E2443" s="17" t="s">
        <v>15</v>
      </c>
      <c r="F2443" s="17">
        <v>1</v>
      </c>
      <c r="G2443" s="17" t="s">
        <v>16</v>
      </c>
      <c r="H2443" s="17" t="s">
        <v>17</v>
      </c>
      <c r="I2443" s="18">
        <v>4002827</v>
      </c>
      <c r="J2443" s="17" t="s">
        <v>0</v>
      </c>
      <c r="K2443" s="17">
        <v>99</v>
      </c>
      <c r="L2443" s="17" t="s">
        <v>15</v>
      </c>
      <c r="M2443" s="17">
        <v>150</v>
      </c>
      <c r="N2443" s="17" t="s">
        <v>2</v>
      </c>
      <c r="O2443" s="20">
        <f t="shared" ref="O2443:O2446" si="597">M2443/10000</f>
        <v>1.4999999999999999E-2</v>
      </c>
      <c r="P2443" s="21">
        <f>O2443*$P$2442</f>
        <v>300</v>
      </c>
    </row>
    <row r="2444" spans="1:16" x14ac:dyDescent="0.25">
      <c r="A2444" s="91"/>
      <c r="B2444" s="13" t="s">
        <v>1690</v>
      </c>
      <c r="C2444" s="13" t="s">
        <v>1691</v>
      </c>
      <c r="D2444" s="13">
        <v>99</v>
      </c>
      <c r="E2444" s="13" t="s">
        <v>15</v>
      </c>
      <c r="F2444" s="13">
        <v>1</v>
      </c>
      <c r="G2444" s="13" t="s">
        <v>16</v>
      </c>
      <c r="H2444" s="13" t="s">
        <v>17</v>
      </c>
      <c r="I2444" s="14">
        <v>4009946</v>
      </c>
      <c r="J2444" s="13" t="s">
        <v>1692</v>
      </c>
      <c r="K2444" s="13">
        <v>99</v>
      </c>
      <c r="L2444" s="13" t="s">
        <v>15</v>
      </c>
      <c r="M2444" s="15">
        <v>1000</v>
      </c>
      <c r="N2444" s="13" t="s">
        <v>1</v>
      </c>
      <c r="O2444" s="16">
        <f t="shared" si="597"/>
        <v>0.1</v>
      </c>
      <c r="P2444" s="22">
        <f t="shared" ref="P2444:P2446" si="598">O2444*$P$2442</f>
        <v>2000</v>
      </c>
    </row>
    <row r="2445" spans="1:16" x14ac:dyDescent="0.25">
      <c r="A2445" s="91"/>
      <c r="B2445" s="13" t="s">
        <v>1690</v>
      </c>
      <c r="C2445" s="13" t="s">
        <v>1691</v>
      </c>
      <c r="D2445" s="13">
        <v>99</v>
      </c>
      <c r="E2445" s="13" t="s">
        <v>15</v>
      </c>
      <c r="F2445" s="13">
        <v>1</v>
      </c>
      <c r="G2445" s="13" t="s">
        <v>16</v>
      </c>
      <c r="H2445" s="13" t="s">
        <v>17</v>
      </c>
      <c r="I2445" s="14">
        <v>4009947</v>
      </c>
      <c r="J2445" s="13" t="s">
        <v>1693</v>
      </c>
      <c r="K2445" s="13">
        <v>99</v>
      </c>
      <c r="L2445" s="13" t="s">
        <v>15</v>
      </c>
      <c r="M2445" s="13">
        <v>100</v>
      </c>
      <c r="N2445" s="13" t="s">
        <v>1</v>
      </c>
      <c r="O2445" s="16">
        <f t="shared" si="597"/>
        <v>0.01</v>
      </c>
      <c r="P2445" s="22">
        <f t="shared" si="598"/>
        <v>200</v>
      </c>
    </row>
    <row r="2446" spans="1:16" ht="15.75" thickBot="1" x14ac:dyDescent="0.3">
      <c r="A2446" s="90"/>
      <c r="B2446" s="23" t="s">
        <v>1690</v>
      </c>
      <c r="C2446" s="23" t="s">
        <v>1691</v>
      </c>
      <c r="D2446" s="23">
        <v>99</v>
      </c>
      <c r="E2446" s="23" t="s">
        <v>15</v>
      </c>
      <c r="F2446" s="23">
        <v>1</v>
      </c>
      <c r="G2446" s="23" t="s">
        <v>21</v>
      </c>
      <c r="H2446" s="23" t="s">
        <v>17</v>
      </c>
      <c r="I2446" s="24" t="s">
        <v>1694</v>
      </c>
      <c r="J2446" s="23" t="s">
        <v>1695</v>
      </c>
      <c r="K2446" s="23">
        <v>3</v>
      </c>
      <c r="L2446" s="23" t="s">
        <v>24</v>
      </c>
      <c r="M2446" s="25">
        <v>10000</v>
      </c>
      <c r="N2446" s="23" t="s">
        <v>1</v>
      </c>
      <c r="O2446" s="26">
        <f t="shared" si="597"/>
        <v>1</v>
      </c>
      <c r="P2446" s="27">
        <f t="shared" si="598"/>
        <v>20000</v>
      </c>
    </row>
    <row r="2447" spans="1:16" x14ac:dyDescent="0.25">
      <c r="B2447" s="1"/>
      <c r="C2447" s="1"/>
      <c r="D2447" s="1"/>
      <c r="E2447" s="1"/>
      <c r="F2447" s="1"/>
      <c r="G2447" s="1"/>
      <c r="H2447" s="1"/>
      <c r="I2447" s="2"/>
      <c r="J2447" s="1"/>
      <c r="K2447" s="1"/>
      <c r="L2447" s="1"/>
      <c r="M2447" s="3"/>
      <c r="N2447" s="1"/>
    </row>
    <row r="2448" spans="1:16" ht="15.75" thickBot="1" x14ac:dyDescent="0.3">
      <c r="B2448" s="1"/>
      <c r="C2448" s="1"/>
      <c r="D2448" s="1"/>
      <c r="E2448" s="1"/>
      <c r="F2448" s="1"/>
      <c r="G2448" s="1"/>
      <c r="H2448" s="1"/>
      <c r="I2448" s="2"/>
      <c r="J2448" s="1"/>
      <c r="K2448" s="1"/>
      <c r="L2448" s="1"/>
      <c r="M2448" s="3"/>
      <c r="N2448" s="1"/>
      <c r="P2448" s="11">
        <f>IFERROR(VLOOKUP($A2449,'PROGRAMA MES '!$A:$B,2,0),0)</f>
        <v>38000</v>
      </c>
    </row>
    <row r="2449" spans="1:16" x14ac:dyDescent="0.25">
      <c r="A2449" s="89" t="str">
        <f>B2449</f>
        <v>SP96170</v>
      </c>
      <c r="B2449" s="17" t="s">
        <v>1696</v>
      </c>
      <c r="C2449" s="17" t="s">
        <v>1697</v>
      </c>
      <c r="D2449" s="17">
        <v>54</v>
      </c>
      <c r="E2449" s="17" t="s">
        <v>769</v>
      </c>
      <c r="F2449" s="17">
        <v>1</v>
      </c>
      <c r="G2449" s="17" t="s">
        <v>16</v>
      </c>
      <c r="H2449" s="17" t="s">
        <v>17</v>
      </c>
      <c r="I2449" s="18">
        <v>4013770</v>
      </c>
      <c r="J2449" s="17" t="s">
        <v>742</v>
      </c>
      <c r="K2449" s="17">
        <v>99</v>
      </c>
      <c r="L2449" s="17" t="s">
        <v>15</v>
      </c>
      <c r="M2449" s="17">
        <v>67</v>
      </c>
      <c r="N2449" s="17" t="s">
        <v>1</v>
      </c>
      <c r="O2449" s="20">
        <f t="shared" ref="O2449:O2526" si="599">M2449/10000</f>
        <v>6.7000000000000002E-3</v>
      </c>
      <c r="P2449" s="21">
        <f>O2449*$P$2448</f>
        <v>254.60000000000002</v>
      </c>
    </row>
    <row r="2450" spans="1:16" ht="15.75" thickBot="1" x14ac:dyDescent="0.3">
      <c r="A2450" s="90"/>
      <c r="B2450" s="23" t="s">
        <v>1696</v>
      </c>
      <c r="C2450" s="23" t="s">
        <v>1697</v>
      </c>
      <c r="D2450" s="23">
        <v>54</v>
      </c>
      <c r="E2450" s="23" t="s">
        <v>769</v>
      </c>
      <c r="F2450" s="23">
        <v>1</v>
      </c>
      <c r="G2450" s="23" t="s">
        <v>21</v>
      </c>
      <c r="H2450" s="23" t="s">
        <v>17</v>
      </c>
      <c r="I2450" s="24" t="s">
        <v>1698</v>
      </c>
      <c r="J2450" s="23" t="s">
        <v>1699</v>
      </c>
      <c r="K2450" s="23">
        <v>56</v>
      </c>
      <c r="L2450" s="23" t="s">
        <v>772</v>
      </c>
      <c r="M2450" s="25">
        <v>10000</v>
      </c>
      <c r="N2450" s="23" t="s">
        <v>1</v>
      </c>
      <c r="O2450" s="26">
        <f t="shared" si="599"/>
        <v>1</v>
      </c>
      <c r="P2450" s="27">
        <f>O2450*$P$2448</f>
        <v>38000</v>
      </c>
    </row>
    <row r="2451" spans="1:16" x14ac:dyDescent="0.25">
      <c r="B2451" s="1"/>
      <c r="C2451" s="1"/>
      <c r="D2451" s="1"/>
      <c r="E2451" s="1"/>
      <c r="F2451" s="1"/>
      <c r="G2451" s="1"/>
      <c r="H2451" s="1"/>
      <c r="I2451" s="2"/>
      <c r="J2451" s="1"/>
      <c r="K2451" s="1"/>
      <c r="L2451" s="1"/>
      <c r="M2451" s="3"/>
      <c r="N2451" s="1"/>
    </row>
    <row r="2452" spans="1:16" ht="15.75" thickBot="1" x14ac:dyDescent="0.3">
      <c r="B2452" s="1"/>
      <c r="C2452" s="1"/>
      <c r="D2452" s="1"/>
      <c r="E2452" s="1"/>
      <c r="F2452" s="1"/>
      <c r="G2452" s="1"/>
      <c r="H2452" s="1"/>
      <c r="I2452" s="2"/>
      <c r="J2452" s="1"/>
      <c r="K2452" s="1"/>
      <c r="L2452" s="1"/>
      <c r="M2452" s="3"/>
      <c r="N2452" s="1"/>
      <c r="P2452" s="11">
        <f>IFERROR(VLOOKUP($A2453,'PROGRAMA MES '!$A:$B,2,0),0)</f>
        <v>60</v>
      </c>
    </row>
    <row r="2453" spans="1:16" x14ac:dyDescent="0.25">
      <c r="A2453" s="89" t="str">
        <f>B2453</f>
        <v>SP9644BA</v>
      </c>
      <c r="B2453" s="17" t="s">
        <v>1700</v>
      </c>
      <c r="C2453" s="17" t="s">
        <v>1701</v>
      </c>
      <c r="D2453" s="17">
        <v>99</v>
      </c>
      <c r="E2453" s="17" t="s">
        <v>15</v>
      </c>
      <c r="F2453" s="17">
        <v>1</v>
      </c>
      <c r="G2453" s="17" t="s">
        <v>16</v>
      </c>
      <c r="H2453" s="17" t="s">
        <v>17</v>
      </c>
      <c r="I2453" s="18">
        <v>4002826</v>
      </c>
      <c r="J2453" s="17" t="s">
        <v>4</v>
      </c>
      <c r="K2453" s="17">
        <v>99</v>
      </c>
      <c r="L2453" s="17" t="s">
        <v>15</v>
      </c>
      <c r="M2453" s="17">
        <v>10</v>
      </c>
      <c r="N2453" s="17" t="s">
        <v>1</v>
      </c>
      <c r="O2453" s="20">
        <f t="shared" si="599"/>
        <v>1E-3</v>
      </c>
      <c r="P2453" s="21">
        <f>O2453*$P$2452</f>
        <v>0.06</v>
      </c>
    </row>
    <row r="2454" spans="1:16" x14ac:dyDescent="0.25">
      <c r="A2454" s="91"/>
      <c r="B2454" s="13" t="s">
        <v>1700</v>
      </c>
      <c r="C2454" s="13" t="s">
        <v>1701</v>
      </c>
      <c r="D2454" s="13">
        <v>99</v>
      </c>
      <c r="E2454" s="13" t="s">
        <v>15</v>
      </c>
      <c r="F2454" s="13">
        <v>1</v>
      </c>
      <c r="G2454" s="13" t="s">
        <v>16</v>
      </c>
      <c r="H2454" s="13" t="s">
        <v>17</v>
      </c>
      <c r="I2454" s="14">
        <v>4010025</v>
      </c>
      <c r="J2454" s="13" t="s">
        <v>775</v>
      </c>
      <c r="K2454" s="13">
        <v>99</v>
      </c>
      <c r="L2454" s="13" t="s">
        <v>15</v>
      </c>
      <c r="M2454" s="13">
        <v>500</v>
      </c>
      <c r="N2454" s="13" t="s">
        <v>1</v>
      </c>
      <c r="O2454" s="16">
        <f t="shared" si="599"/>
        <v>0.05</v>
      </c>
      <c r="P2454" s="22">
        <f t="shared" ref="P2454:P2455" si="600">O2454*$P$2452</f>
        <v>3</v>
      </c>
    </row>
    <row r="2455" spans="1:16" ht="15.75" thickBot="1" x14ac:dyDescent="0.3">
      <c r="A2455" s="90"/>
      <c r="B2455" s="23" t="s">
        <v>1700</v>
      </c>
      <c r="C2455" s="23" t="s">
        <v>1701</v>
      </c>
      <c r="D2455" s="23">
        <v>99</v>
      </c>
      <c r="E2455" s="23" t="s">
        <v>15</v>
      </c>
      <c r="F2455" s="23">
        <v>1</v>
      </c>
      <c r="G2455" s="23" t="s">
        <v>21</v>
      </c>
      <c r="H2455" s="23" t="s">
        <v>17</v>
      </c>
      <c r="I2455" s="24" t="s">
        <v>1702</v>
      </c>
      <c r="J2455" s="23" t="s">
        <v>1703</v>
      </c>
      <c r="K2455" s="23">
        <v>3</v>
      </c>
      <c r="L2455" s="23" t="s">
        <v>24</v>
      </c>
      <c r="M2455" s="25">
        <v>10000</v>
      </c>
      <c r="N2455" s="23" t="s">
        <v>1</v>
      </c>
      <c r="O2455" s="26">
        <f t="shared" si="599"/>
        <v>1</v>
      </c>
      <c r="P2455" s="27">
        <f t="shared" si="600"/>
        <v>60</v>
      </c>
    </row>
    <row r="2456" spans="1:16" x14ac:dyDescent="0.25">
      <c r="B2456" s="1"/>
      <c r="C2456" s="1"/>
      <c r="D2456" s="1"/>
      <c r="E2456" s="1"/>
      <c r="F2456" s="1"/>
      <c r="G2456" s="1"/>
      <c r="H2456" s="1"/>
      <c r="I2456" s="2"/>
      <c r="J2456" s="1"/>
      <c r="K2456" s="1"/>
      <c r="L2456" s="1"/>
      <c r="M2456" s="3"/>
      <c r="N2456" s="1"/>
    </row>
    <row r="2457" spans="1:16" ht="15.75" thickBot="1" x14ac:dyDescent="0.3">
      <c r="B2457" s="1"/>
      <c r="C2457" s="1"/>
      <c r="D2457" s="1"/>
      <c r="E2457" s="1"/>
      <c r="F2457" s="1"/>
      <c r="G2457" s="1"/>
      <c r="H2457" s="1"/>
      <c r="I2457" s="2"/>
      <c r="J2457" s="1"/>
      <c r="K2457" s="1"/>
      <c r="L2457" s="1"/>
      <c r="M2457" s="3"/>
      <c r="N2457" s="1"/>
      <c r="P2457" s="11">
        <f>IFERROR(VLOOKUP($A2458,'PROGRAMA MES '!$A:$B,2,0),0)</f>
        <v>60</v>
      </c>
    </row>
    <row r="2458" spans="1:16" x14ac:dyDescent="0.25">
      <c r="A2458" s="89" t="str">
        <f>B2458</f>
        <v>SP9651BA</v>
      </c>
      <c r="B2458" s="17" t="s">
        <v>1704</v>
      </c>
      <c r="C2458" s="17" t="s">
        <v>1705</v>
      </c>
      <c r="D2458" s="17">
        <v>99</v>
      </c>
      <c r="E2458" s="17" t="s">
        <v>15</v>
      </c>
      <c r="F2458" s="17">
        <v>1</v>
      </c>
      <c r="G2458" s="17" t="s">
        <v>16</v>
      </c>
      <c r="H2458" s="17" t="s">
        <v>17</v>
      </c>
      <c r="I2458" s="18">
        <v>4010773</v>
      </c>
      <c r="J2458" s="17" t="s">
        <v>779</v>
      </c>
      <c r="K2458" s="17">
        <v>99</v>
      </c>
      <c r="L2458" s="17" t="s">
        <v>15</v>
      </c>
      <c r="M2458" s="17">
        <v>500</v>
      </c>
      <c r="N2458" s="17" t="s">
        <v>1</v>
      </c>
      <c r="O2458" s="20">
        <f t="shared" si="599"/>
        <v>0.05</v>
      </c>
      <c r="P2458" s="21">
        <f>O2458*$P$2457</f>
        <v>3</v>
      </c>
    </row>
    <row r="2459" spans="1:16" ht="15.75" thickBot="1" x14ac:dyDescent="0.3">
      <c r="A2459" s="90"/>
      <c r="B2459" s="23" t="s">
        <v>1704</v>
      </c>
      <c r="C2459" s="23" t="s">
        <v>1705</v>
      </c>
      <c r="D2459" s="23">
        <v>99</v>
      </c>
      <c r="E2459" s="23" t="s">
        <v>15</v>
      </c>
      <c r="F2459" s="23">
        <v>1</v>
      </c>
      <c r="G2459" s="23" t="s">
        <v>21</v>
      </c>
      <c r="H2459" s="23" t="s">
        <v>17</v>
      </c>
      <c r="I2459" s="24" t="s">
        <v>1706</v>
      </c>
      <c r="J2459" s="23" t="s">
        <v>1705</v>
      </c>
      <c r="K2459" s="23">
        <v>3</v>
      </c>
      <c r="L2459" s="23" t="s">
        <v>24</v>
      </c>
      <c r="M2459" s="25">
        <v>10000</v>
      </c>
      <c r="N2459" s="23" t="s">
        <v>1</v>
      </c>
      <c r="O2459" s="26">
        <f t="shared" si="599"/>
        <v>1</v>
      </c>
      <c r="P2459" s="27">
        <f>O2459*$P$2457</f>
        <v>60</v>
      </c>
    </row>
    <row r="2460" spans="1:16" x14ac:dyDescent="0.25">
      <c r="B2460" s="1"/>
      <c r="C2460" s="1"/>
      <c r="D2460" s="1"/>
      <c r="E2460" s="1"/>
      <c r="F2460" s="1"/>
      <c r="G2460" s="1"/>
      <c r="H2460" s="1"/>
      <c r="I2460" s="2"/>
      <c r="J2460" s="1"/>
      <c r="K2460" s="1"/>
      <c r="L2460" s="1"/>
      <c r="M2460" s="3"/>
      <c r="N2460" s="1"/>
    </row>
    <row r="2461" spans="1:16" ht="15.75" thickBot="1" x14ac:dyDescent="0.3">
      <c r="B2461" s="1"/>
      <c r="C2461" s="1"/>
      <c r="D2461" s="1"/>
      <c r="E2461" s="1"/>
      <c r="F2461" s="1"/>
      <c r="G2461" s="1"/>
      <c r="H2461" s="1"/>
      <c r="I2461" s="2"/>
      <c r="J2461" s="1"/>
      <c r="K2461" s="1"/>
      <c r="L2461" s="1"/>
      <c r="M2461" s="3"/>
      <c r="N2461" s="1"/>
      <c r="P2461" s="11">
        <f>IFERROR(VLOOKUP($A2462,'PROGRAMA MES '!$A:$B,2,0),0)</f>
        <v>1200</v>
      </c>
    </row>
    <row r="2462" spans="1:16" x14ac:dyDescent="0.25">
      <c r="A2462" s="89" t="str">
        <f>B2462</f>
        <v>SP9671AM</v>
      </c>
      <c r="B2462" s="17" t="s">
        <v>1707</v>
      </c>
      <c r="C2462" s="17" t="s">
        <v>1708</v>
      </c>
      <c r="D2462" s="17">
        <v>99</v>
      </c>
      <c r="E2462" s="17" t="s">
        <v>15</v>
      </c>
      <c r="F2462" s="17">
        <v>1</v>
      </c>
      <c r="G2462" s="17" t="s">
        <v>16</v>
      </c>
      <c r="H2462" s="17" t="s">
        <v>17</v>
      </c>
      <c r="I2462" s="18">
        <v>4002826</v>
      </c>
      <c r="J2462" s="17" t="s">
        <v>4</v>
      </c>
      <c r="K2462" s="17">
        <v>99</v>
      </c>
      <c r="L2462" s="17" t="s">
        <v>15</v>
      </c>
      <c r="M2462" s="17">
        <v>12</v>
      </c>
      <c r="N2462" s="17" t="s">
        <v>1</v>
      </c>
      <c r="O2462" s="20">
        <f t="shared" si="599"/>
        <v>1.1999999999999999E-3</v>
      </c>
      <c r="P2462" s="21">
        <f>O2462*$P$2461</f>
        <v>1.44</v>
      </c>
    </row>
    <row r="2463" spans="1:16" x14ac:dyDescent="0.25">
      <c r="A2463" s="91"/>
      <c r="B2463" s="13" t="s">
        <v>1707</v>
      </c>
      <c r="C2463" s="13" t="s">
        <v>1708</v>
      </c>
      <c r="D2463" s="13">
        <v>99</v>
      </c>
      <c r="E2463" s="13" t="s">
        <v>15</v>
      </c>
      <c r="F2463" s="13">
        <v>1</v>
      </c>
      <c r="G2463" s="13" t="s">
        <v>16</v>
      </c>
      <c r="H2463" s="13" t="s">
        <v>17</v>
      </c>
      <c r="I2463" s="14">
        <v>4006399</v>
      </c>
      <c r="J2463" s="13" t="s">
        <v>1709</v>
      </c>
      <c r="K2463" s="13">
        <v>99</v>
      </c>
      <c r="L2463" s="13" t="s">
        <v>15</v>
      </c>
      <c r="M2463" s="13">
        <v>834</v>
      </c>
      <c r="N2463" s="13" t="s">
        <v>1</v>
      </c>
      <c r="O2463" s="16">
        <f t="shared" si="599"/>
        <v>8.3400000000000002E-2</v>
      </c>
      <c r="P2463" s="22">
        <f t="shared" ref="P2463:P2465" si="601">O2463*$P$2461</f>
        <v>100.08</v>
      </c>
    </row>
    <row r="2464" spans="1:16" x14ac:dyDescent="0.25">
      <c r="A2464" s="91"/>
      <c r="B2464" s="13" t="s">
        <v>1707</v>
      </c>
      <c r="C2464" s="13" t="s">
        <v>1708</v>
      </c>
      <c r="D2464" s="13">
        <v>99</v>
      </c>
      <c r="E2464" s="13" t="s">
        <v>15</v>
      </c>
      <c r="F2464" s="13">
        <v>1</v>
      </c>
      <c r="G2464" s="13" t="s">
        <v>16</v>
      </c>
      <c r="H2464" s="13" t="s">
        <v>17</v>
      </c>
      <c r="I2464" s="14">
        <v>4010764</v>
      </c>
      <c r="J2464" s="13" t="s">
        <v>1710</v>
      </c>
      <c r="K2464" s="13">
        <v>99</v>
      </c>
      <c r="L2464" s="13" t="s">
        <v>15</v>
      </c>
      <c r="M2464" s="15">
        <v>10000</v>
      </c>
      <c r="N2464" s="13" t="s">
        <v>1</v>
      </c>
      <c r="O2464" s="16">
        <f t="shared" si="599"/>
        <v>1</v>
      </c>
      <c r="P2464" s="22">
        <f t="shared" si="601"/>
        <v>1200</v>
      </c>
    </row>
    <row r="2465" spans="1:16" ht="15.75" thickBot="1" x14ac:dyDescent="0.3">
      <c r="A2465" s="90"/>
      <c r="B2465" s="23" t="s">
        <v>1707</v>
      </c>
      <c r="C2465" s="23" t="s">
        <v>1708</v>
      </c>
      <c r="D2465" s="23">
        <v>99</v>
      </c>
      <c r="E2465" s="23" t="s">
        <v>15</v>
      </c>
      <c r="F2465" s="23">
        <v>1</v>
      </c>
      <c r="G2465" s="23" t="s">
        <v>21</v>
      </c>
      <c r="H2465" s="23" t="s">
        <v>17</v>
      </c>
      <c r="I2465" s="24" t="s">
        <v>1711</v>
      </c>
      <c r="J2465" s="23" t="s">
        <v>1712</v>
      </c>
      <c r="K2465" s="23">
        <v>3</v>
      </c>
      <c r="L2465" s="23" t="s">
        <v>24</v>
      </c>
      <c r="M2465" s="25">
        <v>10000</v>
      </c>
      <c r="N2465" s="23" t="s">
        <v>1</v>
      </c>
      <c r="O2465" s="26">
        <f t="shared" si="599"/>
        <v>1</v>
      </c>
      <c r="P2465" s="27">
        <f t="shared" si="601"/>
        <v>1200</v>
      </c>
    </row>
    <row r="2466" spans="1:16" x14ac:dyDescent="0.25">
      <c r="B2466" s="1"/>
      <c r="C2466" s="1"/>
      <c r="D2466" s="1"/>
      <c r="E2466" s="1"/>
      <c r="F2466" s="1"/>
      <c r="G2466" s="1"/>
      <c r="H2466" s="1"/>
      <c r="I2466" s="2"/>
      <c r="J2466" s="1"/>
      <c r="K2466" s="1"/>
      <c r="L2466" s="1"/>
      <c r="M2466" s="3"/>
      <c r="N2466" s="1"/>
    </row>
    <row r="2467" spans="1:16" ht="15.75" thickBot="1" x14ac:dyDescent="0.3">
      <c r="B2467" s="1"/>
      <c r="C2467" s="1"/>
      <c r="D2467" s="1"/>
      <c r="E2467" s="1"/>
      <c r="F2467" s="1"/>
      <c r="G2467" s="1"/>
      <c r="H2467" s="1"/>
      <c r="I2467" s="2"/>
      <c r="J2467" s="1"/>
      <c r="K2467" s="1"/>
      <c r="L2467" s="1"/>
      <c r="M2467" s="3"/>
      <c r="N2467" s="1"/>
      <c r="P2467" s="11">
        <f>IFERROR(VLOOKUP($A2468,'PROGRAMA MES '!$A:$B,2,0),0)</f>
        <v>4800</v>
      </c>
    </row>
    <row r="2468" spans="1:16" x14ac:dyDescent="0.25">
      <c r="A2468" s="89" t="str">
        <f>B2468</f>
        <v>SP9671AZ</v>
      </c>
      <c r="B2468" s="17" t="s">
        <v>1713</v>
      </c>
      <c r="C2468" s="17" t="s">
        <v>1714</v>
      </c>
      <c r="D2468" s="17">
        <v>99</v>
      </c>
      <c r="E2468" s="17" t="s">
        <v>15</v>
      </c>
      <c r="F2468" s="17">
        <v>1</v>
      </c>
      <c r="G2468" s="17" t="s">
        <v>16</v>
      </c>
      <c r="H2468" s="17" t="s">
        <v>17</v>
      </c>
      <c r="I2468" s="18">
        <v>4002826</v>
      </c>
      <c r="J2468" s="17" t="s">
        <v>4</v>
      </c>
      <c r="K2468" s="17">
        <v>99</v>
      </c>
      <c r="L2468" s="17" t="s">
        <v>15</v>
      </c>
      <c r="M2468" s="17">
        <v>12</v>
      </c>
      <c r="N2468" s="17" t="s">
        <v>1</v>
      </c>
      <c r="O2468" s="20">
        <f t="shared" si="599"/>
        <v>1.1999999999999999E-3</v>
      </c>
      <c r="P2468" s="21">
        <f>O2468*$P$2467</f>
        <v>5.76</v>
      </c>
    </row>
    <row r="2469" spans="1:16" x14ac:dyDescent="0.25">
      <c r="A2469" s="91"/>
      <c r="B2469" s="13" t="s">
        <v>1713</v>
      </c>
      <c r="C2469" s="13" t="s">
        <v>1714</v>
      </c>
      <c r="D2469" s="13">
        <v>99</v>
      </c>
      <c r="E2469" s="13" t="s">
        <v>15</v>
      </c>
      <c r="F2469" s="13">
        <v>1</v>
      </c>
      <c r="G2469" s="13" t="s">
        <v>16</v>
      </c>
      <c r="H2469" s="13" t="s">
        <v>17</v>
      </c>
      <c r="I2469" s="14">
        <v>4006397</v>
      </c>
      <c r="J2469" s="13" t="s">
        <v>1715</v>
      </c>
      <c r="K2469" s="13">
        <v>99</v>
      </c>
      <c r="L2469" s="13" t="s">
        <v>15</v>
      </c>
      <c r="M2469" s="15">
        <v>10000</v>
      </c>
      <c r="N2469" s="13" t="s">
        <v>1</v>
      </c>
      <c r="O2469" s="16">
        <f t="shared" si="599"/>
        <v>1</v>
      </c>
      <c r="P2469" s="22">
        <f t="shared" ref="P2469:P2471" si="602">O2469*$P$2467</f>
        <v>4800</v>
      </c>
    </row>
    <row r="2470" spans="1:16" x14ac:dyDescent="0.25">
      <c r="A2470" s="91"/>
      <c r="B2470" s="13" t="s">
        <v>1713</v>
      </c>
      <c r="C2470" s="13" t="s">
        <v>1714</v>
      </c>
      <c r="D2470" s="13">
        <v>99</v>
      </c>
      <c r="E2470" s="13" t="s">
        <v>15</v>
      </c>
      <c r="F2470" s="13">
        <v>1</v>
      </c>
      <c r="G2470" s="13" t="s">
        <v>16</v>
      </c>
      <c r="H2470" s="13" t="s">
        <v>17</v>
      </c>
      <c r="I2470" s="14">
        <v>4006399</v>
      </c>
      <c r="J2470" s="13" t="s">
        <v>1709</v>
      </c>
      <c r="K2470" s="13">
        <v>99</v>
      </c>
      <c r="L2470" s="13" t="s">
        <v>15</v>
      </c>
      <c r="M2470" s="13">
        <v>834</v>
      </c>
      <c r="N2470" s="13" t="s">
        <v>1</v>
      </c>
      <c r="O2470" s="16">
        <f t="shared" si="599"/>
        <v>8.3400000000000002E-2</v>
      </c>
      <c r="P2470" s="22">
        <f t="shared" si="602"/>
        <v>400.32</v>
      </c>
    </row>
    <row r="2471" spans="1:16" ht="15.75" thickBot="1" x14ac:dyDescent="0.3">
      <c r="A2471" s="90"/>
      <c r="B2471" s="23" t="s">
        <v>1713</v>
      </c>
      <c r="C2471" s="23" t="s">
        <v>1714</v>
      </c>
      <c r="D2471" s="23">
        <v>99</v>
      </c>
      <c r="E2471" s="23" t="s">
        <v>15</v>
      </c>
      <c r="F2471" s="23">
        <v>1</v>
      </c>
      <c r="G2471" s="23" t="s">
        <v>21</v>
      </c>
      <c r="H2471" s="23" t="s">
        <v>17</v>
      </c>
      <c r="I2471" s="24" t="s">
        <v>1716</v>
      </c>
      <c r="J2471" s="23" t="s">
        <v>1717</v>
      </c>
      <c r="K2471" s="23">
        <v>3</v>
      </c>
      <c r="L2471" s="23" t="s">
        <v>24</v>
      </c>
      <c r="M2471" s="25">
        <v>10000</v>
      </c>
      <c r="N2471" s="23" t="s">
        <v>1</v>
      </c>
      <c r="O2471" s="26">
        <f t="shared" si="599"/>
        <v>1</v>
      </c>
      <c r="P2471" s="27">
        <f t="shared" si="602"/>
        <v>4800</v>
      </c>
    </row>
    <row r="2472" spans="1:16" x14ac:dyDescent="0.25">
      <c r="B2472" s="1"/>
      <c r="C2472" s="1"/>
      <c r="D2472" s="1"/>
      <c r="E2472" s="1"/>
      <c r="F2472" s="1"/>
      <c r="G2472" s="1"/>
      <c r="H2472" s="1"/>
      <c r="I2472" s="2"/>
      <c r="J2472" s="1"/>
      <c r="K2472" s="1"/>
      <c r="L2472" s="1"/>
      <c r="M2472" s="3"/>
      <c r="N2472" s="1"/>
    </row>
    <row r="2473" spans="1:16" ht="15.75" thickBot="1" x14ac:dyDescent="0.3">
      <c r="B2473" s="1"/>
      <c r="C2473" s="1"/>
      <c r="D2473" s="1"/>
      <c r="E2473" s="1"/>
      <c r="F2473" s="1"/>
      <c r="G2473" s="1"/>
      <c r="H2473" s="1"/>
      <c r="I2473" s="2"/>
      <c r="J2473" s="1"/>
      <c r="K2473" s="1"/>
      <c r="L2473" s="1"/>
      <c r="M2473" s="3"/>
      <c r="N2473" s="1"/>
      <c r="P2473" s="11">
        <f>IFERROR(VLOOKUP($A2474,'PROGRAMA MES '!$A:$B,2,0),0)</f>
        <v>3840</v>
      </c>
    </row>
    <row r="2474" spans="1:16" x14ac:dyDescent="0.25">
      <c r="A2474" s="89" t="str">
        <f>B2474</f>
        <v>SP9671VD</v>
      </c>
      <c r="B2474" s="17" t="s">
        <v>1718</v>
      </c>
      <c r="C2474" s="17" t="s">
        <v>1719</v>
      </c>
      <c r="D2474" s="17">
        <v>99</v>
      </c>
      <c r="E2474" s="17" t="s">
        <v>15</v>
      </c>
      <c r="F2474" s="17">
        <v>1</v>
      </c>
      <c r="G2474" s="17" t="s">
        <v>16</v>
      </c>
      <c r="H2474" s="17" t="s">
        <v>17</v>
      </c>
      <c r="I2474" s="18">
        <v>4002826</v>
      </c>
      <c r="J2474" s="17" t="s">
        <v>4</v>
      </c>
      <c r="K2474" s="17">
        <v>99</v>
      </c>
      <c r="L2474" s="17" t="s">
        <v>15</v>
      </c>
      <c r="M2474" s="17">
        <v>12</v>
      </c>
      <c r="N2474" s="17" t="s">
        <v>1</v>
      </c>
      <c r="O2474" s="20">
        <f t="shared" si="599"/>
        <v>1.1999999999999999E-3</v>
      </c>
      <c r="P2474" s="21">
        <f>O2474*$P$2473</f>
        <v>4.6079999999999997</v>
      </c>
    </row>
    <row r="2475" spans="1:16" x14ac:dyDescent="0.25">
      <c r="A2475" s="91"/>
      <c r="B2475" s="13" t="s">
        <v>1718</v>
      </c>
      <c r="C2475" s="13" t="s">
        <v>1719</v>
      </c>
      <c r="D2475" s="13">
        <v>99</v>
      </c>
      <c r="E2475" s="13" t="s">
        <v>15</v>
      </c>
      <c r="F2475" s="13">
        <v>1</v>
      </c>
      <c r="G2475" s="13" t="s">
        <v>16</v>
      </c>
      <c r="H2475" s="13" t="s">
        <v>17</v>
      </c>
      <c r="I2475" s="14">
        <v>4006395</v>
      </c>
      <c r="J2475" s="13" t="s">
        <v>1720</v>
      </c>
      <c r="K2475" s="13">
        <v>99</v>
      </c>
      <c r="L2475" s="13" t="s">
        <v>15</v>
      </c>
      <c r="M2475" s="15">
        <v>10000</v>
      </c>
      <c r="N2475" s="13" t="s">
        <v>1</v>
      </c>
      <c r="O2475" s="16">
        <f t="shared" si="599"/>
        <v>1</v>
      </c>
      <c r="P2475" s="22">
        <f t="shared" ref="P2475:P2477" si="603">O2475*$P$2473</f>
        <v>3840</v>
      </c>
    </row>
    <row r="2476" spans="1:16" x14ac:dyDescent="0.25">
      <c r="A2476" s="91"/>
      <c r="B2476" s="13" t="s">
        <v>1718</v>
      </c>
      <c r="C2476" s="13" t="s">
        <v>1719</v>
      </c>
      <c r="D2476" s="13">
        <v>99</v>
      </c>
      <c r="E2476" s="13" t="s">
        <v>15</v>
      </c>
      <c r="F2476" s="13">
        <v>1</v>
      </c>
      <c r="G2476" s="13" t="s">
        <v>16</v>
      </c>
      <c r="H2476" s="13" t="s">
        <v>17</v>
      </c>
      <c r="I2476" s="14">
        <v>4006399</v>
      </c>
      <c r="J2476" s="13" t="s">
        <v>1709</v>
      </c>
      <c r="K2476" s="13">
        <v>99</v>
      </c>
      <c r="L2476" s="13" t="s">
        <v>15</v>
      </c>
      <c r="M2476" s="13">
        <v>834</v>
      </c>
      <c r="N2476" s="13" t="s">
        <v>1</v>
      </c>
      <c r="O2476" s="16">
        <f t="shared" si="599"/>
        <v>8.3400000000000002E-2</v>
      </c>
      <c r="P2476" s="22">
        <f t="shared" si="603"/>
        <v>320.25600000000003</v>
      </c>
    </row>
    <row r="2477" spans="1:16" ht="15.75" thickBot="1" x14ac:dyDescent="0.3">
      <c r="A2477" s="90"/>
      <c r="B2477" s="23" t="s">
        <v>1718</v>
      </c>
      <c r="C2477" s="23" t="s">
        <v>1719</v>
      </c>
      <c r="D2477" s="23">
        <v>99</v>
      </c>
      <c r="E2477" s="23" t="s">
        <v>15</v>
      </c>
      <c r="F2477" s="23">
        <v>1</v>
      </c>
      <c r="G2477" s="23" t="s">
        <v>21</v>
      </c>
      <c r="H2477" s="23" t="s">
        <v>17</v>
      </c>
      <c r="I2477" s="24" t="s">
        <v>1721</v>
      </c>
      <c r="J2477" s="23" t="s">
        <v>1722</v>
      </c>
      <c r="K2477" s="23">
        <v>3</v>
      </c>
      <c r="L2477" s="23" t="s">
        <v>24</v>
      </c>
      <c r="M2477" s="25">
        <v>10000</v>
      </c>
      <c r="N2477" s="23" t="s">
        <v>1</v>
      </c>
      <c r="O2477" s="26">
        <f t="shared" si="599"/>
        <v>1</v>
      </c>
      <c r="P2477" s="27">
        <f t="shared" si="603"/>
        <v>3840</v>
      </c>
    </row>
    <row r="2478" spans="1:16" x14ac:dyDescent="0.25">
      <c r="B2478" s="1"/>
      <c r="C2478" s="1"/>
      <c r="D2478" s="1"/>
      <c r="E2478" s="1"/>
      <c r="F2478" s="1"/>
      <c r="G2478" s="1"/>
      <c r="H2478" s="1"/>
      <c r="I2478" s="2"/>
      <c r="J2478" s="1"/>
      <c r="K2478" s="1"/>
      <c r="L2478" s="1"/>
      <c r="M2478" s="3"/>
      <c r="N2478" s="1"/>
    </row>
    <row r="2479" spans="1:16" ht="15.75" thickBot="1" x14ac:dyDescent="0.3">
      <c r="B2479" s="1"/>
      <c r="C2479" s="1"/>
      <c r="D2479" s="1"/>
      <c r="E2479" s="1"/>
      <c r="F2479" s="1"/>
      <c r="G2479" s="1"/>
      <c r="H2479" s="1"/>
      <c r="I2479" s="2"/>
      <c r="J2479" s="1"/>
      <c r="K2479" s="1"/>
      <c r="L2479" s="1"/>
      <c r="M2479" s="3"/>
      <c r="N2479" s="1"/>
      <c r="P2479" s="11">
        <f>IFERROR(VLOOKUP($A2480,'PROGRAMA MES '!$A:$B,2,0),0)</f>
        <v>1440</v>
      </c>
    </row>
    <row r="2480" spans="1:16" x14ac:dyDescent="0.25">
      <c r="A2480" s="89" t="str">
        <f>B2480</f>
        <v>SP9671VR</v>
      </c>
      <c r="B2480" s="17" t="s">
        <v>1723</v>
      </c>
      <c r="C2480" s="17" t="s">
        <v>1724</v>
      </c>
      <c r="D2480" s="17">
        <v>99</v>
      </c>
      <c r="E2480" s="17" t="s">
        <v>15</v>
      </c>
      <c r="F2480" s="17">
        <v>1</v>
      </c>
      <c r="G2480" s="17" t="s">
        <v>16</v>
      </c>
      <c r="H2480" s="17" t="s">
        <v>17</v>
      </c>
      <c r="I2480" s="18">
        <v>4002827</v>
      </c>
      <c r="J2480" s="17" t="s">
        <v>0</v>
      </c>
      <c r="K2480" s="17">
        <v>99</v>
      </c>
      <c r="L2480" s="17" t="s">
        <v>15</v>
      </c>
      <c r="M2480" s="19">
        <v>1260</v>
      </c>
      <c r="N2480" s="17" t="s">
        <v>2</v>
      </c>
      <c r="O2480" s="20">
        <f t="shared" si="599"/>
        <v>0.126</v>
      </c>
      <c r="P2480" s="21">
        <f>O2480*$P$2479</f>
        <v>181.44</v>
      </c>
    </row>
    <row r="2481" spans="1:16" x14ac:dyDescent="0.25">
      <c r="A2481" s="91"/>
      <c r="B2481" s="13" t="s">
        <v>1723</v>
      </c>
      <c r="C2481" s="13" t="s">
        <v>1724</v>
      </c>
      <c r="D2481" s="13">
        <v>99</v>
      </c>
      <c r="E2481" s="13" t="s">
        <v>15</v>
      </c>
      <c r="F2481" s="13">
        <v>1</v>
      </c>
      <c r="G2481" s="13" t="s">
        <v>16</v>
      </c>
      <c r="H2481" s="13" t="s">
        <v>17</v>
      </c>
      <c r="I2481" s="14">
        <v>4006396</v>
      </c>
      <c r="J2481" s="13" t="s">
        <v>1725</v>
      </c>
      <c r="K2481" s="13">
        <v>99</v>
      </c>
      <c r="L2481" s="13" t="s">
        <v>15</v>
      </c>
      <c r="M2481" s="15">
        <v>10000</v>
      </c>
      <c r="N2481" s="13" t="s">
        <v>1</v>
      </c>
      <c r="O2481" s="16">
        <f t="shared" si="599"/>
        <v>1</v>
      </c>
      <c r="P2481" s="22">
        <f t="shared" ref="P2481:P2483" si="604">O2481*$P$2479</f>
        <v>1440</v>
      </c>
    </row>
    <row r="2482" spans="1:16" x14ac:dyDescent="0.25">
      <c r="A2482" s="91"/>
      <c r="B2482" s="13" t="s">
        <v>1723</v>
      </c>
      <c r="C2482" s="13" t="s">
        <v>1724</v>
      </c>
      <c r="D2482" s="13">
        <v>99</v>
      </c>
      <c r="E2482" s="13" t="s">
        <v>15</v>
      </c>
      <c r="F2482" s="13">
        <v>1</v>
      </c>
      <c r="G2482" s="13" t="s">
        <v>16</v>
      </c>
      <c r="H2482" s="13" t="s">
        <v>17</v>
      </c>
      <c r="I2482" s="14">
        <v>4006399</v>
      </c>
      <c r="J2482" s="13" t="s">
        <v>1709</v>
      </c>
      <c r="K2482" s="13">
        <v>99</v>
      </c>
      <c r="L2482" s="13" t="s">
        <v>15</v>
      </c>
      <c r="M2482" s="13">
        <v>834</v>
      </c>
      <c r="N2482" s="13" t="s">
        <v>1</v>
      </c>
      <c r="O2482" s="16">
        <f t="shared" si="599"/>
        <v>8.3400000000000002E-2</v>
      </c>
      <c r="P2482" s="22">
        <f t="shared" si="604"/>
        <v>120.096</v>
      </c>
    </row>
    <row r="2483" spans="1:16" ht="15.75" thickBot="1" x14ac:dyDescent="0.3">
      <c r="A2483" s="90"/>
      <c r="B2483" s="23" t="s">
        <v>1723</v>
      </c>
      <c r="C2483" s="23" t="s">
        <v>1724</v>
      </c>
      <c r="D2483" s="23">
        <v>99</v>
      </c>
      <c r="E2483" s="23" t="s">
        <v>15</v>
      </c>
      <c r="F2483" s="23">
        <v>1</v>
      </c>
      <c r="G2483" s="23" t="s">
        <v>21</v>
      </c>
      <c r="H2483" s="23" t="s">
        <v>17</v>
      </c>
      <c r="I2483" s="24" t="s">
        <v>1726</v>
      </c>
      <c r="J2483" s="23" t="s">
        <v>1727</v>
      </c>
      <c r="K2483" s="23">
        <v>3</v>
      </c>
      <c r="L2483" s="23" t="s">
        <v>24</v>
      </c>
      <c r="M2483" s="25">
        <v>10000</v>
      </c>
      <c r="N2483" s="23" t="s">
        <v>1</v>
      </c>
      <c r="O2483" s="26">
        <f t="shared" si="599"/>
        <v>1</v>
      </c>
      <c r="P2483" s="27">
        <f t="shared" si="604"/>
        <v>1440</v>
      </c>
    </row>
    <row r="2484" spans="1:16" x14ac:dyDescent="0.25">
      <c r="B2484" s="1"/>
      <c r="C2484" s="1"/>
      <c r="D2484" s="1"/>
      <c r="E2484" s="1"/>
      <c r="F2484" s="1"/>
      <c r="G2484" s="1"/>
      <c r="H2484" s="1"/>
      <c r="I2484" s="2"/>
      <c r="J2484" s="1"/>
      <c r="K2484" s="1"/>
      <c r="L2484" s="1"/>
      <c r="M2484" s="3"/>
      <c r="N2484" s="1"/>
    </row>
    <row r="2485" spans="1:16" ht="15.75" thickBot="1" x14ac:dyDescent="0.3">
      <c r="B2485" s="1"/>
      <c r="C2485" s="1"/>
      <c r="D2485" s="1"/>
      <c r="E2485" s="1"/>
      <c r="F2485" s="1"/>
      <c r="G2485" s="1"/>
      <c r="H2485" s="1"/>
      <c r="I2485" s="2"/>
      <c r="J2485" s="1"/>
      <c r="K2485" s="1"/>
      <c r="L2485" s="1"/>
      <c r="M2485" s="3"/>
      <c r="N2485" s="1"/>
      <c r="P2485" s="11">
        <f>IFERROR(VLOOKUP($A2486,'PROGRAMA MES '!$A:$B,2,0),0)</f>
        <v>0</v>
      </c>
    </row>
    <row r="2486" spans="1:16" x14ac:dyDescent="0.25">
      <c r="A2486" s="89" t="str">
        <f>B2486</f>
        <v>SP9677AM</v>
      </c>
      <c r="B2486" s="17" t="s">
        <v>1728</v>
      </c>
      <c r="C2486" s="17" t="s">
        <v>1729</v>
      </c>
      <c r="D2486" s="17">
        <v>51</v>
      </c>
      <c r="E2486" s="17" t="s">
        <v>101</v>
      </c>
      <c r="F2486" s="17">
        <v>1</v>
      </c>
      <c r="G2486" s="17" t="s">
        <v>16</v>
      </c>
      <c r="H2486" s="17" t="s">
        <v>17</v>
      </c>
      <c r="I2486" s="18">
        <v>4002546</v>
      </c>
      <c r="J2486" s="17" t="s">
        <v>179</v>
      </c>
      <c r="K2486" s="17">
        <v>99</v>
      </c>
      <c r="L2486" s="17" t="s">
        <v>15</v>
      </c>
      <c r="M2486" s="19">
        <v>1334</v>
      </c>
      <c r="N2486" s="17" t="s">
        <v>1</v>
      </c>
      <c r="O2486" s="20">
        <f t="shared" si="599"/>
        <v>0.13339999999999999</v>
      </c>
      <c r="P2486" s="21">
        <f>O2486*$P$2485</f>
        <v>0</v>
      </c>
    </row>
    <row r="2487" spans="1:16" x14ac:dyDescent="0.25">
      <c r="A2487" s="91"/>
      <c r="B2487" s="13" t="s">
        <v>1728</v>
      </c>
      <c r="C2487" s="13" t="s">
        <v>1729</v>
      </c>
      <c r="D2487" s="13">
        <v>51</v>
      </c>
      <c r="E2487" s="13" t="s">
        <v>101</v>
      </c>
      <c r="F2487" s="13">
        <v>1</v>
      </c>
      <c r="G2487" s="13" t="s">
        <v>16</v>
      </c>
      <c r="H2487" s="13" t="s">
        <v>17</v>
      </c>
      <c r="I2487" s="14">
        <v>4002827</v>
      </c>
      <c r="J2487" s="13" t="s">
        <v>0</v>
      </c>
      <c r="K2487" s="13">
        <v>99</v>
      </c>
      <c r="L2487" s="13" t="s">
        <v>15</v>
      </c>
      <c r="M2487" s="15">
        <v>1283.33</v>
      </c>
      <c r="N2487" s="13" t="s">
        <v>2</v>
      </c>
      <c r="O2487" s="16">
        <f t="shared" si="599"/>
        <v>0.128333</v>
      </c>
      <c r="P2487" s="22">
        <f t="shared" ref="P2487:P2492" si="605">O2487*$P$2485</f>
        <v>0</v>
      </c>
    </row>
    <row r="2488" spans="1:16" x14ac:dyDescent="0.25">
      <c r="A2488" s="91"/>
      <c r="B2488" s="13" t="s">
        <v>1728</v>
      </c>
      <c r="C2488" s="13" t="s">
        <v>1729</v>
      </c>
      <c r="D2488" s="13">
        <v>51</v>
      </c>
      <c r="E2488" s="13" t="s">
        <v>101</v>
      </c>
      <c r="F2488" s="13">
        <v>1</v>
      </c>
      <c r="G2488" s="13" t="s">
        <v>16</v>
      </c>
      <c r="H2488" s="13" t="s">
        <v>17</v>
      </c>
      <c r="I2488" s="14">
        <v>4014388</v>
      </c>
      <c r="J2488" s="13" t="s">
        <v>1730</v>
      </c>
      <c r="K2488" s="13">
        <v>99</v>
      </c>
      <c r="L2488" s="13" t="s">
        <v>15</v>
      </c>
      <c r="M2488" s="15">
        <v>2667</v>
      </c>
      <c r="N2488" s="13" t="s">
        <v>1</v>
      </c>
      <c r="O2488" s="16">
        <f t="shared" si="599"/>
        <v>0.26669999999999999</v>
      </c>
      <c r="P2488" s="22">
        <f t="shared" si="605"/>
        <v>0</v>
      </c>
    </row>
    <row r="2489" spans="1:16" x14ac:dyDescent="0.25">
      <c r="A2489" s="91"/>
      <c r="B2489" s="13" t="s">
        <v>1728</v>
      </c>
      <c r="C2489" s="13" t="s">
        <v>1729</v>
      </c>
      <c r="D2489" s="13">
        <v>51</v>
      </c>
      <c r="E2489" s="13" t="s">
        <v>101</v>
      </c>
      <c r="F2489" s="13">
        <v>1</v>
      </c>
      <c r="G2489" s="13" t="s">
        <v>16</v>
      </c>
      <c r="H2489" s="13" t="s">
        <v>17</v>
      </c>
      <c r="I2489" s="14">
        <v>4014389</v>
      </c>
      <c r="J2489" s="13" t="s">
        <v>1731</v>
      </c>
      <c r="K2489" s="13">
        <v>99</v>
      </c>
      <c r="L2489" s="13" t="s">
        <v>15</v>
      </c>
      <c r="M2489" s="15">
        <v>1334</v>
      </c>
      <c r="N2489" s="13" t="s">
        <v>1</v>
      </c>
      <c r="O2489" s="16">
        <f t="shared" si="599"/>
        <v>0.13339999999999999</v>
      </c>
      <c r="P2489" s="22">
        <f t="shared" si="605"/>
        <v>0</v>
      </c>
    </row>
    <row r="2490" spans="1:16" x14ac:dyDescent="0.25">
      <c r="A2490" s="91"/>
      <c r="B2490" s="13" t="s">
        <v>1728</v>
      </c>
      <c r="C2490" s="13" t="s">
        <v>1729</v>
      </c>
      <c r="D2490" s="13">
        <v>51</v>
      </c>
      <c r="E2490" s="13" t="s">
        <v>101</v>
      </c>
      <c r="F2490" s="13">
        <v>1</v>
      </c>
      <c r="G2490" s="13" t="s">
        <v>16</v>
      </c>
      <c r="H2490" s="13" t="s">
        <v>17</v>
      </c>
      <c r="I2490" s="14">
        <v>4014452</v>
      </c>
      <c r="J2490" s="13" t="s">
        <v>1732</v>
      </c>
      <c r="K2490" s="13">
        <v>99</v>
      </c>
      <c r="L2490" s="13" t="s">
        <v>15</v>
      </c>
      <c r="M2490" s="13">
        <v>667</v>
      </c>
      <c r="N2490" s="13" t="s">
        <v>1</v>
      </c>
      <c r="O2490" s="16">
        <f t="shared" si="599"/>
        <v>6.6699999999999995E-2</v>
      </c>
      <c r="P2490" s="22">
        <f t="shared" si="605"/>
        <v>0</v>
      </c>
    </row>
    <row r="2491" spans="1:16" x14ac:dyDescent="0.25">
      <c r="A2491" s="91"/>
      <c r="B2491" s="13" t="s">
        <v>1728</v>
      </c>
      <c r="C2491" s="13" t="s">
        <v>1729</v>
      </c>
      <c r="D2491" s="13">
        <v>51</v>
      </c>
      <c r="E2491" s="13" t="s">
        <v>101</v>
      </c>
      <c r="F2491" s="13">
        <v>1</v>
      </c>
      <c r="G2491" s="13" t="s">
        <v>16</v>
      </c>
      <c r="H2491" s="13" t="s">
        <v>17</v>
      </c>
      <c r="I2491" s="14">
        <v>4014469</v>
      </c>
      <c r="J2491" s="13" t="s">
        <v>1733</v>
      </c>
      <c r="K2491" s="13">
        <v>99</v>
      </c>
      <c r="L2491" s="13" t="s">
        <v>15</v>
      </c>
      <c r="M2491" s="15">
        <v>10000</v>
      </c>
      <c r="N2491" s="13" t="s">
        <v>1</v>
      </c>
      <c r="O2491" s="16">
        <f t="shared" si="599"/>
        <v>1</v>
      </c>
      <c r="P2491" s="22">
        <f t="shared" si="605"/>
        <v>0</v>
      </c>
    </row>
    <row r="2492" spans="1:16" ht="15.75" thickBot="1" x14ac:dyDescent="0.3">
      <c r="A2492" s="90"/>
      <c r="B2492" s="23" t="s">
        <v>1728</v>
      </c>
      <c r="C2492" s="23" t="s">
        <v>1729</v>
      </c>
      <c r="D2492" s="23">
        <v>51</v>
      </c>
      <c r="E2492" s="23" t="s">
        <v>101</v>
      </c>
      <c r="F2492" s="23">
        <v>1</v>
      </c>
      <c r="G2492" s="23" t="s">
        <v>21</v>
      </c>
      <c r="H2492" s="23" t="s">
        <v>17</v>
      </c>
      <c r="I2492" s="24" t="s">
        <v>1734</v>
      </c>
      <c r="J2492" s="23" t="s">
        <v>1735</v>
      </c>
      <c r="K2492" s="23">
        <v>3</v>
      </c>
      <c r="L2492" s="23" t="s">
        <v>24</v>
      </c>
      <c r="M2492" s="25">
        <v>10000</v>
      </c>
      <c r="N2492" s="23" t="s">
        <v>1</v>
      </c>
      <c r="O2492" s="26">
        <f t="shared" si="599"/>
        <v>1</v>
      </c>
      <c r="P2492" s="27">
        <f t="shared" si="605"/>
        <v>0</v>
      </c>
    </row>
    <row r="2493" spans="1:16" x14ac:dyDescent="0.25">
      <c r="B2493" s="1"/>
      <c r="C2493" s="1"/>
      <c r="D2493" s="1"/>
      <c r="E2493" s="1"/>
      <c r="F2493" s="1"/>
      <c r="G2493" s="1"/>
      <c r="H2493" s="1"/>
      <c r="I2493" s="2"/>
      <c r="J2493" s="1"/>
      <c r="K2493" s="1"/>
      <c r="L2493" s="1"/>
      <c r="M2493" s="3"/>
      <c r="N2493" s="1"/>
    </row>
    <row r="2494" spans="1:16" ht="15.75" thickBot="1" x14ac:dyDescent="0.3">
      <c r="B2494" s="1"/>
      <c r="C2494" s="1"/>
      <c r="D2494" s="1"/>
      <c r="E2494" s="1"/>
      <c r="F2494" s="1"/>
      <c r="G2494" s="1"/>
      <c r="H2494" s="1"/>
      <c r="I2494" s="2"/>
      <c r="J2494" s="1"/>
      <c r="K2494" s="1"/>
      <c r="L2494" s="1"/>
      <c r="M2494" s="3"/>
      <c r="N2494" s="1"/>
      <c r="P2494" s="11">
        <f>IFERROR(VLOOKUP($A2495,'PROGRAMA MES '!$A:$B,2,0),0)</f>
        <v>0</v>
      </c>
    </row>
    <row r="2495" spans="1:16" x14ac:dyDescent="0.25">
      <c r="A2495" s="89" t="str">
        <f>B2495</f>
        <v>SP9677AZ</v>
      </c>
      <c r="B2495" s="17" t="s">
        <v>1736</v>
      </c>
      <c r="C2495" s="17" t="s">
        <v>1737</v>
      </c>
      <c r="D2495" s="17">
        <v>51</v>
      </c>
      <c r="E2495" s="17" t="s">
        <v>101</v>
      </c>
      <c r="F2495" s="17">
        <v>1</v>
      </c>
      <c r="G2495" s="17" t="s">
        <v>16</v>
      </c>
      <c r="H2495" s="17" t="s">
        <v>17</v>
      </c>
      <c r="I2495" s="18">
        <v>4002546</v>
      </c>
      <c r="J2495" s="17" t="s">
        <v>179</v>
      </c>
      <c r="K2495" s="17">
        <v>99</v>
      </c>
      <c r="L2495" s="17" t="s">
        <v>15</v>
      </c>
      <c r="M2495" s="19">
        <v>1334</v>
      </c>
      <c r="N2495" s="17" t="s">
        <v>1</v>
      </c>
      <c r="O2495" s="20">
        <f t="shared" si="599"/>
        <v>0.13339999999999999</v>
      </c>
      <c r="P2495" s="21">
        <f>O2495*$P$2494</f>
        <v>0</v>
      </c>
    </row>
    <row r="2496" spans="1:16" x14ac:dyDescent="0.25">
      <c r="A2496" s="91"/>
      <c r="B2496" s="13" t="s">
        <v>1736</v>
      </c>
      <c r="C2496" s="13" t="s">
        <v>1737</v>
      </c>
      <c r="D2496" s="13">
        <v>51</v>
      </c>
      <c r="E2496" s="13" t="s">
        <v>101</v>
      </c>
      <c r="F2496" s="13">
        <v>1</v>
      </c>
      <c r="G2496" s="13" t="s">
        <v>16</v>
      </c>
      <c r="H2496" s="13" t="s">
        <v>17</v>
      </c>
      <c r="I2496" s="14">
        <v>4002827</v>
      </c>
      <c r="J2496" s="13" t="s">
        <v>0</v>
      </c>
      <c r="K2496" s="13">
        <v>99</v>
      </c>
      <c r="L2496" s="13" t="s">
        <v>15</v>
      </c>
      <c r="M2496" s="15">
        <v>1283.33</v>
      </c>
      <c r="N2496" s="13" t="s">
        <v>2</v>
      </c>
      <c r="O2496" s="16">
        <f t="shared" si="599"/>
        <v>0.128333</v>
      </c>
      <c r="P2496" s="22">
        <f t="shared" ref="P2496:P2501" si="606">O2496*$P$2494</f>
        <v>0</v>
      </c>
    </row>
    <row r="2497" spans="1:16" x14ac:dyDescent="0.25">
      <c r="A2497" s="91"/>
      <c r="B2497" s="13" t="s">
        <v>1736</v>
      </c>
      <c r="C2497" s="13" t="s">
        <v>1737</v>
      </c>
      <c r="D2497" s="13">
        <v>51</v>
      </c>
      <c r="E2497" s="13" t="s">
        <v>101</v>
      </c>
      <c r="F2497" s="13">
        <v>1</v>
      </c>
      <c r="G2497" s="13" t="s">
        <v>16</v>
      </c>
      <c r="H2497" s="13" t="s">
        <v>17</v>
      </c>
      <c r="I2497" s="14">
        <v>4014388</v>
      </c>
      <c r="J2497" s="13" t="s">
        <v>1730</v>
      </c>
      <c r="K2497" s="13">
        <v>99</v>
      </c>
      <c r="L2497" s="13" t="s">
        <v>15</v>
      </c>
      <c r="M2497" s="15">
        <v>2667</v>
      </c>
      <c r="N2497" s="13" t="s">
        <v>1</v>
      </c>
      <c r="O2497" s="16">
        <f t="shared" si="599"/>
        <v>0.26669999999999999</v>
      </c>
      <c r="P2497" s="22">
        <f t="shared" si="606"/>
        <v>0</v>
      </c>
    </row>
    <row r="2498" spans="1:16" x14ac:dyDescent="0.25">
      <c r="A2498" s="91"/>
      <c r="B2498" s="13" t="s">
        <v>1736</v>
      </c>
      <c r="C2498" s="13" t="s">
        <v>1737</v>
      </c>
      <c r="D2498" s="13">
        <v>51</v>
      </c>
      <c r="E2498" s="13" t="s">
        <v>101</v>
      </c>
      <c r="F2498" s="13">
        <v>1</v>
      </c>
      <c r="G2498" s="13" t="s">
        <v>16</v>
      </c>
      <c r="H2498" s="13" t="s">
        <v>17</v>
      </c>
      <c r="I2498" s="14">
        <v>4014389</v>
      </c>
      <c r="J2498" s="13" t="s">
        <v>1731</v>
      </c>
      <c r="K2498" s="13">
        <v>99</v>
      </c>
      <c r="L2498" s="13" t="s">
        <v>15</v>
      </c>
      <c r="M2498" s="15">
        <v>1334</v>
      </c>
      <c r="N2498" s="13" t="s">
        <v>1</v>
      </c>
      <c r="O2498" s="16">
        <f t="shared" si="599"/>
        <v>0.13339999999999999</v>
      </c>
      <c r="P2498" s="22">
        <f t="shared" si="606"/>
        <v>0</v>
      </c>
    </row>
    <row r="2499" spans="1:16" x14ac:dyDescent="0.25">
      <c r="A2499" s="91"/>
      <c r="B2499" s="13" t="s">
        <v>1736</v>
      </c>
      <c r="C2499" s="13" t="s">
        <v>1737</v>
      </c>
      <c r="D2499" s="13">
        <v>51</v>
      </c>
      <c r="E2499" s="13" t="s">
        <v>101</v>
      </c>
      <c r="F2499" s="13">
        <v>1</v>
      </c>
      <c r="G2499" s="13" t="s">
        <v>16</v>
      </c>
      <c r="H2499" s="13" t="s">
        <v>17</v>
      </c>
      <c r="I2499" s="14">
        <v>4014452</v>
      </c>
      <c r="J2499" s="13" t="s">
        <v>1732</v>
      </c>
      <c r="K2499" s="13">
        <v>99</v>
      </c>
      <c r="L2499" s="13" t="s">
        <v>15</v>
      </c>
      <c r="M2499" s="13">
        <v>667</v>
      </c>
      <c r="N2499" s="13" t="s">
        <v>1</v>
      </c>
      <c r="O2499" s="16">
        <f t="shared" si="599"/>
        <v>6.6699999999999995E-2</v>
      </c>
      <c r="P2499" s="22">
        <f t="shared" si="606"/>
        <v>0</v>
      </c>
    </row>
    <row r="2500" spans="1:16" x14ac:dyDescent="0.25">
      <c r="A2500" s="91"/>
      <c r="B2500" s="13" t="s">
        <v>1736</v>
      </c>
      <c r="C2500" s="13" t="s">
        <v>1737</v>
      </c>
      <c r="D2500" s="13">
        <v>51</v>
      </c>
      <c r="E2500" s="13" t="s">
        <v>101</v>
      </c>
      <c r="F2500" s="13">
        <v>1</v>
      </c>
      <c r="G2500" s="13" t="s">
        <v>16</v>
      </c>
      <c r="H2500" s="13" t="s">
        <v>17</v>
      </c>
      <c r="I2500" s="14">
        <v>4014467</v>
      </c>
      <c r="J2500" s="13" t="s">
        <v>1738</v>
      </c>
      <c r="K2500" s="13">
        <v>99</v>
      </c>
      <c r="L2500" s="13" t="s">
        <v>15</v>
      </c>
      <c r="M2500" s="15">
        <v>10000</v>
      </c>
      <c r="N2500" s="13" t="s">
        <v>1</v>
      </c>
      <c r="O2500" s="16">
        <f t="shared" si="599"/>
        <v>1</v>
      </c>
      <c r="P2500" s="22">
        <f t="shared" si="606"/>
        <v>0</v>
      </c>
    </row>
    <row r="2501" spans="1:16" ht="15.75" thickBot="1" x14ac:dyDescent="0.3">
      <c r="A2501" s="90"/>
      <c r="B2501" s="23" t="s">
        <v>1736</v>
      </c>
      <c r="C2501" s="23" t="s">
        <v>1737</v>
      </c>
      <c r="D2501" s="23">
        <v>51</v>
      </c>
      <c r="E2501" s="23" t="s">
        <v>101</v>
      </c>
      <c r="F2501" s="23">
        <v>1</v>
      </c>
      <c r="G2501" s="23" t="s">
        <v>21</v>
      </c>
      <c r="H2501" s="23" t="s">
        <v>17</v>
      </c>
      <c r="I2501" s="24" t="s">
        <v>1739</v>
      </c>
      <c r="J2501" s="23" t="s">
        <v>1740</v>
      </c>
      <c r="K2501" s="23">
        <v>3</v>
      </c>
      <c r="L2501" s="23" t="s">
        <v>24</v>
      </c>
      <c r="M2501" s="25">
        <v>10000</v>
      </c>
      <c r="N2501" s="23" t="s">
        <v>1</v>
      </c>
      <c r="O2501" s="26">
        <f t="shared" si="599"/>
        <v>1</v>
      </c>
      <c r="P2501" s="27">
        <f t="shared" si="606"/>
        <v>0</v>
      </c>
    </row>
    <row r="2502" spans="1:16" x14ac:dyDescent="0.25">
      <c r="B2502" s="1"/>
      <c r="C2502" s="1"/>
      <c r="D2502" s="1"/>
      <c r="E2502" s="1"/>
      <c r="F2502" s="1"/>
      <c r="G2502" s="1"/>
      <c r="H2502" s="1"/>
      <c r="I2502" s="2"/>
      <c r="J2502" s="1"/>
      <c r="K2502" s="1"/>
      <c r="L2502" s="1"/>
      <c r="M2502" s="3"/>
      <c r="N2502" s="1"/>
    </row>
    <row r="2503" spans="1:16" ht="15.75" thickBot="1" x14ac:dyDescent="0.3">
      <c r="B2503" s="1"/>
      <c r="C2503" s="1"/>
      <c r="D2503" s="1"/>
      <c r="E2503" s="1"/>
      <c r="F2503" s="1"/>
      <c r="G2503" s="1"/>
      <c r="H2503" s="1"/>
      <c r="I2503" s="2"/>
      <c r="J2503" s="1"/>
      <c r="K2503" s="1"/>
      <c r="L2503" s="1"/>
      <c r="M2503" s="3"/>
      <c r="N2503" s="1"/>
      <c r="P2503" s="11">
        <f>IFERROR(VLOOKUP($A2504,'PROGRAMA MES '!$A:$B,2,0),0)</f>
        <v>0</v>
      </c>
    </row>
    <row r="2504" spans="1:16" x14ac:dyDescent="0.25">
      <c r="A2504" s="89" t="str">
        <f>B2504</f>
        <v>SP9677VD</v>
      </c>
      <c r="B2504" s="17" t="s">
        <v>1741</v>
      </c>
      <c r="C2504" s="17" t="s">
        <v>1742</v>
      </c>
      <c r="D2504" s="17">
        <v>51</v>
      </c>
      <c r="E2504" s="17" t="s">
        <v>101</v>
      </c>
      <c r="F2504" s="17">
        <v>1</v>
      </c>
      <c r="G2504" s="17" t="s">
        <v>16</v>
      </c>
      <c r="H2504" s="17" t="s">
        <v>17</v>
      </c>
      <c r="I2504" s="18">
        <v>4002546</v>
      </c>
      <c r="J2504" s="17" t="s">
        <v>179</v>
      </c>
      <c r="K2504" s="17">
        <v>99</v>
      </c>
      <c r="L2504" s="17" t="s">
        <v>15</v>
      </c>
      <c r="M2504" s="19">
        <v>1334</v>
      </c>
      <c r="N2504" s="17" t="s">
        <v>1</v>
      </c>
      <c r="O2504" s="20">
        <f t="shared" si="599"/>
        <v>0.13339999999999999</v>
      </c>
      <c r="P2504" s="21">
        <f>O2504*$P$2503</f>
        <v>0</v>
      </c>
    </row>
    <row r="2505" spans="1:16" x14ac:dyDescent="0.25">
      <c r="A2505" s="91"/>
      <c r="B2505" s="13" t="s">
        <v>1741</v>
      </c>
      <c r="C2505" s="13" t="s">
        <v>1742</v>
      </c>
      <c r="D2505" s="13">
        <v>51</v>
      </c>
      <c r="E2505" s="13" t="s">
        <v>101</v>
      </c>
      <c r="F2505" s="13">
        <v>1</v>
      </c>
      <c r="G2505" s="13" t="s">
        <v>16</v>
      </c>
      <c r="H2505" s="13" t="s">
        <v>17</v>
      </c>
      <c r="I2505" s="14">
        <v>4002827</v>
      </c>
      <c r="J2505" s="13" t="s">
        <v>0</v>
      </c>
      <c r="K2505" s="13">
        <v>99</v>
      </c>
      <c r="L2505" s="13" t="s">
        <v>15</v>
      </c>
      <c r="M2505" s="15">
        <v>1283.33</v>
      </c>
      <c r="N2505" s="13" t="s">
        <v>2</v>
      </c>
      <c r="O2505" s="16">
        <f t="shared" si="599"/>
        <v>0.128333</v>
      </c>
      <c r="P2505" s="22">
        <f t="shared" ref="P2505:P2510" si="607">O2505*$P$2503</f>
        <v>0</v>
      </c>
    </row>
    <row r="2506" spans="1:16" x14ac:dyDescent="0.25">
      <c r="A2506" s="91"/>
      <c r="B2506" s="13" t="s">
        <v>1741</v>
      </c>
      <c r="C2506" s="13" t="s">
        <v>1742</v>
      </c>
      <c r="D2506" s="13">
        <v>51</v>
      </c>
      <c r="E2506" s="13" t="s">
        <v>101</v>
      </c>
      <c r="F2506" s="13">
        <v>1</v>
      </c>
      <c r="G2506" s="13" t="s">
        <v>16</v>
      </c>
      <c r="H2506" s="13" t="s">
        <v>17</v>
      </c>
      <c r="I2506" s="14">
        <v>4014388</v>
      </c>
      <c r="J2506" s="13" t="s">
        <v>1730</v>
      </c>
      <c r="K2506" s="13">
        <v>99</v>
      </c>
      <c r="L2506" s="13" t="s">
        <v>15</v>
      </c>
      <c r="M2506" s="15">
        <v>2667</v>
      </c>
      <c r="N2506" s="13" t="s">
        <v>1</v>
      </c>
      <c r="O2506" s="16">
        <f t="shared" si="599"/>
        <v>0.26669999999999999</v>
      </c>
      <c r="P2506" s="22">
        <f t="shared" si="607"/>
        <v>0</v>
      </c>
    </row>
    <row r="2507" spans="1:16" x14ac:dyDescent="0.25">
      <c r="A2507" s="91"/>
      <c r="B2507" s="13" t="s">
        <v>1741</v>
      </c>
      <c r="C2507" s="13" t="s">
        <v>1742</v>
      </c>
      <c r="D2507" s="13">
        <v>51</v>
      </c>
      <c r="E2507" s="13" t="s">
        <v>101</v>
      </c>
      <c r="F2507" s="13">
        <v>1</v>
      </c>
      <c r="G2507" s="13" t="s">
        <v>16</v>
      </c>
      <c r="H2507" s="13" t="s">
        <v>17</v>
      </c>
      <c r="I2507" s="14">
        <v>4014389</v>
      </c>
      <c r="J2507" s="13" t="s">
        <v>1731</v>
      </c>
      <c r="K2507" s="13">
        <v>99</v>
      </c>
      <c r="L2507" s="13" t="s">
        <v>15</v>
      </c>
      <c r="M2507" s="15">
        <v>1334</v>
      </c>
      <c r="N2507" s="13" t="s">
        <v>1</v>
      </c>
      <c r="O2507" s="16">
        <f t="shared" si="599"/>
        <v>0.13339999999999999</v>
      </c>
      <c r="P2507" s="22">
        <f t="shared" si="607"/>
        <v>0</v>
      </c>
    </row>
    <row r="2508" spans="1:16" x14ac:dyDescent="0.25">
      <c r="A2508" s="91"/>
      <c r="B2508" s="13" t="s">
        <v>1741</v>
      </c>
      <c r="C2508" s="13" t="s">
        <v>1742</v>
      </c>
      <c r="D2508" s="13">
        <v>51</v>
      </c>
      <c r="E2508" s="13" t="s">
        <v>101</v>
      </c>
      <c r="F2508" s="13">
        <v>1</v>
      </c>
      <c r="G2508" s="13" t="s">
        <v>16</v>
      </c>
      <c r="H2508" s="13" t="s">
        <v>17</v>
      </c>
      <c r="I2508" s="14">
        <v>4014452</v>
      </c>
      <c r="J2508" s="13" t="s">
        <v>1732</v>
      </c>
      <c r="K2508" s="13">
        <v>99</v>
      </c>
      <c r="L2508" s="13" t="s">
        <v>15</v>
      </c>
      <c r="M2508" s="13">
        <v>667</v>
      </c>
      <c r="N2508" s="13" t="s">
        <v>1</v>
      </c>
      <c r="O2508" s="16">
        <f t="shared" si="599"/>
        <v>6.6699999999999995E-2</v>
      </c>
      <c r="P2508" s="22">
        <f t="shared" si="607"/>
        <v>0</v>
      </c>
    </row>
    <row r="2509" spans="1:16" x14ac:dyDescent="0.25">
      <c r="A2509" s="91"/>
      <c r="B2509" s="13" t="s">
        <v>1741</v>
      </c>
      <c r="C2509" s="13" t="s">
        <v>1742</v>
      </c>
      <c r="D2509" s="13">
        <v>51</v>
      </c>
      <c r="E2509" s="13" t="s">
        <v>101</v>
      </c>
      <c r="F2509" s="13">
        <v>1</v>
      </c>
      <c r="G2509" s="13" t="s">
        <v>16</v>
      </c>
      <c r="H2509" s="13" t="s">
        <v>17</v>
      </c>
      <c r="I2509" s="14">
        <v>4014466</v>
      </c>
      <c r="J2509" s="13" t="s">
        <v>1743</v>
      </c>
      <c r="K2509" s="13">
        <v>99</v>
      </c>
      <c r="L2509" s="13" t="s">
        <v>15</v>
      </c>
      <c r="M2509" s="15">
        <v>10000</v>
      </c>
      <c r="N2509" s="13" t="s">
        <v>1</v>
      </c>
      <c r="O2509" s="16">
        <f t="shared" si="599"/>
        <v>1</v>
      </c>
      <c r="P2509" s="22">
        <f t="shared" si="607"/>
        <v>0</v>
      </c>
    </row>
    <row r="2510" spans="1:16" ht="15.75" thickBot="1" x14ac:dyDescent="0.3">
      <c r="A2510" s="90"/>
      <c r="B2510" s="23" t="s">
        <v>1741</v>
      </c>
      <c r="C2510" s="23" t="s">
        <v>1742</v>
      </c>
      <c r="D2510" s="23">
        <v>51</v>
      </c>
      <c r="E2510" s="23" t="s">
        <v>101</v>
      </c>
      <c r="F2510" s="23">
        <v>1</v>
      </c>
      <c r="G2510" s="23" t="s">
        <v>21</v>
      </c>
      <c r="H2510" s="23" t="s">
        <v>17</v>
      </c>
      <c r="I2510" s="24" t="s">
        <v>1744</v>
      </c>
      <c r="J2510" s="23" t="s">
        <v>1745</v>
      </c>
      <c r="K2510" s="23">
        <v>3</v>
      </c>
      <c r="L2510" s="23" t="s">
        <v>24</v>
      </c>
      <c r="M2510" s="25">
        <v>10000</v>
      </c>
      <c r="N2510" s="23" t="s">
        <v>1</v>
      </c>
      <c r="O2510" s="26">
        <f t="shared" si="599"/>
        <v>1</v>
      </c>
      <c r="P2510" s="27">
        <f t="shared" si="607"/>
        <v>0</v>
      </c>
    </row>
    <row r="2511" spans="1:16" x14ac:dyDescent="0.25">
      <c r="B2511" s="1"/>
      <c r="C2511" s="1"/>
      <c r="D2511" s="1"/>
      <c r="E2511" s="1"/>
      <c r="F2511" s="1"/>
      <c r="G2511" s="1"/>
      <c r="H2511" s="1"/>
      <c r="I2511" s="2"/>
      <c r="J2511" s="1"/>
      <c r="K2511" s="1"/>
      <c r="L2511" s="1"/>
      <c r="M2511" s="3"/>
      <c r="N2511" s="1"/>
    </row>
    <row r="2512" spans="1:16" ht="15.75" thickBot="1" x14ac:dyDescent="0.3">
      <c r="B2512" s="1"/>
      <c r="C2512" s="1"/>
      <c r="D2512" s="1"/>
      <c r="E2512" s="1"/>
      <c r="F2512" s="1"/>
      <c r="G2512" s="1"/>
      <c r="H2512" s="1"/>
      <c r="I2512" s="2"/>
      <c r="J2512" s="1"/>
      <c r="K2512" s="1"/>
      <c r="L2512" s="1"/>
      <c r="M2512" s="3"/>
      <c r="N2512" s="1"/>
      <c r="P2512" s="11">
        <f>IFERROR(VLOOKUP($A2513,'PROGRAMA MES '!$A:$B,2,0),0)</f>
        <v>0</v>
      </c>
    </row>
    <row r="2513" spans="1:16" x14ac:dyDescent="0.25">
      <c r="A2513" s="89" t="str">
        <f>B2513</f>
        <v>SP9677VR</v>
      </c>
      <c r="B2513" s="17" t="s">
        <v>1746</v>
      </c>
      <c r="C2513" s="17" t="s">
        <v>1747</v>
      </c>
      <c r="D2513" s="17">
        <v>51</v>
      </c>
      <c r="E2513" s="17" t="s">
        <v>101</v>
      </c>
      <c r="F2513" s="17">
        <v>1</v>
      </c>
      <c r="G2513" s="17" t="s">
        <v>16</v>
      </c>
      <c r="H2513" s="17" t="s">
        <v>17</v>
      </c>
      <c r="I2513" s="18">
        <v>4002546</v>
      </c>
      <c r="J2513" s="17" t="s">
        <v>179</v>
      </c>
      <c r="K2513" s="17">
        <v>99</v>
      </c>
      <c r="L2513" s="17" t="s">
        <v>15</v>
      </c>
      <c r="M2513" s="19">
        <v>1334</v>
      </c>
      <c r="N2513" s="17" t="s">
        <v>1</v>
      </c>
      <c r="O2513" s="20">
        <f t="shared" si="599"/>
        <v>0.13339999999999999</v>
      </c>
      <c r="P2513" s="21">
        <f>O2513*$P$2512</f>
        <v>0</v>
      </c>
    </row>
    <row r="2514" spans="1:16" x14ac:dyDescent="0.25">
      <c r="A2514" s="91"/>
      <c r="B2514" s="13" t="s">
        <v>1746</v>
      </c>
      <c r="C2514" s="13" t="s">
        <v>1747</v>
      </c>
      <c r="D2514" s="13">
        <v>51</v>
      </c>
      <c r="E2514" s="13" t="s">
        <v>101</v>
      </c>
      <c r="F2514" s="13">
        <v>1</v>
      </c>
      <c r="G2514" s="13" t="s">
        <v>16</v>
      </c>
      <c r="H2514" s="13" t="s">
        <v>17</v>
      </c>
      <c r="I2514" s="14">
        <v>4002827</v>
      </c>
      <c r="J2514" s="13" t="s">
        <v>0</v>
      </c>
      <c r="K2514" s="13">
        <v>99</v>
      </c>
      <c r="L2514" s="13" t="s">
        <v>15</v>
      </c>
      <c r="M2514" s="15">
        <v>1283.33</v>
      </c>
      <c r="N2514" s="13" t="s">
        <v>2</v>
      </c>
      <c r="O2514" s="16">
        <f t="shared" si="599"/>
        <v>0.128333</v>
      </c>
      <c r="P2514" s="22">
        <f t="shared" ref="P2514:P2519" si="608">O2514*$P$2512</f>
        <v>0</v>
      </c>
    </row>
    <row r="2515" spans="1:16" x14ac:dyDescent="0.25">
      <c r="A2515" s="91"/>
      <c r="B2515" s="13" t="s">
        <v>1746</v>
      </c>
      <c r="C2515" s="13" t="s">
        <v>1747</v>
      </c>
      <c r="D2515" s="13">
        <v>51</v>
      </c>
      <c r="E2515" s="13" t="s">
        <v>101</v>
      </c>
      <c r="F2515" s="13">
        <v>1</v>
      </c>
      <c r="G2515" s="13" t="s">
        <v>16</v>
      </c>
      <c r="H2515" s="13" t="s">
        <v>17</v>
      </c>
      <c r="I2515" s="14">
        <v>4014388</v>
      </c>
      <c r="J2515" s="13" t="s">
        <v>1730</v>
      </c>
      <c r="K2515" s="13">
        <v>99</v>
      </c>
      <c r="L2515" s="13" t="s">
        <v>15</v>
      </c>
      <c r="M2515" s="15">
        <v>2667</v>
      </c>
      <c r="N2515" s="13" t="s">
        <v>1</v>
      </c>
      <c r="O2515" s="16">
        <f t="shared" si="599"/>
        <v>0.26669999999999999</v>
      </c>
      <c r="P2515" s="22">
        <f t="shared" si="608"/>
        <v>0</v>
      </c>
    </row>
    <row r="2516" spans="1:16" x14ac:dyDescent="0.25">
      <c r="A2516" s="91"/>
      <c r="B2516" s="13" t="s">
        <v>1746</v>
      </c>
      <c r="C2516" s="13" t="s">
        <v>1747</v>
      </c>
      <c r="D2516" s="13">
        <v>51</v>
      </c>
      <c r="E2516" s="13" t="s">
        <v>101</v>
      </c>
      <c r="F2516" s="13">
        <v>1</v>
      </c>
      <c r="G2516" s="13" t="s">
        <v>16</v>
      </c>
      <c r="H2516" s="13" t="s">
        <v>17</v>
      </c>
      <c r="I2516" s="14">
        <v>4014389</v>
      </c>
      <c r="J2516" s="13" t="s">
        <v>1731</v>
      </c>
      <c r="K2516" s="13">
        <v>99</v>
      </c>
      <c r="L2516" s="13" t="s">
        <v>15</v>
      </c>
      <c r="M2516" s="15">
        <v>1334</v>
      </c>
      <c r="N2516" s="13" t="s">
        <v>1</v>
      </c>
      <c r="O2516" s="16">
        <f t="shared" si="599"/>
        <v>0.13339999999999999</v>
      </c>
      <c r="P2516" s="22">
        <f t="shared" si="608"/>
        <v>0</v>
      </c>
    </row>
    <row r="2517" spans="1:16" x14ac:dyDescent="0.25">
      <c r="A2517" s="91"/>
      <c r="B2517" s="13" t="s">
        <v>1746</v>
      </c>
      <c r="C2517" s="13" t="s">
        <v>1747</v>
      </c>
      <c r="D2517" s="13">
        <v>51</v>
      </c>
      <c r="E2517" s="13" t="s">
        <v>101</v>
      </c>
      <c r="F2517" s="13">
        <v>1</v>
      </c>
      <c r="G2517" s="13" t="s">
        <v>16</v>
      </c>
      <c r="H2517" s="13" t="s">
        <v>17</v>
      </c>
      <c r="I2517" s="14">
        <v>4014452</v>
      </c>
      <c r="J2517" s="13" t="s">
        <v>1732</v>
      </c>
      <c r="K2517" s="13">
        <v>99</v>
      </c>
      <c r="L2517" s="13" t="s">
        <v>15</v>
      </c>
      <c r="M2517" s="13">
        <v>667</v>
      </c>
      <c r="N2517" s="13" t="s">
        <v>1</v>
      </c>
      <c r="O2517" s="16">
        <f t="shared" si="599"/>
        <v>6.6699999999999995E-2</v>
      </c>
      <c r="P2517" s="22">
        <f t="shared" si="608"/>
        <v>0</v>
      </c>
    </row>
    <row r="2518" spans="1:16" x14ac:dyDescent="0.25">
      <c r="A2518" s="91"/>
      <c r="B2518" s="13" t="s">
        <v>1746</v>
      </c>
      <c r="C2518" s="13" t="s">
        <v>1747</v>
      </c>
      <c r="D2518" s="13">
        <v>51</v>
      </c>
      <c r="E2518" s="13" t="s">
        <v>101</v>
      </c>
      <c r="F2518" s="13">
        <v>1</v>
      </c>
      <c r="G2518" s="13" t="s">
        <v>16</v>
      </c>
      <c r="H2518" s="13" t="s">
        <v>17</v>
      </c>
      <c r="I2518" s="14">
        <v>4014468</v>
      </c>
      <c r="J2518" s="13" t="s">
        <v>1748</v>
      </c>
      <c r="K2518" s="13">
        <v>99</v>
      </c>
      <c r="L2518" s="13" t="s">
        <v>15</v>
      </c>
      <c r="M2518" s="15">
        <v>10000</v>
      </c>
      <c r="N2518" s="13" t="s">
        <v>1</v>
      </c>
      <c r="O2518" s="16">
        <f t="shared" si="599"/>
        <v>1</v>
      </c>
      <c r="P2518" s="22">
        <f t="shared" si="608"/>
        <v>0</v>
      </c>
    </row>
    <row r="2519" spans="1:16" ht="15.75" thickBot="1" x14ac:dyDescent="0.3">
      <c r="A2519" s="90"/>
      <c r="B2519" s="23" t="s">
        <v>1746</v>
      </c>
      <c r="C2519" s="23" t="s">
        <v>1747</v>
      </c>
      <c r="D2519" s="23">
        <v>51</v>
      </c>
      <c r="E2519" s="23" t="s">
        <v>101</v>
      </c>
      <c r="F2519" s="23">
        <v>1</v>
      </c>
      <c r="G2519" s="23" t="s">
        <v>21</v>
      </c>
      <c r="H2519" s="23" t="s">
        <v>17</v>
      </c>
      <c r="I2519" s="24" t="s">
        <v>1749</v>
      </c>
      <c r="J2519" s="23" t="s">
        <v>1750</v>
      </c>
      <c r="K2519" s="23">
        <v>3</v>
      </c>
      <c r="L2519" s="23" t="s">
        <v>24</v>
      </c>
      <c r="M2519" s="25">
        <v>10000</v>
      </c>
      <c r="N2519" s="23" t="s">
        <v>1</v>
      </c>
      <c r="O2519" s="26">
        <f t="shared" si="599"/>
        <v>1</v>
      </c>
      <c r="P2519" s="27">
        <f t="shared" si="608"/>
        <v>0</v>
      </c>
    </row>
    <row r="2520" spans="1:16" x14ac:dyDescent="0.25">
      <c r="B2520" s="1"/>
      <c r="C2520" s="1"/>
      <c r="D2520" s="1"/>
      <c r="E2520" s="1"/>
      <c r="F2520" s="1"/>
      <c r="G2520" s="1"/>
      <c r="H2520" s="1"/>
      <c r="I2520" s="2"/>
      <c r="J2520" s="1"/>
      <c r="K2520" s="1"/>
      <c r="L2520" s="1"/>
      <c r="M2520" s="3"/>
      <c r="N2520" s="1"/>
    </row>
    <row r="2521" spans="1:16" ht="15.75" thickBot="1" x14ac:dyDescent="0.3">
      <c r="B2521" s="1"/>
      <c r="C2521" s="1"/>
      <c r="D2521" s="1"/>
      <c r="E2521" s="1"/>
      <c r="F2521" s="1"/>
      <c r="G2521" s="1"/>
      <c r="H2521" s="1"/>
      <c r="I2521" s="2"/>
      <c r="J2521" s="1"/>
      <c r="K2521" s="1"/>
      <c r="L2521" s="1"/>
      <c r="M2521" s="3"/>
      <c r="N2521" s="1"/>
      <c r="P2521" s="11">
        <f>IFERROR(VLOOKUP($A2522,'PROGRAMA MES '!$A:$B,2,0),0)</f>
        <v>0</v>
      </c>
    </row>
    <row r="2522" spans="1:16" x14ac:dyDescent="0.25">
      <c r="A2522" s="89" t="str">
        <f>B2522</f>
        <v>SP9702V</v>
      </c>
      <c r="B2522" s="17" t="s">
        <v>1751</v>
      </c>
      <c r="C2522" s="17" t="s">
        <v>1752</v>
      </c>
      <c r="D2522" s="17">
        <v>99</v>
      </c>
      <c r="E2522" s="17" t="s">
        <v>15</v>
      </c>
      <c r="F2522" s="17">
        <v>1</v>
      </c>
      <c r="G2522" s="17" t="s">
        <v>35</v>
      </c>
      <c r="H2522" s="17" t="s">
        <v>17</v>
      </c>
      <c r="I2522" s="18">
        <v>3001643</v>
      </c>
      <c r="J2522" s="17" t="s">
        <v>378</v>
      </c>
      <c r="K2522" s="17">
        <v>99</v>
      </c>
      <c r="L2522" s="17" t="s">
        <v>15</v>
      </c>
      <c r="M2522" s="19">
        <v>10000</v>
      </c>
      <c r="N2522" s="17" t="s">
        <v>1</v>
      </c>
      <c r="O2522" s="20">
        <f t="shared" si="599"/>
        <v>1</v>
      </c>
      <c r="P2522" s="21">
        <f>O2522*$P$2521</f>
        <v>0</v>
      </c>
    </row>
    <row r="2523" spans="1:16" ht="15.75" thickBot="1" x14ac:dyDescent="0.3">
      <c r="A2523" s="90"/>
      <c r="B2523" s="23" t="s">
        <v>1751</v>
      </c>
      <c r="C2523" s="23" t="s">
        <v>1752</v>
      </c>
      <c r="D2523" s="23">
        <v>99</v>
      </c>
      <c r="E2523" s="23" t="s">
        <v>15</v>
      </c>
      <c r="F2523" s="23">
        <v>1</v>
      </c>
      <c r="G2523" s="23" t="s">
        <v>16</v>
      </c>
      <c r="H2523" s="23" t="s">
        <v>17</v>
      </c>
      <c r="I2523" s="24">
        <v>4008350</v>
      </c>
      <c r="J2523" s="23" t="s">
        <v>1753</v>
      </c>
      <c r="K2523" s="23">
        <v>99</v>
      </c>
      <c r="L2523" s="23" t="s">
        <v>15</v>
      </c>
      <c r="M2523" s="23">
        <v>200</v>
      </c>
      <c r="N2523" s="23" t="s">
        <v>1</v>
      </c>
      <c r="O2523" s="26">
        <f t="shared" si="599"/>
        <v>0.02</v>
      </c>
      <c r="P2523" s="27">
        <f>O2523*$P$2521</f>
        <v>0</v>
      </c>
    </row>
    <row r="2524" spans="1:16" x14ac:dyDescent="0.25">
      <c r="B2524" s="1"/>
      <c r="C2524" s="1"/>
      <c r="D2524" s="1"/>
      <c r="E2524" s="1"/>
      <c r="F2524" s="1"/>
      <c r="G2524" s="1"/>
      <c r="H2524" s="1"/>
      <c r="I2524" s="2"/>
      <c r="J2524" s="1"/>
      <c r="K2524" s="1"/>
      <c r="L2524" s="1"/>
      <c r="M2524" s="1"/>
      <c r="N2524" s="1"/>
    </row>
    <row r="2525" spans="1:16" ht="15.75" thickBot="1" x14ac:dyDescent="0.3">
      <c r="B2525" s="1"/>
      <c r="C2525" s="1"/>
      <c r="D2525" s="1"/>
      <c r="E2525" s="1"/>
      <c r="F2525" s="1"/>
      <c r="G2525" s="1"/>
      <c r="H2525" s="1"/>
      <c r="I2525" s="2"/>
      <c r="J2525" s="1"/>
      <c r="K2525" s="1"/>
      <c r="L2525" s="1"/>
      <c r="M2525" s="1"/>
      <c r="N2525" s="1"/>
      <c r="P2525" s="11">
        <f>IFERROR(VLOOKUP($A2526,'PROGRAMA MES '!$A:$B,2,0),0)</f>
        <v>0</v>
      </c>
    </row>
    <row r="2526" spans="1:16" x14ac:dyDescent="0.25">
      <c r="A2526" s="89" t="str">
        <f>B2526</f>
        <v>SP9704</v>
      </c>
      <c r="B2526" s="17" t="s">
        <v>1754</v>
      </c>
      <c r="C2526" s="17" t="s">
        <v>1755</v>
      </c>
      <c r="D2526" s="17">
        <v>99</v>
      </c>
      <c r="E2526" s="17" t="s">
        <v>15</v>
      </c>
      <c r="F2526" s="17">
        <v>1</v>
      </c>
      <c r="G2526" s="17" t="s">
        <v>360</v>
      </c>
      <c r="H2526" s="17" t="s">
        <v>17</v>
      </c>
      <c r="I2526" s="18">
        <v>2005250</v>
      </c>
      <c r="J2526" s="17" t="s">
        <v>1756</v>
      </c>
      <c r="K2526" s="17">
        <v>99</v>
      </c>
      <c r="L2526" s="17" t="s">
        <v>15</v>
      </c>
      <c r="M2526" s="19">
        <v>10000</v>
      </c>
      <c r="N2526" s="17" t="s">
        <v>1</v>
      </c>
      <c r="O2526" s="20">
        <f t="shared" si="599"/>
        <v>1</v>
      </c>
      <c r="P2526" s="21">
        <f>O2526*$P$2525</f>
        <v>0</v>
      </c>
    </row>
    <row r="2527" spans="1:16" x14ac:dyDescent="0.25">
      <c r="A2527" s="91"/>
      <c r="B2527" s="13" t="s">
        <v>1754</v>
      </c>
      <c r="C2527" s="13" t="s">
        <v>1755</v>
      </c>
      <c r="D2527" s="13">
        <v>99</v>
      </c>
      <c r="E2527" s="13" t="s">
        <v>15</v>
      </c>
      <c r="F2527" s="13">
        <v>1</v>
      </c>
      <c r="G2527" s="13" t="s">
        <v>35</v>
      </c>
      <c r="H2527" s="13" t="s">
        <v>17</v>
      </c>
      <c r="I2527" s="14">
        <v>3000937</v>
      </c>
      <c r="J2527" s="13" t="s">
        <v>362</v>
      </c>
      <c r="K2527" s="13">
        <v>99</v>
      </c>
      <c r="L2527" s="13" t="s">
        <v>15</v>
      </c>
      <c r="M2527" s="15">
        <v>1500</v>
      </c>
      <c r="N2527" s="13" t="s">
        <v>3</v>
      </c>
      <c r="O2527" s="16">
        <f t="shared" ref="O2527:O2534" si="609">M2527/10000</f>
        <v>0.15</v>
      </c>
      <c r="P2527" s="22">
        <f t="shared" ref="P2527:P2534" si="610">O2527*$P$2525</f>
        <v>0</v>
      </c>
    </row>
    <row r="2528" spans="1:16" x14ac:dyDescent="0.25">
      <c r="A2528" s="91"/>
      <c r="B2528" s="13" t="s">
        <v>1754</v>
      </c>
      <c r="C2528" s="13" t="s">
        <v>1755</v>
      </c>
      <c r="D2528" s="13">
        <v>99</v>
      </c>
      <c r="E2528" s="13" t="s">
        <v>15</v>
      </c>
      <c r="F2528" s="13">
        <v>1</v>
      </c>
      <c r="G2528" s="13" t="s">
        <v>35</v>
      </c>
      <c r="H2528" s="13" t="s">
        <v>17</v>
      </c>
      <c r="I2528" s="14">
        <v>3001852</v>
      </c>
      <c r="J2528" s="13" t="s">
        <v>1757</v>
      </c>
      <c r="K2528" s="13">
        <v>99</v>
      </c>
      <c r="L2528" s="13" t="s">
        <v>15</v>
      </c>
      <c r="M2528" s="15">
        <v>10000</v>
      </c>
      <c r="N2528" s="13" t="s">
        <v>1</v>
      </c>
      <c r="O2528" s="16">
        <f t="shared" si="609"/>
        <v>1</v>
      </c>
      <c r="P2528" s="22">
        <f t="shared" si="610"/>
        <v>0</v>
      </c>
    </row>
    <row r="2529" spans="1:16" x14ac:dyDescent="0.25">
      <c r="A2529" s="91"/>
      <c r="B2529" s="13" t="s">
        <v>1754</v>
      </c>
      <c r="C2529" s="13" t="s">
        <v>1755</v>
      </c>
      <c r="D2529" s="13">
        <v>99</v>
      </c>
      <c r="E2529" s="13" t="s">
        <v>15</v>
      </c>
      <c r="F2529" s="13">
        <v>1</v>
      </c>
      <c r="G2529" s="13" t="s">
        <v>35</v>
      </c>
      <c r="H2529" s="13" t="s">
        <v>17</v>
      </c>
      <c r="I2529" s="14">
        <v>3004212</v>
      </c>
      <c r="J2529" s="13" t="s">
        <v>365</v>
      </c>
      <c r="K2529" s="13">
        <v>99</v>
      </c>
      <c r="L2529" s="13" t="s">
        <v>15</v>
      </c>
      <c r="M2529" s="13">
        <v>30</v>
      </c>
      <c r="N2529" s="13" t="s">
        <v>3</v>
      </c>
      <c r="O2529" s="16">
        <f t="shared" si="609"/>
        <v>3.0000000000000001E-3</v>
      </c>
      <c r="P2529" s="22">
        <f t="shared" si="610"/>
        <v>0</v>
      </c>
    </row>
    <row r="2530" spans="1:16" x14ac:dyDescent="0.25">
      <c r="A2530" s="91"/>
      <c r="B2530" s="13" t="s">
        <v>1754</v>
      </c>
      <c r="C2530" s="13" t="s">
        <v>1755</v>
      </c>
      <c r="D2530" s="13">
        <v>99</v>
      </c>
      <c r="E2530" s="13" t="s">
        <v>15</v>
      </c>
      <c r="F2530" s="13">
        <v>1</v>
      </c>
      <c r="G2530" s="13" t="s">
        <v>16</v>
      </c>
      <c r="H2530" s="13" t="s">
        <v>17</v>
      </c>
      <c r="I2530" s="14">
        <v>4002546</v>
      </c>
      <c r="J2530" s="13" t="s">
        <v>179</v>
      </c>
      <c r="K2530" s="13">
        <v>99</v>
      </c>
      <c r="L2530" s="13" t="s">
        <v>15</v>
      </c>
      <c r="M2530" s="15">
        <v>10000</v>
      </c>
      <c r="N2530" s="13" t="s">
        <v>1</v>
      </c>
      <c r="O2530" s="16">
        <f t="shared" si="609"/>
        <v>1</v>
      </c>
      <c r="P2530" s="22">
        <f t="shared" si="610"/>
        <v>0</v>
      </c>
    </row>
    <row r="2531" spans="1:16" x14ac:dyDescent="0.25">
      <c r="A2531" s="91"/>
      <c r="B2531" s="13" t="s">
        <v>1754</v>
      </c>
      <c r="C2531" s="13" t="s">
        <v>1755</v>
      </c>
      <c r="D2531" s="13">
        <v>99</v>
      </c>
      <c r="E2531" s="13" t="s">
        <v>15</v>
      </c>
      <c r="F2531" s="13">
        <v>1</v>
      </c>
      <c r="G2531" s="13" t="s">
        <v>16</v>
      </c>
      <c r="H2531" s="13" t="s">
        <v>17</v>
      </c>
      <c r="I2531" s="14">
        <v>4004924</v>
      </c>
      <c r="J2531" s="13" t="s">
        <v>1758</v>
      </c>
      <c r="K2531" s="13">
        <v>99</v>
      </c>
      <c r="L2531" s="13" t="s">
        <v>15</v>
      </c>
      <c r="M2531" s="15">
        <v>10000</v>
      </c>
      <c r="N2531" s="13" t="s">
        <v>1</v>
      </c>
      <c r="O2531" s="16">
        <f t="shared" si="609"/>
        <v>1</v>
      </c>
      <c r="P2531" s="22">
        <f t="shared" si="610"/>
        <v>0</v>
      </c>
    </row>
    <row r="2532" spans="1:16" x14ac:dyDescent="0.25">
      <c r="A2532" s="91"/>
      <c r="B2532" s="13" t="s">
        <v>1754</v>
      </c>
      <c r="C2532" s="13" t="s">
        <v>1755</v>
      </c>
      <c r="D2532" s="13">
        <v>99</v>
      </c>
      <c r="E2532" s="13" t="s">
        <v>15</v>
      </c>
      <c r="F2532" s="13">
        <v>1</v>
      </c>
      <c r="G2532" s="13" t="s">
        <v>16</v>
      </c>
      <c r="H2532" s="13" t="s">
        <v>17</v>
      </c>
      <c r="I2532" s="14">
        <v>4005244</v>
      </c>
      <c r="J2532" s="13" t="s">
        <v>1759</v>
      </c>
      <c r="K2532" s="13">
        <v>99</v>
      </c>
      <c r="L2532" s="13" t="s">
        <v>15</v>
      </c>
      <c r="M2532" s="13">
        <v>720</v>
      </c>
      <c r="N2532" s="13" t="s">
        <v>1</v>
      </c>
      <c r="O2532" s="16">
        <f t="shared" si="609"/>
        <v>7.1999999999999995E-2</v>
      </c>
      <c r="P2532" s="22">
        <f t="shared" si="610"/>
        <v>0</v>
      </c>
    </row>
    <row r="2533" spans="1:16" x14ac:dyDescent="0.25">
      <c r="A2533" s="91"/>
      <c r="B2533" s="13" t="s">
        <v>1754</v>
      </c>
      <c r="C2533" s="13" t="s">
        <v>1755</v>
      </c>
      <c r="D2533" s="13">
        <v>99</v>
      </c>
      <c r="E2533" s="13" t="s">
        <v>15</v>
      </c>
      <c r="F2533" s="13">
        <v>1</v>
      </c>
      <c r="G2533" s="13" t="s">
        <v>16</v>
      </c>
      <c r="H2533" s="13" t="s">
        <v>17</v>
      </c>
      <c r="I2533" s="14">
        <v>4009780</v>
      </c>
      <c r="J2533" s="13" t="s">
        <v>1760</v>
      </c>
      <c r="K2533" s="13">
        <v>99</v>
      </c>
      <c r="L2533" s="13" t="s">
        <v>15</v>
      </c>
      <c r="M2533" s="15">
        <v>10000</v>
      </c>
      <c r="N2533" s="13" t="s">
        <v>1</v>
      </c>
      <c r="O2533" s="16">
        <f t="shared" si="609"/>
        <v>1</v>
      </c>
      <c r="P2533" s="22">
        <f t="shared" si="610"/>
        <v>0</v>
      </c>
    </row>
    <row r="2534" spans="1:16" ht="15.75" thickBot="1" x14ac:dyDescent="0.3">
      <c r="A2534" s="90"/>
      <c r="B2534" s="23" t="s">
        <v>1754</v>
      </c>
      <c r="C2534" s="23" t="s">
        <v>1755</v>
      </c>
      <c r="D2534" s="23">
        <v>99</v>
      </c>
      <c r="E2534" s="23" t="s">
        <v>15</v>
      </c>
      <c r="F2534" s="23">
        <v>1</v>
      </c>
      <c r="G2534" s="23" t="s">
        <v>16</v>
      </c>
      <c r="H2534" s="23" t="s">
        <v>17</v>
      </c>
      <c r="I2534" s="24">
        <v>4016160</v>
      </c>
      <c r="J2534" s="23" t="s">
        <v>69</v>
      </c>
      <c r="K2534" s="23">
        <v>99</v>
      </c>
      <c r="L2534" s="23" t="s">
        <v>15</v>
      </c>
      <c r="M2534" s="23">
        <v>10</v>
      </c>
      <c r="N2534" s="23" t="s">
        <v>3</v>
      </c>
      <c r="O2534" s="26">
        <f t="shared" si="609"/>
        <v>1E-3</v>
      </c>
      <c r="P2534" s="27">
        <f t="shared" si="610"/>
        <v>0</v>
      </c>
    </row>
    <row r="2535" spans="1:16" x14ac:dyDescent="0.25">
      <c r="B2535" s="1"/>
      <c r="C2535" s="1"/>
      <c r="D2535" s="1"/>
      <c r="E2535" s="1"/>
      <c r="F2535" s="1"/>
      <c r="G2535" s="1"/>
      <c r="H2535" s="1"/>
      <c r="I2535" s="2"/>
      <c r="J2535" s="1"/>
      <c r="K2535" s="1"/>
      <c r="L2535" s="1"/>
      <c r="M2535" s="1"/>
      <c r="N2535" s="1"/>
    </row>
    <row r="2536" spans="1:16" ht="15.75" thickBot="1" x14ac:dyDescent="0.3">
      <c r="B2536" s="1"/>
      <c r="C2536" s="1"/>
      <c r="D2536" s="1"/>
      <c r="E2536" s="1"/>
      <c r="F2536" s="1"/>
      <c r="G2536" s="1"/>
      <c r="H2536" s="1"/>
      <c r="I2536" s="2"/>
      <c r="J2536" s="1"/>
      <c r="K2536" s="1"/>
      <c r="L2536" s="1"/>
      <c r="M2536" s="1"/>
      <c r="N2536" s="1"/>
      <c r="P2536" s="11">
        <f>IFERROR(VLOOKUP($A2537,'PROGRAMA MES '!$A:$B,2,0),0)</f>
        <v>0</v>
      </c>
    </row>
    <row r="2537" spans="1:16" x14ac:dyDescent="0.25">
      <c r="A2537" s="89" t="str">
        <f>B2537</f>
        <v>SP9708</v>
      </c>
      <c r="B2537" s="17" t="s">
        <v>1761</v>
      </c>
      <c r="C2537" s="17" t="s">
        <v>1762</v>
      </c>
      <c r="D2537" s="17">
        <v>51</v>
      </c>
      <c r="E2537" s="17" t="s">
        <v>101</v>
      </c>
      <c r="F2537" s="17">
        <v>1</v>
      </c>
      <c r="G2537" s="17" t="s">
        <v>35</v>
      </c>
      <c r="H2537" s="17" t="s">
        <v>17</v>
      </c>
      <c r="I2537" s="18">
        <v>3001750</v>
      </c>
      <c r="J2537" s="17" t="s">
        <v>1763</v>
      </c>
      <c r="K2537" s="17">
        <v>99</v>
      </c>
      <c r="L2537" s="17" t="s">
        <v>15</v>
      </c>
      <c r="M2537" s="19">
        <v>10000</v>
      </c>
      <c r="N2537" s="17" t="s">
        <v>1</v>
      </c>
      <c r="O2537" s="20">
        <f t="shared" ref="O2537:O2542" si="611">M2537/10000</f>
        <v>1</v>
      </c>
      <c r="P2537" s="21">
        <f>O2537*$P$2536</f>
        <v>0</v>
      </c>
    </row>
    <row r="2538" spans="1:16" x14ac:dyDescent="0.25">
      <c r="A2538" s="91"/>
      <c r="B2538" s="13" t="s">
        <v>1761</v>
      </c>
      <c r="C2538" s="13" t="s">
        <v>1762</v>
      </c>
      <c r="D2538" s="13">
        <v>51</v>
      </c>
      <c r="E2538" s="13" t="s">
        <v>101</v>
      </c>
      <c r="F2538" s="13">
        <v>1</v>
      </c>
      <c r="G2538" s="13" t="s">
        <v>35</v>
      </c>
      <c r="H2538" s="13" t="s">
        <v>17</v>
      </c>
      <c r="I2538" s="14">
        <v>3001770</v>
      </c>
      <c r="J2538" s="13" t="s">
        <v>1764</v>
      </c>
      <c r="K2538" s="13">
        <v>99</v>
      </c>
      <c r="L2538" s="13" t="s">
        <v>15</v>
      </c>
      <c r="M2538" s="15">
        <v>10000</v>
      </c>
      <c r="N2538" s="13" t="s">
        <v>1</v>
      </c>
      <c r="O2538" s="16">
        <f t="shared" si="611"/>
        <v>1</v>
      </c>
      <c r="P2538" s="22">
        <f t="shared" ref="P2538:P2542" si="612">O2538*$P$2536</f>
        <v>0</v>
      </c>
    </row>
    <row r="2539" spans="1:16" x14ac:dyDescent="0.25">
      <c r="A2539" s="91"/>
      <c r="B2539" s="13" t="s">
        <v>1761</v>
      </c>
      <c r="C2539" s="13" t="s">
        <v>1762</v>
      </c>
      <c r="D2539" s="13">
        <v>51</v>
      </c>
      <c r="E2539" s="13" t="s">
        <v>101</v>
      </c>
      <c r="F2539" s="13">
        <v>1</v>
      </c>
      <c r="G2539" s="13" t="s">
        <v>16</v>
      </c>
      <c r="H2539" s="13" t="s">
        <v>17</v>
      </c>
      <c r="I2539" s="14">
        <v>4001359</v>
      </c>
      <c r="J2539" s="13" t="s">
        <v>1439</v>
      </c>
      <c r="K2539" s="13">
        <v>99</v>
      </c>
      <c r="L2539" s="13" t="s">
        <v>15</v>
      </c>
      <c r="M2539" s="15">
        <v>3334</v>
      </c>
      <c r="N2539" s="13" t="s">
        <v>1</v>
      </c>
      <c r="O2539" s="16">
        <f t="shared" si="611"/>
        <v>0.33339999999999997</v>
      </c>
      <c r="P2539" s="22">
        <f t="shared" si="612"/>
        <v>0</v>
      </c>
    </row>
    <row r="2540" spans="1:16" x14ac:dyDescent="0.25">
      <c r="A2540" s="91"/>
      <c r="B2540" s="13" t="s">
        <v>1761</v>
      </c>
      <c r="C2540" s="13" t="s">
        <v>1762</v>
      </c>
      <c r="D2540" s="13">
        <v>51</v>
      </c>
      <c r="E2540" s="13" t="s">
        <v>101</v>
      </c>
      <c r="F2540" s="13">
        <v>1</v>
      </c>
      <c r="G2540" s="13" t="s">
        <v>16</v>
      </c>
      <c r="H2540" s="13" t="s">
        <v>17</v>
      </c>
      <c r="I2540" s="14">
        <v>4002826</v>
      </c>
      <c r="J2540" s="13" t="s">
        <v>4</v>
      </c>
      <c r="K2540" s="13">
        <v>99</v>
      </c>
      <c r="L2540" s="13" t="s">
        <v>15</v>
      </c>
      <c r="M2540" s="13">
        <v>120</v>
      </c>
      <c r="N2540" s="13" t="s">
        <v>1</v>
      </c>
      <c r="O2540" s="16">
        <f t="shared" si="611"/>
        <v>1.2E-2</v>
      </c>
      <c r="P2540" s="22">
        <f t="shared" si="612"/>
        <v>0</v>
      </c>
    </row>
    <row r="2541" spans="1:16" x14ac:dyDescent="0.25">
      <c r="A2541" s="91"/>
      <c r="B2541" s="13" t="s">
        <v>1761</v>
      </c>
      <c r="C2541" s="13" t="s">
        <v>1762</v>
      </c>
      <c r="D2541" s="13">
        <v>51</v>
      </c>
      <c r="E2541" s="13" t="s">
        <v>101</v>
      </c>
      <c r="F2541" s="13">
        <v>1</v>
      </c>
      <c r="G2541" s="13" t="s">
        <v>16</v>
      </c>
      <c r="H2541" s="13" t="s">
        <v>17</v>
      </c>
      <c r="I2541" s="14">
        <v>4004710</v>
      </c>
      <c r="J2541" s="13" t="s">
        <v>180</v>
      </c>
      <c r="K2541" s="13">
        <v>99</v>
      </c>
      <c r="L2541" s="13" t="s">
        <v>15</v>
      </c>
      <c r="M2541" s="13">
        <v>834</v>
      </c>
      <c r="N2541" s="13" t="s">
        <v>1</v>
      </c>
      <c r="O2541" s="16">
        <f t="shared" si="611"/>
        <v>8.3400000000000002E-2</v>
      </c>
      <c r="P2541" s="22">
        <f t="shared" si="612"/>
        <v>0</v>
      </c>
    </row>
    <row r="2542" spans="1:16" ht="15.75" thickBot="1" x14ac:dyDescent="0.3">
      <c r="A2542" s="90"/>
      <c r="B2542" s="23" t="s">
        <v>1761</v>
      </c>
      <c r="C2542" s="23" t="s">
        <v>1762</v>
      </c>
      <c r="D2542" s="23">
        <v>51</v>
      </c>
      <c r="E2542" s="23" t="s">
        <v>101</v>
      </c>
      <c r="F2542" s="23">
        <v>1</v>
      </c>
      <c r="G2542" s="23" t="s">
        <v>16</v>
      </c>
      <c r="H2542" s="23" t="s">
        <v>17</v>
      </c>
      <c r="I2542" s="24">
        <v>4004920</v>
      </c>
      <c r="J2542" s="23" t="s">
        <v>1765</v>
      </c>
      <c r="K2542" s="23">
        <v>99</v>
      </c>
      <c r="L2542" s="23" t="s">
        <v>15</v>
      </c>
      <c r="M2542" s="25">
        <v>10000</v>
      </c>
      <c r="N2542" s="23" t="s">
        <v>1</v>
      </c>
      <c r="O2542" s="26">
        <f t="shared" si="611"/>
        <v>1</v>
      </c>
      <c r="P2542" s="27">
        <f t="shared" si="612"/>
        <v>0</v>
      </c>
    </row>
    <row r="2543" spans="1:16" x14ac:dyDescent="0.25">
      <c r="B2543" s="1"/>
      <c r="C2543" s="1"/>
      <c r="D2543" s="1"/>
      <c r="E2543" s="1"/>
      <c r="F2543" s="1"/>
      <c r="G2543" s="1"/>
      <c r="H2543" s="1"/>
      <c r="I2543" s="2"/>
      <c r="J2543" s="1"/>
      <c r="K2543" s="1"/>
      <c r="L2543" s="1"/>
      <c r="M2543" s="3"/>
      <c r="N2543" s="1"/>
    </row>
    <row r="2544" spans="1:16" ht="15.75" thickBot="1" x14ac:dyDescent="0.3">
      <c r="B2544" s="1"/>
      <c r="C2544" s="1"/>
      <c r="D2544" s="1"/>
      <c r="E2544" s="1"/>
      <c r="F2544" s="1"/>
      <c r="G2544" s="1"/>
      <c r="H2544" s="1"/>
      <c r="I2544" s="2"/>
      <c r="J2544" s="1"/>
      <c r="K2544" s="1"/>
      <c r="L2544" s="1"/>
      <c r="M2544" s="3"/>
      <c r="N2544" s="1"/>
      <c r="P2544" s="11">
        <f>IFERROR(VLOOKUP($A2545,'PROGRAMA MES '!$A:$B,2,0),0)</f>
        <v>0</v>
      </c>
    </row>
    <row r="2545" spans="1:16" x14ac:dyDescent="0.25">
      <c r="A2545" s="89" t="str">
        <f>B2545</f>
        <v>SP9709</v>
      </c>
      <c r="B2545" s="17" t="s">
        <v>1766</v>
      </c>
      <c r="C2545" s="17" t="s">
        <v>1767</v>
      </c>
      <c r="D2545" s="17">
        <v>51</v>
      </c>
      <c r="E2545" s="17" t="s">
        <v>101</v>
      </c>
      <c r="F2545" s="17">
        <v>1</v>
      </c>
      <c r="G2545" s="17" t="s">
        <v>35</v>
      </c>
      <c r="H2545" s="17" t="s">
        <v>17</v>
      </c>
      <c r="I2545" s="18">
        <v>3001722</v>
      </c>
      <c r="J2545" s="17" t="s">
        <v>1768</v>
      </c>
      <c r="K2545" s="17">
        <v>99</v>
      </c>
      <c r="L2545" s="17" t="s">
        <v>15</v>
      </c>
      <c r="M2545" s="19">
        <v>10000</v>
      </c>
      <c r="N2545" s="17" t="s">
        <v>1</v>
      </c>
      <c r="O2545" s="20">
        <f t="shared" ref="O2545:O2549" si="613">M2545/10000</f>
        <v>1</v>
      </c>
      <c r="P2545" s="21">
        <f>O2545*$P$2544</f>
        <v>0</v>
      </c>
    </row>
    <row r="2546" spans="1:16" x14ac:dyDescent="0.25">
      <c r="A2546" s="91"/>
      <c r="B2546" s="13" t="s">
        <v>1766</v>
      </c>
      <c r="C2546" s="13" t="s">
        <v>1767</v>
      </c>
      <c r="D2546" s="13">
        <v>51</v>
      </c>
      <c r="E2546" s="13" t="s">
        <v>101</v>
      </c>
      <c r="F2546" s="13">
        <v>1</v>
      </c>
      <c r="G2546" s="13" t="s">
        <v>16</v>
      </c>
      <c r="H2546" s="13" t="s">
        <v>17</v>
      </c>
      <c r="I2546" s="14">
        <v>4002826</v>
      </c>
      <c r="J2546" s="13" t="s">
        <v>4</v>
      </c>
      <c r="K2546" s="13">
        <v>99</v>
      </c>
      <c r="L2546" s="13" t="s">
        <v>15</v>
      </c>
      <c r="M2546" s="13">
        <v>120</v>
      </c>
      <c r="N2546" s="13" t="s">
        <v>1</v>
      </c>
      <c r="O2546" s="16">
        <f t="shared" si="613"/>
        <v>1.2E-2</v>
      </c>
      <c r="P2546" s="22">
        <f t="shared" ref="P2546:P2549" si="614">O2546*$P$2544</f>
        <v>0</v>
      </c>
    </row>
    <row r="2547" spans="1:16" x14ac:dyDescent="0.25">
      <c r="A2547" s="91"/>
      <c r="B2547" s="13" t="s">
        <v>1766</v>
      </c>
      <c r="C2547" s="13" t="s">
        <v>1767</v>
      </c>
      <c r="D2547" s="13">
        <v>51</v>
      </c>
      <c r="E2547" s="13" t="s">
        <v>101</v>
      </c>
      <c r="F2547" s="13">
        <v>1</v>
      </c>
      <c r="G2547" s="13" t="s">
        <v>16</v>
      </c>
      <c r="H2547" s="13" t="s">
        <v>17</v>
      </c>
      <c r="I2547" s="14">
        <v>4005086</v>
      </c>
      <c r="J2547" s="13" t="s">
        <v>1769</v>
      </c>
      <c r="K2547" s="13">
        <v>99</v>
      </c>
      <c r="L2547" s="13" t="s">
        <v>15</v>
      </c>
      <c r="M2547" s="15">
        <v>10000</v>
      </c>
      <c r="N2547" s="13" t="s">
        <v>1</v>
      </c>
      <c r="O2547" s="16">
        <f t="shared" si="613"/>
        <v>1</v>
      </c>
      <c r="P2547" s="22">
        <f t="shared" si="614"/>
        <v>0</v>
      </c>
    </row>
    <row r="2548" spans="1:16" x14ac:dyDescent="0.25">
      <c r="A2548" s="91"/>
      <c r="B2548" s="13" t="s">
        <v>1766</v>
      </c>
      <c r="C2548" s="13" t="s">
        <v>1767</v>
      </c>
      <c r="D2548" s="13">
        <v>51</v>
      </c>
      <c r="E2548" s="13" t="s">
        <v>101</v>
      </c>
      <c r="F2548" s="13">
        <v>1</v>
      </c>
      <c r="G2548" s="13" t="s">
        <v>16</v>
      </c>
      <c r="H2548" s="13" t="s">
        <v>17</v>
      </c>
      <c r="I2548" s="14">
        <v>4005285</v>
      </c>
      <c r="J2548" s="13" t="s">
        <v>1770</v>
      </c>
      <c r="K2548" s="13">
        <v>99</v>
      </c>
      <c r="L2548" s="13" t="s">
        <v>15</v>
      </c>
      <c r="M2548" s="15">
        <v>10000</v>
      </c>
      <c r="N2548" s="13" t="s">
        <v>1</v>
      </c>
      <c r="O2548" s="16">
        <f t="shared" si="613"/>
        <v>1</v>
      </c>
      <c r="P2548" s="22">
        <f t="shared" si="614"/>
        <v>0</v>
      </c>
    </row>
    <row r="2549" spans="1:16" ht="15.75" thickBot="1" x14ac:dyDescent="0.3">
      <c r="A2549" s="90"/>
      <c r="B2549" s="23" t="s">
        <v>1766</v>
      </c>
      <c r="C2549" s="23" t="s">
        <v>1767</v>
      </c>
      <c r="D2549" s="23">
        <v>51</v>
      </c>
      <c r="E2549" s="23" t="s">
        <v>101</v>
      </c>
      <c r="F2549" s="23">
        <v>1</v>
      </c>
      <c r="G2549" s="23" t="s">
        <v>16</v>
      </c>
      <c r="H2549" s="23" t="s">
        <v>17</v>
      </c>
      <c r="I2549" s="24">
        <v>4005290</v>
      </c>
      <c r="J2549" s="23" t="s">
        <v>1771</v>
      </c>
      <c r="K2549" s="23">
        <v>99</v>
      </c>
      <c r="L2549" s="23" t="s">
        <v>15</v>
      </c>
      <c r="M2549" s="23">
        <v>834</v>
      </c>
      <c r="N2549" s="23" t="s">
        <v>1</v>
      </c>
      <c r="O2549" s="26">
        <f t="shared" si="613"/>
        <v>8.3400000000000002E-2</v>
      </c>
      <c r="P2549" s="27">
        <f t="shared" si="614"/>
        <v>0</v>
      </c>
    </row>
    <row r="2550" spans="1:16" x14ac:dyDescent="0.25">
      <c r="B2550" s="1"/>
      <c r="C2550" s="1"/>
      <c r="D2550" s="1"/>
      <c r="E2550" s="1"/>
      <c r="F2550" s="1"/>
      <c r="G2550" s="1"/>
      <c r="H2550" s="1"/>
      <c r="I2550" s="2"/>
      <c r="J2550" s="1"/>
      <c r="K2550" s="1"/>
      <c r="L2550" s="1"/>
      <c r="M2550" s="1"/>
      <c r="N2550" s="1"/>
    </row>
    <row r="2551" spans="1:16" ht="15.75" thickBot="1" x14ac:dyDescent="0.3">
      <c r="B2551" s="1"/>
      <c r="C2551" s="1"/>
      <c r="D2551" s="1"/>
      <c r="E2551" s="1"/>
      <c r="F2551" s="1"/>
      <c r="G2551" s="1"/>
      <c r="H2551" s="1"/>
      <c r="I2551" s="2"/>
      <c r="J2551" s="1"/>
      <c r="K2551" s="1"/>
      <c r="L2551" s="1"/>
      <c r="M2551" s="1"/>
      <c r="N2551" s="1"/>
      <c r="P2551" s="11">
        <f>IFERROR(VLOOKUP($A2552,'PROGRAMA MES '!$A:$B,2,0),0)</f>
        <v>0</v>
      </c>
    </row>
    <row r="2552" spans="1:16" x14ac:dyDescent="0.25">
      <c r="A2552" s="89" t="str">
        <f>B2552</f>
        <v>SP9740</v>
      </c>
      <c r="B2552" s="17" t="s">
        <v>1772</v>
      </c>
      <c r="C2552" s="17" t="s">
        <v>1773</v>
      </c>
      <c r="D2552" s="17">
        <v>3</v>
      </c>
      <c r="E2552" s="17" t="s">
        <v>24</v>
      </c>
      <c r="F2552" s="17">
        <v>1</v>
      </c>
      <c r="G2552" s="17" t="s">
        <v>360</v>
      </c>
      <c r="H2552" s="17" t="s">
        <v>17</v>
      </c>
      <c r="I2552" s="18">
        <v>2007387</v>
      </c>
      <c r="J2552" s="17" t="s">
        <v>1774</v>
      </c>
      <c r="K2552" s="17">
        <v>99</v>
      </c>
      <c r="L2552" s="17" t="s">
        <v>15</v>
      </c>
      <c r="M2552" s="19">
        <v>20000</v>
      </c>
      <c r="N2552" s="17" t="s">
        <v>1</v>
      </c>
      <c r="O2552" s="20">
        <f t="shared" ref="O2552:O2559" si="615">M2552/10000</f>
        <v>2</v>
      </c>
      <c r="P2552" s="21">
        <f>O2552*$P$2551</f>
        <v>0</v>
      </c>
    </row>
    <row r="2553" spans="1:16" x14ac:dyDescent="0.25">
      <c r="A2553" s="91"/>
      <c r="B2553" s="13" t="s">
        <v>1772</v>
      </c>
      <c r="C2553" s="13" t="s">
        <v>1773</v>
      </c>
      <c r="D2553" s="13">
        <v>3</v>
      </c>
      <c r="E2553" s="13" t="s">
        <v>24</v>
      </c>
      <c r="F2553" s="13">
        <v>1</v>
      </c>
      <c r="G2553" s="13" t="s">
        <v>35</v>
      </c>
      <c r="H2553" s="13" t="s">
        <v>17</v>
      </c>
      <c r="I2553" s="14">
        <v>3000909</v>
      </c>
      <c r="J2553" s="13" t="s">
        <v>1775</v>
      </c>
      <c r="K2553" s="13">
        <v>99</v>
      </c>
      <c r="L2553" s="13" t="s">
        <v>15</v>
      </c>
      <c r="M2553" s="13">
        <v>22.44</v>
      </c>
      <c r="N2553" s="13" t="s">
        <v>3</v>
      </c>
      <c r="O2553" s="16">
        <f t="shared" si="615"/>
        <v>2.2440000000000003E-3</v>
      </c>
      <c r="P2553" s="22">
        <f t="shared" ref="P2553:P2559" si="616">O2553*$P$2551</f>
        <v>0</v>
      </c>
    </row>
    <row r="2554" spans="1:16" x14ac:dyDescent="0.25">
      <c r="A2554" s="91"/>
      <c r="B2554" s="13" t="s">
        <v>1772</v>
      </c>
      <c r="C2554" s="13" t="s">
        <v>1773</v>
      </c>
      <c r="D2554" s="13">
        <v>3</v>
      </c>
      <c r="E2554" s="13" t="s">
        <v>24</v>
      </c>
      <c r="F2554" s="13">
        <v>1</v>
      </c>
      <c r="G2554" s="13" t="s">
        <v>35</v>
      </c>
      <c r="H2554" s="13" t="s">
        <v>17</v>
      </c>
      <c r="I2554" s="14">
        <v>3004376</v>
      </c>
      <c r="J2554" s="13" t="s">
        <v>1776</v>
      </c>
      <c r="K2554" s="13">
        <v>99</v>
      </c>
      <c r="L2554" s="13" t="s">
        <v>15</v>
      </c>
      <c r="M2554" s="13">
        <v>0.44</v>
      </c>
      <c r="N2554" s="13" t="s">
        <v>3</v>
      </c>
      <c r="O2554" s="16">
        <f t="shared" si="615"/>
        <v>4.3999999999999999E-5</v>
      </c>
      <c r="P2554" s="22">
        <f t="shared" si="616"/>
        <v>0</v>
      </c>
    </row>
    <row r="2555" spans="1:16" x14ac:dyDescent="0.25">
      <c r="A2555" s="91"/>
      <c r="B2555" s="13" t="s">
        <v>1772</v>
      </c>
      <c r="C2555" s="13" t="s">
        <v>1773</v>
      </c>
      <c r="D2555" s="13">
        <v>3</v>
      </c>
      <c r="E2555" s="13" t="s">
        <v>24</v>
      </c>
      <c r="F2555" s="13">
        <v>1</v>
      </c>
      <c r="G2555" s="13" t="s">
        <v>16</v>
      </c>
      <c r="H2555" s="13" t="s">
        <v>17</v>
      </c>
      <c r="I2555" s="14">
        <v>4002826</v>
      </c>
      <c r="J2555" s="13" t="s">
        <v>4</v>
      </c>
      <c r="K2555" s="13">
        <v>99</v>
      </c>
      <c r="L2555" s="13" t="s">
        <v>15</v>
      </c>
      <c r="M2555" s="13">
        <v>50</v>
      </c>
      <c r="N2555" s="13" t="s">
        <v>1</v>
      </c>
      <c r="O2555" s="16">
        <f t="shared" si="615"/>
        <v>5.0000000000000001E-3</v>
      </c>
      <c r="P2555" s="22">
        <f t="shared" si="616"/>
        <v>0</v>
      </c>
    </row>
    <row r="2556" spans="1:16" x14ac:dyDescent="0.25">
      <c r="A2556" s="91"/>
      <c r="B2556" s="13" t="s">
        <v>1772</v>
      </c>
      <c r="C2556" s="13" t="s">
        <v>1773</v>
      </c>
      <c r="D2556" s="13">
        <v>3</v>
      </c>
      <c r="E2556" s="13" t="s">
        <v>24</v>
      </c>
      <c r="F2556" s="13">
        <v>1</v>
      </c>
      <c r="G2556" s="13" t="s">
        <v>16</v>
      </c>
      <c r="H2556" s="13" t="s">
        <v>17</v>
      </c>
      <c r="I2556" s="14">
        <v>4011430</v>
      </c>
      <c r="J2556" s="13" t="s">
        <v>1777</v>
      </c>
      <c r="K2556" s="13">
        <v>99</v>
      </c>
      <c r="L2556" s="13" t="s">
        <v>15</v>
      </c>
      <c r="M2556" s="15">
        <v>2500</v>
      </c>
      <c r="N2556" s="13" t="s">
        <v>1</v>
      </c>
      <c r="O2556" s="16">
        <f t="shared" si="615"/>
        <v>0.25</v>
      </c>
      <c r="P2556" s="22">
        <f t="shared" si="616"/>
        <v>0</v>
      </c>
    </row>
    <row r="2557" spans="1:16" x14ac:dyDescent="0.25">
      <c r="A2557" s="91"/>
      <c r="B2557" s="13" t="s">
        <v>1772</v>
      </c>
      <c r="C2557" s="13" t="s">
        <v>1773</v>
      </c>
      <c r="D2557" s="13">
        <v>3</v>
      </c>
      <c r="E2557" s="13" t="s">
        <v>24</v>
      </c>
      <c r="F2557" s="13">
        <v>1</v>
      </c>
      <c r="G2557" s="13" t="s">
        <v>16</v>
      </c>
      <c r="H2557" s="13" t="s">
        <v>17</v>
      </c>
      <c r="I2557" s="14">
        <v>4011434</v>
      </c>
      <c r="J2557" s="13" t="s">
        <v>1778</v>
      </c>
      <c r="K2557" s="13">
        <v>99</v>
      </c>
      <c r="L2557" s="13" t="s">
        <v>15</v>
      </c>
      <c r="M2557" s="15">
        <v>10000</v>
      </c>
      <c r="N2557" s="13" t="s">
        <v>1</v>
      </c>
      <c r="O2557" s="16">
        <f t="shared" si="615"/>
        <v>1</v>
      </c>
      <c r="P2557" s="22">
        <f t="shared" si="616"/>
        <v>0</v>
      </c>
    </row>
    <row r="2558" spans="1:16" x14ac:dyDescent="0.25">
      <c r="A2558" s="91"/>
      <c r="B2558" s="13" t="s">
        <v>1772</v>
      </c>
      <c r="C2558" s="13" t="s">
        <v>1773</v>
      </c>
      <c r="D2558" s="13">
        <v>3</v>
      </c>
      <c r="E2558" s="13" t="s">
        <v>24</v>
      </c>
      <c r="F2558" s="13">
        <v>1</v>
      </c>
      <c r="G2558" s="13" t="s">
        <v>369</v>
      </c>
      <c r="H2558" s="13" t="s">
        <v>17</v>
      </c>
      <c r="I2558" s="14">
        <v>14000760</v>
      </c>
      <c r="J2558" s="13" t="s">
        <v>370</v>
      </c>
      <c r="K2558" s="13">
        <v>99</v>
      </c>
      <c r="L2558" s="13" t="s">
        <v>15</v>
      </c>
      <c r="M2558" s="15">
        <v>10000</v>
      </c>
      <c r="N2558" s="13" t="s">
        <v>1</v>
      </c>
      <c r="O2558" s="16">
        <f t="shared" si="615"/>
        <v>1</v>
      </c>
      <c r="P2558" s="22">
        <f t="shared" si="616"/>
        <v>0</v>
      </c>
    </row>
    <row r="2559" spans="1:16" ht="15.75" thickBot="1" x14ac:dyDescent="0.3">
      <c r="A2559" s="90"/>
      <c r="B2559" s="23" t="s">
        <v>1772</v>
      </c>
      <c r="C2559" s="23" t="s">
        <v>1773</v>
      </c>
      <c r="D2559" s="23">
        <v>3</v>
      </c>
      <c r="E2559" s="23" t="s">
        <v>24</v>
      </c>
      <c r="F2559" s="23">
        <v>1</v>
      </c>
      <c r="G2559" s="23" t="s">
        <v>21</v>
      </c>
      <c r="H2559" s="23" t="s">
        <v>17</v>
      </c>
      <c r="I2559" s="24" t="s">
        <v>1779</v>
      </c>
      <c r="J2559" s="23" t="s">
        <v>1780</v>
      </c>
      <c r="K2559" s="23">
        <v>3</v>
      </c>
      <c r="L2559" s="23" t="s">
        <v>24</v>
      </c>
      <c r="M2559" s="25">
        <v>10000</v>
      </c>
      <c r="N2559" s="23" t="s">
        <v>1</v>
      </c>
      <c r="O2559" s="26">
        <f t="shared" si="615"/>
        <v>1</v>
      </c>
      <c r="P2559" s="27">
        <f t="shared" si="616"/>
        <v>0</v>
      </c>
    </row>
    <row r="2560" spans="1:16" x14ac:dyDescent="0.25">
      <c r="B2560" s="1"/>
      <c r="C2560" s="1"/>
      <c r="D2560" s="1"/>
      <c r="E2560" s="1"/>
      <c r="F2560" s="1"/>
      <c r="G2560" s="1"/>
      <c r="H2560" s="1"/>
      <c r="I2560" s="2"/>
      <c r="J2560" s="1"/>
      <c r="K2560" s="1"/>
      <c r="L2560" s="1"/>
      <c r="M2560" s="3"/>
      <c r="N2560" s="1"/>
    </row>
    <row r="2561" spans="1:16" ht="15.75" thickBot="1" x14ac:dyDescent="0.3">
      <c r="B2561" s="1"/>
      <c r="C2561" s="1"/>
      <c r="D2561" s="1"/>
      <c r="E2561" s="1"/>
      <c r="F2561" s="1"/>
      <c r="G2561" s="1"/>
      <c r="H2561" s="1"/>
      <c r="I2561" s="2"/>
      <c r="J2561" s="1"/>
      <c r="K2561" s="1"/>
      <c r="L2561" s="1"/>
      <c r="M2561" s="3"/>
      <c r="N2561" s="1"/>
      <c r="P2561" s="11">
        <f>IFERROR(VLOOKUP($A2562,'PROGRAMA MES '!$A:$B,2,0),0)</f>
        <v>0</v>
      </c>
    </row>
    <row r="2562" spans="1:16" x14ac:dyDescent="0.25">
      <c r="A2562" s="89" t="str">
        <f>B2562</f>
        <v>SP9742</v>
      </c>
      <c r="B2562" s="17" t="s">
        <v>1781</v>
      </c>
      <c r="C2562" s="17" t="s">
        <v>1782</v>
      </c>
      <c r="D2562" s="17">
        <v>51</v>
      </c>
      <c r="E2562" s="17" t="s">
        <v>101</v>
      </c>
      <c r="F2562" s="17">
        <v>1</v>
      </c>
      <c r="G2562" s="17" t="s">
        <v>360</v>
      </c>
      <c r="H2562" s="17" t="s">
        <v>17</v>
      </c>
      <c r="I2562" s="18">
        <v>2007387</v>
      </c>
      <c r="J2562" s="17" t="s">
        <v>1774</v>
      </c>
      <c r="K2562" s="17">
        <v>99</v>
      </c>
      <c r="L2562" s="17" t="s">
        <v>15</v>
      </c>
      <c r="M2562" s="19">
        <v>20000</v>
      </c>
      <c r="N2562" s="17" t="s">
        <v>1</v>
      </c>
      <c r="O2562" s="20">
        <f t="shared" ref="O2562:O2571" si="617">M2562/10000</f>
        <v>2</v>
      </c>
      <c r="P2562" s="21">
        <f>O2562*$P$2561</f>
        <v>0</v>
      </c>
    </row>
    <row r="2563" spans="1:16" x14ac:dyDescent="0.25">
      <c r="A2563" s="91"/>
      <c r="B2563" s="13" t="s">
        <v>1781</v>
      </c>
      <c r="C2563" s="13" t="s">
        <v>1782</v>
      </c>
      <c r="D2563" s="13">
        <v>51</v>
      </c>
      <c r="E2563" s="13" t="s">
        <v>101</v>
      </c>
      <c r="F2563" s="13">
        <v>1</v>
      </c>
      <c r="G2563" s="13" t="s">
        <v>35</v>
      </c>
      <c r="H2563" s="13" t="s">
        <v>17</v>
      </c>
      <c r="I2563" s="14">
        <v>3000909</v>
      </c>
      <c r="J2563" s="13" t="s">
        <v>1775</v>
      </c>
      <c r="K2563" s="13">
        <v>99</v>
      </c>
      <c r="L2563" s="13" t="s">
        <v>15</v>
      </c>
      <c r="M2563" s="13">
        <v>22.44</v>
      </c>
      <c r="N2563" s="13" t="s">
        <v>3</v>
      </c>
      <c r="O2563" s="16">
        <f t="shared" si="617"/>
        <v>2.2440000000000003E-3</v>
      </c>
      <c r="P2563" s="22">
        <f t="shared" ref="P2563:P2571" si="618">O2563*$P$2561</f>
        <v>0</v>
      </c>
    </row>
    <row r="2564" spans="1:16" x14ac:dyDescent="0.25">
      <c r="A2564" s="91"/>
      <c r="B2564" s="13" t="s">
        <v>1781</v>
      </c>
      <c r="C2564" s="13" t="s">
        <v>1782</v>
      </c>
      <c r="D2564" s="13">
        <v>51</v>
      </c>
      <c r="E2564" s="13" t="s">
        <v>101</v>
      </c>
      <c r="F2564" s="13">
        <v>1</v>
      </c>
      <c r="G2564" s="13" t="s">
        <v>35</v>
      </c>
      <c r="H2564" s="13" t="s">
        <v>17</v>
      </c>
      <c r="I2564" s="14">
        <v>3003980</v>
      </c>
      <c r="J2564" s="13" t="s">
        <v>1783</v>
      </c>
      <c r="K2564" s="13">
        <v>99</v>
      </c>
      <c r="L2564" s="13" t="s">
        <v>15</v>
      </c>
      <c r="M2564" s="15">
        <v>10000</v>
      </c>
      <c r="N2564" s="13" t="s">
        <v>1</v>
      </c>
      <c r="O2564" s="16">
        <f t="shared" si="617"/>
        <v>1</v>
      </c>
      <c r="P2564" s="22">
        <f t="shared" si="618"/>
        <v>0</v>
      </c>
    </row>
    <row r="2565" spans="1:16" x14ac:dyDescent="0.25">
      <c r="A2565" s="91"/>
      <c r="B2565" s="13" t="s">
        <v>1781</v>
      </c>
      <c r="C2565" s="13" t="s">
        <v>1782</v>
      </c>
      <c r="D2565" s="13">
        <v>51</v>
      </c>
      <c r="E2565" s="13" t="s">
        <v>101</v>
      </c>
      <c r="F2565" s="13">
        <v>1</v>
      </c>
      <c r="G2565" s="13" t="s">
        <v>35</v>
      </c>
      <c r="H2565" s="13" t="s">
        <v>17</v>
      </c>
      <c r="I2565" s="14">
        <v>3004376</v>
      </c>
      <c r="J2565" s="13" t="s">
        <v>1776</v>
      </c>
      <c r="K2565" s="13">
        <v>99</v>
      </c>
      <c r="L2565" s="13" t="s">
        <v>15</v>
      </c>
      <c r="M2565" s="13">
        <v>0.44</v>
      </c>
      <c r="N2565" s="13" t="s">
        <v>3</v>
      </c>
      <c r="O2565" s="16">
        <f t="shared" si="617"/>
        <v>4.3999999999999999E-5</v>
      </c>
      <c r="P2565" s="22">
        <f t="shared" si="618"/>
        <v>0</v>
      </c>
    </row>
    <row r="2566" spans="1:16" x14ac:dyDescent="0.25">
      <c r="A2566" s="91"/>
      <c r="B2566" s="13" t="s">
        <v>1781</v>
      </c>
      <c r="C2566" s="13" t="s">
        <v>1782</v>
      </c>
      <c r="D2566" s="13">
        <v>51</v>
      </c>
      <c r="E2566" s="13" t="s">
        <v>101</v>
      </c>
      <c r="F2566" s="13">
        <v>1</v>
      </c>
      <c r="G2566" s="13" t="s">
        <v>16</v>
      </c>
      <c r="H2566" s="13" t="s">
        <v>17</v>
      </c>
      <c r="I2566" s="14">
        <v>4002826</v>
      </c>
      <c r="J2566" s="13" t="s">
        <v>4</v>
      </c>
      <c r="K2566" s="13">
        <v>99</v>
      </c>
      <c r="L2566" s="13" t="s">
        <v>15</v>
      </c>
      <c r="M2566" s="13">
        <v>50</v>
      </c>
      <c r="N2566" s="13" t="s">
        <v>1</v>
      </c>
      <c r="O2566" s="16">
        <f t="shared" si="617"/>
        <v>5.0000000000000001E-3</v>
      </c>
      <c r="P2566" s="22">
        <f t="shared" si="618"/>
        <v>0</v>
      </c>
    </row>
    <row r="2567" spans="1:16" x14ac:dyDescent="0.25">
      <c r="A2567" s="91"/>
      <c r="B2567" s="13" t="s">
        <v>1781</v>
      </c>
      <c r="C2567" s="13" t="s">
        <v>1782</v>
      </c>
      <c r="D2567" s="13">
        <v>51</v>
      </c>
      <c r="E2567" s="13" t="s">
        <v>101</v>
      </c>
      <c r="F2567" s="13">
        <v>1</v>
      </c>
      <c r="G2567" s="13" t="s">
        <v>16</v>
      </c>
      <c r="H2567" s="13" t="s">
        <v>17</v>
      </c>
      <c r="I2567" s="14">
        <v>4011431</v>
      </c>
      <c r="J2567" s="13" t="s">
        <v>1784</v>
      </c>
      <c r="K2567" s="13">
        <v>99</v>
      </c>
      <c r="L2567" s="13" t="s">
        <v>15</v>
      </c>
      <c r="M2567" s="15">
        <v>2500</v>
      </c>
      <c r="N2567" s="13" t="s">
        <v>1</v>
      </c>
      <c r="O2567" s="16">
        <f t="shared" si="617"/>
        <v>0.25</v>
      </c>
      <c r="P2567" s="22">
        <f t="shared" si="618"/>
        <v>0</v>
      </c>
    </row>
    <row r="2568" spans="1:16" x14ac:dyDescent="0.25">
      <c r="A2568" s="91"/>
      <c r="B2568" s="13" t="s">
        <v>1781</v>
      </c>
      <c r="C2568" s="13" t="s">
        <v>1782</v>
      </c>
      <c r="D2568" s="13">
        <v>51</v>
      </c>
      <c r="E2568" s="13" t="s">
        <v>101</v>
      </c>
      <c r="F2568" s="13">
        <v>1</v>
      </c>
      <c r="G2568" s="13" t="s">
        <v>16</v>
      </c>
      <c r="H2568" s="13" t="s">
        <v>17</v>
      </c>
      <c r="I2568" s="14">
        <v>4011435</v>
      </c>
      <c r="J2568" s="13" t="s">
        <v>1785</v>
      </c>
      <c r="K2568" s="13">
        <v>99</v>
      </c>
      <c r="L2568" s="13" t="s">
        <v>15</v>
      </c>
      <c r="M2568" s="15">
        <v>10000</v>
      </c>
      <c r="N2568" s="13" t="s">
        <v>1</v>
      </c>
      <c r="O2568" s="16">
        <f t="shared" si="617"/>
        <v>1</v>
      </c>
      <c r="P2568" s="22">
        <f t="shared" si="618"/>
        <v>0</v>
      </c>
    </row>
    <row r="2569" spans="1:16" x14ac:dyDescent="0.25">
      <c r="A2569" s="91"/>
      <c r="B2569" s="13" t="s">
        <v>1781</v>
      </c>
      <c r="C2569" s="13" t="s">
        <v>1782</v>
      </c>
      <c r="D2569" s="13">
        <v>51</v>
      </c>
      <c r="E2569" s="13" t="s">
        <v>101</v>
      </c>
      <c r="F2569" s="13">
        <v>1</v>
      </c>
      <c r="G2569" s="13" t="s">
        <v>16</v>
      </c>
      <c r="H2569" s="13" t="s">
        <v>17</v>
      </c>
      <c r="I2569" s="14">
        <v>4011777</v>
      </c>
      <c r="J2569" s="13" t="s">
        <v>1786</v>
      </c>
      <c r="K2569" s="13">
        <v>99</v>
      </c>
      <c r="L2569" s="13" t="s">
        <v>15</v>
      </c>
      <c r="M2569" s="15">
        <v>10000</v>
      </c>
      <c r="N2569" s="13" t="s">
        <v>1</v>
      </c>
      <c r="O2569" s="16">
        <f t="shared" si="617"/>
        <v>1</v>
      </c>
      <c r="P2569" s="22">
        <f t="shared" si="618"/>
        <v>0</v>
      </c>
    </row>
    <row r="2570" spans="1:16" x14ac:dyDescent="0.25">
      <c r="A2570" s="91"/>
      <c r="B2570" s="13" t="s">
        <v>1781</v>
      </c>
      <c r="C2570" s="13" t="s">
        <v>1782</v>
      </c>
      <c r="D2570" s="13">
        <v>51</v>
      </c>
      <c r="E2570" s="13" t="s">
        <v>101</v>
      </c>
      <c r="F2570" s="13">
        <v>1</v>
      </c>
      <c r="G2570" s="13" t="s">
        <v>369</v>
      </c>
      <c r="H2570" s="13" t="s">
        <v>17</v>
      </c>
      <c r="I2570" s="14">
        <v>14000760</v>
      </c>
      <c r="J2570" s="13" t="s">
        <v>370</v>
      </c>
      <c r="K2570" s="13">
        <v>99</v>
      </c>
      <c r="L2570" s="13" t="s">
        <v>15</v>
      </c>
      <c r="M2570" s="15">
        <v>10000</v>
      </c>
      <c r="N2570" s="13" t="s">
        <v>1</v>
      </c>
      <c r="O2570" s="16">
        <f t="shared" si="617"/>
        <v>1</v>
      </c>
      <c r="P2570" s="22">
        <f t="shared" si="618"/>
        <v>0</v>
      </c>
    </row>
    <row r="2571" spans="1:16" ht="15.75" thickBot="1" x14ac:dyDescent="0.3">
      <c r="A2571" s="90"/>
      <c r="B2571" s="23" t="s">
        <v>1781</v>
      </c>
      <c r="C2571" s="23" t="s">
        <v>1782</v>
      </c>
      <c r="D2571" s="23">
        <v>51</v>
      </c>
      <c r="E2571" s="23" t="s">
        <v>101</v>
      </c>
      <c r="F2571" s="23">
        <v>1</v>
      </c>
      <c r="G2571" s="23" t="s">
        <v>21</v>
      </c>
      <c r="H2571" s="23" t="s">
        <v>17</v>
      </c>
      <c r="I2571" s="24" t="s">
        <v>1787</v>
      </c>
      <c r="J2571" s="23" t="s">
        <v>1788</v>
      </c>
      <c r="K2571" s="23">
        <v>3</v>
      </c>
      <c r="L2571" s="23" t="s">
        <v>24</v>
      </c>
      <c r="M2571" s="25">
        <v>10000</v>
      </c>
      <c r="N2571" s="23" t="s">
        <v>1</v>
      </c>
      <c r="O2571" s="26">
        <f t="shared" si="617"/>
        <v>1</v>
      </c>
      <c r="P2571" s="27">
        <f t="shared" si="618"/>
        <v>0</v>
      </c>
    </row>
    <row r="2572" spans="1:16" x14ac:dyDescent="0.25">
      <c r="B2572" s="1"/>
      <c r="C2572" s="1"/>
      <c r="D2572" s="1"/>
      <c r="E2572" s="1"/>
      <c r="F2572" s="1"/>
      <c r="G2572" s="1"/>
      <c r="H2572" s="1"/>
      <c r="I2572" s="2"/>
      <c r="J2572" s="1"/>
      <c r="K2572" s="1"/>
      <c r="L2572" s="1"/>
      <c r="M2572" s="3"/>
      <c r="N2572" s="1"/>
    </row>
    <row r="2573" spans="1:16" ht="15.75" thickBot="1" x14ac:dyDescent="0.3">
      <c r="B2573" s="1"/>
      <c r="C2573" s="1"/>
      <c r="D2573" s="1"/>
      <c r="E2573" s="1"/>
      <c r="F2573" s="1"/>
      <c r="G2573" s="1"/>
      <c r="H2573" s="1"/>
      <c r="I2573" s="2"/>
      <c r="J2573" s="1"/>
      <c r="K2573" s="1"/>
      <c r="L2573" s="1"/>
      <c r="M2573" s="3"/>
      <c r="N2573" s="1"/>
      <c r="P2573" s="11">
        <f>IFERROR(VLOOKUP($A2574,'PROGRAMA MES '!$A:$B,2,0),0)</f>
        <v>0</v>
      </c>
    </row>
    <row r="2574" spans="1:16" x14ac:dyDescent="0.25">
      <c r="A2574" s="89" t="str">
        <f>B2574</f>
        <v>SP9743</v>
      </c>
      <c r="B2574" s="17" t="s">
        <v>1789</v>
      </c>
      <c r="C2574" s="17" t="s">
        <v>1790</v>
      </c>
      <c r="D2574" s="17">
        <v>3</v>
      </c>
      <c r="E2574" s="17" t="s">
        <v>24</v>
      </c>
      <c r="F2574" s="17">
        <v>1</v>
      </c>
      <c r="G2574" s="17" t="s">
        <v>360</v>
      </c>
      <c r="H2574" s="17" t="s">
        <v>17</v>
      </c>
      <c r="I2574" s="18">
        <v>2007387</v>
      </c>
      <c r="J2574" s="17" t="s">
        <v>1774</v>
      </c>
      <c r="K2574" s="17">
        <v>99</v>
      </c>
      <c r="L2574" s="17" t="s">
        <v>15</v>
      </c>
      <c r="M2574" s="19">
        <v>20000</v>
      </c>
      <c r="N2574" s="17" t="s">
        <v>1</v>
      </c>
      <c r="O2574" s="20">
        <f t="shared" ref="O2574:O2581" si="619">M2574/10000</f>
        <v>2</v>
      </c>
      <c r="P2574" s="21">
        <f>O2574*$P$2573</f>
        <v>0</v>
      </c>
    </row>
    <row r="2575" spans="1:16" x14ac:dyDescent="0.25">
      <c r="A2575" s="91"/>
      <c r="B2575" s="13" t="s">
        <v>1789</v>
      </c>
      <c r="C2575" s="13" t="s">
        <v>1790</v>
      </c>
      <c r="D2575" s="13">
        <v>3</v>
      </c>
      <c r="E2575" s="13" t="s">
        <v>24</v>
      </c>
      <c r="F2575" s="13">
        <v>1</v>
      </c>
      <c r="G2575" s="13" t="s">
        <v>35</v>
      </c>
      <c r="H2575" s="13" t="s">
        <v>17</v>
      </c>
      <c r="I2575" s="14">
        <v>3000909</v>
      </c>
      <c r="J2575" s="13" t="s">
        <v>1775</v>
      </c>
      <c r="K2575" s="13">
        <v>99</v>
      </c>
      <c r="L2575" s="13" t="s">
        <v>15</v>
      </c>
      <c r="M2575" s="13">
        <v>22.44</v>
      </c>
      <c r="N2575" s="13" t="s">
        <v>3</v>
      </c>
      <c r="O2575" s="16">
        <f t="shared" si="619"/>
        <v>2.2440000000000003E-3</v>
      </c>
      <c r="P2575" s="22">
        <f t="shared" ref="P2575:P2581" si="620">O2575*$P$2573</f>
        <v>0</v>
      </c>
    </row>
    <row r="2576" spans="1:16" x14ac:dyDescent="0.25">
      <c r="A2576" s="91"/>
      <c r="B2576" s="13" t="s">
        <v>1789</v>
      </c>
      <c r="C2576" s="13" t="s">
        <v>1790</v>
      </c>
      <c r="D2576" s="13">
        <v>3</v>
      </c>
      <c r="E2576" s="13" t="s">
        <v>24</v>
      </c>
      <c r="F2576" s="13">
        <v>1</v>
      </c>
      <c r="G2576" s="13" t="s">
        <v>35</v>
      </c>
      <c r="H2576" s="13" t="s">
        <v>17</v>
      </c>
      <c r="I2576" s="14">
        <v>3004376</v>
      </c>
      <c r="J2576" s="13" t="s">
        <v>1776</v>
      </c>
      <c r="K2576" s="13">
        <v>99</v>
      </c>
      <c r="L2576" s="13" t="s">
        <v>15</v>
      </c>
      <c r="M2576" s="13">
        <v>0.44</v>
      </c>
      <c r="N2576" s="13" t="s">
        <v>3</v>
      </c>
      <c r="O2576" s="16">
        <f t="shared" si="619"/>
        <v>4.3999999999999999E-5</v>
      </c>
      <c r="P2576" s="22">
        <f t="shared" si="620"/>
        <v>0</v>
      </c>
    </row>
    <row r="2577" spans="1:16" x14ac:dyDescent="0.25">
      <c r="A2577" s="91"/>
      <c r="B2577" s="13" t="s">
        <v>1789</v>
      </c>
      <c r="C2577" s="13" t="s">
        <v>1790</v>
      </c>
      <c r="D2577" s="13">
        <v>3</v>
      </c>
      <c r="E2577" s="13" t="s">
        <v>24</v>
      </c>
      <c r="F2577" s="13">
        <v>1</v>
      </c>
      <c r="G2577" s="13" t="s">
        <v>16</v>
      </c>
      <c r="H2577" s="13" t="s">
        <v>17</v>
      </c>
      <c r="I2577" s="14">
        <v>4002826</v>
      </c>
      <c r="J2577" s="13" t="s">
        <v>4</v>
      </c>
      <c r="K2577" s="13">
        <v>99</v>
      </c>
      <c r="L2577" s="13" t="s">
        <v>15</v>
      </c>
      <c r="M2577" s="13">
        <v>50</v>
      </c>
      <c r="N2577" s="13" t="s">
        <v>1</v>
      </c>
      <c r="O2577" s="16">
        <f t="shared" si="619"/>
        <v>5.0000000000000001E-3</v>
      </c>
      <c r="P2577" s="22">
        <f t="shared" si="620"/>
        <v>0</v>
      </c>
    </row>
    <row r="2578" spans="1:16" x14ac:dyDescent="0.25">
      <c r="A2578" s="91"/>
      <c r="B2578" s="13" t="s">
        <v>1789</v>
      </c>
      <c r="C2578" s="13" t="s">
        <v>1790</v>
      </c>
      <c r="D2578" s="13">
        <v>3</v>
      </c>
      <c r="E2578" s="13" t="s">
        <v>24</v>
      </c>
      <c r="F2578" s="13">
        <v>1</v>
      </c>
      <c r="G2578" s="13" t="s">
        <v>16</v>
      </c>
      <c r="H2578" s="13" t="s">
        <v>17</v>
      </c>
      <c r="I2578" s="14">
        <v>4011432</v>
      </c>
      <c r="J2578" s="13" t="s">
        <v>1791</v>
      </c>
      <c r="K2578" s="13">
        <v>99</v>
      </c>
      <c r="L2578" s="13" t="s">
        <v>15</v>
      </c>
      <c r="M2578" s="15">
        <v>2500</v>
      </c>
      <c r="N2578" s="13" t="s">
        <v>1</v>
      </c>
      <c r="O2578" s="16">
        <f t="shared" si="619"/>
        <v>0.25</v>
      </c>
      <c r="P2578" s="22">
        <f t="shared" si="620"/>
        <v>0</v>
      </c>
    </row>
    <row r="2579" spans="1:16" x14ac:dyDescent="0.25">
      <c r="A2579" s="91"/>
      <c r="B2579" s="13" t="s">
        <v>1789</v>
      </c>
      <c r="C2579" s="13" t="s">
        <v>1790</v>
      </c>
      <c r="D2579" s="13">
        <v>3</v>
      </c>
      <c r="E2579" s="13" t="s">
        <v>24</v>
      </c>
      <c r="F2579" s="13">
        <v>1</v>
      </c>
      <c r="G2579" s="13" t="s">
        <v>16</v>
      </c>
      <c r="H2579" s="13" t="s">
        <v>17</v>
      </c>
      <c r="I2579" s="14">
        <v>4011437</v>
      </c>
      <c r="J2579" s="13" t="s">
        <v>1792</v>
      </c>
      <c r="K2579" s="13">
        <v>99</v>
      </c>
      <c r="L2579" s="13" t="s">
        <v>15</v>
      </c>
      <c r="M2579" s="15">
        <v>10000</v>
      </c>
      <c r="N2579" s="13" t="s">
        <v>1</v>
      </c>
      <c r="O2579" s="16">
        <f t="shared" si="619"/>
        <v>1</v>
      </c>
      <c r="P2579" s="22">
        <f t="shared" si="620"/>
        <v>0</v>
      </c>
    </row>
    <row r="2580" spans="1:16" x14ac:dyDescent="0.25">
      <c r="A2580" s="91"/>
      <c r="B2580" s="13" t="s">
        <v>1789</v>
      </c>
      <c r="C2580" s="13" t="s">
        <v>1790</v>
      </c>
      <c r="D2580" s="13">
        <v>3</v>
      </c>
      <c r="E2580" s="13" t="s">
        <v>24</v>
      </c>
      <c r="F2580" s="13">
        <v>1</v>
      </c>
      <c r="G2580" s="13" t="s">
        <v>369</v>
      </c>
      <c r="H2580" s="13" t="s">
        <v>17</v>
      </c>
      <c r="I2580" s="14">
        <v>14000760</v>
      </c>
      <c r="J2580" s="13" t="s">
        <v>370</v>
      </c>
      <c r="K2580" s="13">
        <v>99</v>
      </c>
      <c r="L2580" s="13" t="s">
        <v>15</v>
      </c>
      <c r="M2580" s="15">
        <v>10000</v>
      </c>
      <c r="N2580" s="13" t="s">
        <v>1</v>
      </c>
      <c r="O2580" s="16">
        <f t="shared" si="619"/>
        <v>1</v>
      </c>
      <c r="P2580" s="22">
        <f t="shared" si="620"/>
        <v>0</v>
      </c>
    </row>
    <row r="2581" spans="1:16" ht="15.75" thickBot="1" x14ac:dyDescent="0.3">
      <c r="A2581" s="90"/>
      <c r="B2581" s="23" t="s">
        <v>1789</v>
      </c>
      <c r="C2581" s="23" t="s">
        <v>1790</v>
      </c>
      <c r="D2581" s="23">
        <v>3</v>
      </c>
      <c r="E2581" s="23" t="s">
        <v>24</v>
      </c>
      <c r="F2581" s="23">
        <v>1</v>
      </c>
      <c r="G2581" s="23" t="s">
        <v>21</v>
      </c>
      <c r="H2581" s="23" t="s">
        <v>17</v>
      </c>
      <c r="I2581" s="24" t="s">
        <v>1793</v>
      </c>
      <c r="J2581" s="23" t="s">
        <v>1794</v>
      </c>
      <c r="K2581" s="23">
        <v>3</v>
      </c>
      <c r="L2581" s="23" t="s">
        <v>24</v>
      </c>
      <c r="M2581" s="25">
        <v>10000</v>
      </c>
      <c r="N2581" s="23" t="s">
        <v>1</v>
      </c>
      <c r="O2581" s="26">
        <f t="shared" si="619"/>
        <v>1</v>
      </c>
      <c r="P2581" s="27">
        <f t="shared" si="620"/>
        <v>0</v>
      </c>
    </row>
    <row r="2582" spans="1:16" x14ac:dyDescent="0.25">
      <c r="B2582" s="1"/>
      <c r="C2582" s="1"/>
      <c r="D2582" s="1"/>
      <c r="E2582" s="1"/>
      <c r="F2582" s="1"/>
      <c r="G2582" s="1"/>
      <c r="H2582" s="1"/>
      <c r="I2582" s="2"/>
      <c r="J2582" s="1"/>
      <c r="K2582" s="1"/>
      <c r="L2582" s="1"/>
      <c r="M2582" s="3"/>
      <c r="N2582" s="1"/>
    </row>
    <row r="2583" spans="1:16" ht="15.75" thickBot="1" x14ac:dyDescent="0.3">
      <c r="B2583" s="1"/>
      <c r="C2583" s="1"/>
      <c r="D2583" s="1"/>
      <c r="E2583" s="1"/>
      <c r="F2583" s="1"/>
      <c r="G2583" s="1"/>
      <c r="H2583" s="1"/>
      <c r="I2583" s="2"/>
      <c r="J2583" s="1"/>
      <c r="K2583" s="1"/>
      <c r="L2583" s="1"/>
      <c r="M2583" s="3"/>
      <c r="N2583" s="1"/>
      <c r="P2583" s="11">
        <f>IFERROR(VLOOKUP($A2584,'PROGRAMA MES '!$A:$B,2,0),0)</f>
        <v>0</v>
      </c>
    </row>
    <row r="2584" spans="1:16" x14ac:dyDescent="0.25">
      <c r="A2584" s="89" t="str">
        <f>B2584</f>
        <v>SP9744</v>
      </c>
      <c r="B2584" s="17" t="s">
        <v>1795</v>
      </c>
      <c r="C2584" s="17" t="s">
        <v>1796</v>
      </c>
      <c r="D2584" s="17">
        <v>51</v>
      </c>
      <c r="E2584" s="17" t="s">
        <v>101</v>
      </c>
      <c r="F2584" s="17">
        <v>1</v>
      </c>
      <c r="G2584" s="17" t="s">
        <v>360</v>
      </c>
      <c r="H2584" s="17" t="s">
        <v>17</v>
      </c>
      <c r="I2584" s="18">
        <v>2007385</v>
      </c>
      <c r="J2584" s="17" t="s">
        <v>1797</v>
      </c>
      <c r="K2584" s="17">
        <v>55</v>
      </c>
      <c r="L2584" s="17" t="s">
        <v>1798</v>
      </c>
      <c r="M2584" s="19">
        <v>10000</v>
      </c>
      <c r="N2584" s="17" t="s">
        <v>1</v>
      </c>
      <c r="O2584" s="20">
        <f t="shared" ref="O2584:O2622" si="621">M2584/10000</f>
        <v>1</v>
      </c>
      <c r="P2584" s="21">
        <f>O2584*$P$2583</f>
        <v>0</v>
      </c>
    </row>
    <row r="2585" spans="1:16" x14ac:dyDescent="0.25">
      <c r="A2585" s="91"/>
      <c r="B2585" s="13" t="s">
        <v>1795</v>
      </c>
      <c r="C2585" s="13" t="s">
        <v>1796</v>
      </c>
      <c r="D2585" s="13">
        <v>51</v>
      </c>
      <c r="E2585" s="13" t="s">
        <v>101</v>
      </c>
      <c r="F2585" s="13">
        <v>1</v>
      </c>
      <c r="G2585" s="13" t="s">
        <v>360</v>
      </c>
      <c r="H2585" s="13" t="s">
        <v>17</v>
      </c>
      <c r="I2585" s="14">
        <v>2007386</v>
      </c>
      <c r="J2585" s="13" t="s">
        <v>1799</v>
      </c>
      <c r="K2585" s="13">
        <v>55</v>
      </c>
      <c r="L2585" s="13" t="s">
        <v>1798</v>
      </c>
      <c r="M2585" s="15">
        <v>10000</v>
      </c>
      <c r="N2585" s="13" t="s">
        <v>1</v>
      </c>
      <c r="O2585" s="16">
        <f t="shared" si="621"/>
        <v>1</v>
      </c>
      <c r="P2585" s="22">
        <f t="shared" ref="P2585:P2593" si="622">O2585*$P$2583</f>
        <v>0</v>
      </c>
    </row>
    <row r="2586" spans="1:16" x14ac:dyDescent="0.25">
      <c r="A2586" s="91"/>
      <c r="B2586" s="13" t="s">
        <v>1795</v>
      </c>
      <c r="C2586" s="13" t="s">
        <v>1796</v>
      </c>
      <c r="D2586" s="13">
        <v>51</v>
      </c>
      <c r="E2586" s="13" t="s">
        <v>101</v>
      </c>
      <c r="F2586" s="13">
        <v>1</v>
      </c>
      <c r="G2586" s="13" t="s">
        <v>35</v>
      </c>
      <c r="H2586" s="13" t="s">
        <v>17</v>
      </c>
      <c r="I2586" s="14">
        <v>3000937</v>
      </c>
      <c r="J2586" s="13" t="s">
        <v>362</v>
      </c>
      <c r="K2586" s="13">
        <v>99</v>
      </c>
      <c r="L2586" s="13" t="s">
        <v>15</v>
      </c>
      <c r="M2586" s="13">
        <v>613.02</v>
      </c>
      <c r="N2586" s="13" t="s">
        <v>3</v>
      </c>
      <c r="O2586" s="16">
        <f t="shared" si="621"/>
        <v>6.1301999999999995E-2</v>
      </c>
      <c r="P2586" s="22">
        <f t="shared" si="622"/>
        <v>0</v>
      </c>
    </row>
    <row r="2587" spans="1:16" x14ac:dyDescent="0.25">
      <c r="A2587" s="91"/>
      <c r="B2587" s="13" t="s">
        <v>1795</v>
      </c>
      <c r="C2587" s="13" t="s">
        <v>1796</v>
      </c>
      <c r="D2587" s="13">
        <v>51</v>
      </c>
      <c r="E2587" s="13" t="s">
        <v>101</v>
      </c>
      <c r="F2587" s="13">
        <v>1</v>
      </c>
      <c r="G2587" s="13" t="s">
        <v>35</v>
      </c>
      <c r="H2587" s="13" t="s">
        <v>17</v>
      </c>
      <c r="I2587" s="14">
        <v>3001852</v>
      </c>
      <c r="J2587" s="13" t="s">
        <v>1757</v>
      </c>
      <c r="K2587" s="13">
        <v>99</v>
      </c>
      <c r="L2587" s="13" t="s">
        <v>15</v>
      </c>
      <c r="M2587" s="15">
        <v>10000</v>
      </c>
      <c r="N2587" s="13" t="s">
        <v>1</v>
      </c>
      <c r="O2587" s="16">
        <f t="shared" si="621"/>
        <v>1</v>
      </c>
      <c r="P2587" s="22">
        <f t="shared" si="622"/>
        <v>0</v>
      </c>
    </row>
    <row r="2588" spans="1:16" x14ac:dyDescent="0.25">
      <c r="A2588" s="91"/>
      <c r="B2588" s="13" t="s">
        <v>1795</v>
      </c>
      <c r="C2588" s="13" t="s">
        <v>1796</v>
      </c>
      <c r="D2588" s="13">
        <v>51</v>
      </c>
      <c r="E2588" s="13" t="s">
        <v>101</v>
      </c>
      <c r="F2588" s="13">
        <v>1</v>
      </c>
      <c r="G2588" s="13" t="s">
        <v>35</v>
      </c>
      <c r="H2588" s="13" t="s">
        <v>17</v>
      </c>
      <c r="I2588" s="14">
        <v>3004376</v>
      </c>
      <c r="J2588" s="13" t="s">
        <v>1776</v>
      </c>
      <c r="K2588" s="13">
        <v>99</v>
      </c>
      <c r="L2588" s="13" t="s">
        <v>15</v>
      </c>
      <c r="M2588" s="13">
        <v>12.26</v>
      </c>
      <c r="N2588" s="13" t="s">
        <v>3</v>
      </c>
      <c r="O2588" s="16">
        <f t="shared" si="621"/>
        <v>1.2259999999999999E-3</v>
      </c>
      <c r="P2588" s="22">
        <f t="shared" si="622"/>
        <v>0</v>
      </c>
    </row>
    <row r="2589" spans="1:16" x14ac:dyDescent="0.25">
      <c r="A2589" s="91"/>
      <c r="B2589" s="13" t="s">
        <v>1795</v>
      </c>
      <c r="C2589" s="13" t="s">
        <v>1796</v>
      </c>
      <c r="D2589" s="13">
        <v>51</v>
      </c>
      <c r="E2589" s="13" t="s">
        <v>101</v>
      </c>
      <c r="F2589" s="13">
        <v>1</v>
      </c>
      <c r="G2589" s="13" t="s">
        <v>16</v>
      </c>
      <c r="H2589" s="13" t="s">
        <v>17</v>
      </c>
      <c r="I2589" s="14">
        <v>4002826</v>
      </c>
      <c r="J2589" s="13" t="s">
        <v>4</v>
      </c>
      <c r="K2589" s="13">
        <v>99</v>
      </c>
      <c r="L2589" s="13" t="s">
        <v>15</v>
      </c>
      <c r="M2589" s="13">
        <v>50</v>
      </c>
      <c r="N2589" s="13" t="s">
        <v>1</v>
      </c>
      <c r="O2589" s="16">
        <f t="shared" si="621"/>
        <v>5.0000000000000001E-3</v>
      </c>
      <c r="P2589" s="22">
        <f t="shared" si="622"/>
        <v>0</v>
      </c>
    </row>
    <row r="2590" spans="1:16" x14ac:dyDescent="0.25">
      <c r="A2590" s="91"/>
      <c r="B2590" s="13" t="s">
        <v>1795</v>
      </c>
      <c r="C2590" s="13" t="s">
        <v>1796</v>
      </c>
      <c r="D2590" s="13">
        <v>51</v>
      </c>
      <c r="E2590" s="13" t="s">
        <v>101</v>
      </c>
      <c r="F2590" s="13">
        <v>1</v>
      </c>
      <c r="G2590" s="13" t="s">
        <v>16</v>
      </c>
      <c r="H2590" s="13" t="s">
        <v>17</v>
      </c>
      <c r="I2590" s="14">
        <v>4011413</v>
      </c>
      <c r="J2590" s="13" t="s">
        <v>1800</v>
      </c>
      <c r="K2590" s="13">
        <v>99</v>
      </c>
      <c r="L2590" s="13" t="s">
        <v>15</v>
      </c>
      <c r="M2590" s="15">
        <v>10000</v>
      </c>
      <c r="N2590" s="13" t="s">
        <v>1</v>
      </c>
      <c r="O2590" s="16">
        <f t="shared" si="621"/>
        <v>1</v>
      </c>
      <c r="P2590" s="22">
        <f t="shared" si="622"/>
        <v>0</v>
      </c>
    </row>
    <row r="2591" spans="1:16" x14ac:dyDescent="0.25">
      <c r="A2591" s="91"/>
      <c r="B2591" s="13" t="s">
        <v>1795</v>
      </c>
      <c r="C2591" s="13" t="s">
        <v>1796</v>
      </c>
      <c r="D2591" s="13">
        <v>51</v>
      </c>
      <c r="E2591" s="13" t="s">
        <v>101</v>
      </c>
      <c r="F2591" s="13">
        <v>1</v>
      </c>
      <c r="G2591" s="13" t="s">
        <v>16</v>
      </c>
      <c r="H2591" s="13" t="s">
        <v>17</v>
      </c>
      <c r="I2591" s="14">
        <v>4011433</v>
      </c>
      <c r="J2591" s="13" t="s">
        <v>1801</v>
      </c>
      <c r="K2591" s="13">
        <v>99</v>
      </c>
      <c r="L2591" s="13" t="s">
        <v>15</v>
      </c>
      <c r="M2591" s="15">
        <v>1667</v>
      </c>
      <c r="N2591" s="13" t="s">
        <v>1</v>
      </c>
      <c r="O2591" s="16">
        <f t="shared" si="621"/>
        <v>0.16669999999999999</v>
      </c>
      <c r="P2591" s="22">
        <f t="shared" si="622"/>
        <v>0</v>
      </c>
    </row>
    <row r="2592" spans="1:16" x14ac:dyDescent="0.25">
      <c r="A2592" s="91"/>
      <c r="B2592" s="13" t="s">
        <v>1795</v>
      </c>
      <c r="C2592" s="13" t="s">
        <v>1796</v>
      </c>
      <c r="D2592" s="13">
        <v>51</v>
      </c>
      <c r="E2592" s="13" t="s">
        <v>101</v>
      </c>
      <c r="F2592" s="13">
        <v>1</v>
      </c>
      <c r="G2592" s="13" t="s">
        <v>16</v>
      </c>
      <c r="H2592" s="13" t="s">
        <v>17</v>
      </c>
      <c r="I2592" s="14">
        <v>4011454</v>
      </c>
      <c r="J2592" s="13" t="s">
        <v>1802</v>
      </c>
      <c r="K2592" s="13">
        <v>99</v>
      </c>
      <c r="L2592" s="13" t="s">
        <v>15</v>
      </c>
      <c r="M2592" s="15">
        <v>10000</v>
      </c>
      <c r="N2592" s="13" t="s">
        <v>1</v>
      </c>
      <c r="O2592" s="16">
        <f t="shared" si="621"/>
        <v>1</v>
      </c>
      <c r="P2592" s="22">
        <f t="shared" si="622"/>
        <v>0</v>
      </c>
    </row>
    <row r="2593" spans="1:16" ht="15.75" thickBot="1" x14ac:dyDescent="0.3">
      <c r="A2593" s="90"/>
      <c r="B2593" s="23" t="s">
        <v>1795</v>
      </c>
      <c r="C2593" s="23" t="s">
        <v>1796</v>
      </c>
      <c r="D2593" s="23">
        <v>51</v>
      </c>
      <c r="E2593" s="23" t="s">
        <v>101</v>
      </c>
      <c r="F2593" s="23">
        <v>1</v>
      </c>
      <c r="G2593" s="23" t="s">
        <v>21</v>
      </c>
      <c r="H2593" s="23" t="s">
        <v>17</v>
      </c>
      <c r="I2593" s="24" t="s">
        <v>1803</v>
      </c>
      <c r="J2593" s="23" t="s">
        <v>1804</v>
      </c>
      <c r="K2593" s="23">
        <v>3</v>
      </c>
      <c r="L2593" s="23" t="s">
        <v>24</v>
      </c>
      <c r="M2593" s="25">
        <v>10000</v>
      </c>
      <c r="N2593" s="23" t="s">
        <v>1</v>
      </c>
      <c r="O2593" s="26">
        <f t="shared" si="621"/>
        <v>1</v>
      </c>
      <c r="P2593" s="27">
        <f t="shared" si="622"/>
        <v>0</v>
      </c>
    </row>
    <row r="2594" spans="1:16" x14ac:dyDescent="0.25">
      <c r="B2594" s="1"/>
      <c r="C2594" s="1"/>
      <c r="D2594" s="1"/>
      <c r="E2594" s="1"/>
      <c r="F2594" s="1"/>
      <c r="G2594" s="1"/>
      <c r="H2594" s="1"/>
      <c r="I2594" s="2"/>
      <c r="J2594" s="1"/>
      <c r="K2594" s="1"/>
      <c r="L2594" s="1"/>
      <c r="M2594" s="3"/>
      <c r="N2594" s="1"/>
    </row>
    <row r="2595" spans="1:16" ht="15.75" thickBot="1" x14ac:dyDescent="0.3">
      <c r="B2595" s="1"/>
      <c r="C2595" s="1"/>
      <c r="D2595" s="1"/>
      <c r="E2595" s="1"/>
      <c r="F2595" s="1"/>
      <c r="G2595" s="1"/>
      <c r="H2595" s="1"/>
      <c r="I2595" s="2"/>
      <c r="J2595" s="1"/>
      <c r="K2595" s="1"/>
      <c r="L2595" s="1"/>
      <c r="M2595" s="3"/>
      <c r="N2595" s="1"/>
      <c r="P2595" s="11">
        <f>IFERROR(VLOOKUP($A2596,'PROGRAMA MES '!$A:$B,2,0),0)</f>
        <v>25800</v>
      </c>
    </row>
    <row r="2596" spans="1:16" x14ac:dyDescent="0.25">
      <c r="A2596" s="89" t="str">
        <f>B2596</f>
        <v>SP98170</v>
      </c>
      <c r="B2596" s="17" t="s">
        <v>1805</v>
      </c>
      <c r="C2596" s="17" t="s">
        <v>1806</v>
      </c>
      <c r="D2596" s="17">
        <v>54</v>
      </c>
      <c r="E2596" s="17" t="s">
        <v>769</v>
      </c>
      <c r="F2596" s="17">
        <v>1</v>
      </c>
      <c r="G2596" s="17" t="s">
        <v>16</v>
      </c>
      <c r="H2596" s="17" t="s">
        <v>17</v>
      </c>
      <c r="I2596" s="18">
        <v>4013770</v>
      </c>
      <c r="J2596" s="17" t="s">
        <v>742</v>
      </c>
      <c r="K2596" s="17">
        <v>99</v>
      </c>
      <c r="L2596" s="17" t="s">
        <v>15</v>
      </c>
      <c r="M2596" s="17">
        <v>67</v>
      </c>
      <c r="N2596" s="17" t="s">
        <v>1</v>
      </c>
      <c r="O2596" s="20">
        <f t="shared" si="621"/>
        <v>6.7000000000000002E-3</v>
      </c>
      <c r="P2596" s="21">
        <f>O2596*$P$2595</f>
        <v>172.86</v>
      </c>
    </row>
    <row r="2597" spans="1:16" ht="15.75" thickBot="1" x14ac:dyDescent="0.3">
      <c r="A2597" s="90"/>
      <c r="B2597" s="23" t="s">
        <v>1805</v>
      </c>
      <c r="C2597" s="23" t="s">
        <v>1806</v>
      </c>
      <c r="D2597" s="23">
        <v>54</v>
      </c>
      <c r="E2597" s="23" t="s">
        <v>769</v>
      </c>
      <c r="F2597" s="23">
        <v>1</v>
      </c>
      <c r="G2597" s="23" t="s">
        <v>21</v>
      </c>
      <c r="H2597" s="23" t="s">
        <v>17</v>
      </c>
      <c r="I2597" s="24" t="s">
        <v>1807</v>
      </c>
      <c r="J2597" s="23" t="s">
        <v>1808</v>
      </c>
      <c r="K2597" s="23">
        <v>56</v>
      </c>
      <c r="L2597" s="23" t="s">
        <v>772</v>
      </c>
      <c r="M2597" s="25">
        <v>10000</v>
      </c>
      <c r="N2597" s="23" t="s">
        <v>1</v>
      </c>
      <c r="O2597" s="26">
        <f t="shared" si="621"/>
        <v>1</v>
      </c>
      <c r="P2597" s="27">
        <f>O2597*$P$2595</f>
        <v>25800</v>
      </c>
    </row>
    <row r="2598" spans="1:16" x14ac:dyDescent="0.25">
      <c r="B2598" s="1"/>
      <c r="C2598" s="1"/>
      <c r="D2598" s="1"/>
      <c r="E2598" s="1"/>
      <c r="F2598" s="1"/>
      <c r="G2598" s="1"/>
      <c r="H2598" s="1"/>
      <c r="I2598" s="2"/>
      <c r="J2598" s="1"/>
      <c r="K2598" s="1"/>
      <c r="L2598" s="1"/>
      <c r="M2598" s="3"/>
      <c r="N2598" s="1"/>
    </row>
    <row r="2599" spans="1:16" ht="15.75" thickBot="1" x14ac:dyDescent="0.3">
      <c r="B2599" s="1"/>
      <c r="C2599" s="1"/>
      <c r="D2599" s="1"/>
      <c r="E2599" s="1"/>
      <c r="F2599" s="1"/>
      <c r="G2599" s="1"/>
      <c r="H2599" s="1"/>
      <c r="I2599" s="2"/>
      <c r="J2599" s="1"/>
      <c r="K2599" s="1"/>
      <c r="L2599" s="1"/>
      <c r="M2599" s="3"/>
      <c r="N2599" s="1"/>
      <c r="P2599" s="11">
        <f>IFERROR(VLOOKUP($A2600,'PROGRAMA MES '!$A:$B,2,0),0)</f>
        <v>4000</v>
      </c>
    </row>
    <row r="2600" spans="1:16" x14ac:dyDescent="0.25">
      <c r="A2600" s="89" t="str">
        <f>B2600</f>
        <v>SP99170</v>
      </c>
      <c r="B2600" s="17" t="s">
        <v>1809</v>
      </c>
      <c r="C2600" s="17" t="s">
        <v>1810</v>
      </c>
      <c r="D2600" s="17">
        <v>54</v>
      </c>
      <c r="E2600" s="17" t="s">
        <v>769</v>
      </c>
      <c r="F2600" s="17">
        <v>1</v>
      </c>
      <c r="G2600" s="17" t="s">
        <v>16</v>
      </c>
      <c r="H2600" s="17" t="s">
        <v>17</v>
      </c>
      <c r="I2600" s="18">
        <v>4013770</v>
      </c>
      <c r="J2600" s="17" t="s">
        <v>742</v>
      </c>
      <c r="K2600" s="17">
        <v>99</v>
      </c>
      <c r="L2600" s="17" t="s">
        <v>15</v>
      </c>
      <c r="M2600" s="17">
        <v>67</v>
      </c>
      <c r="N2600" s="17" t="s">
        <v>1</v>
      </c>
      <c r="O2600" s="20">
        <f t="shared" si="621"/>
        <v>6.7000000000000002E-3</v>
      </c>
      <c r="P2600" s="21">
        <f>O2600*$P$2599</f>
        <v>26.8</v>
      </c>
    </row>
    <row r="2601" spans="1:16" ht="15.75" thickBot="1" x14ac:dyDescent="0.3">
      <c r="A2601" s="90"/>
      <c r="B2601" s="23" t="s">
        <v>1809</v>
      </c>
      <c r="C2601" s="23" t="s">
        <v>1810</v>
      </c>
      <c r="D2601" s="23">
        <v>54</v>
      </c>
      <c r="E2601" s="23" t="s">
        <v>769</v>
      </c>
      <c r="F2601" s="23">
        <v>1</v>
      </c>
      <c r="G2601" s="23" t="s">
        <v>21</v>
      </c>
      <c r="H2601" s="23" t="s">
        <v>17</v>
      </c>
      <c r="I2601" s="24" t="s">
        <v>1811</v>
      </c>
      <c r="J2601" s="23" t="s">
        <v>1812</v>
      </c>
      <c r="K2601" s="23">
        <v>56</v>
      </c>
      <c r="L2601" s="23" t="s">
        <v>772</v>
      </c>
      <c r="M2601" s="25">
        <v>10000</v>
      </c>
      <c r="N2601" s="23" t="s">
        <v>1</v>
      </c>
      <c r="O2601" s="26">
        <f t="shared" si="621"/>
        <v>1</v>
      </c>
      <c r="P2601" s="27">
        <f>O2601*$P$2599</f>
        <v>4000</v>
      </c>
    </row>
    <row r="2602" spans="1:16" x14ac:dyDescent="0.25">
      <c r="B2602" s="1"/>
      <c r="C2602" s="1"/>
      <c r="D2602" s="1"/>
      <c r="E2602" s="1"/>
      <c r="F2602" s="1"/>
      <c r="G2602" s="1"/>
      <c r="H2602" s="1"/>
      <c r="I2602" s="2"/>
      <c r="J2602" s="1"/>
      <c r="K2602" s="1"/>
      <c r="L2602" s="1"/>
      <c r="M2602" s="3"/>
      <c r="N2602" s="1"/>
    </row>
    <row r="2603" spans="1:16" ht="15.75" thickBot="1" x14ac:dyDescent="0.3">
      <c r="B2603" s="1"/>
      <c r="C2603" s="1"/>
      <c r="D2603" s="1"/>
      <c r="E2603" s="1"/>
      <c r="F2603" s="1"/>
      <c r="G2603" s="1"/>
      <c r="H2603" s="1"/>
      <c r="I2603" s="2"/>
      <c r="J2603" s="1"/>
      <c r="K2603" s="1"/>
      <c r="L2603" s="1"/>
      <c r="M2603" s="3"/>
      <c r="N2603" s="1"/>
      <c r="P2603" s="11">
        <f>IFERROR(VLOOKUP($A2604,'PROGRAMA MES '!$A:$B,2,0),0)</f>
        <v>0</v>
      </c>
    </row>
    <row r="2604" spans="1:16" x14ac:dyDescent="0.25">
      <c r="A2604" s="89" t="str">
        <f>B2604</f>
        <v>SP9944BA</v>
      </c>
      <c r="B2604" s="17" t="s">
        <v>1813</v>
      </c>
      <c r="C2604" s="17" t="s">
        <v>1814</v>
      </c>
      <c r="D2604" s="17">
        <v>99</v>
      </c>
      <c r="E2604" s="17" t="s">
        <v>15</v>
      </c>
      <c r="F2604" s="17">
        <v>1</v>
      </c>
      <c r="G2604" s="17" t="s">
        <v>16</v>
      </c>
      <c r="H2604" s="17" t="s">
        <v>17</v>
      </c>
      <c r="I2604" s="18">
        <v>4002826</v>
      </c>
      <c r="J2604" s="17" t="s">
        <v>4</v>
      </c>
      <c r="K2604" s="17">
        <v>99</v>
      </c>
      <c r="L2604" s="17" t="s">
        <v>15</v>
      </c>
      <c r="M2604" s="17">
        <v>10</v>
      </c>
      <c r="N2604" s="17" t="s">
        <v>1</v>
      </c>
      <c r="O2604" s="20">
        <f t="shared" si="621"/>
        <v>1E-3</v>
      </c>
      <c r="P2604" s="21">
        <f>O2604*$P$2603</f>
        <v>0</v>
      </c>
    </row>
    <row r="2605" spans="1:16" x14ac:dyDescent="0.25">
      <c r="A2605" s="91"/>
      <c r="B2605" s="13" t="s">
        <v>1813</v>
      </c>
      <c r="C2605" s="13" t="s">
        <v>1814</v>
      </c>
      <c r="D2605" s="13">
        <v>99</v>
      </c>
      <c r="E2605" s="13" t="s">
        <v>15</v>
      </c>
      <c r="F2605" s="13">
        <v>1</v>
      </c>
      <c r="G2605" s="13" t="s">
        <v>16</v>
      </c>
      <c r="H2605" s="13" t="s">
        <v>17</v>
      </c>
      <c r="I2605" s="14">
        <v>4010025</v>
      </c>
      <c r="J2605" s="13" t="s">
        <v>775</v>
      </c>
      <c r="K2605" s="13">
        <v>99</v>
      </c>
      <c r="L2605" s="13" t="s">
        <v>15</v>
      </c>
      <c r="M2605" s="13">
        <v>500</v>
      </c>
      <c r="N2605" s="13" t="s">
        <v>1</v>
      </c>
      <c r="O2605" s="16">
        <f t="shared" si="621"/>
        <v>0.05</v>
      </c>
      <c r="P2605" s="22">
        <f t="shared" ref="P2605:P2606" si="623">O2605*$P$2603</f>
        <v>0</v>
      </c>
    </row>
    <row r="2606" spans="1:16" ht="15.75" thickBot="1" x14ac:dyDescent="0.3">
      <c r="A2606" s="90"/>
      <c r="B2606" s="23" t="s">
        <v>1813</v>
      </c>
      <c r="C2606" s="23" t="s">
        <v>1814</v>
      </c>
      <c r="D2606" s="23">
        <v>99</v>
      </c>
      <c r="E2606" s="23" t="s">
        <v>15</v>
      </c>
      <c r="F2606" s="23">
        <v>1</v>
      </c>
      <c r="G2606" s="23" t="s">
        <v>21</v>
      </c>
      <c r="H2606" s="23" t="s">
        <v>17</v>
      </c>
      <c r="I2606" s="24" t="s">
        <v>1815</v>
      </c>
      <c r="J2606" s="23" t="s">
        <v>1816</v>
      </c>
      <c r="K2606" s="23">
        <v>3</v>
      </c>
      <c r="L2606" s="23" t="s">
        <v>24</v>
      </c>
      <c r="M2606" s="25">
        <v>10000</v>
      </c>
      <c r="N2606" s="23" t="s">
        <v>1</v>
      </c>
      <c r="O2606" s="26">
        <f t="shared" si="621"/>
        <v>1</v>
      </c>
      <c r="P2606" s="27">
        <f t="shared" si="623"/>
        <v>0</v>
      </c>
    </row>
    <row r="2607" spans="1:16" x14ac:dyDescent="0.25">
      <c r="B2607" s="1"/>
      <c r="C2607" s="1"/>
      <c r="D2607" s="1"/>
      <c r="E2607" s="1"/>
      <c r="F2607" s="1"/>
      <c r="G2607" s="1"/>
      <c r="H2607" s="1"/>
      <c r="I2607" s="2"/>
      <c r="J2607" s="1"/>
      <c r="K2607" s="1"/>
      <c r="L2607" s="1"/>
      <c r="M2607" s="3"/>
      <c r="N2607" s="1"/>
    </row>
    <row r="2608" spans="1:16" ht="15.75" thickBot="1" x14ac:dyDescent="0.3">
      <c r="B2608" s="1"/>
      <c r="C2608" s="1"/>
      <c r="D2608" s="1"/>
      <c r="E2608" s="1"/>
      <c r="F2608" s="1"/>
      <c r="G2608" s="1"/>
      <c r="H2608" s="1"/>
      <c r="I2608" s="2"/>
      <c r="J2608" s="1"/>
      <c r="K2608" s="1"/>
      <c r="L2608" s="1"/>
      <c r="M2608" s="3"/>
      <c r="N2608" s="1"/>
      <c r="P2608" s="11">
        <f>IFERROR(VLOOKUP($A2609,'PROGRAMA MES '!$A:$B,2,0),0)</f>
        <v>400</v>
      </c>
    </row>
    <row r="2609" spans="1:16" x14ac:dyDescent="0.25">
      <c r="A2609" s="89" t="str">
        <f>B2609</f>
        <v>SPIF170BRC</v>
      </c>
      <c r="B2609" s="17" t="s">
        <v>1817</v>
      </c>
      <c r="C2609" s="17" t="s">
        <v>1818</v>
      </c>
      <c r="D2609" s="17">
        <v>54</v>
      </c>
      <c r="E2609" s="17" t="s">
        <v>769</v>
      </c>
      <c r="F2609" s="17">
        <v>1</v>
      </c>
      <c r="G2609" s="17" t="s">
        <v>16</v>
      </c>
      <c r="H2609" s="17" t="s">
        <v>17</v>
      </c>
      <c r="I2609" s="18">
        <v>4013770</v>
      </c>
      <c r="J2609" s="17" t="s">
        <v>742</v>
      </c>
      <c r="K2609" s="17">
        <v>99</v>
      </c>
      <c r="L2609" s="17" t="s">
        <v>15</v>
      </c>
      <c r="M2609" s="17">
        <v>67</v>
      </c>
      <c r="N2609" s="17" t="s">
        <v>1</v>
      </c>
      <c r="O2609" s="20">
        <f t="shared" si="621"/>
        <v>6.7000000000000002E-3</v>
      </c>
      <c r="P2609" s="21">
        <f>O2609*$P$2608</f>
        <v>2.68</v>
      </c>
    </row>
    <row r="2610" spans="1:16" ht="15.75" thickBot="1" x14ac:dyDescent="0.3">
      <c r="A2610" s="90"/>
      <c r="B2610" s="23" t="s">
        <v>1817</v>
      </c>
      <c r="C2610" s="23" t="s">
        <v>1818</v>
      </c>
      <c r="D2610" s="23">
        <v>54</v>
      </c>
      <c r="E2610" s="23" t="s">
        <v>769</v>
      </c>
      <c r="F2610" s="23">
        <v>1</v>
      </c>
      <c r="G2610" s="23" t="s">
        <v>21</v>
      </c>
      <c r="H2610" s="23" t="s">
        <v>17</v>
      </c>
      <c r="I2610" s="24" t="s">
        <v>1819</v>
      </c>
      <c r="J2610" s="23" t="s">
        <v>1820</v>
      </c>
      <c r="K2610" s="23">
        <v>56</v>
      </c>
      <c r="L2610" s="23" t="s">
        <v>772</v>
      </c>
      <c r="M2610" s="25">
        <v>10000</v>
      </c>
      <c r="N2610" s="23" t="s">
        <v>1</v>
      </c>
      <c r="O2610" s="26">
        <f t="shared" si="621"/>
        <v>1</v>
      </c>
      <c r="P2610" s="27">
        <f>O2610*$P$2608</f>
        <v>400</v>
      </c>
    </row>
    <row r="2611" spans="1:16" x14ac:dyDescent="0.25">
      <c r="B2611" s="1"/>
      <c r="C2611" s="1"/>
      <c r="D2611" s="1"/>
      <c r="E2611" s="1"/>
      <c r="F2611" s="1"/>
      <c r="G2611" s="1"/>
      <c r="H2611" s="1"/>
      <c r="I2611" s="2"/>
      <c r="J2611" s="1"/>
      <c r="K2611" s="1"/>
      <c r="L2611" s="1"/>
      <c r="M2611" s="3"/>
      <c r="N2611" s="1"/>
    </row>
    <row r="2612" spans="1:16" ht="15.75" thickBot="1" x14ac:dyDescent="0.3">
      <c r="B2612" s="1"/>
      <c r="C2612" s="1"/>
      <c r="D2612" s="1"/>
      <c r="E2612" s="1"/>
      <c r="F2612" s="1"/>
      <c r="G2612" s="1"/>
      <c r="H2612" s="1"/>
      <c r="I2612" s="2"/>
      <c r="J2612" s="1"/>
      <c r="K2612" s="1"/>
      <c r="L2612" s="1"/>
      <c r="M2612" s="3"/>
      <c r="N2612" s="1"/>
      <c r="P2612" s="11">
        <f>IFERROR(VLOOKUP($A2613,'PROGRAMA MES '!$A:$B,2,0),0)</f>
        <v>6600</v>
      </c>
    </row>
    <row r="2613" spans="1:16" x14ac:dyDescent="0.25">
      <c r="A2613" s="89" t="str">
        <f>B2613</f>
        <v>SPIF170PTC</v>
      </c>
      <c r="B2613" s="17" t="s">
        <v>1821</v>
      </c>
      <c r="C2613" s="17" t="s">
        <v>1822</v>
      </c>
      <c r="D2613" s="17">
        <v>54</v>
      </c>
      <c r="E2613" s="17" t="s">
        <v>769</v>
      </c>
      <c r="F2613" s="17">
        <v>1</v>
      </c>
      <c r="G2613" s="17" t="s">
        <v>16</v>
      </c>
      <c r="H2613" s="17" t="s">
        <v>17</v>
      </c>
      <c r="I2613" s="18">
        <v>4013770</v>
      </c>
      <c r="J2613" s="17" t="s">
        <v>742</v>
      </c>
      <c r="K2613" s="17">
        <v>99</v>
      </c>
      <c r="L2613" s="17" t="s">
        <v>15</v>
      </c>
      <c r="M2613" s="17">
        <v>67</v>
      </c>
      <c r="N2613" s="17" t="s">
        <v>1</v>
      </c>
      <c r="O2613" s="20">
        <f t="shared" si="621"/>
        <v>6.7000000000000002E-3</v>
      </c>
      <c r="P2613" s="21">
        <f>O2613*$P$2612</f>
        <v>44.22</v>
      </c>
    </row>
    <row r="2614" spans="1:16" ht="15.75" thickBot="1" x14ac:dyDescent="0.3">
      <c r="A2614" s="90"/>
      <c r="B2614" s="23" t="s">
        <v>1821</v>
      </c>
      <c r="C2614" s="23" t="s">
        <v>1822</v>
      </c>
      <c r="D2614" s="23">
        <v>54</v>
      </c>
      <c r="E2614" s="23" t="s">
        <v>769</v>
      </c>
      <c r="F2614" s="23">
        <v>1</v>
      </c>
      <c r="G2614" s="23" t="s">
        <v>21</v>
      </c>
      <c r="H2614" s="23" t="s">
        <v>17</v>
      </c>
      <c r="I2614" s="24" t="s">
        <v>1823</v>
      </c>
      <c r="J2614" s="23" t="s">
        <v>1824</v>
      </c>
      <c r="K2614" s="23">
        <v>56</v>
      </c>
      <c r="L2614" s="23" t="s">
        <v>772</v>
      </c>
      <c r="M2614" s="25">
        <v>10000</v>
      </c>
      <c r="N2614" s="23" t="s">
        <v>1</v>
      </c>
      <c r="O2614" s="26">
        <f t="shared" si="621"/>
        <v>1</v>
      </c>
      <c r="P2614" s="27">
        <f>O2614*$P$2612</f>
        <v>6600</v>
      </c>
    </row>
    <row r="2615" spans="1:16" x14ac:dyDescent="0.25">
      <c r="B2615" s="1"/>
      <c r="C2615" s="1"/>
      <c r="D2615" s="1"/>
      <c r="E2615" s="1"/>
      <c r="F2615" s="1"/>
      <c r="G2615" s="1"/>
      <c r="H2615" s="1"/>
      <c r="I2615" s="2"/>
      <c r="J2615" s="1"/>
      <c r="K2615" s="1"/>
      <c r="L2615" s="1"/>
      <c r="M2615" s="3"/>
      <c r="N2615" s="1"/>
    </row>
    <row r="2616" spans="1:16" ht="15.75" thickBot="1" x14ac:dyDescent="0.3">
      <c r="B2616" s="1"/>
      <c r="C2616" s="1"/>
      <c r="D2616" s="1"/>
      <c r="E2616" s="1"/>
      <c r="F2616" s="1"/>
      <c r="G2616" s="1"/>
      <c r="H2616" s="1"/>
      <c r="I2616" s="2"/>
      <c r="J2616" s="1"/>
      <c r="K2616" s="1"/>
      <c r="L2616" s="1"/>
      <c r="M2616" s="3"/>
      <c r="N2616" s="1"/>
      <c r="P2616" s="11">
        <f>IFERROR(VLOOKUP($A2617,'PROGRAMA MES '!$A:$B,2,0),0)</f>
        <v>11800</v>
      </c>
    </row>
    <row r="2617" spans="1:16" x14ac:dyDescent="0.25">
      <c r="A2617" s="89" t="str">
        <f>B2617</f>
        <v>SPIF170VDC</v>
      </c>
      <c r="B2617" s="17" t="s">
        <v>1825</v>
      </c>
      <c r="C2617" s="17" t="s">
        <v>1826</v>
      </c>
      <c r="D2617" s="17">
        <v>54</v>
      </c>
      <c r="E2617" s="17" t="s">
        <v>769</v>
      </c>
      <c r="F2617" s="17">
        <v>1</v>
      </c>
      <c r="G2617" s="17" t="s">
        <v>16</v>
      </c>
      <c r="H2617" s="17" t="s">
        <v>17</v>
      </c>
      <c r="I2617" s="18">
        <v>4013770</v>
      </c>
      <c r="J2617" s="17" t="s">
        <v>742</v>
      </c>
      <c r="K2617" s="17">
        <v>99</v>
      </c>
      <c r="L2617" s="17" t="s">
        <v>15</v>
      </c>
      <c r="M2617" s="17">
        <v>67</v>
      </c>
      <c r="N2617" s="17" t="s">
        <v>1</v>
      </c>
      <c r="O2617" s="20">
        <f t="shared" si="621"/>
        <v>6.7000000000000002E-3</v>
      </c>
      <c r="P2617" s="21">
        <f>O2617*$P$2616</f>
        <v>79.06</v>
      </c>
    </row>
    <row r="2618" spans="1:16" ht="15.75" thickBot="1" x14ac:dyDescent="0.3">
      <c r="A2618" s="90"/>
      <c r="B2618" s="23" t="s">
        <v>1825</v>
      </c>
      <c r="C2618" s="23" t="s">
        <v>1826</v>
      </c>
      <c r="D2618" s="23">
        <v>54</v>
      </c>
      <c r="E2618" s="23" t="s">
        <v>769</v>
      </c>
      <c r="F2618" s="23">
        <v>1</v>
      </c>
      <c r="G2618" s="23" t="s">
        <v>21</v>
      </c>
      <c r="H2618" s="23" t="s">
        <v>17</v>
      </c>
      <c r="I2618" s="24" t="s">
        <v>1827</v>
      </c>
      <c r="J2618" s="23" t="s">
        <v>1828</v>
      </c>
      <c r="K2618" s="23">
        <v>56</v>
      </c>
      <c r="L2618" s="23" t="s">
        <v>772</v>
      </c>
      <c r="M2618" s="25">
        <v>10000</v>
      </c>
      <c r="N2618" s="23" t="s">
        <v>1</v>
      </c>
      <c r="O2618" s="26">
        <f t="shared" si="621"/>
        <v>1</v>
      </c>
      <c r="P2618" s="27">
        <f>O2618*$P$2616</f>
        <v>11800</v>
      </c>
    </row>
    <row r="2619" spans="1:16" x14ac:dyDescent="0.25">
      <c r="B2619" s="1"/>
      <c r="C2619" s="1"/>
      <c r="D2619" s="1"/>
      <c r="E2619" s="1"/>
      <c r="F2619" s="1"/>
      <c r="G2619" s="1"/>
      <c r="H2619" s="1"/>
      <c r="I2619" s="2"/>
      <c r="J2619" s="1"/>
      <c r="K2619" s="1"/>
      <c r="L2619" s="1"/>
      <c r="M2619" s="3"/>
      <c r="N2619" s="1"/>
    </row>
    <row r="2620" spans="1:16" ht="15.75" thickBot="1" x14ac:dyDescent="0.3">
      <c r="B2620" s="1"/>
      <c r="C2620" s="1"/>
      <c r="D2620" s="1"/>
      <c r="E2620" s="1"/>
      <c r="F2620" s="1"/>
      <c r="G2620" s="1"/>
      <c r="H2620" s="1"/>
      <c r="I2620" s="2"/>
      <c r="J2620" s="1"/>
      <c r="K2620" s="1"/>
      <c r="L2620" s="1"/>
      <c r="M2620" s="3"/>
      <c r="N2620" s="1"/>
      <c r="P2620" s="11">
        <f>IFERROR(VLOOKUP($A2621,'PROGRAMA MES '!$A:$B,2,0),0)</f>
        <v>400</v>
      </c>
    </row>
    <row r="2621" spans="1:16" x14ac:dyDescent="0.25">
      <c r="A2621" s="89" t="str">
        <f>B2621</f>
        <v>SPIF170VRC</v>
      </c>
      <c r="B2621" s="17" t="s">
        <v>1829</v>
      </c>
      <c r="C2621" s="17" t="s">
        <v>1830</v>
      </c>
      <c r="D2621" s="17">
        <v>54</v>
      </c>
      <c r="E2621" s="17" t="s">
        <v>769</v>
      </c>
      <c r="F2621" s="17">
        <v>1</v>
      </c>
      <c r="G2621" s="17" t="s">
        <v>16</v>
      </c>
      <c r="H2621" s="17" t="s">
        <v>17</v>
      </c>
      <c r="I2621" s="18">
        <v>4013770</v>
      </c>
      <c r="J2621" s="17" t="s">
        <v>742</v>
      </c>
      <c r="K2621" s="17">
        <v>99</v>
      </c>
      <c r="L2621" s="17" t="s">
        <v>15</v>
      </c>
      <c r="M2621" s="17">
        <v>67</v>
      </c>
      <c r="N2621" s="17" t="s">
        <v>1</v>
      </c>
      <c r="O2621" s="20">
        <f t="shared" si="621"/>
        <v>6.7000000000000002E-3</v>
      </c>
      <c r="P2621" s="21">
        <f>O2621*$P$2620</f>
        <v>2.68</v>
      </c>
    </row>
    <row r="2622" spans="1:16" ht="15.75" thickBot="1" x14ac:dyDescent="0.3">
      <c r="A2622" s="90"/>
      <c r="B2622" s="23" t="s">
        <v>1829</v>
      </c>
      <c r="C2622" s="23" t="s">
        <v>1830</v>
      </c>
      <c r="D2622" s="23">
        <v>54</v>
      </c>
      <c r="E2622" s="23" t="s">
        <v>769</v>
      </c>
      <c r="F2622" s="23">
        <v>1</v>
      </c>
      <c r="G2622" s="23" t="s">
        <v>21</v>
      </c>
      <c r="H2622" s="23" t="s">
        <v>17</v>
      </c>
      <c r="I2622" s="24" t="s">
        <v>1831</v>
      </c>
      <c r="J2622" s="23" t="s">
        <v>1832</v>
      </c>
      <c r="K2622" s="23">
        <v>56</v>
      </c>
      <c r="L2622" s="23" t="s">
        <v>772</v>
      </c>
      <c r="M2622" s="25">
        <v>10000</v>
      </c>
      <c r="N2622" s="23" t="s">
        <v>1</v>
      </c>
      <c r="O2622" s="26">
        <f t="shared" si="621"/>
        <v>1</v>
      </c>
      <c r="P2622" s="27">
        <f>O2622*$P$2620</f>
        <v>400</v>
      </c>
    </row>
  </sheetData>
  <mergeCells count="398">
    <mergeCell ref="A128:A132"/>
    <mergeCell ref="A135:A138"/>
    <mergeCell ref="A141:A144"/>
    <mergeCell ref="A147:A151"/>
    <mergeCell ref="A216:A218"/>
    <mergeCell ref="A221:A223"/>
    <mergeCell ref="A161:A166"/>
    <mergeCell ref="A181:A183"/>
    <mergeCell ref="A186:A189"/>
    <mergeCell ref="A192:A200"/>
    <mergeCell ref="A203:A207"/>
    <mergeCell ref="A210:A213"/>
    <mergeCell ref="A226:A228"/>
    <mergeCell ref="A231:A237"/>
    <mergeCell ref="A240:A243"/>
    <mergeCell ref="A246:A248"/>
    <mergeCell ref="A251:A254"/>
    <mergeCell ref="A78:A85"/>
    <mergeCell ref="A4:A8"/>
    <mergeCell ref="A11:A13"/>
    <mergeCell ref="A16:A18"/>
    <mergeCell ref="A21:A26"/>
    <mergeCell ref="A29:A30"/>
    <mergeCell ref="A33:A38"/>
    <mergeCell ref="A41:A44"/>
    <mergeCell ref="A47:A51"/>
    <mergeCell ref="A54:A55"/>
    <mergeCell ref="A58:A65"/>
    <mergeCell ref="A68:A75"/>
    <mergeCell ref="A154:A158"/>
    <mergeCell ref="A88:A95"/>
    <mergeCell ref="A98:A99"/>
    <mergeCell ref="A102:A105"/>
    <mergeCell ref="A108:A112"/>
    <mergeCell ref="A115:A119"/>
    <mergeCell ref="A122:A125"/>
    <mergeCell ref="A288:A291"/>
    <mergeCell ref="A294:A296"/>
    <mergeCell ref="A299:A301"/>
    <mergeCell ref="A304:A307"/>
    <mergeCell ref="A310:A312"/>
    <mergeCell ref="A257:A260"/>
    <mergeCell ref="A263:A266"/>
    <mergeCell ref="A269:A273"/>
    <mergeCell ref="A276:A279"/>
    <mergeCell ref="A282:A285"/>
    <mergeCell ref="A344:A347"/>
    <mergeCell ref="A350:A353"/>
    <mergeCell ref="A356:A359"/>
    <mergeCell ref="A362:A365"/>
    <mergeCell ref="A368:A371"/>
    <mergeCell ref="A315:A318"/>
    <mergeCell ref="A321:A324"/>
    <mergeCell ref="A327:A330"/>
    <mergeCell ref="A333:A335"/>
    <mergeCell ref="A338:A341"/>
    <mergeCell ref="A404:A407"/>
    <mergeCell ref="A410:A412"/>
    <mergeCell ref="A415:A417"/>
    <mergeCell ref="A420:A422"/>
    <mergeCell ref="A425:A427"/>
    <mergeCell ref="A374:A377"/>
    <mergeCell ref="A380:A383"/>
    <mergeCell ref="A386:A389"/>
    <mergeCell ref="A392:A395"/>
    <mergeCell ref="A398:A401"/>
    <mergeCell ref="A473:A488"/>
    <mergeCell ref="A491:A493"/>
    <mergeCell ref="A496:A499"/>
    <mergeCell ref="A502:A504"/>
    <mergeCell ref="A507:A509"/>
    <mergeCell ref="A430:A433"/>
    <mergeCell ref="A436:A438"/>
    <mergeCell ref="A441:A446"/>
    <mergeCell ref="A449:A458"/>
    <mergeCell ref="A461:A470"/>
    <mergeCell ref="A537:A540"/>
    <mergeCell ref="A543:A545"/>
    <mergeCell ref="A548:A550"/>
    <mergeCell ref="A553:A555"/>
    <mergeCell ref="A558:A560"/>
    <mergeCell ref="A512:A514"/>
    <mergeCell ref="A517:A519"/>
    <mergeCell ref="A522:A524"/>
    <mergeCell ref="A527:A529"/>
    <mergeCell ref="A532:A534"/>
    <mergeCell ref="A592:A595"/>
    <mergeCell ref="A598:A600"/>
    <mergeCell ref="A603:A605"/>
    <mergeCell ref="A608:A610"/>
    <mergeCell ref="A613:A615"/>
    <mergeCell ref="A563:A566"/>
    <mergeCell ref="A569:A571"/>
    <mergeCell ref="A574:A577"/>
    <mergeCell ref="A580:A583"/>
    <mergeCell ref="A586:A589"/>
    <mergeCell ref="A649:A652"/>
    <mergeCell ref="A655:A657"/>
    <mergeCell ref="A660:A665"/>
    <mergeCell ref="A668:A673"/>
    <mergeCell ref="A676:A680"/>
    <mergeCell ref="A618:A620"/>
    <mergeCell ref="A623:A626"/>
    <mergeCell ref="A629:A632"/>
    <mergeCell ref="A635:A639"/>
    <mergeCell ref="A642:A646"/>
    <mergeCell ref="A718:A722"/>
    <mergeCell ref="A725:A730"/>
    <mergeCell ref="A733:A738"/>
    <mergeCell ref="A741:A745"/>
    <mergeCell ref="A748:A752"/>
    <mergeCell ref="A683:A686"/>
    <mergeCell ref="A689:A694"/>
    <mergeCell ref="A697:A701"/>
    <mergeCell ref="A704:A708"/>
    <mergeCell ref="A711:A715"/>
    <mergeCell ref="A791:A794"/>
    <mergeCell ref="A797:A800"/>
    <mergeCell ref="A803:A809"/>
    <mergeCell ref="A812:A818"/>
    <mergeCell ref="A821:A826"/>
    <mergeCell ref="A755:A761"/>
    <mergeCell ref="A764:A768"/>
    <mergeCell ref="A771:A775"/>
    <mergeCell ref="A778:A782"/>
    <mergeCell ref="A785:A788"/>
    <mergeCell ref="A861:A864"/>
    <mergeCell ref="A867:A870"/>
    <mergeCell ref="A873:A876"/>
    <mergeCell ref="A879:A882"/>
    <mergeCell ref="A885:A888"/>
    <mergeCell ref="A829:A834"/>
    <mergeCell ref="A837:A842"/>
    <mergeCell ref="A845:A848"/>
    <mergeCell ref="A851:A852"/>
    <mergeCell ref="A855:A858"/>
    <mergeCell ref="A921:A924"/>
    <mergeCell ref="A927:A930"/>
    <mergeCell ref="A933:A936"/>
    <mergeCell ref="A939:A945"/>
    <mergeCell ref="A948:A950"/>
    <mergeCell ref="A891:A894"/>
    <mergeCell ref="A897:A900"/>
    <mergeCell ref="A903:A906"/>
    <mergeCell ref="A909:A912"/>
    <mergeCell ref="A915:A918"/>
    <mergeCell ref="A984:A988"/>
    <mergeCell ref="A991:A997"/>
    <mergeCell ref="A1000:A1002"/>
    <mergeCell ref="A1005:A1007"/>
    <mergeCell ref="A1010:A1012"/>
    <mergeCell ref="A953:A956"/>
    <mergeCell ref="A959:A960"/>
    <mergeCell ref="A963:A967"/>
    <mergeCell ref="A970:A974"/>
    <mergeCell ref="A977:A981"/>
    <mergeCell ref="A1043:A1045"/>
    <mergeCell ref="A1048:A1050"/>
    <mergeCell ref="A1053:A1056"/>
    <mergeCell ref="A1059:A1062"/>
    <mergeCell ref="A1065:A1069"/>
    <mergeCell ref="A1015:A1020"/>
    <mergeCell ref="A1023:A1025"/>
    <mergeCell ref="A1028:A1029"/>
    <mergeCell ref="A1032:A1034"/>
    <mergeCell ref="A1037:A1040"/>
    <mergeCell ref="A1105:A1109"/>
    <mergeCell ref="A1112:A1115"/>
    <mergeCell ref="A1118:A1120"/>
    <mergeCell ref="A1123:A1129"/>
    <mergeCell ref="A1132:A1138"/>
    <mergeCell ref="A1072:A1076"/>
    <mergeCell ref="A1079:A1083"/>
    <mergeCell ref="A1086:A1090"/>
    <mergeCell ref="A1093:A1096"/>
    <mergeCell ref="A1099:A1102"/>
    <mergeCell ref="A1182:A1187"/>
    <mergeCell ref="A1190:A1195"/>
    <mergeCell ref="A1198:A1204"/>
    <mergeCell ref="A1207:A1213"/>
    <mergeCell ref="A1216:A1222"/>
    <mergeCell ref="A1141:A1147"/>
    <mergeCell ref="A1150:A1156"/>
    <mergeCell ref="A1159:A1163"/>
    <mergeCell ref="A1166:A1171"/>
    <mergeCell ref="A1174:A1179"/>
    <mergeCell ref="A1270:A1276"/>
    <mergeCell ref="A1279:A1285"/>
    <mergeCell ref="A1288:A1294"/>
    <mergeCell ref="A1297:A1303"/>
    <mergeCell ref="A1306:A1313"/>
    <mergeCell ref="A1225:A1231"/>
    <mergeCell ref="A1234:A1240"/>
    <mergeCell ref="A1243:A1249"/>
    <mergeCell ref="A1252:A1258"/>
    <mergeCell ref="A1261:A1267"/>
    <mergeCell ref="A1364:A1370"/>
    <mergeCell ref="A1373:A1379"/>
    <mergeCell ref="A1382:A1389"/>
    <mergeCell ref="A1392:A1399"/>
    <mergeCell ref="A1402:A1409"/>
    <mergeCell ref="A1316:A1323"/>
    <mergeCell ref="A1326:A1333"/>
    <mergeCell ref="A1336:A1343"/>
    <mergeCell ref="A1346:A1352"/>
    <mergeCell ref="A1355:A1361"/>
    <mergeCell ref="A1458:A1463"/>
    <mergeCell ref="A1466:A1471"/>
    <mergeCell ref="A1474:A1479"/>
    <mergeCell ref="A1482:A1483"/>
    <mergeCell ref="A1486:A1487"/>
    <mergeCell ref="A1412:A1419"/>
    <mergeCell ref="A1422:A1428"/>
    <mergeCell ref="A1431:A1437"/>
    <mergeCell ref="A1440:A1446"/>
    <mergeCell ref="A1449:A1455"/>
    <mergeCell ref="A1512:A1513"/>
    <mergeCell ref="A1516:A1517"/>
    <mergeCell ref="A1520:A1521"/>
    <mergeCell ref="A1524:A1525"/>
    <mergeCell ref="A1528:A1529"/>
    <mergeCell ref="A1490:A1491"/>
    <mergeCell ref="A1494:A1495"/>
    <mergeCell ref="A1498:A1501"/>
    <mergeCell ref="A1504:A1505"/>
    <mergeCell ref="A1508:A1509"/>
    <mergeCell ref="A1552:A1556"/>
    <mergeCell ref="A1559:A1562"/>
    <mergeCell ref="A1565:A1568"/>
    <mergeCell ref="A1571:A1576"/>
    <mergeCell ref="A1579:A1582"/>
    <mergeCell ref="A1532:A1533"/>
    <mergeCell ref="A1536:A1537"/>
    <mergeCell ref="A1540:A1541"/>
    <mergeCell ref="A1544:A1545"/>
    <mergeCell ref="A1548:A1549"/>
    <mergeCell ref="A1612:A1616"/>
    <mergeCell ref="A1619:A1621"/>
    <mergeCell ref="A1624:A1626"/>
    <mergeCell ref="A1629:A1631"/>
    <mergeCell ref="A1634:A1636"/>
    <mergeCell ref="A1585:A1588"/>
    <mergeCell ref="A1591:A1594"/>
    <mergeCell ref="A1597:A1599"/>
    <mergeCell ref="A1602:A1604"/>
    <mergeCell ref="A1607:A1609"/>
    <mergeCell ref="A1672:A1679"/>
    <mergeCell ref="A1682:A1688"/>
    <mergeCell ref="A1691:A1692"/>
    <mergeCell ref="A1695:A1697"/>
    <mergeCell ref="A1700:A1702"/>
    <mergeCell ref="A1639:A1641"/>
    <mergeCell ref="A1644:A1646"/>
    <mergeCell ref="A1649:A1651"/>
    <mergeCell ref="A1654:A1657"/>
    <mergeCell ref="A1660:A1663"/>
    <mergeCell ref="A1738:A1740"/>
    <mergeCell ref="A1743:A1747"/>
    <mergeCell ref="A1750:A1753"/>
    <mergeCell ref="A1756:A1759"/>
    <mergeCell ref="A1762:A1766"/>
    <mergeCell ref="A1705:A1709"/>
    <mergeCell ref="A1712:A1716"/>
    <mergeCell ref="A1719:A1723"/>
    <mergeCell ref="A1726:A1730"/>
    <mergeCell ref="A1733:A1735"/>
    <mergeCell ref="A1805:A1810"/>
    <mergeCell ref="A1813:A1817"/>
    <mergeCell ref="A1820:A1824"/>
    <mergeCell ref="A1827:A1831"/>
    <mergeCell ref="A1834:A1838"/>
    <mergeCell ref="A1769:A1773"/>
    <mergeCell ref="A1776:A1780"/>
    <mergeCell ref="A1783:A1787"/>
    <mergeCell ref="A1790:A1796"/>
    <mergeCell ref="A1799:A1802"/>
    <mergeCell ref="A1891:A1898"/>
    <mergeCell ref="A1901:A1908"/>
    <mergeCell ref="A1911:A1918"/>
    <mergeCell ref="A1921:A1928"/>
    <mergeCell ref="A1931:A1938"/>
    <mergeCell ref="A1841:A1848"/>
    <mergeCell ref="A1851:A1858"/>
    <mergeCell ref="A1861:A1868"/>
    <mergeCell ref="A1871:A1878"/>
    <mergeCell ref="A1881:A1888"/>
    <mergeCell ref="A1965:A1967"/>
    <mergeCell ref="A1970:A1972"/>
    <mergeCell ref="A1975:A1977"/>
    <mergeCell ref="A1980:A1988"/>
    <mergeCell ref="A1991:A1999"/>
    <mergeCell ref="A1941:A1943"/>
    <mergeCell ref="A1946:A1947"/>
    <mergeCell ref="A1950:A1952"/>
    <mergeCell ref="A1955:A1957"/>
    <mergeCell ref="A1960:A1962"/>
    <mergeCell ref="A2044:A2049"/>
    <mergeCell ref="A2052:A2057"/>
    <mergeCell ref="A2060:A2065"/>
    <mergeCell ref="A2068:A2074"/>
    <mergeCell ref="A2077:A2083"/>
    <mergeCell ref="A2002:A2010"/>
    <mergeCell ref="A2013:A2021"/>
    <mergeCell ref="A2024:A2027"/>
    <mergeCell ref="A2030:A2033"/>
    <mergeCell ref="A2036:A2041"/>
    <mergeCell ref="A2119:A2122"/>
    <mergeCell ref="A2125:A2131"/>
    <mergeCell ref="A2134:A2140"/>
    <mergeCell ref="A2143:A2148"/>
    <mergeCell ref="A2151:A2155"/>
    <mergeCell ref="A2086:A2092"/>
    <mergeCell ref="A2095:A2101"/>
    <mergeCell ref="A2104:A2108"/>
    <mergeCell ref="A2111:A2112"/>
    <mergeCell ref="A2115:A2116"/>
    <mergeCell ref="A2190:A2191"/>
    <mergeCell ref="A2194:A2195"/>
    <mergeCell ref="A2198:A2199"/>
    <mergeCell ref="A2202:A2203"/>
    <mergeCell ref="A2206:A2207"/>
    <mergeCell ref="A2158:A2162"/>
    <mergeCell ref="A2165:A2169"/>
    <mergeCell ref="A2172:A2179"/>
    <mergeCell ref="A2182:A2183"/>
    <mergeCell ref="A2186:A2187"/>
    <mergeCell ref="A2233:A2237"/>
    <mergeCell ref="A2240:A2244"/>
    <mergeCell ref="A2247:A2250"/>
    <mergeCell ref="A2253:A2254"/>
    <mergeCell ref="A2257:A2258"/>
    <mergeCell ref="A2210:A2211"/>
    <mergeCell ref="A2214:A2215"/>
    <mergeCell ref="A2218:A2220"/>
    <mergeCell ref="A2223:A2225"/>
    <mergeCell ref="A2228:A2230"/>
    <mergeCell ref="A2286:A2289"/>
    <mergeCell ref="A2292:A2294"/>
    <mergeCell ref="A2297:A2299"/>
    <mergeCell ref="A2302:A2304"/>
    <mergeCell ref="A2307:A2310"/>
    <mergeCell ref="A2261:A2263"/>
    <mergeCell ref="A2266:A2267"/>
    <mergeCell ref="A2270:A2272"/>
    <mergeCell ref="A2275:A2278"/>
    <mergeCell ref="A2281:A2283"/>
    <mergeCell ref="A2334:A2336"/>
    <mergeCell ref="A2339:A2340"/>
    <mergeCell ref="A2343:A2344"/>
    <mergeCell ref="A2347:A2350"/>
    <mergeCell ref="A2353:A2354"/>
    <mergeCell ref="A2313:A2314"/>
    <mergeCell ref="A2317:A2318"/>
    <mergeCell ref="A2321:A2323"/>
    <mergeCell ref="A2326:A2327"/>
    <mergeCell ref="A2330:A2331"/>
    <mergeCell ref="A2386:A2389"/>
    <mergeCell ref="A2392:A2395"/>
    <mergeCell ref="A2398:A2401"/>
    <mergeCell ref="A2404:A2407"/>
    <mergeCell ref="A2410:A2413"/>
    <mergeCell ref="A2357:A2360"/>
    <mergeCell ref="A2363:A2365"/>
    <mergeCell ref="A2368:A2370"/>
    <mergeCell ref="A2373:A2376"/>
    <mergeCell ref="A2379:A2380"/>
    <mergeCell ref="A2443:A2446"/>
    <mergeCell ref="A2449:A2450"/>
    <mergeCell ref="A2453:A2455"/>
    <mergeCell ref="A2458:A2459"/>
    <mergeCell ref="A2462:A2465"/>
    <mergeCell ref="A2416:A2418"/>
    <mergeCell ref="A2421:A2423"/>
    <mergeCell ref="A2426:A2429"/>
    <mergeCell ref="A2432:A2434"/>
    <mergeCell ref="A2437:A2440"/>
    <mergeCell ref="A2504:A2510"/>
    <mergeCell ref="A2513:A2519"/>
    <mergeCell ref="A2522:A2523"/>
    <mergeCell ref="A2526:A2534"/>
    <mergeCell ref="A2537:A2542"/>
    <mergeCell ref="A2468:A2471"/>
    <mergeCell ref="A2474:A2477"/>
    <mergeCell ref="A2480:A2483"/>
    <mergeCell ref="A2486:A2492"/>
    <mergeCell ref="A2495:A2501"/>
    <mergeCell ref="A2617:A2618"/>
    <mergeCell ref="A2621:A2622"/>
    <mergeCell ref="A2596:A2597"/>
    <mergeCell ref="A2600:A2601"/>
    <mergeCell ref="A2604:A2606"/>
    <mergeCell ref="A2609:A2610"/>
    <mergeCell ref="A2613:A2614"/>
    <mergeCell ref="A2545:A2549"/>
    <mergeCell ref="A2552:A2559"/>
    <mergeCell ref="A2562:A2571"/>
    <mergeCell ref="A2574:A2581"/>
    <mergeCell ref="A2584:A259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63D9A-3BB4-4DAA-8CD7-59CCAA539927}">
  <dimension ref="A1:B774"/>
  <sheetViews>
    <sheetView workbookViewId="0">
      <selection activeCell="H33" sqref="H33"/>
    </sheetView>
  </sheetViews>
  <sheetFormatPr defaultRowHeight="13.5" x14ac:dyDescent="0.25"/>
  <cols>
    <col min="1" max="1" width="12.28515625" style="12" bestFit="1" customWidth="1"/>
    <col min="2" max="2" width="7.140625" style="12" bestFit="1" customWidth="1"/>
    <col min="3" max="16384" width="9.140625" style="12"/>
  </cols>
  <sheetData>
    <row r="1" spans="1:2" x14ac:dyDescent="0.25">
      <c r="A1" s="12" t="s">
        <v>1835</v>
      </c>
      <c r="B1" s="12" t="s">
        <v>1836</v>
      </c>
    </row>
    <row r="2" spans="1:2" x14ac:dyDescent="0.25">
      <c r="B2" s="12" t="s">
        <v>1837</v>
      </c>
    </row>
    <row r="4" spans="1:2" x14ac:dyDescent="0.25">
      <c r="A4" s="12" t="s">
        <v>1502</v>
      </c>
      <c r="B4" s="12">
        <v>20000</v>
      </c>
    </row>
    <row r="5" spans="1:2" x14ac:dyDescent="0.25">
      <c r="A5" s="12">
        <v>9500</v>
      </c>
      <c r="B5" s="12">
        <v>200000</v>
      </c>
    </row>
    <row r="6" spans="1:2" x14ac:dyDescent="0.25">
      <c r="A6" s="12" t="s">
        <v>1568</v>
      </c>
      <c r="B6" s="12">
        <v>17400</v>
      </c>
    </row>
    <row r="7" spans="1:2" x14ac:dyDescent="0.25">
      <c r="A7" s="12" t="s">
        <v>1563</v>
      </c>
      <c r="B7" s="12">
        <v>2400</v>
      </c>
    </row>
    <row r="8" spans="1:2" x14ac:dyDescent="0.25">
      <c r="A8" s="12" t="s">
        <v>1557</v>
      </c>
      <c r="B8" s="12">
        <v>16000</v>
      </c>
    </row>
    <row r="9" spans="1:2" x14ac:dyDescent="0.25">
      <c r="A9" s="12">
        <v>9502</v>
      </c>
      <c r="B9" s="12">
        <v>310000</v>
      </c>
    </row>
    <row r="10" spans="1:2" x14ac:dyDescent="0.25">
      <c r="A10" s="12" t="s">
        <v>1592</v>
      </c>
      <c r="B10" s="12">
        <v>4500</v>
      </c>
    </row>
    <row r="11" spans="1:2" x14ac:dyDescent="0.25">
      <c r="A11" s="12" t="s">
        <v>1579</v>
      </c>
      <c r="B11" s="12">
        <v>0</v>
      </c>
    </row>
    <row r="12" spans="1:2" x14ac:dyDescent="0.25">
      <c r="A12" s="12" t="s">
        <v>1578</v>
      </c>
      <c r="B12" s="12">
        <v>30000</v>
      </c>
    </row>
    <row r="13" spans="1:2" x14ac:dyDescent="0.25">
      <c r="A13" s="12" t="s">
        <v>1572</v>
      </c>
      <c r="B13" s="12">
        <v>0</v>
      </c>
    </row>
    <row r="14" spans="1:2" x14ac:dyDescent="0.25">
      <c r="A14" s="12" t="s">
        <v>1585</v>
      </c>
      <c r="B14" s="12">
        <v>0</v>
      </c>
    </row>
    <row r="15" spans="1:2" x14ac:dyDescent="0.25">
      <c r="A15" s="12">
        <v>9504</v>
      </c>
      <c r="B15" s="12">
        <v>220000</v>
      </c>
    </row>
    <row r="16" spans="1:2" x14ac:dyDescent="0.25">
      <c r="A16" s="12" t="s">
        <v>1601</v>
      </c>
      <c r="B16" s="12">
        <v>100</v>
      </c>
    </row>
    <row r="17" spans="1:2" x14ac:dyDescent="0.25">
      <c r="A17" s="12" t="s">
        <v>1605</v>
      </c>
      <c r="B17" s="12">
        <v>5000</v>
      </c>
    </row>
    <row r="18" spans="1:2" x14ac:dyDescent="0.25">
      <c r="A18" s="12" t="s">
        <v>1594</v>
      </c>
      <c r="B18" s="12">
        <v>22000</v>
      </c>
    </row>
    <row r="19" spans="1:2" x14ac:dyDescent="0.25">
      <c r="A19" s="12">
        <v>9505</v>
      </c>
      <c r="B19" s="12">
        <v>0</v>
      </c>
    </row>
    <row r="20" spans="1:2" x14ac:dyDescent="0.25">
      <c r="A20" s="12">
        <v>9506</v>
      </c>
      <c r="B20" s="12">
        <v>650000</v>
      </c>
    </row>
    <row r="21" spans="1:2" x14ac:dyDescent="0.25">
      <c r="A21" s="12" t="s">
        <v>1621</v>
      </c>
      <c r="B21" s="12">
        <v>6000</v>
      </c>
    </row>
    <row r="22" spans="1:2" x14ac:dyDescent="0.25">
      <c r="A22" s="12" t="s">
        <v>1608</v>
      </c>
      <c r="B22" s="12">
        <v>5000</v>
      </c>
    </row>
    <row r="23" spans="1:2" x14ac:dyDescent="0.25">
      <c r="A23" s="12" t="s">
        <v>1624</v>
      </c>
      <c r="B23" s="12">
        <v>3000</v>
      </c>
    </row>
    <row r="24" spans="1:2" x14ac:dyDescent="0.25">
      <c r="A24" s="12" t="s">
        <v>1614</v>
      </c>
      <c r="B24" s="12">
        <v>0</v>
      </c>
    </row>
    <row r="25" spans="1:2" x14ac:dyDescent="0.25">
      <c r="A25" s="12">
        <v>9508</v>
      </c>
      <c r="B25" s="12">
        <v>20000</v>
      </c>
    </row>
    <row r="26" spans="1:2" x14ac:dyDescent="0.25">
      <c r="A26" s="12">
        <v>9509</v>
      </c>
      <c r="B26" s="12">
        <v>70000</v>
      </c>
    </row>
    <row r="27" spans="1:2" x14ac:dyDescent="0.25">
      <c r="A27" s="12" t="s">
        <v>1628</v>
      </c>
      <c r="B27" s="12">
        <v>6400</v>
      </c>
    </row>
    <row r="28" spans="1:2" x14ac:dyDescent="0.25">
      <c r="A28" s="12" t="s">
        <v>1634</v>
      </c>
      <c r="B28" s="12">
        <v>0</v>
      </c>
    </row>
    <row r="29" spans="1:2" x14ac:dyDescent="0.25">
      <c r="A29" s="12">
        <v>9513</v>
      </c>
      <c r="B29" s="12">
        <v>10000</v>
      </c>
    </row>
    <row r="30" spans="1:2" x14ac:dyDescent="0.25">
      <c r="A30" s="12">
        <v>9521</v>
      </c>
      <c r="B30" s="12">
        <v>440000</v>
      </c>
    </row>
    <row r="31" spans="1:2" x14ac:dyDescent="0.25">
      <c r="A31" s="12" t="s">
        <v>703</v>
      </c>
      <c r="B31" s="12">
        <v>264000</v>
      </c>
    </row>
    <row r="32" spans="1:2" x14ac:dyDescent="0.25">
      <c r="A32" s="12" t="s">
        <v>1671</v>
      </c>
      <c r="B32" s="12">
        <v>3000</v>
      </c>
    </row>
    <row r="33" spans="1:2" x14ac:dyDescent="0.25">
      <c r="A33" s="12" t="s">
        <v>709</v>
      </c>
      <c r="B33" s="12">
        <v>1680</v>
      </c>
    </row>
    <row r="34" spans="1:2" x14ac:dyDescent="0.25">
      <c r="A34" s="12" t="s">
        <v>1674</v>
      </c>
      <c r="B34" s="12">
        <v>156000</v>
      </c>
    </row>
    <row r="35" spans="1:2" x14ac:dyDescent="0.25">
      <c r="A35" s="12" t="s">
        <v>1679</v>
      </c>
      <c r="B35" s="12">
        <v>0</v>
      </c>
    </row>
    <row r="36" spans="1:2" x14ac:dyDescent="0.25">
      <c r="A36" s="12" t="s">
        <v>1684</v>
      </c>
      <c r="B36" s="12">
        <v>156000</v>
      </c>
    </row>
    <row r="37" spans="1:2" x14ac:dyDescent="0.25">
      <c r="A37" s="12" t="s">
        <v>1690</v>
      </c>
      <c r="B37" s="12">
        <v>20000</v>
      </c>
    </row>
    <row r="38" spans="1:2" x14ac:dyDescent="0.25">
      <c r="A38" s="12" t="s">
        <v>1696</v>
      </c>
      <c r="B38" s="12">
        <v>38000</v>
      </c>
    </row>
    <row r="39" spans="1:2" x14ac:dyDescent="0.25">
      <c r="A39" s="12" t="s">
        <v>1805</v>
      </c>
      <c r="B39" s="12">
        <v>25800</v>
      </c>
    </row>
    <row r="40" spans="1:2" x14ac:dyDescent="0.25">
      <c r="A40" s="12" t="s">
        <v>1809</v>
      </c>
      <c r="B40" s="12">
        <v>4000</v>
      </c>
    </row>
    <row r="41" spans="1:2" x14ac:dyDescent="0.25">
      <c r="A41" s="12" t="s">
        <v>767</v>
      </c>
      <c r="B41" s="12">
        <v>21200</v>
      </c>
    </row>
    <row r="42" spans="1:2" x14ac:dyDescent="0.25">
      <c r="A42" s="12" t="s">
        <v>1821</v>
      </c>
      <c r="B42" s="12">
        <v>6600</v>
      </c>
    </row>
    <row r="43" spans="1:2" x14ac:dyDescent="0.25">
      <c r="A43" s="12" t="s">
        <v>1825</v>
      </c>
      <c r="B43" s="12">
        <v>11800</v>
      </c>
    </row>
    <row r="44" spans="1:2" x14ac:dyDescent="0.25">
      <c r="A44" s="12" t="s">
        <v>1829</v>
      </c>
      <c r="B44" s="12">
        <v>400</v>
      </c>
    </row>
    <row r="45" spans="1:2" x14ac:dyDescent="0.25">
      <c r="A45" s="12" t="s">
        <v>1817</v>
      </c>
      <c r="B45" s="12">
        <v>400</v>
      </c>
    </row>
    <row r="47" spans="1:2" x14ac:dyDescent="0.25">
      <c r="A47" s="12">
        <v>11035</v>
      </c>
      <c r="B47" s="12">
        <v>2000</v>
      </c>
    </row>
    <row r="48" spans="1:2" x14ac:dyDescent="0.25">
      <c r="A48" s="12" t="s">
        <v>1014</v>
      </c>
      <c r="B48" s="12">
        <v>0</v>
      </c>
    </row>
    <row r="49" spans="1:2" x14ac:dyDescent="0.25">
      <c r="A49" s="12">
        <v>11041</v>
      </c>
      <c r="B49" s="12">
        <v>0</v>
      </c>
    </row>
    <row r="50" spans="1:2" x14ac:dyDescent="0.25">
      <c r="A50" s="12" t="s">
        <v>1031</v>
      </c>
      <c r="B50" s="12">
        <v>0</v>
      </c>
    </row>
    <row r="51" spans="1:2" x14ac:dyDescent="0.25">
      <c r="A51" s="12" t="s">
        <v>773</v>
      </c>
      <c r="B51" s="12">
        <v>60</v>
      </c>
    </row>
    <row r="52" spans="1:2" x14ac:dyDescent="0.25">
      <c r="A52" s="12" t="s">
        <v>1043</v>
      </c>
      <c r="B52" s="12">
        <v>0</v>
      </c>
    </row>
    <row r="53" spans="1:2" x14ac:dyDescent="0.25">
      <c r="A53" s="12">
        <v>11044</v>
      </c>
      <c r="B53" s="12">
        <v>3400</v>
      </c>
    </row>
    <row r="54" spans="1:2" x14ac:dyDescent="0.25">
      <c r="A54" s="12">
        <v>11051</v>
      </c>
      <c r="B54" s="12">
        <v>10600</v>
      </c>
    </row>
    <row r="55" spans="1:2" x14ac:dyDescent="0.25">
      <c r="A55" s="12" t="s">
        <v>1056</v>
      </c>
      <c r="B55" s="12">
        <v>200</v>
      </c>
    </row>
    <row r="56" spans="1:2" x14ac:dyDescent="0.25">
      <c r="A56" s="12" t="s">
        <v>777</v>
      </c>
      <c r="B56" s="12">
        <v>0</v>
      </c>
    </row>
    <row r="57" spans="1:2" x14ac:dyDescent="0.25">
      <c r="A57" s="12">
        <v>12035</v>
      </c>
      <c r="B57" s="12">
        <v>0</v>
      </c>
    </row>
    <row r="58" spans="1:2" x14ac:dyDescent="0.25">
      <c r="A58" s="12">
        <v>12041</v>
      </c>
      <c r="B58" s="12">
        <v>0</v>
      </c>
    </row>
    <row r="59" spans="1:2" x14ac:dyDescent="0.25">
      <c r="A59" s="12">
        <v>12051</v>
      </c>
      <c r="B59" s="12">
        <v>200</v>
      </c>
    </row>
    <row r="60" spans="1:2" x14ac:dyDescent="0.25">
      <c r="A60" s="12">
        <v>13505</v>
      </c>
      <c r="B60" s="12">
        <v>300</v>
      </c>
    </row>
    <row r="61" spans="1:2" x14ac:dyDescent="0.25">
      <c r="A61" s="12">
        <v>13685</v>
      </c>
      <c r="B61" s="12">
        <v>400</v>
      </c>
    </row>
    <row r="62" spans="1:2" x14ac:dyDescent="0.25">
      <c r="A62" s="12">
        <v>14505</v>
      </c>
      <c r="B62" s="12">
        <v>0</v>
      </c>
    </row>
    <row r="63" spans="1:2" x14ac:dyDescent="0.25">
      <c r="A63" s="12">
        <v>14685</v>
      </c>
      <c r="B63" s="12">
        <v>0</v>
      </c>
    </row>
    <row r="64" spans="1:2" x14ac:dyDescent="0.25">
      <c r="A64" s="12">
        <v>9630</v>
      </c>
      <c r="B64" s="12">
        <v>300</v>
      </c>
    </row>
    <row r="65" spans="1:2" x14ac:dyDescent="0.25">
      <c r="A65" s="12">
        <v>9635</v>
      </c>
      <c r="B65" s="12">
        <v>6400</v>
      </c>
    </row>
    <row r="66" spans="1:2" x14ac:dyDescent="0.25">
      <c r="A66" s="12" t="s">
        <v>1008</v>
      </c>
      <c r="B66" s="12">
        <v>1200</v>
      </c>
    </row>
    <row r="67" spans="1:2" x14ac:dyDescent="0.25">
      <c r="A67" s="12">
        <v>9638</v>
      </c>
      <c r="B67" s="12">
        <v>800</v>
      </c>
    </row>
    <row r="68" spans="1:2" x14ac:dyDescent="0.25">
      <c r="A68" s="12">
        <v>9641</v>
      </c>
      <c r="B68" s="12">
        <v>6000</v>
      </c>
    </row>
    <row r="69" spans="1:2" x14ac:dyDescent="0.25">
      <c r="A69" s="12" t="s">
        <v>1025</v>
      </c>
      <c r="B69" s="12">
        <v>1000</v>
      </c>
    </row>
    <row r="70" spans="1:2" x14ac:dyDescent="0.25">
      <c r="A70" s="12" t="s">
        <v>1700</v>
      </c>
      <c r="B70" s="12">
        <v>60</v>
      </c>
    </row>
    <row r="71" spans="1:2" x14ac:dyDescent="0.25">
      <c r="A71" s="12">
        <v>9644</v>
      </c>
      <c r="B71" s="12">
        <v>8000</v>
      </c>
    </row>
    <row r="72" spans="1:2" x14ac:dyDescent="0.25">
      <c r="A72" s="12" t="s">
        <v>1037</v>
      </c>
      <c r="B72" s="12">
        <v>200</v>
      </c>
    </row>
    <row r="73" spans="1:2" x14ac:dyDescent="0.25">
      <c r="A73" s="12">
        <v>9651</v>
      </c>
      <c r="B73" s="12">
        <v>10000</v>
      </c>
    </row>
    <row r="74" spans="1:2" x14ac:dyDescent="0.25">
      <c r="A74" s="12" t="s">
        <v>1704</v>
      </c>
      <c r="B74" s="12">
        <v>60</v>
      </c>
    </row>
    <row r="75" spans="1:2" x14ac:dyDescent="0.25">
      <c r="A75" s="12" t="s">
        <v>1050</v>
      </c>
      <c r="B75" s="12">
        <v>1800</v>
      </c>
    </row>
    <row r="76" spans="1:2" x14ac:dyDescent="0.25">
      <c r="A76" s="12">
        <v>9735</v>
      </c>
      <c r="B76" s="12">
        <v>0</v>
      </c>
    </row>
    <row r="77" spans="1:2" x14ac:dyDescent="0.25">
      <c r="A77" s="12">
        <v>9738</v>
      </c>
      <c r="B77" s="12">
        <v>0</v>
      </c>
    </row>
    <row r="78" spans="1:2" x14ac:dyDescent="0.25">
      <c r="A78" s="12">
        <v>9741</v>
      </c>
      <c r="B78" s="12">
        <v>0</v>
      </c>
    </row>
    <row r="79" spans="1:2" x14ac:dyDescent="0.25">
      <c r="A79" s="12">
        <v>9744</v>
      </c>
      <c r="B79" s="12">
        <v>0</v>
      </c>
    </row>
    <row r="80" spans="1:2" x14ac:dyDescent="0.25">
      <c r="A80" s="12">
        <v>9751</v>
      </c>
      <c r="B80" s="12">
        <v>0</v>
      </c>
    </row>
    <row r="81" spans="1:2" x14ac:dyDescent="0.25">
      <c r="A81" s="12">
        <v>9830</v>
      </c>
      <c r="B81" s="12">
        <v>400</v>
      </c>
    </row>
    <row r="82" spans="1:2" x14ac:dyDescent="0.25">
      <c r="A82" s="12">
        <v>9835</v>
      </c>
      <c r="B82" s="12">
        <v>10000</v>
      </c>
    </row>
    <row r="83" spans="1:2" x14ac:dyDescent="0.25">
      <c r="A83" s="12" t="s">
        <v>1011</v>
      </c>
      <c r="B83" s="12">
        <v>2000</v>
      </c>
    </row>
    <row r="84" spans="1:2" x14ac:dyDescent="0.25">
      <c r="A84" s="12">
        <v>9838</v>
      </c>
      <c r="B84" s="12">
        <v>2600</v>
      </c>
    </row>
    <row r="85" spans="1:2" x14ac:dyDescent="0.25">
      <c r="A85" s="12">
        <v>9841</v>
      </c>
      <c r="B85" s="12">
        <v>11000</v>
      </c>
    </row>
    <row r="86" spans="1:2" x14ac:dyDescent="0.25">
      <c r="A86" s="12" t="s">
        <v>1028</v>
      </c>
      <c r="B86" s="12">
        <v>2600</v>
      </c>
    </row>
    <row r="87" spans="1:2" x14ac:dyDescent="0.25">
      <c r="A87" s="12">
        <v>9844</v>
      </c>
      <c r="B87" s="12">
        <v>5000</v>
      </c>
    </row>
    <row r="88" spans="1:2" x14ac:dyDescent="0.25">
      <c r="A88" s="12" t="s">
        <v>1040</v>
      </c>
      <c r="B88" s="12">
        <v>0</v>
      </c>
    </row>
    <row r="89" spans="1:2" x14ac:dyDescent="0.25">
      <c r="A89" s="12">
        <v>9851</v>
      </c>
      <c r="B89" s="12">
        <v>9000</v>
      </c>
    </row>
    <row r="90" spans="1:2" x14ac:dyDescent="0.25">
      <c r="A90" s="12" t="s">
        <v>1053</v>
      </c>
      <c r="B90" s="12">
        <v>2000</v>
      </c>
    </row>
    <row r="91" spans="1:2" x14ac:dyDescent="0.25">
      <c r="A91" s="12">
        <v>9935</v>
      </c>
      <c r="B91" s="12">
        <v>600</v>
      </c>
    </row>
    <row r="92" spans="1:2" x14ac:dyDescent="0.25">
      <c r="A92" s="12" t="s">
        <v>1005</v>
      </c>
      <c r="B92" s="12">
        <v>0</v>
      </c>
    </row>
    <row r="93" spans="1:2" x14ac:dyDescent="0.25">
      <c r="A93" s="12">
        <v>9938</v>
      </c>
      <c r="B93" s="12">
        <v>500</v>
      </c>
    </row>
    <row r="94" spans="1:2" x14ac:dyDescent="0.25">
      <c r="A94" s="12">
        <v>9941</v>
      </c>
      <c r="B94" s="12">
        <v>0</v>
      </c>
    </row>
    <row r="95" spans="1:2" x14ac:dyDescent="0.25">
      <c r="A95" s="12" t="s">
        <v>1022</v>
      </c>
      <c r="B95" s="12">
        <v>0</v>
      </c>
    </row>
    <row r="96" spans="1:2" x14ac:dyDescent="0.25">
      <c r="A96" s="12" t="s">
        <v>1813</v>
      </c>
      <c r="B96" s="12">
        <v>0</v>
      </c>
    </row>
    <row r="97" spans="1:2" x14ac:dyDescent="0.25">
      <c r="A97" s="12" t="s">
        <v>1034</v>
      </c>
      <c r="B97" s="12">
        <v>0</v>
      </c>
    </row>
    <row r="98" spans="1:2" x14ac:dyDescent="0.25">
      <c r="A98" s="12">
        <v>9944</v>
      </c>
      <c r="B98" s="12">
        <v>0</v>
      </c>
    </row>
    <row r="99" spans="1:2" x14ac:dyDescent="0.25">
      <c r="A99" s="12">
        <v>9951</v>
      </c>
      <c r="B99" s="12">
        <v>2000</v>
      </c>
    </row>
    <row r="100" spans="1:2" x14ac:dyDescent="0.25">
      <c r="A100" s="12" t="s">
        <v>1046</v>
      </c>
      <c r="B100" s="12">
        <v>200</v>
      </c>
    </row>
    <row r="103" spans="1:2" x14ac:dyDescent="0.25">
      <c r="A103" s="12">
        <v>9399</v>
      </c>
      <c r="B103" s="12">
        <v>144000</v>
      </c>
    </row>
    <row r="104" spans="1:2" x14ac:dyDescent="0.25">
      <c r="A104" s="12">
        <v>9401</v>
      </c>
      <c r="B104" s="12">
        <v>30000</v>
      </c>
    </row>
    <row r="105" spans="1:2" x14ac:dyDescent="0.25">
      <c r="A105" s="12">
        <v>9403</v>
      </c>
      <c r="B105" s="12">
        <v>60000</v>
      </c>
    </row>
    <row r="106" spans="1:2" x14ac:dyDescent="0.25">
      <c r="A106" s="12">
        <v>9404</v>
      </c>
      <c r="B106" s="12">
        <v>25000</v>
      </c>
    </row>
    <row r="107" spans="1:2" x14ac:dyDescent="0.25">
      <c r="A107" s="12" t="s">
        <v>1499</v>
      </c>
      <c r="B107" s="12">
        <v>0</v>
      </c>
    </row>
    <row r="108" spans="1:2" x14ac:dyDescent="0.25">
      <c r="A108" s="12" t="s">
        <v>690</v>
      </c>
      <c r="B108" s="12">
        <v>456000</v>
      </c>
    </row>
    <row r="109" spans="1:2" x14ac:dyDescent="0.25">
      <c r="A109" s="12">
        <v>9407</v>
      </c>
      <c r="B109" s="12">
        <v>10000</v>
      </c>
    </row>
    <row r="110" spans="1:2" x14ac:dyDescent="0.25">
      <c r="A110" s="12">
        <v>9410</v>
      </c>
      <c r="B110" s="12">
        <v>288000</v>
      </c>
    </row>
    <row r="111" spans="1:2" x14ac:dyDescent="0.25">
      <c r="A111" s="12" t="s">
        <v>698</v>
      </c>
      <c r="B111" s="12">
        <v>216000</v>
      </c>
    </row>
    <row r="112" spans="1:2" x14ac:dyDescent="0.25">
      <c r="A112" s="12">
        <v>94106</v>
      </c>
      <c r="B112" s="12">
        <v>0</v>
      </c>
    </row>
    <row r="113" spans="1:2" x14ac:dyDescent="0.25">
      <c r="A113" s="12" t="s">
        <v>1507</v>
      </c>
      <c r="B113" s="12">
        <v>0</v>
      </c>
    </row>
    <row r="114" spans="1:2" x14ac:dyDescent="0.25">
      <c r="A114" s="12">
        <v>9418</v>
      </c>
      <c r="B114" s="12">
        <v>95000</v>
      </c>
    </row>
    <row r="115" spans="1:2" x14ac:dyDescent="0.25">
      <c r="A115" s="12">
        <v>9422</v>
      </c>
      <c r="B115" s="12">
        <v>4800</v>
      </c>
    </row>
    <row r="116" spans="1:2" x14ac:dyDescent="0.25">
      <c r="A116" s="12">
        <v>9423</v>
      </c>
      <c r="B116" s="12">
        <v>4000</v>
      </c>
    </row>
    <row r="117" spans="1:2" x14ac:dyDescent="0.25">
      <c r="A117" s="12" t="s">
        <v>1542</v>
      </c>
      <c r="B117" s="12">
        <v>432000</v>
      </c>
    </row>
    <row r="118" spans="1:2" x14ac:dyDescent="0.25">
      <c r="A118" s="12" t="s">
        <v>1547</v>
      </c>
      <c r="B118" s="12">
        <v>222000</v>
      </c>
    </row>
    <row r="119" spans="1:2" x14ac:dyDescent="0.25">
      <c r="A119" s="12">
        <v>9499</v>
      </c>
      <c r="B119" s="12">
        <v>0</v>
      </c>
    </row>
    <row r="121" spans="1:2" x14ac:dyDescent="0.25">
      <c r="A121" s="12" t="s">
        <v>483</v>
      </c>
      <c r="B121" s="12">
        <v>10500</v>
      </c>
    </row>
    <row r="122" spans="1:2" x14ac:dyDescent="0.25">
      <c r="A122" s="12" t="s">
        <v>491</v>
      </c>
      <c r="B122" s="12">
        <v>5400</v>
      </c>
    </row>
    <row r="123" spans="1:2" x14ac:dyDescent="0.25">
      <c r="A123" s="12" t="s">
        <v>499</v>
      </c>
      <c r="B123" s="12">
        <v>7800</v>
      </c>
    </row>
    <row r="124" spans="1:2" x14ac:dyDescent="0.25">
      <c r="A124" s="12" t="s">
        <v>506</v>
      </c>
      <c r="B124" s="12">
        <v>5400</v>
      </c>
    </row>
    <row r="125" spans="1:2" x14ac:dyDescent="0.25">
      <c r="A125" s="12" t="s">
        <v>512</v>
      </c>
      <c r="B125" s="12">
        <v>4800</v>
      </c>
    </row>
    <row r="126" spans="1:2" x14ac:dyDescent="0.25">
      <c r="A126" s="12">
        <v>9007</v>
      </c>
      <c r="B126" s="12">
        <v>2760</v>
      </c>
    </row>
    <row r="127" spans="1:2" x14ac:dyDescent="0.25">
      <c r="A127" s="12" t="s">
        <v>520</v>
      </c>
      <c r="B127" s="12">
        <v>1200</v>
      </c>
    </row>
    <row r="128" spans="1:2" x14ac:dyDescent="0.25">
      <c r="A128" s="12" t="s">
        <v>527</v>
      </c>
      <c r="B128" s="12">
        <v>0</v>
      </c>
    </row>
    <row r="129" spans="1:2" x14ac:dyDescent="0.25">
      <c r="A129" s="12" t="s">
        <v>1128</v>
      </c>
      <c r="B129" s="12">
        <v>0</v>
      </c>
    </row>
    <row r="130" spans="1:2" x14ac:dyDescent="0.25">
      <c r="A130" s="12" t="s">
        <v>559</v>
      </c>
      <c r="B130" s="12">
        <v>3600</v>
      </c>
    </row>
    <row r="131" spans="1:2" x14ac:dyDescent="0.25">
      <c r="A131" s="12" t="s">
        <v>566</v>
      </c>
      <c r="B131" s="12">
        <v>7800</v>
      </c>
    </row>
    <row r="132" spans="1:2" x14ac:dyDescent="0.25">
      <c r="A132" s="12" t="s">
        <v>572</v>
      </c>
    </row>
    <row r="133" spans="1:2" x14ac:dyDescent="0.25">
      <c r="A133" s="12" t="s">
        <v>714</v>
      </c>
      <c r="B133" s="12">
        <v>10500</v>
      </c>
    </row>
    <row r="134" spans="1:2" x14ac:dyDescent="0.25">
      <c r="A134" s="12" t="s">
        <v>721</v>
      </c>
      <c r="B134" s="12">
        <v>32200</v>
      </c>
    </row>
    <row r="135" spans="1:2" x14ac:dyDescent="0.25">
      <c r="A135" s="12" t="s">
        <v>726</v>
      </c>
      <c r="B135" s="12">
        <v>21000</v>
      </c>
    </row>
    <row r="136" spans="1:2" x14ac:dyDescent="0.25">
      <c r="A136" s="12" t="s">
        <v>731</v>
      </c>
      <c r="B136" s="12">
        <v>19600</v>
      </c>
    </row>
    <row r="137" spans="1:2" x14ac:dyDescent="0.25">
      <c r="A137" s="12" t="s">
        <v>1092</v>
      </c>
      <c r="B137" s="12">
        <v>0</v>
      </c>
    </row>
    <row r="138" spans="1:2" x14ac:dyDescent="0.25">
      <c r="A138" s="12" t="s">
        <v>1707</v>
      </c>
      <c r="B138" s="12">
        <v>1200</v>
      </c>
    </row>
    <row r="139" spans="1:2" x14ac:dyDescent="0.25">
      <c r="A139" s="12" t="s">
        <v>1713</v>
      </c>
      <c r="B139" s="12">
        <v>4800</v>
      </c>
    </row>
    <row r="140" spans="1:2" x14ac:dyDescent="0.25">
      <c r="A140" s="12" t="s">
        <v>1723</v>
      </c>
      <c r="B140" s="12">
        <v>1440</v>
      </c>
    </row>
    <row r="141" spans="1:2" x14ac:dyDescent="0.25">
      <c r="A141" s="12" t="s">
        <v>1718</v>
      </c>
      <c r="B141" s="12">
        <v>3840</v>
      </c>
    </row>
    <row r="142" spans="1:2" x14ac:dyDescent="0.25">
      <c r="A142" s="12" t="s">
        <v>1728</v>
      </c>
      <c r="B142" s="12">
        <v>0</v>
      </c>
    </row>
    <row r="143" spans="1:2" x14ac:dyDescent="0.25">
      <c r="A143" s="12" t="s">
        <v>1736</v>
      </c>
      <c r="B143" s="12">
        <v>0</v>
      </c>
    </row>
    <row r="144" spans="1:2" x14ac:dyDescent="0.25">
      <c r="A144" s="12" t="s">
        <v>1746</v>
      </c>
      <c r="B144" s="12">
        <v>0</v>
      </c>
    </row>
    <row r="145" spans="1:2" x14ac:dyDescent="0.25">
      <c r="A145" s="12" t="s">
        <v>1741</v>
      </c>
      <c r="B145" s="12">
        <v>0</v>
      </c>
    </row>
    <row r="146" spans="1:2" x14ac:dyDescent="0.25">
      <c r="A146" s="12">
        <v>9684</v>
      </c>
      <c r="B146" s="12">
        <v>0</v>
      </c>
    </row>
    <row r="148" spans="1:2" x14ac:dyDescent="0.25">
      <c r="A148" s="12" t="s">
        <v>534</v>
      </c>
      <c r="B148" s="12">
        <v>0</v>
      </c>
    </row>
    <row r="149" spans="1:2" x14ac:dyDescent="0.25">
      <c r="A149" s="12" t="s">
        <v>540</v>
      </c>
      <c r="B149" s="12">
        <v>1200</v>
      </c>
    </row>
    <row r="150" spans="1:2" x14ac:dyDescent="0.25">
      <c r="A150" s="12" t="s">
        <v>546</v>
      </c>
      <c r="B150" s="12">
        <v>3000</v>
      </c>
    </row>
    <row r="151" spans="1:2" x14ac:dyDescent="0.25">
      <c r="A151" s="12" t="s">
        <v>554</v>
      </c>
      <c r="B151" s="12">
        <v>6000</v>
      </c>
    </row>
    <row r="152" spans="1:2" x14ac:dyDescent="0.25">
      <c r="A152" s="12">
        <v>9152</v>
      </c>
      <c r="B152" s="12">
        <v>1200</v>
      </c>
    </row>
    <row r="153" spans="1:2" x14ac:dyDescent="0.25">
      <c r="A153" s="12">
        <v>9154</v>
      </c>
      <c r="B153" s="12">
        <v>0</v>
      </c>
    </row>
    <row r="156" spans="1:2" x14ac:dyDescent="0.25">
      <c r="A156" s="12">
        <v>9010</v>
      </c>
      <c r="B156" s="12">
        <v>14400</v>
      </c>
    </row>
    <row r="157" spans="1:2" x14ac:dyDescent="0.25">
      <c r="A157" s="12">
        <v>9012</v>
      </c>
      <c r="B157" s="12">
        <v>1200</v>
      </c>
    </row>
    <row r="158" spans="1:2" x14ac:dyDescent="0.25">
      <c r="A158" s="12">
        <v>9015</v>
      </c>
      <c r="B158" s="12">
        <v>3600</v>
      </c>
    </row>
    <row r="159" spans="1:2" x14ac:dyDescent="0.25">
      <c r="A159" s="12" t="s">
        <v>1102</v>
      </c>
      <c r="B159" s="12">
        <v>2160</v>
      </c>
    </row>
    <row r="160" spans="1:2" x14ac:dyDescent="0.25">
      <c r="A160" s="12" t="s">
        <v>1097</v>
      </c>
      <c r="B160" s="12">
        <v>1200</v>
      </c>
    </row>
    <row r="161" spans="1:2" x14ac:dyDescent="0.25">
      <c r="A161" s="12" t="s">
        <v>1110</v>
      </c>
      <c r="B161" s="12">
        <v>1200</v>
      </c>
    </row>
    <row r="162" spans="1:2" x14ac:dyDescent="0.25">
      <c r="A162" s="12" t="s">
        <v>1115</v>
      </c>
      <c r="B162" s="12">
        <v>0</v>
      </c>
    </row>
    <row r="163" spans="1:2" x14ac:dyDescent="0.25">
      <c r="A163" s="12" t="s">
        <v>1107</v>
      </c>
      <c r="B163" s="12">
        <v>5400</v>
      </c>
    </row>
    <row r="164" spans="1:2" x14ac:dyDescent="0.25">
      <c r="A164" s="12" t="s">
        <v>1120</v>
      </c>
      <c r="B164" s="12">
        <v>2160</v>
      </c>
    </row>
    <row r="165" spans="1:2" x14ac:dyDescent="0.25">
      <c r="A165" s="12">
        <v>9032</v>
      </c>
      <c r="B165" s="12">
        <v>2400</v>
      </c>
    </row>
    <row r="166" spans="1:2" x14ac:dyDescent="0.25">
      <c r="A166" s="12">
        <v>9033</v>
      </c>
      <c r="B166" s="12">
        <v>3600</v>
      </c>
    </row>
    <row r="168" spans="1:2" x14ac:dyDescent="0.25">
      <c r="A168" s="12" t="s">
        <v>606</v>
      </c>
      <c r="B168" s="12">
        <v>3600</v>
      </c>
    </row>
    <row r="169" spans="1:2" x14ac:dyDescent="0.25">
      <c r="A169" s="12" t="s">
        <v>612</v>
      </c>
      <c r="B169" s="12">
        <v>7200</v>
      </c>
    </row>
    <row r="170" spans="1:2" x14ac:dyDescent="0.25">
      <c r="A170" s="12">
        <v>9139</v>
      </c>
      <c r="B170" s="12">
        <v>9600</v>
      </c>
    </row>
    <row r="171" spans="1:2" x14ac:dyDescent="0.25">
      <c r="A171" s="12" t="s">
        <v>1212</v>
      </c>
      <c r="B171" s="12">
        <v>0</v>
      </c>
    </row>
    <row r="172" spans="1:2" x14ac:dyDescent="0.25">
      <c r="A172" s="12" t="s">
        <v>1207</v>
      </c>
      <c r="B172" s="12">
        <v>1440</v>
      </c>
    </row>
    <row r="173" spans="1:2" x14ac:dyDescent="0.25">
      <c r="A173" s="12" t="s">
        <v>1222</v>
      </c>
      <c r="B173" s="12">
        <v>0</v>
      </c>
    </row>
    <row r="174" spans="1:2" x14ac:dyDescent="0.25">
      <c r="A174" s="12" t="s">
        <v>1217</v>
      </c>
      <c r="B174" s="12">
        <v>528</v>
      </c>
    </row>
    <row r="175" spans="1:2" x14ac:dyDescent="0.25">
      <c r="A175" s="12">
        <v>9140</v>
      </c>
      <c r="B175" s="12">
        <v>3600</v>
      </c>
    </row>
    <row r="176" spans="1:2" x14ac:dyDescent="0.25">
      <c r="A176" s="12">
        <v>9141</v>
      </c>
      <c r="B176" s="12">
        <v>0</v>
      </c>
    </row>
    <row r="177" spans="1:2" x14ac:dyDescent="0.25">
      <c r="A177" s="12">
        <v>9142</v>
      </c>
      <c r="B177" s="12">
        <v>4560</v>
      </c>
    </row>
    <row r="178" spans="1:2" x14ac:dyDescent="0.25">
      <c r="A178" s="12">
        <v>9143</v>
      </c>
      <c r="B178" s="12">
        <v>14400</v>
      </c>
    </row>
    <row r="179" spans="1:2" x14ac:dyDescent="0.25">
      <c r="A179" s="12">
        <v>9144</v>
      </c>
      <c r="B179" s="12">
        <v>7200</v>
      </c>
    </row>
    <row r="180" spans="1:2" x14ac:dyDescent="0.25">
      <c r="A180" s="12" t="s">
        <v>1227</v>
      </c>
      <c r="B180" s="12">
        <v>6000</v>
      </c>
    </row>
    <row r="181" spans="1:2" x14ac:dyDescent="0.25">
      <c r="A181" s="12">
        <v>9146</v>
      </c>
      <c r="B181" s="12">
        <v>0</v>
      </c>
    </row>
    <row r="182" spans="1:2" x14ac:dyDescent="0.25">
      <c r="A182" s="12" t="s">
        <v>1235</v>
      </c>
      <c r="B182" s="12">
        <v>0</v>
      </c>
    </row>
    <row r="183" spans="1:2" x14ac:dyDescent="0.25">
      <c r="A183" s="12" t="s">
        <v>1241</v>
      </c>
      <c r="B183" s="12">
        <v>1200</v>
      </c>
    </row>
    <row r="184" spans="1:2" x14ac:dyDescent="0.25">
      <c r="A184" s="12" t="s">
        <v>1253</v>
      </c>
      <c r="B184" s="12">
        <v>0</v>
      </c>
    </row>
    <row r="185" spans="1:2" x14ac:dyDescent="0.25">
      <c r="A185" s="12" t="s">
        <v>1248</v>
      </c>
      <c r="B185" s="12">
        <v>0</v>
      </c>
    </row>
    <row r="186" spans="1:2" x14ac:dyDescent="0.25">
      <c r="A186" s="12" t="s">
        <v>1258</v>
      </c>
      <c r="B186" s="12">
        <v>0</v>
      </c>
    </row>
    <row r="187" spans="1:2" x14ac:dyDescent="0.25">
      <c r="A187" s="12" t="s">
        <v>1263</v>
      </c>
      <c r="B187" s="12">
        <v>3600</v>
      </c>
    </row>
    <row r="189" spans="1:2" x14ac:dyDescent="0.25">
      <c r="A189" s="12" t="s">
        <v>630</v>
      </c>
      <c r="B189" s="12">
        <v>13200</v>
      </c>
    </row>
    <row r="190" spans="1:2" x14ac:dyDescent="0.25">
      <c r="A190" s="12" t="s">
        <v>1383</v>
      </c>
      <c r="B190" s="12">
        <v>0</v>
      </c>
    </row>
    <row r="191" spans="1:2" x14ac:dyDescent="0.25">
      <c r="A191" s="12" t="s">
        <v>1378</v>
      </c>
      <c r="B191" s="12">
        <v>0</v>
      </c>
    </row>
    <row r="192" spans="1:2" x14ac:dyDescent="0.25">
      <c r="A192" s="12" t="s">
        <v>1393</v>
      </c>
      <c r="B192" s="12">
        <v>0</v>
      </c>
    </row>
    <row r="193" spans="1:2" x14ac:dyDescent="0.25">
      <c r="A193" s="12" t="s">
        <v>1388</v>
      </c>
      <c r="B193" s="12">
        <v>0</v>
      </c>
    </row>
    <row r="194" spans="1:2" x14ac:dyDescent="0.25">
      <c r="A194" s="12" t="s">
        <v>638</v>
      </c>
      <c r="B194" s="12">
        <v>1200</v>
      </c>
    </row>
    <row r="195" spans="1:2" x14ac:dyDescent="0.25">
      <c r="A195" s="12">
        <v>9260</v>
      </c>
      <c r="B195" s="12">
        <v>14400</v>
      </c>
    </row>
    <row r="196" spans="1:2" x14ac:dyDescent="0.25">
      <c r="A196" s="12" t="s">
        <v>1403</v>
      </c>
      <c r="B196" s="12">
        <v>0</v>
      </c>
    </row>
    <row r="197" spans="1:2" x14ac:dyDescent="0.25">
      <c r="A197" s="12" t="s">
        <v>1398</v>
      </c>
      <c r="B197" s="12">
        <v>0</v>
      </c>
    </row>
    <row r="198" spans="1:2" x14ac:dyDescent="0.25">
      <c r="A198" s="12" t="s">
        <v>1413</v>
      </c>
      <c r="B198" s="12">
        <v>0</v>
      </c>
    </row>
    <row r="199" spans="1:2" x14ac:dyDescent="0.25">
      <c r="A199" s="12" t="s">
        <v>1408</v>
      </c>
      <c r="B199" s="12">
        <v>0</v>
      </c>
    </row>
    <row r="200" spans="1:2" x14ac:dyDescent="0.25">
      <c r="A200" s="12" t="s">
        <v>1418</v>
      </c>
      <c r="B200" s="12">
        <v>0</v>
      </c>
    </row>
    <row r="202" spans="1:2" x14ac:dyDescent="0.25">
      <c r="A202" s="12" t="s">
        <v>582</v>
      </c>
      <c r="B202" s="12">
        <v>1200</v>
      </c>
    </row>
    <row r="203" spans="1:2" x14ac:dyDescent="0.25">
      <c r="A203" s="12" t="s">
        <v>588</v>
      </c>
      <c r="B203" s="12">
        <v>1200</v>
      </c>
    </row>
    <row r="204" spans="1:2" x14ac:dyDescent="0.25">
      <c r="A204" s="12" t="s">
        <v>594</v>
      </c>
      <c r="B204" s="12">
        <v>0</v>
      </c>
    </row>
    <row r="205" spans="1:2" x14ac:dyDescent="0.25">
      <c r="A205" s="12" t="s">
        <v>600</v>
      </c>
      <c r="B205" s="12">
        <v>43200</v>
      </c>
    </row>
    <row r="206" spans="1:2" x14ac:dyDescent="0.25">
      <c r="A206" s="12" t="s">
        <v>1172</v>
      </c>
      <c r="B206" s="12">
        <v>0</v>
      </c>
    </row>
    <row r="207" spans="1:2" x14ac:dyDescent="0.25">
      <c r="A207" s="12" t="s">
        <v>1168</v>
      </c>
      <c r="B207" s="12">
        <v>0</v>
      </c>
    </row>
    <row r="208" spans="1:2" x14ac:dyDescent="0.25">
      <c r="A208" s="12" t="s">
        <v>1180</v>
      </c>
      <c r="B208" s="12">
        <v>0</v>
      </c>
    </row>
    <row r="209" spans="1:2" x14ac:dyDescent="0.25">
      <c r="A209" s="12" t="s">
        <v>1176</v>
      </c>
      <c r="B209" s="12">
        <v>0</v>
      </c>
    </row>
    <row r="210" spans="1:2" x14ac:dyDescent="0.25">
      <c r="A210" s="12">
        <v>9118</v>
      </c>
      <c r="B210" s="12">
        <v>3000</v>
      </c>
    </row>
    <row r="211" spans="1:2" x14ac:dyDescent="0.25">
      <c r="A211" s="12">
        <v>9211</v>
      </c>
      <c r="B211" s="12">
        <v>2400</v>
      </c>
    </row>
    <row r="212" spans="1:2" x14ac:dyDescent="0.25">
      <c r="A212" s="12">
        <v>9220</v>
      </c>
      <c r="B212" s="12">
        <v>1200</v>
      </c>
    </row>
    <row r="213" spans="1:2" x14ac:dyDescent="0.25">
      <c r="A213" s="12" t="s">
        <v>1190</v>
      </c>
      <c r="B213" s="12">
        <v>0</v>
      </c>
    </row>
    <row r="214" spans="1:2" x14ac:dyDescent="0.25">
      <c r="A214" s="12" t="s">
        <v>1195</v>
      </c>
      <c r="B214" s="12">
        <v>0</v>
      </c>
    </row>
    <row r="215" spans="1:2" x14ac:dyDescent="0.25">
      <c r="A215" s="12" t="s">
        <v>1201</v>
      </c>
      <c r="B215" s="12">
        <v>3600</v>
      </c>
    </row>
    <row r="217" spans="1:2" x14ac:dyDescent="0.25">
      <c r="A217" s="12" t="s">
        <v>791</v>
      </c>
      <c r="B217" s="12">
        <v>0</v>
      </c>
    </row>
    <row r="218" spans="1:2" x14ac:dyDescent="0.25">
      <c r="A218" s="12" t="s">
        <v>798</v>
      </c>
      <c r="B218" s="12">
        <v>500</v>
      </c>
    </row>
    <row r="219" spans="1:2" x14ac:dyDescent="0.25">
      <c r="A219" s="12" t="s">
        <v>804</v>
      </c>
      <c r="B219" s="12">
        <v>500</v>
      </c>
    </row>
    <row r="220" spans="1:2" x14ac:dyDescent="0.25">
      <c r="A220" s="12" t="s">
        <v>812</v>
      </c>
      <c r="B220" s="12">
        <v>1500</v>
      </c>
    </row>
    <row r="221" spans="1:2" x14ac:dyDescent="0.25">
      <c r="A221" s="12" t="s">
        <v>819</v>
      </c>
      <c r="B221" s="12">
        <v>1500</v>
      </c>
    </row>
    <row r="222" spans="1:2" x14ac:dyDescent="0.25">
      <c r="A222" s="12" t="s">
        <v>827</v>
      </c>
      <c r="B222" s="12">
        <v>2800</v>
      </c>
    </row>
    <row r="223" spans="1:2" x14ac:dyDescent="0.25">
      <c r="A223" s="12" t="s">
        <v>834</v>
      </c>
      <c r="B223" s="12">
        <v>0</v>
      </c>
    </row>
    <row r="224" spans="1:2" x14ac:dyDescent="0.25">
      <c r="A224" s="12" t="s">
        <v>840</v>
      </c>
      <c r="B224" s="12">
        <v>900</v>
      </c>
    </row>
    <row r="225" spans="1:2" x14ac:dyDescent="0.25">
      <c r="A225" s="12" t="s">
        <v>846</v>
      </c>
      <c r="B225" s="12">
        <v>3000</v>
      </c>
    </row>
    <row r="226" spans="1:2" x14ac:dyDescent="0.25">
      <c r="A226" s="12" t="s">
        <v>853</v>
      </c>
      <c r="B226" s="12">
        <v>200</v>
      </c>
    </row>
    <row r="228" spans="1:2" x14ac:dyDescent="0.25">
      <c r="A228" s="12">
        <v>9230</v>
      </c>
      <c r="B228" s="12">
        <v>3000</v>
      </c>
    </row>
    <row r="229" spans="1:2" x14ac:dyDescent="0.25">
      <c r="A229" s="12">
        <v>9278</v>
      </c>
      <c r="B229" s="12">
        <v>0</v>
      </c>
    </row>
    <row r="231" spans="1:2" x14ac:dyDescent="0.25">
      <c r="A231" s="12">
        <v>9515</v>
      </c>
      <c r="B231" s="12">
        <v>0</v>
      </c>
    </row>
    <row r="232" spans="1:2" x14ac:dyDescent="0.25">
      <c r="A232" s="12">
        <v>9516</v>
      </c>
      <c r="B232" s="12">
        <v>30000</v>
      </c>
    </row>
    <row r="233" spans="1:2" x14ac:dyDescent="0.25">
      <c r="A233" s="12" t="s">
        <v>1647</v>
      </c>
      <c r="B233" s="12">
        <v>0</v>
      </c>
    </row>
    <row r="234" spans="1:2" x14ac:dyDescent="0.25">
      <c r="A234" s="12" t="s">
        <v>1642</v>
      </c>
      <c r="B234" s="12">
        <v>0</v>
      </c>
    </row>
    <row r="235" spans="1:2" x14ac:dyDescent="0.25">
      <c r="A235" s="12" t="s">
        <v>1657</v>
      </c>
      <c r="B235" s="12">
        <v>0</v>
      </c>
    </row>
    <row r="236" spans="1:2" x14ac:dyDescent="0.25">
      <c r="A236" s="12" t="s">
        <v>1652</v>
      </c>
      <c r="B236" s="12">
        <v>0</v>
      </c>
    </row>
    <row r="237" spans="1:2" x14ac:dyDescent="0.25">
      <c r="A237" s="12" t="s">
        <v>1662</v>
      </c>
      <c r="B237" s="12">
        <v>1000</v>
      </c>
    </row>
    <row r="239" spans="1:2" x14ac:dyDescent="0.25">
      <c r="A239" s="12">
        <v>9256</v>
      </c>
    </row>
    <row r="240" spans="1:2" x14ac:dyDescent="0.25">
      <c r="A240" s="12">
        <v>9257</v>
      </c>
    </row>
    <row r="241" spans="1:2" x14ac:dyDescent="0.25">
      <c r="A241" s="12">
        <v>9351</v>
      </c>
    </row>
    <row r="242" spans="1:2" x14ac:dyDescent="0.25">
      <c r="A242" s="12">
        <v>9356</v>
      </c>
      <c r="B242" s="12">
        <v>180</v>
      </c>
    </row>
    <row r="243" spans="1:2" x14ac:dyDescent="0.25">
      <c r="A243" s="12" t="s">
        <v>647</v>
      </c>
    </row>
    <row r="244" spans="1:2" x14ac:dyDescent="0.25">
      <c r="A244" s="12">
        <v>9357</v>
      </c>
      <c r="B244" s="12">
        <v>60</v>
      </c>
    </row>
    <row r="245" spans="1:2" x14ac:dyDescent="0.25">
      <c r="A245" s="12" t="s">
        <v>650</v>
      </c>
    </row>
    <row r="246" spans="1:2" x14ac:dyDescent="0.25">
      <c r="A246" s="12" t="s">
        <v>1368</v>
      </c>
    </row>
    <row r="247" spans="1:2" x14ac:dyDescent="0.25">
      <c r="A247" s="12" t="s">
        <v>1373</v>
      </c>
    </row>
    <row r="248" spans="1:2" x14ac:dyDescent="0.25">
      <c r="A248" s="12">
        <v>8040</v>
      </c>
      <c r="B248" s="12">
        <v>72</v>
      </c>
    </row>
    <row r="250" spans="1:2" x14ac:dyDescent="0.25">
      <c r="A250" s="12">
        <v>9259</v>
      </c>
      <c r="B250" s="12">
        <v>60</v>
      </c>
    </row>
    <row r="251" spans="1:2" x14ac:dyDescent="0.25">
      <c r="A251" s="12" t="s">
        <v>1074</v>
      </c>
      <c r="B251" s="12">
        <v>60</v>
      </c>
    </row>
    <row r="252" spans="1:2" x14ac:dyDescent="0.25">
      <c r="A252" s="12" t="s">
        <v>1066</v>
      </c>
      <c r="B252" s="12">
        <v>60</v>
      </c>
    </row>
    <row r="253" spans="1:2" x14ac:dyDescent="0.25">
      <c r="A253" s="12" t="s">
        <v>1076</v>
      </c>
      <c r="B253" s="12">
        <v>32</v>
      </c>
    </row>
    <row r="254" spans="1:2" x14ac:dyDescent="0.25">
      <c r="A254" s="12" t="s">
        <v>1063</v>
      </c>
      <c r="B254" s="12">
        <v>60</v>
      </c>
    </row>
    <row r="255" spans="1:2" x14ac:dyDescent="0.25">
      <c r="A255" s="12" t="s">
        <v>1078</v>
      </c>
      <c r="B255" s="12">
        <v>60</v>
      </c>
    </row>
    <row r="256" spans="1:2" x14ac:dyDescent="0.25">
      <c r="A256" s="12" t="s">
        <v>1069</v>
      </c>
    </row>
    <row r="257" spans="1:2" x14ac:dyDescent="0.25">
      <c r="A257" s="12">
        <v>9237</v>
      </c>
      <c r="B257" s="12">
        <v>600</v>
      </c>
    </row>
    <row r="259" spans="1:2" x14ac:dyDescent="0.25">
      <c r="A259" s="12">
        <v>9068</v>
      </c>
      <c r="B259" s="12">
        <v>326</v>
      </c>
    </row>
    <row r="260" spans="1:2" x14ac:dyDescent="0.25">
      <c r="A260" s="12" t="s">
        <v>1838</v>
      </c>
      <c r="B260" s="12">
        <v>128</v>
      </c>
    </row>
    <row r="261" spans="1:2" x14ac:dyDescent="0.25">
      <c r="A261" s="12">
        <v>9077</v>
      </c>
      <c r="B261" s="12">
        <v>200</v>
      </c>
    </row>
    <row r="262" spans="1:2" x14ac:dyDescent="0.25">
      <c r="A262" s="12">
        <v>9078</v>
      </c>
    </row>
    <row r="263" spans="1:2" x14ac:dyDescent="0.25">
      <c r="A263" s="12" t="s">
        <v>1137</v>
      </c>
    </row>
    <row r="264" spans="1:2" x14ac:dyDescent="0.25">
      <c r="A264" s="12" t="s">
        <v>1839</v>
      </c>
    </row>
    <row r="265" spans="1:2" x14ac:dyDescent="0.25">
      <c r="A265" s="12" t="s">
        <v>1840</v>
      </c>
    </row>
    <row r="266" spans="1:2" x14ac:dyDescent="0.25">
      <c r="A266" s="12" t="s">
        <v>1841</v>
      </c>
    </row>
    <row r="268" spans="1:2" x14ac:dyDescent="0.25">
      <c r="A268" s="12">
        <v>9160</v>
      </c>
    </row>
    <row r="269" spans="1:2" x14ac:dyDescent="0.25">
      <c r="A269" s="12" t="s">
        <v>1842</v>
      </c>
    </row>
    <row r="270" spans="1:2" x14ac:dyDescent="0.25">
      <c r="A270" s="12" t="s">
        <v>1843</v>
      </c>
    </row>
    <row r="271" spans="1:2" x14ac:dyDescent="0.25">
      <c r="A271" s="12" t="s">
        <v>1844</v>
      </c>
    </row>
    <row r="272" spans="1:2" x14ac:dyDescent="0.25">
      <c r="A272" s="12" t="s">
        <v>1845</v>
      </c>
    </row>
    <row r="273" spans="1:2" x14ac:dyDescent="0.25">
      <c r="A273" s="12" t="s">
        <v>1846</v>
      </c>
    </row>
    <row r="274" spans="1:2" x14ac:dyDescent="0.25">
      <c r="A274" s="12" t="s">
        <v>1847</v>
      </c>
    </row>
    <row r="275" spans="1:2" x14ac:dyDescent="0.25">
      <c r="A275" s="12" t="s">
        <v>1848</v>
      </c>
    </row>
    <row r="276" spans="1:2" x14ac:dyDescent="0.25">
      <c r="A276" s="12">
        <v>9170</v>
      </c>
    </row>
    <row r="277" spans="1:2" x14ac:dyDescent="0.25">
      <c r="A277" s="12">
        <v>9238</v>
      </c>
    </row>
    <row r="278" spans="1:2" x14ac:dyDescent="0.25">
      <c r="A278" s="12" t="s">
        <v>1849</v>
      </c>
    </row>
    <row r="280" spans="1:2" x14ac:dyDescent="0.25">
      <c r="A280" s="12" t="s">
        <v>1850</v>
      </c>
    </row>
    <row r="281" spans="1:2" x14ac:dyDescent="0.25">
      <c r="A281" s="12" t="s">
        <v>1851</v>
      </c>
    </row>
    <row r="282" spans="1:2" x14ac:dyDescent="0.25">
      <c r="A282" s="12" t="s">
        <v>1852</v>
      </c>
    </row>
    <row r="284" spans="1:2" x14ac:dyDescent="0.25">
      <c r="A284" s="12" t="s">
        <v>1853</v>
      </c>
      <c r="B284" s="12">
        <v>200</v>
      </c>
    </row>
    <row r="286" spans="1:2" x14ac:dyDescent="0.25">
      <c r="A286" s="12" t="s">
        <v>1854</v>
      </c>
    </row>
    <row r="287" spans="1:2" x14ac:dyDescent="0.25">
      <c r="A287" s="12" t="s">
        <v>1855</v>
      </c>
    </row>
    <row r="289" spans="1:2" x14ac:dyDescent="0.25">
      <c r="A289" s="12" t="s">
        <v>1856</v>
      </c>
      <c r="B289" s="12">
        <v>900</v>
      </c>
    </row>
    <row r="290" spans="1:2" x14ac:dyDescent="0.25">
      <c r="A290" s="12" t="s">
        <v>1857</v>
      </c>
    </row>
    <row r="291" spans="1:2" x14ac:dyDescent="0.25">
      <c r="A291" s="12" t="s">
        <v>1858</v>
      </c>
    </row>
    <row r="292" spans="1:2" x14ac:dyDescent="0.25">
      <c r="A292" s="12" t="s">
        <v>1859</v>
      </c>
    </row>
    <row r="293" spans="1:2" x14ac:dyDescent="0.25">
      <c r="A293" s="12" t="s">
        <v>1860</v>
      </c>
      <c r="B293" s="12">
        <v>544</v>
      </c>
    </row>
    <row r="294" spans="1:2" x14ac:dyDescent="0.25">
      <c r="A294" s="12" t="s">
        <v>1861</v>
      </c>
    </row>
    <row r="295" spans="1:2" x14ac:dyDescent="0.25">
      <c r="A295" s="12" t="s">
        <v>1862</v>
      </c>
    </row>
    <row r="296" spans="1:2" x14ac:dyDescent="0.25">
      <c r="A296" s="12" t="s">
        <v>1863</v>
      </c>
      <c r="B296" s="12">
        <v>1200</v>
      </c>
    </row>
    <row r="297" spans="1:2" x14ac:dyDescent="0.25">
      <c r="A297" s="12" t="s">
        <v>1140</v>
      </c>
    </row>
    <row r="298" spans="1:2" x14ac:dyDescent="0.25">
      <c r="A298" s="12" t="s">
        <v>1864</v>
      </c>
    </row>
    <row r="300" spans="1:2" x14ac:dyDescent="0.25">
      <c r="A300" s="12" t="s">
        <v>1865</v>
      </c>
      <c r="B300" s="12">
        <v>900</v>
      </c>
    </row>
    <row r="301" spans="1:2" x14ac:dyDescent="0.25">
      <c r="A301" s="12" t="s">
        <v>1866</v>
      </c>
    </row>
    <row r="302" spans="1:2" x14ac:dyDescent="0.25">
      <c r="A302" s="12" t="s">
        <v>1867</v>
      </c>
    </row>
    <row r="303" spans="1:2" x14ac:dyDescent="0.25">
      <c r="A303" s="12" t="s">
        <v>1868</v>
      </c>
    </row>
    <row r="304" spans="1:2" x14ac:dyDescent="0.25">
      <c r="A304" s="12" t="s">
        <v>1869</v>
      </c>
    </row>
    <row r="305" spans="1:2" x14ac:dyDescent="0.25">
      <c r="A305" s="12" t="s">
        <v>1870</v>
      </c>
    </row>
    <row r="307" spans="1:2" x14ac:dyDescent="0.25">
      <c r="A307" s="12" t="s">
        <v>1133</v>
      </c>
    </row>
    <row r="308" spans="1:2" x14ac:dyDescent="0.25">
      <c r="A308" s="12" t="s">
        <v>1871</v>
      </c>
      <c r="B308" s="12">
        <v>360</v>
      </c>
    </row>
    <row r="309" spans="1:2" x14ac:dyDescent="0.25">
      <c r="A309" s="12" t="s">
        <v>1872</v>
      </c>
      <c r="B309" s="12">
        <v>360</v>
      </c>
    </row>
    <row r="310" spans="1:2" x14ac:dyDescent="0.25">
      <c r="A310" s="12" t="s">
        <v>1873</v>
      </c>
    </row>
    <row r="311" spans="1:2" x14ac:dyDescent="0.25">
      <c r="A311" s="12" t="s">
        <v>1874</v>
      </c>
      <c r="B311" s="12">
        <v>360</v>
      </c>
    </row>
    <row r="312" spans="1:2" x14ac:dyDescent="0.25">
      <c r="A312" s="12" t="s">
        <v>1875</v>
      </c>
      <c r="B312" s="12">
        <v>300</v>
      </c>
    </row>
    <row r="313" spans="1:2" x14ac:dyDescent="0.25">
      <c r="A313" s="12">
        <v>9279</v>
      </c>
    </row>
    <row r="314" spans="1:2" x14ac:dyDescent="0.25">
      <c r="A314" s="12" t="s">
        <v>1876</v>
      </c>
      <c r="B314" s="12">
        <v>1344</v>
      </c>
    </row>
    <row r="315" spans="1:2" x14ac:dyDescent="0.25">
      <c r="A315" s="12" t="s">
        <v>1877</v>
      </c>
    </row>
    <row r="316" spans="1:2" x14ac:dyDescent="0.25">
      <c r="A316" s="12" t="s">
        <v>1878</v>
      </c>
    </row>
    <row r="317" spans="1:2" x14ac:dyDescent="0.25">
      <c r="A317" s="12" t="s">
        <v>1879</v>
      </c>
    </row>
    <row r="318" spans="1:2" x14ac:dyDescent="0.25">
      <c r="A318" s="12" t="s">
        <v>1880</v>
      </c>
    </row>
    <row r="319" spans="1:2" x14ac:dyDescent="0.25">
      <c r="A319" s="12" t="s">
        <v>1881</v>
      </c>
    </row>
    <row r="320" spans="1:2" x14ac:dyDescent="0.25">
      <c r="A320" s="12" t="s">
        <v>1882</v>
      </c>
      <c r="B320" s="12">
        <v>273</v>
      </c>
    </row>
    <row r="321" spans="1:2" x14ac:dyDescent="0.25">
      <c r="A321" s="12" t="s">
        <v>1883</v>
      </c>
    </row>
    <row r="322" spans="1:2" x14ac:dyDescent="0.25">
      <c r="A322" s="12" t="s">
        <v>1884</v>
      </c>
    </row>
    <row r="323" spans="1:2" x14ac:dyDescent="0.25">
      <c r="A323" s="12" t="s">
        <v>1885</v>
      </c>
    </row>
    <row r="324" spans="1:2" x14ac:dyDescent="0.25">
      <c r="A324" s="12" t="s">
        <v>1886</v>
      </c>
    </row>
    <row r="326" spans="1:2" x14ac:dyDescent="0.25">
      <c r="A326" s="12" t="s">
        <v>1887</v>
      </c>
    </row>
    <row r="327" spans="1:2" x14ac:dyDescent="0.25">
      <c r="A327" s="12" t="s">
        <v>644</v>
      </c>
    </row>
    <row r="328" spans="1:2" x14ac:dyDescent="0.25">
      <c r="A328" s="12" t="s">
        <v>1432</v>
      </c>
      <c r="B328" s="12">
        <v>360</v>
      </c>
    </row>
    <row r="329" spans="1:2" x14ac:dyDescent="0.25">
      <c r="A329" s="12" t="s">
        <v>1888</v>
      </c>
      <c r="B329" s="12">
        <v>264</v>
      </c>
    </row>
    <row r="330" spans="1:2" x14ac:dyDescent="0.25">
      <c r="A330" s="12" t="s">
        <v>1889</v>
      </c>
      <c r="B330" s="12">
        <v>360</v>
      </c>
    </row>
    <row r="331" spans="1:2" x14ac:dyDescent="0.25">
      <c r="A331" s="12" t="s">
        <v>1890</v>
      </c>
    </row>
    <row r="332" spans="1:2" x14ac:dyDescent="0.25">
      <c r="A332" s="12" t="s">
        <v>1891</v>
      </c>
      <c r="B332" s="12">
        <v>1402</v>
      </c>
    </row>
    <row r="333" spans="1:2" x14ac:dyDescent="0.25">
      <c r="A333" s="12" t="s">
        <v>1892</v>
      </c>
      <c r="B333" s="12">
        <v>360</v>
      </c>
    </row>
    <row r="335" spans="1:2" x14ac:dyDescent="0.25">
      <c r="A335" s="12">
        <v>9203</v>
      </c>
    </row>
    <row r="336" spans="1:2" x14ac:dyDescent="0.25">
      <c r="A336" s="12">
        <v>9204</v>
      </c>
    </row>
    <row r="337" spans="1:2" x14ac:dyDescent="0.25">
      <c r="A337" s="12">
        <v>9205</v>
      </c>
    </row>
    <row r="338" spans="1:2" x14ac:dyDescent="0.25">
      <c r="A338" s="12">
        <v>9206</v>
      </c>
    </row>
    <row r="339" spans="1:2" x14ac:dyDescent="0.25">
      <c r="A339" s="12">
        <v>9207</v>
      </c>
      <c r="B339" s="12">
        <v>1200</v>
      </c>
    </row>
    <row r="340" spans="1:2" x14ac:dyDescent="0.25">
      <c r="A340" s="12">
        <v>9208</v>
      </c>
      <c r="B340" s="12">
        <v>1392</v>
      </c>
    </row>
    <row r="341" spans="1:2" x14ac:dyDescent="0.25">
      <c r="A341" s="12">
        <v>9209</v>
      </c>
      <c r="B341" s="12">
        <v>420</v>
      </c>
    </row>
    <row r="342" spans="1:2" x14ac:dyDescent="0.25">
      <c r="A342" s="12">
        <v>9210</v>
      </c>
    </row>
    <row r="343" spans="1:2" x14ac:dyDescent="0.25">
      <c r="A343" s="12">
        <v>9214</v>
      </c>
    </row>
    <row r="344" spans="1:2" x14ac:dyDescent="0.25">
      <c r="A344" s="12">
        <v>9215</v>
      </c>
    </row>
    <row r="345" spans="1:2" x14ac:dyDescent="0.25">
      <c r="A345" s="12">
        <v>9216</v>
      </c>
    </row>
    <row r="346" spans="1:2" x14ac:dyDescent="0.25">
      <c r="A346" s="12" t="s">
        <v>1893</v>
      </c>
      <c r="B346" s="12">
        <v>996</v>
      </c>
    </row>
    <row r="347" spans="1:2" x14ac:dyDescent="0.25">
      <c r="A347" s="12" t="s">
        <v>1894</v>
      </c>
      <c r="B347" s="12">
        <v>996</v>
      </c>
    </row>
    <row r="348" spans="1:2" x14ac:dyDescent="0.25">
      <c r="A348" s="12" t="s">
        <v>1162</v>
      </c>
      <c r="B348" s="12">
        <v>3600</v>
      </c>
    </row>
    <row r="349" spans="1:2" x14ac:dyDescent="0.25">
      <c r="A349" s="12" t="s">
        <v>1159</v>
      </c>
    </row>
    <row r="350" spans="1:2" x14ac:dyDescent="0.25">
      <c r="A350" s="12" t="s">
        <v>1165</v>
      </c>
      <c r="B350" s="12">
        <v>3600</v>
      </c>
    </row>
    <row r="351" spans="1:2" x14ac:dyDescent="0.25">
      <c r="A351" s="12" t="s">
        <v>1184</v>
      </c>
    </row>
    <row r="352" spans="1:2" x14ac:dyDescent="0.25">
      <c r="A352" s="12" t="s">
        <v>1187</v>
      </c>
      <c r="B352" s="12">
        <v>2304</v>
      </c>
    </row>
    <row r="353" spans="1:2" x14ac:dyDescent="0.25">
      <c r="A353" s="12" t="s">
        <v>1895</v>
      </c>
      <c r="B353" s="12">
        <v>996</v>
      </c>
    </row>
    <row r="354" spans="1:2" x14ac:dyDescent="0.25">
      <c r="A354" s="12" t="s">
        <v>1896</v>
      </c>
      <c r="B354" s="12">
        <v>984</v>
      </c>
    </row>
    <row r="355" spans="1:2" x14ac:dyDescent="0.25">
      <c r="A355" s="12" t="s">
        <v>1897</v>
      </c>
    </row>
    <row r="357" spans="1:2" x14ac:dyDescent="0.25">
      <c r="A357" s="12" t="s">
        <v>1898</v>
      </c>
    </row>
    <row r="359" spans="1:2" x14ac:dyDescent="0.25">
      <c r="A359" s="12" t="s">
        <v>1899</v>
      </c>
    </row>
    <row r="360" spans="1:2" x14ac:dyDescent="0.25">
      <c r="A360" s="12" t="s">
        <v>1900</v>
      </c>
    </row>
    <row r="362" spans="1:2" x14ac:dyDescent="0.25">
      <c r="A362" s="12" t="s">
        <v>1901</v>
      </c>
      <c r="B362" s="12">
        <v>600</v>
      </c>
    </row>
    <row r="363" spans="1:2" x14ac:dyDescent="0.25">
      <c r="A363" s="12" t="s">
        <v>1902</v>
      </c>
    </row>
    <row r="364" spans="1:2" x14ac:dyDescent="0.25">
      <c r="A364" s="12" t="s">
        <v>1903</v>
      </c>
    </row>
    <row r="365" spans="1:2" x14ac:dyDescent="0.25">
      <c r="A365" s="12" t="s">
        <v>1904</v>
      </c>
    </row>
    <row r="366" spans="1:2" x14ac:dyDescent="0.25">
      <c r="A366" s="12" t="s">
        <v>1905</v>
      </c>
    </row>
    <row r="367" spans="1:2" x14ac:dyDescent="0.25">
      <c r="A367" s="12" t="s">
        <v>1906</v>
      </c>
    </row>
    <row r="368" spans="1:2" x14ac:dyDescent="0.25">
      <c r="A368" s="12" t="s">
        <v>1907</v>
      </c>
    </row>
    <row r="369" spans="1:1" x14ac:dyDescent="0.25">
      <c r="A369" s="12" t="s">
        <v>1908</v>
      </c>
    </row>
    <row r="370" spans="1:1" x14ac:dyDescent="0.25">
      <c r="A370" s="12" t="s">
        <v>1909</v>
      </c>
    </row>
    <row r="371" spans="1:1" x14ac:dyDescent="0.25">
      <c r="A371" s="12" t="s">
        <v>1910</v>
      </c>
    </row>
    <row r="372" spans="1:1" x14ac:dyDescent="0.25">
      <c r="A372" s="12" t="s">
        <v>1911</v>
      </c>
    </row>
    <row r="373" spans="1:1" x14ac:dyDescent="0.25">
      <c r="A373" s="12" t="s">
        <v>1912</v>
      </c>
    </row>
    <row r="374" spans="1:1" x14ac:dyDescent="0.25">
      <c r="A374" s="12" t="s">
        <v>1913</v>
      </c>
    </row>
    <row r="376" spans="1:1" x14ac:dyDescent="0.25">
      <c r="A376" s="12" t="s">
        <v>1914</v>
      </c>
    </row>
    <row r="377" spans="1:1" x14ac:dyDescent="0.25">
      <c r="A377" s="12" t="s">
        <v>1915</v>
      </c>
    </row>
    <row r="378" spans="1:1" x14ac:dyDescent="0.25">
      <c r="A378" s="12" t="s">
        <v>1916</v>
      </c>
    </row>
    <row r="379" spans="1:1" x14ac:dyDescent="0.25">
      <c r="A379" s="12" t="s">
        <v>1917</v>
      </c>
    </row>
    <row r="380" spans="1:1" x14ac:dyDescent="0.25">
      <c r="A380" s="12" t="s">
        <v>1918</v>
      </c>
    </row>
    <row r="381" spans="1:1" x14ac:dyDescent="0.25">
      <c r="A381" s="12" t="s">
        <v>1919</v>
      </c>
    </row>
    <row r="382" spans="1:1" x14ac:dyDescent="0.25">
      <c r="A382" s="12" t="s">
        <v>1920</v>
      </c>
    </row>
    <row r="383" spans="1:1" x14ac:dyDescent="0.25">
      <c r="A383" s="12" t="s">
        <v>1921</v>
      </c>
    </row>
    <row r="384" spans="1:1" x14ac:dyDescent="0.25">
      <c r="A384" s="12" t="s">
        <v>1922</v>
      </c>
    </row>
    <row r="385" spans="1:2" x14ac:dyDescent="0.25">
      <c r="A385" s="12" t="s">
        <v>1923</v>
      </c>
      <c r="B385" s="12">
        <v>1200</v>
      </c>
    </row>
    <row r="386" spans="1:2" x14ac:dyDescent="0.25">
      <c r="A386" s="12" t="s">
        <v>1924</v>
      </c>
    </row>
    <row r="388" spans="1:2" x14ac:dyDescent="0.25">
      <c r="A388" s="12" t="s">
        <v>1925</v>
      </c>
    </row>
    <row r="389" spans="1:2" x14ac:dyDescent="0.25">
      <c r="A389" s="12" t="s">
        <v>1926</v>
      </c>
      <c r="B389" s="12">
        <v>3600</v>
      </c>
    </row>
    <row r="390" spans="1:2" x14ac:dyDescent="0.25">
      <c r="A390" s="12" t="s">
        <v>1927</v>
      </c>
      <c r="B390" s="12">
        <v>3584</v>
      </c>
    </row>
    <row r="391" spans="1:2" x14ac:dyDescent="0.25">
      <c r="A391" s="12" t="s">
        <v>1928</v>
      </c>
    </row>
    <row r="392" spans="1:2" x14ac:dyDescent="0.25">
      <c r="A392" s="12" t="s">
        <v>1929</v>
      </c>
    </row>
    <row r="393" spans="1:2" x14ac:dyDescent="0.25">
      <c r="A393" s="12" t="s">
        <v>1930</v>
      </c>
    </row>
    <row r="394" spans="1:2" x14ac:dyDescent="0.25">
      <c r="A394" s="12" t="s">
        <v>1931</v>
      </c>
    </row>
    <row r="395" spans="1:2" x14ac:dyDescent="0.25">
      <c r="A395" s="12" t="s">
        <v>1932</v>
      </c>
    </row>
    <row r="396" spans="1:2" x14ac:dyDescent="0.25">
      <c r="A396" s="12" t="s">
        <v>1933</v>
      </c>
      <c r="B396" s="12">
        <v>2400</v>
      </c>
    </row>
    <row r="397" spans="1:2" x14ac:dyDescent="0.25">
      <c r="A397" s="12" t="s">
        <v>1934</v>
      </c>
    </row>
    <row r="398" spans="1:2" x14ac:dyDescent="0.25">
      <c r="A398" s="12" t="s">
        <v>1935</v>
      </c>
    </row>
    <row r="399" spans="1:2" x14ac:dyDescent="0.25">
      <c r="A399" s="12" t="s">
        <v>1936</v>
      </c>
    </row>
    <row r="400" spans="1:2" x14ac:dyDescent="0.25">
      <c r="A400" s="12" t="s">
        <v>1937</v>
      </c>
    </row>
    <row r="401" spans="1:2" x14ac:dyDescent="0.25">
      <c r="A401" s="12" t="s">
        <v>1938</v>
      </c>
    </row>
    <row r="402" spans="1:2" x14ac:dyDescent="0.25">
      <c r="A402" s="12" t="s">
        <v>1939</v>
      </c>
    </row>
    <row r="403" spans="1:2" x14ac:dyDescent="0.25">
      <c r="A403" s="12" t="s">
        <v>1940</v>
      </c>
    </row>
    <row r="405" spans="1:2" x14ac:dyDescent="0.25">
      <c r="A405" s="12" t="s">
        <v>1941</v>
      </c>
    </row>
    <row r="406" spans="1:2" x14ac:dyDescent="0.25">
      <c r="A406" s="12" t="s">
        <v>1942</v>
      </c>
      <c r="B406" s="12">
        <v>600</v>
      </c>
    </row>
    <row r="407" spans="1:2" x14ac:dyDescent="0.25">
      <c r="A407" s="12" t="s">
        <v>1943</v>
      </c>
    </row>
    <row r="409" spans="1:2" x14ac:dyDescent="0.25">
      <c r="A409" s="12" t="s">
        <v>1944</v>
      </c>
    </row>
    <row r="410" spans="1:2" x14ac:dyDescent="0.25">
      <c r="A410" s="12" t="s">
        <v>1945</v>
      </c>
      <c r="B410" s="12">
        <v>1000</v>
      </c>
    </row>
    <row r="411" spans="1:2" x14ac:dyDescent="0.25">
      <c r="A411" s="12" t="s">
        <v>1946</v>
      </c>
      <c r="B411" s="12">
        <v>1000</v>
      </c>
    </row>
    <row r="412" spans="1:2" x14ac:dyDescent="0.25">
      <c r="A412" s="12" t="s">
        <v>1947</v>
      </c>
      <c r="B412" s="12">
        <v>125</v>
      </c>
    </row>
    <row r="413" spans="1:2" x14ac:dyDescent="0.25">
      <c r="A413" s="12" t="s">
        <v>1948</v>
      </c>
    </row>
    <row r="414" spans="1:2" x14ac:dyDescent="0.25">
      <c r="A414" s="12" t="s">
        <v>1949</v>
      </c>
      <c r="B414" s="12">
        <v>1447</v>
      </c>
    </row>
    <row r="415" spans="1:2" x14ac:dyDescent="0.25">
      <c r="A415" s="12" t="s">
        <v>1950</v>
      </c>
    </row>
    <row r="416" spans="1:2" x14ac:dyDescent="0.25">
      <c r="A416" s="12" t="s">
        <v>1951</v>
      </c>
    </row>
    <row r="417" spans="1:2" x14ac:dyDescent="0.25">
      <c r="A417" s="12" t="s">
        <v>1952</v>
      </c>
    </row>
    <row r="418" spans="1:2" x14ac:dyDescent="0.25">
      <c r="A418" s="12" t="s">
        <v>1953</v>
      </c>
    </row>
    <row r="419" spans="1:2" x14ac:dyDescent="0.25">
      <c r="A419" s="12" t="s">
        <v>1954</v>
      </c>
    </row>
    <row r="420" spans="1:2" x14ac:dyDescent="0.25">
      <c r="A420" s="12" t="s">
        <v>1955</v>
      </c>
    </row>
    <row r="421" spans="1:2" x14ac:dyDescent="0.25">
      <c r="A421" s="12" t="s">
        <v>1956</v>
      </c>
    </row>
    <row r="422" spans="1:2" x14ac:dyDescent="0.25">
      <c r="A422" s="12" t="s">
        <v>1957</v>
      </c>
    </row>
    <row r="423" spans="1:2" x14ac:dyDescent="0.25">
      <c r="A423" s="12" t="s">
        <v>1958</v>
      </c>
    </row>
    <row r="425" spans="1:2" x14ac:dyDescent="0.25">
      <c r="A425" s="12" t="s">
        <v>1959</v>
      </c>
      <c r="B425" s="12">
        <v>360</v>
      </c>
    </row>
    <row r="426" spans="1:2" x14ac:dyDescent="0.25">
      <c r="A426" s="12" t="s">
        <v>1960</v>
      </c>
      <c r="B426" s="12">
        <v>600</v>
      </c>
    </row>
    <row r="427" spans="1:2" x14ac:dyDescent="0.25">
      <c r="A427" s="12" t="s">
        <v>1961</v>
      </c>
    </row>
    <row r="428" spans="1:2" x14ac:dyDescent="0.25">
      <c r="A428" s="12" t="s">
        <v>1962</v>
      </c>
    </row>
    <row r="430" spans="1:2" x14ac:dyDescent="0.25">
      <c r="A430" s="12" t="s">
        <v>653</v>
      </c>
    </row>
    <row r="431" spans="1:2" x14ac:dyDescent="0.25">
      <c r="A431" s="12" t="s">
        <v>657</v>
      </c>
    </row>
    <row r="432" spans="1:2" x14ac:dyDescent="0.25">
      <c r="A432" s="12" t="s">
        <v>663</v>
      </c>
    </row>
    <row r="433" spans="1:1" x14ac:dyDescent="0.25">
      <c r="A433" s="12" t="s">
        <v>660</v>
      </c>
    </row>
    <row r="434" spans="1:1" x14ac:dyDescent="0.25">
      <c r="A434" s="12" t="s">
        <v>666</v>
      </c>
    </row>
    <row r="435" spans="1:1" x14ac:dyDescent="0.25">
      <c r="A435" s="12" t="s">
        <v>669</v>
      </c>
    </row>
    <row r="436" spans="1:1" x14ac:dyDescent="0.25">
      <c r="A436" s="12" t="s">
        <v>1465</v>
      </c>
    </row>
    <row r="437" spans="1:1" x14ac:dyDescent="0.25">
      <c r="A437" s="12" t="s">
        <v>672</v>
      </c>
    </row>
    <row r="438" spans="1:1" x14ac:dyDescent="0.25">
      <c r="A438" s="12" t="s">
        <v>675</v>
      </c>
    </row>
    <row r="439" spans="1:1" x14ac:dyDescent="0.25">
      <c r="A439" s="12" t="s">
        <v>681</v>
      </c>
    </row>
    <row r="440" spans="1:1" x14ac:dyDescent="0.25">
      <c r="A440" s="12" t="s">
        <v>684</v>
      </c>
    </row>
    <row r="441" spans="1:1" x14ac:dyDescent="0.25">
      <c r="A441" s="12" t="s">
        <v>687</v>
      </c>
    </row>
    <row r="442" spans="1:1" x14ac:dyDescent="0.25">
      <c r="A442" s="12" t="s">
        <v>678</v>
      </c>
    </row>
    <row r="443" spans="1:1" x14ac:dyDescent="0.25">
      <c r="A443" s="12" t="s">
        <v>1468</v>
      </c>
    </row>
    <row r="444" spans="1:1" x14ac:dyDescent="0.25">
      <c r="A444" s="12" t="s">
        <v>1017</v>
      </c>
    </row>
    <row r="446" spans="1:1" x14ac:dyDescent="0.25">
      <c r="A446" s="12" t="s">
        <v>1963</v>
      </c>
    </row>
    <row r="447" spans="1:1" x14ac:dyDescent="0.25">
      <c r="A447" s="12" t="s">
        <v>1964</v>
      </c>
    </row>
    <row r="448" spans="1:1" x14ac:dyDescent="0.25">
      <c r="A448" s="12" t="s">
        <v>1965</v>
      </c>
    </row>
    <row r="449" spans="1:2" x14ac:dyDescent="0.25">
      <c r="A449" s="12" t="s">
        <v>1966</v>
      </c>
      <c r="B449" s="12">
        <v>60</v>
      </c>
    </row>
    <row r="450" spans="1:2" x14ac:dyDescent="0.25">
      <c r="A450" s="12" t="s">
        <v>1967</v>
      </c>
    </row>
    <row r="452" spans="1:2" x14ac:dyDescent="0.25">
      <c r="A452" s="12" t="s">
        <v>1968</v>
      </c>
    </row>
    <row r="453" spans="1:2" x14ac:dyDescent="0.25">
      <c r="A453" s="12" t="s">
        <v>1969</v>
      </c>
    </row>
    <row r="455" spans="1:2" x14ac:dyDescent="0.25">
      <c r="A455" s="12" t="s">
        <v>1970</v>
      </c>
    </row>
    <row r="456" spans="1:2" x14ac:dyDescent="0.25">
      <c r="A456" s="12" t="s">
        <v>1971</v>
      </c>
    </row>
    <row r="457" spans="1:2" x14ac:dyDescent="0.25">
      <c r="A457" s="12" t="s">
        <v>1972</v>
      </c>
    </row>
    <row r="458" spans="1:2" x14ac:dyDescent="0.25">
      <c r="A458" s="12" t="s">
        <v>1973</v>
      </c>
    </row>
    <row r="459" spans="1:2" x14ac:dyDescent="0.25">
      <c r="A459" s="12" t="s">
        <v>1974</v>
      </c>
    </row>
    <row r="460" spans="1:2" x14ac:dyDescent="0.25">
      <c r="A460" s="12" t="s">
        <v>1975</v>
      </c>
    </row>
    <row r="461" spans="1:2" x14ac:dyDescent="0.25">
      <c r="A461" s="12" t="s">
        <v>1976</v>
      </c>
    </row>
    <row r="462" spans="1:2" x14ac:dyDescent="0.25">
      <c r="A462" s="12" t="s">
        <v>1977</v>
      </c>
    </row>
    <row r="463" spans="1:2" x14ac:dyDescent="0.25">
      <c r="A463" s="12" t="s">
        <v>1978</v>
      </c>
    </row>
    <row r="464" spans="1:2" x14ac:dyDescent="0.25">
      <c r="A464" s="12" t="s">
        <v>1979</v>
      </c>
    </row>
    <row r="465" spans="1:2" x14ac:dyDescent="0.25">
      <c r="A465" s="12" t="s">
        <v>1980</v>
      </c>
    </row>
    <row r="466" spans="1:2" x14ac:dyDescent="0.25">
      <c r="A466" s="12" t="s">
        <v>1981</v>
      </c>
    </row>
    <row r="467" spans="1:2" x14ac:dyDescent="0.25">
      <c r="A467" s="12" t="s">
        <v>1982</v>
      </c>
    </row>
    <row r="468" spans="1:2" x14ac:dyDescent="0.25">
      <c r="A468" s="12" t="s">
        <v>1983</v>
      </c>
    </row>
    <row r="469" spans="1:2" x14ac:dyDescent="0.25">
      <c r="A469" s="12" t="s">
        <v>1984</v>
      </c>
    </row>
    <row r="470" spans="1:2" x14ac:dyDescent="0.25">
      <c r="A470" s="12" t="s">
        <v>1985</v>
      </c>
    </row>
    <row r="471" spans="1:2" x14ac:dyDescent="0.25">
      <c r="A471" s="12" t="s">
        <v>1986</v>
      </c>
      <c r="B471" s="12">
        <v>5472</v>
      </c>
    </row>
    <row r="472" spans="1:2" x14ac:dyDescent="0.25">
      <c r="A472" s="12" t="s">
        <v>1987</v>
      </c>
    </row>
    <row r="473" spans="1:2" x14ac:dyDescent="0.25">
      <c r="A473" s="12" t="s">
        <v>1988</v>
      </c>
    </row>
    <row r="474" spans="1:2" x14ac:dyDescent="0.25">
      <c r="A474" s="12" t="s">
        <v>1989</v>
      </c>
      <c r="B474" s="12">
        <v>3600</v>
      </c>
    </row>
    <row r="475" spans="1:2" x14ac:dyDescent="0.25">
      <c r="A475" s="12" t="s">
        <v>1990</v>
      </c>
      <c r="B475" s="12">
        <v>3600</v>
      </c>
    </row>
    <row r="477" spans="1:2" x14ac:dyDescent="0.25">
      <c r="A477" s="12" t="s">
        <v>1991</v>
      </c>
    </row>
    <row r="478" spans="1:2" x14ac:dyDescent="0.25">
      <c r="A478" s="12" t="s">
        <v>1460</v>
      </c>
    </row>
    <row r="479" spans="1:2" x14ac:dyDescent="0.25">
      <c r="A479" s="12" t="s">
        <v>1992</v>
      </c>
      <c r="B479" s="12">
        <v>60</v>
      </c>
    </row>
    <row r="480" spans="1:2" x14ac:dyDescent="0.25">
      <c r="A480" s="12" t="s">
        <v>1993</v>
      </c>
      <c r="B480" s="12">
        <v>60</v>
      </c>
    </row>
    <row r="481" spans="1:2" x14ac:dyDescent="0.25">
      <c r="A481" s="12" t="s">
        <v>1994</v>
      </c>
      <c r="B481" s="12">
        <v>60</v>
      </c>
    </row>
    <row r="483" spans="1:2" x14ac:dyDescent="0.25">
      <c r="A483" s="12" t="s">
        <v>1496</v>
      </c>
      <c r="B483" s="12">
        <v>24</v>
      </c>
    </row>
    <row r="484" spans="1:2" x14ac:dyDescent="0.25">
      <c r="A484" s="12" t="s">
        <v>1426</v>
      </c>
      <c r="B484" s="12">
        <v>12</v>
      </c>
    </row>
    <row r="485" spans="1:2" x14ac:dyDescent="0.25">
      <c r="A485" s="12" t="s">
        <v>1429</v>
      </c>
      <c r="B485" s="12">
        <v>36</v>
      </c>
    </row>
    <row r="487" spans="1:2" x14ac:dyDescent="0.25">
      <c r="A487" s="12" t="s">
        <v>1478</v>
      </c>
    </row>
    <row r="488" spans="1:2" x14ac:dyDescent="0.25">
      <c r="A488" s="12" t="s">
        <v>1484</v>
      </c>
    </row>
    <row r="489" spans="1:2" x14ac:dyDescent="0.25">
      <c r="A489" s="12" t="s">
        <v>1490</v>
      </c>
      <c r="B489" s="12">
        <v>36</v>
      </c>
    </row>
    <row r="490" spans="1:2" x14ac:dyDescent="0.25">
      <c r="A490" s="12" t="s">
        <v>1471</v>
      </c>
    </row>
    <row r="491" spans="1:2" x14ac:dyDescent="0.25">
      <c r="A491" s="12" t="s">
        <v>1481</v>
      </c>
      <c r="B491" s="12">
        <v>4</v>
      </c>
    </row>
    <row r="492" spans="1:2" x14ac:dyDescent="0.25">
      <c r="A492" s="12" t="s">
        <v>1487</v>
      </c>
    </row>
    <row r="493" spans="1:2" x14ac:dyDescent="0.25">
      <c r="A493" s="12" t="s">
        <v>1493</v>
      </c>
      <c r="B493" s="12">
        <v>60</v>
      </c>
    </row>
    <row r="494" spans="1:2" x14ac:dyDescent="0.25">
      <c r="A494" s="12" t="s">
        <v>1475</v>
      </c>
    </row>
    <row r="496" spans="1:2" x14ac:dyDescent="0.25">
      <c r="A496" s="12" t="s">
        <v>1059</v>
      </c>
      <c r="B496" s="12">
        <v>400</v>
      </c>
    </row>
    <row r="498" spans="1:2" x14ac:dyDescent="0.25">
      <c r="A498" s="12" t="s">
        <v>990</v>
      </c>
      <c r="B498" s="12">
        <v>400</v>
      </c>
    </row>
    <row r="499" spans="1:2" x14ac:dyDescent="0.25">
      <c r="A499" s="12" t="s">
        <v>984</v>
      </c>
      <c r="B499" s="12">
        <v>1000</v>
      </c>
    </row>
    <row r="500" spans="1:2" x14ac:dyDescent="0.25">
      <c r="A500" s="12" t="s">
        <v>993</v>
      </c>
      <c r="B500" s="12">
        <v>500</v>
      </c>
    </row>
    <row r="501" spans="1:2" x14ac:dyDescent="0.25">
      <c r="A501" s="12" t="s">
        <v>987</v>
      </c>
      <c r="B501" s="12">
        <v>400</v>
      </c>
    </row>
    <row r="502" spans="1:2" x14ac:dyDescent="0.25">
      <c r="A502" s="12" t="s">
        <v>976</v>
      </c>
      <c r="B502" s="12">
        <v>0</v>
      </c>
    </row>
    <row r="503" spans="1:2" x14ac:dyDescent="0.25">
      <c r="A503" s="12" t="s">
        <v>967</v>
      </c>
      <c r="B503" s="12">
        <v>1200</v>
      </c>
    </row>
    <row r="504" spans="1:2" x14ac:dyDescent="0.25">
      <c r="A504" s="12" t="s">
        <v>980</v>
      </c>
      <c r="B504" s="12">
        <v>0</v>
      </c>
    </row>
    <row r="505" spans="1:2" x14ac:dyDescent="0.25">
      <c r="A505" s="12" t="s">
        <v>972</v>
      </c>
      <c r="B505" s="12">
        <v>0</v>
      </c>
    </row>
    <row r="507" spans="1:2" x14ac:dyDescent="0.25">
      <c r="A507" s="12" t="s">
        <v>937</v>
      </c>
    </row>
    <row r="508" spans="1:2" x14ac:dyDescent="0.25">
      <c r="A508" s="12" t="s">
        <v>931</v>
      </c>
      <c r="B508" s="12">
        <v>1400</v>
      </c>
    </row>
    <row r="509" spans="1:2" x14ac:dyDescent="0.25">
      <c r="A509" s="12" t="s">
        <v>940</v>
      </c>
      <c r="B509" s="12">
        <v>0</v>
      </c>
    </row>
    <row r="510" spans="1:2" x14ac:dyDescent="0.25">
      <c r="A510" s="12" t="s">
        <v>934</v>
      </c>
      <c r="B510" s="12">
        <v>0</v>
      </c>
    </row>
    <row r="511" spans="1:2" x14ac:dyDescent="0.25">
      <c r="A511" s="12" t="s">
        <v>925</v>
      </c>
      <c r="B511" s="12">
        <v>0</v>
      </c>
    </row>
    <row r="512" spans="1:2" x14ac:dyDescent="0.25">
      <c r="A512" s="12" t="s">
        <v>919</v>
      </c>
      <c r="B512" s="12">
        <v>1000</v>
      </c>
    </row>
    <row r="513" spans="1:2" x14ac:dyDescent="0.25">
      <c r="A513" s="12" t="s">
        <v>928</v>
      </c>
      <c r="B513" s="12">
        <v>0</v>
      </c>
    </row>
    <row r="514" spans="1:2" x14ac:dyDescent="0.25">
      <c r="A514" s="12" t="s">
        <v>922</v>
      </c>
      <c r="B514" s="12">
        <v>0</v>
      </c>
    </row>
    <row r="515" spans="1:2" x14ac:dyDescent="0.25">
      <c r="A515" s="12" t="s">
        <v>876</v>
      </c>
      <c r="B515" s="12">
        <v>0</v>
      </c>
    </row>
    <row r="516" spans="1:2" x14ac:dyDescent="0.25">
      <c r="A516" s="12" t="s">
        <v>864</v>
      </c>
      <c r="B516" s="12">
        <v>0</v>
      </c>
    </row>
    <row r="517" spans="1:2" x14ac:dyDescent="0.25">
      <c r="A517" s="12" t="s">
        <v>880</v>
      </c>
      <c r="B517" s="12">
        <v>0</v>
      </c>
    </row>
    <row r="518" spans="1:2" x14ac:dyDescent="0.25">
      <c r="A518" s="12" t="s">
        <v>872</v>
      </c>
      <c r="B518" s="12">
        <v>0</v>
      </c>
    </row>
    <row r="520" spans="1:2" x14ac:dyDescent="0.25">
      <c r="A520" s="12" t="s">
        <v>913</v>
      </c>
      <c r="B520" s="12">
        <v>0</v>
      </c>
    </row>
    <row r="521" spans="1:2" x14ac:dyDescent="0.25">
      <c r="A521" s="12" t="s">
        <v>906</v>
      </c>
      <c r="B521" s="12">
        <v>0</v>
      </c>
    </row>
    <row r="522" spans="1:2" x14ac:dyDescent="0.25">
      <c r="A522" s="12" t="s">
        <v>916</v>
      </c>
      <c r="B522" s="12">
        <v>0</v>
      </c>
    </row>
    <row r="523" spans="1:2" x14ac:dyDescent="0.25">
      <c r="A523" s="12" t="s">
        <v>910</v>
      </c>
      <c r="B523" s="12">
        <v>400</v>
      </c>
    </row>
    <row r="524" spans="1:2" x14ac:dyDescent="0.25">
      <c r="A524" s="12" t="s">
        <v>961</v>
      </c>
      <c r="B524" s="12">
        <v>1400</v>
      </c>
    </row>
    <row r="525" spans="1:2" x14ac:dyDescent="0.25">
      <c r="A525" s="12" t="s">
        <v>955</v>
      </c>
      <c r="B525" s="12">
        <v>1800</v>
      </c>
    </row>
    <row r="526" spans="1:2" x14ac:dyDescent="0.25">
      <c r="A526" s="12" t="s">
        <v>964</v>
      </c>
      <c r="B526" s="12">
        <v>800</v>
      </c>
    </row>
    <row r="527" spans="1:2" x14ac:dyDescent="0.25">
      <c r="A527" s="12" t="s">
        <v>958</v>
      </c>
      <c r="B527" s="12">
        <v>900</v>
      </c>
    </row>
    <row r="528" spans="1:2" x14ac:dyDescent="0.25">
      <c r="A528" s="12" t="s">
        <v>949</v>
      </c>
      <c r="B528" s="12">
        <v>700</v>
      </c>
    </row>
    <row r="529" spans="1:2" x14ac:dyDescent="0.25">
      <c r="A529" s="12" t="s">
        <v>943</v>
      </c>
      <c r="B529" s="12">
        <v>5000</v>
      </c>
    </row>
    <row r="530" spans="1:2" x14ac:dyDescent="0.25">
      <c r="A530" s="12" t="s">
        <v>952</v>
      </c>
      <c r="B530" s="12">
        <v>0</v>
      </c>
    </row>
    <row r="531" spans="1:2" x14ac:dyDescent="0.25">
      <c r="A531" s="12" t="s">
        <v>946</v>
      </c>
      <c r="B531" s="12">
        <v>0</v>
      </c>
    </row>
    <row r="532" spans="1:2" x14ac:dyDescent="0.25">
      <c r="A532" s="12" t="s">
        <v>999</v>
      </c>
      <c r="B532" s="12">
        <v>0</v>
      </c>
    </row>
    <row r="533" spans="1:2" x14ac:dyDescent="0.25">
      <c r="A533" s="12" t="s">
        <v>884</v>
      </c>
      <c r="B533" s="12">
        <v>0</v>
      </c>
    </row>
    <row r="534" spans="1:2" x14ac:dyDescent="0.25">
      <c r="A534" s="12" t="s">
        <v>1002</v>
      </c>
      <c r="B534" s="12">
        <v>0</v>
      </c>
    </row>
    <row r="535" spans="1:2" x14ac:dyDescent="0.25">
      <c r="A535" s="12" t="s">
        <v>996</v>
      </c>
      <c r="B535" s="12">
        <v>0</v>
      </c>
    </row>
    <row r="536" spans="1:2" x14ac:dyDescent="0.25">
      <c r="A536" s="12" t="s">
        <v>898</v>
      </c>
      <c r="B536" s="12">
        <v>0</v>
      </c>
    </row>
    <row r="537" spans="1:2" x14ac:dyDescent="0.25">
      <c r="A537" s="12" t="s">
        <v>890</v>
      </c>
      <c r="B537" s="12">
        <v>0</v>
      </c>
    </row>
    <row r="538" spans="1:2" x14ac:dyDescent="0.25">
      <c r="A538" s="12" t="s">
        <v>902</v>
      </c>
      <c r="B538" s="12">
        <v>0</v>
      </c>
    </row>
    <row r="539" spans="1:2" x14ac:dyDescent="0.25">
      <c r="A539" s="12" t="s">
        <v>894</v>
      </c>
      <c r="B539" s="12">
        <v>0</v>
      </c>
    </row>
    <row r="541" spans="1:2" x14ac:dyDescent="0.25">
      <c r="A541" s="12" t="s">
        <v>1995</v>
      </c>
    </row>
    <row r="542" spans="1:2" x14ac:dyDescent="0.25">
      <c r="A542" s="12">
        <v>12000099</v>
      </c>
    </row>
    <row r="543" spans="1:2" x14ac:dyDescent="0.25">
      <c r="A543" s="12">
        <v>12005124</v>
      </c>
    </row>
    <row r="544" spans="1:2" x14ac:dyDescent="0.25">
      <c r="A544" s="12">
        <v>12005130</v>
      </c>
    </row>
    <row r="545" spans="1:2" x14ac:dyDescent="0.25">
      <c r="A545" s="12">
        <v>12005126</v>
      </c>
    </row>
    <row r="546" spans="1:2" x14ac:dyDescent="0.25">
      <c r="A546" s="12" t="s">
        <v>781</v>
      </c>
    </row>
    <row r="547" spans="1:2" x14ac:dyDescent="0.25">
      <c r="A547" s="12" t="s">
        <v>1751</v>
      </c>
    </row>
    <row r="548" spans="1:2" x14ac:dyDescent="0.25">
      <c r="A548" s="12" t="s">
        <v>736</v>
      </c>
    </row>
    <row r="549" spans="1:2" x14ac:dyDescent="0.25">
      <c r="A549" s="12">
        <v>2006031</v>
      </c>
    </row>
    <row r="550" spans="1:2" x14ac:dyDescent="0.25">
      <c r="A550" s="12">
        <v>9700</v>
      </c>
      <c r="B550" s="12">
        <v>3162</v>
      </c>
    </row>
    <row r="551" spans="1:2" x14ac:dyDescent="0.25">
      <c r="A551" s="12">
        <v>9701</v>
      </c>
      <c r="B551" s="12">
        <v>3600</v>
      </c>
    </row>
    <row r="552" spans="1:2" x14ac:dyDescent="0.25">
      <c r="A552" s="12">
        <v>9702</v>
      </c>
      <c r="B552" s="12">
        <v>3612</v>
      </c>
    </row>
    <row r="553" spans="1:2" x14ac:dyDescent="0.25">
      <c r="A553" s="12" t="s">
        <v>1754</v>
      </c>
    </row>
    <row r="554" spans="1:2" x14ac:dyDescent="0.25">
      <c r="A554" s="12">
        <v>4004780</v>
      </c>
    </row>
    <row r="556" spans="1:2" x14ac:dyDescent="0.25">
      <c r="A556" s="12" t="s">
        <v>1772</v>
      </c>
    </row>
    <row r="557" spans="1:2" x14ac:dyDescent="0.25">
      <c r="A557" s="12" t="s">
        <v>1781</v>
      </c>
    </row>
    <row r="558" spans="1:2" x14ac:dyDescent="0.25">
      <c r="A558" s="12" t="s">
        <v>1789</v>
      </c>
    </row>
    <row r="559" spans="1:2" x14ac:dyDescent="0.25">
      <c r="A559" s="12" t="s">
        <v>1795</v>
      </c>
    </row>
    <row r="560" spans="1:2" x14ac:dyDescent="0.25">
      <c r="A560" s="12">
        <v>3003980</v>
      </c>
    </row>
    <row r="562" spans="1:2" x14ac:dyDescent="0.25">
      <c r="A562" s="12" t="s">
        <v>618</v>
      </c>
    </row>
    <row r="563" spans="1:2" x14ac:dyDescent="0.25">
      <c r="A563" s="12" t="s">
        <v>624</v>
      </c>
    </row>
    <row r="564" spans="1:2" x14ac:dyDescent="0.25">
      <c r="A564" s="12" t="s">
        <v>626</v>
      </c>
      <c r="B564" s="12">
        <v>1200</v>
      </c>
    </row>
    <row r="565" spans="1:2" x14ac:dyDescent="0.25">
      <c r="A565" s="12" t="s">
        <v>628</v>
      </c>
    </row>
    <row r="567" spans="1:2" x14ac:dyDescent="0.25">
      <c r="A567" s="12" t="s">
        <v>1996</v>
      </c>
    </row>
    <row r="568" spans="1:2" x14ac:dyDescent="0.25">
      <c r="A568" s="12" t="s">
        <v>1997</v>
      </c>
    </row>
    <row r="569" spans="1:2" x14ac:dyDescent="0.25">
      <c r="A569" s="12" t="s">
        <v>1998</v>
      </c>
    </row>
    <row r="571" spans="1:2" x14ac:dyDescent="0.25">
      <c r="A571" s="12" t="s">
        <v>1143</v>
      </c>
    </row>
    <row r="572" spans="1:2" x14ac:dyDescent="0.25">
      <c r="A572" s="12" t="s">
        <v>1153</v>
      </c>
    </row>
    <row r="574" spans="1:2" x14ac:dyDescent="0.25">
      <c r="A574" s="12" t="s">
        <v>1999</v>
      </c>
    </row>
    <row r="578" spans="1:2" x14ac:dyDescent="0.25">
      <c r="A578" s="12" t="s">
        <v>2000</v>
      </c>
    </row>
    <row r="579" spans="1:2" x14ac:dyDescent="0.25">
      <c r="A579" s="12" t="s">
        <v>2001</v>
      </c>
    </row>
    <row r="580" spans="1:2" x14ac:dyDescent="0.25">
      <c r="A580" s="12" t="s">
        <v>2002</v>
      </c>
    </row>
    <row r="581" spans="1:2" x14ac:dyDescent="0.25">
      <c r="A581" s="12" t="s">
        <v>2003</v>
      </c>
      <c r="B581" s="12">
        <v>350</v>
      </c>
    </row>
    <row r="583" spans="1:2" x14ac:dyDescent="0.25">
      <c r="A583" s="12" t="s">
        <v>1435</v>
      </c>
      <c r="B583" s="12">
        <v>1200</v>
      </c>
    </row>
    <row r="584" spans="1:2" x14ac:dyDescent="0.25">
      <c r="A584" s="12" t="s">
        <v>1441</v>
      </c>
    </row>
    <row r="585" spans="1:2" x14ac:dyDescent="0.25">
      <c r="A585" s="12" t="s">
        <v>1445</v>
      </c>
      <c r="B585" s="12">
        <v>6000</v>
      </c>
    </row>
    <row r="586" spans="1:2" x14ac:dyDescent="0.25">
      <c r="A586" s="12" t="s">
        <v>1761</v>
      </c>
    </row>
    <row r="587" spans="1:2" x14ac:dyDescent="0.25">
      <c r="A587" s="12" t="s">
        <v>1449</v>
      </c>
    </row>
    <row r="588" spans="1:2" x14ac:dyDescent="0.25">
      <c r="A588" s="12" t="s">
        <v>1456</v>
      </c>
      <c r="B588" s="12">
        <v>2400</v>
      </c>
    </row>
    <row r="599" spans="1:1" x14ac:dyDescent="0.25">
      <c r="A599" s="12">
        <v>0</v>
      </c>
    </row>
    <row r="600" spans="1:1" x14ac:dyDescent="0.25">
      <c r="A600" s="12">
        <v>0</v>
      </c>
    </row>
    <row r="604" spans="1:1" x14ac:dyDescent="0.25">
      <c r="A604" s="12" t="s">
        <v>1766</v>
      </c>
    </row>
    <row r="605" spans="1:1" x14ac:dyDescent="0.25">
      <c r="A605" s="12">
        <v>0</v>
      </c>
    </row>
    <row r="606" spans="1:1" x14ac:dyDescent="0.25">
      <c r="A606" s="12">
        <v>0</v>
      </c>
    </row>
    <row r="608" spans="1:1" x14ac:dyDescent="0.25">
      <c r="A608" s="12" t="s">
        <v>2004</v>
      </c>
    </row>
    <row r="609" spans="1:2" x14ac:dyDescent="0.25">
      <c r="A609" s="12" t="s">
        <v>2005</v>
      </c>
    </row>
    <row r="610" spans="1:2" x14ac:dyDescent="0.25">
      <c r="A610" s="12" t="s">
        <v>2006</v>
      </c>
    </row>
    <row r="611" spans="1:2" x14ac:dyDescent="0.25">
      <c r="A611" s="12" t="s">
        <v>2007</v>
      </c>
    </row>
    <row r="612" spans="1:2" x14ac:dyDescent="0.25">
      <c r="A612" s="12" t="s">
        <v>2008</v>
      </c>
    </row>
    <row r="613" spans="1:2" x14ac:dyDescent="0.25">
      <c r="A613" s="12" t="s">
        <v>2009</v>
      </c>
    </row>
    <row r="614" spans="1:2" x14ac:dyDescent="0.25">
      <c r="A614" s="12" t="s">
        <v>2010</v>
      </c>
    </row>
    <row r="615" spans="1:2" x14ac:dyDescent="0.25">
      <c r="A615" s="12" t="s">
        <v>1270</v>
      </c>
      <c r="B615" s="12">
        <v>1826</v>
      </c>
    </row>
    <row r="616" spans="1:2" x14ac:dyDescent="0.25">
      <c r="A616" s="12" t="s">
        <v>1282</v>
      </c>
      <c r="B616" s="12">
        <v>1505</v>
      </c>
    </row>
    <row r="617" spans="1:2" x14ac:dyDescent="0.25">
      <c r="A617" s="12" t="s">
        <v>1277</v>
      </c>
      <c r="B617" s="12">
        <v>1218</v>
      </c>
    </row>
    <row r="618" spans="1:2" x14ac:dyDescent="0.25">
      <c r="A618" s="12" t="s">
        <v>1287</v>
      </c>
    </row>
    <row r="619" spans="1:2" x14ac:dyDescent="0.25">
      <c r="A619" s="12" t="s">
        <v>1292</v>
      </c>
    </row>
    <row r="620" spans="1:2" x14ac:dyDescent="0.25">
      <c r="A620" s="12" t="s">
        <v>2004</v>
      </c>
    </row>
    <row r="621" spans="1:2" x14ac:dyDescent="0.25">
      <c r="A621" s="12" t="s">
        <v>2005</v>
      </c>
    </row>
    <row r="622" spans="1:2" x14ac:dyDescent="0.25">
      <c r="A622" s="12" t="s">
        <v>2006</v>
      </c>
    </row>
    <row r="623" spans="1:2" x14ac:dyDescent="0.25">
      <c r="A623" s="12" t="s">
        <v>2007</v>
      </c>
    </row>
    <row r="624" spans="1:2" x14ac:dyDescent="0.25">
      <c r="A624" s="12" t="s">
        <v>2008</v>
      </c>
    </row>
    <row r="625" spans="1:2" x14ac:dyDescent="0.25">
      <c r="A625" s="12" t="s">
        <v>2011</v>
      </c>
    </row>
    <row r="626" spans="1:2" x14ac:dyDescent="0.25">
      <c r="A626" s="12" t="s">
        <v>2012</v>
      </c>
    </row>
    <row r="627" spans="1:2" x14ac:dyDescent="0.25">
      <c r="A627" s="12" t="s">
        <v>1297</v>
      </c>
      <c r="B627" s="12">
        <v>1512</v>
      </c>
    </row>
    <row r="628" spans="1:2" x14ac:dyDescent="0.25">
      <c r="A628" s="12" t="s">
        <v>1308</v>
      </c>
      <c r="B628" s="12">
        <v>1512</v>
      </c>
    </row>
    <row r="629" spans="1:2" x14ac:dyDescent="0.25">
      <c r="A629" s="12" t="s">
        <v>1304</v>
      </c>
      <c r="B629" s="12">
        <v>0</v>
      </c>
    </row>
    <row r="630" spans="1:2" x14ac:dyDescent="0.25">
      <c r="A630" s="12" t="s">
        <v>1312</v>
      </c>
      <c r="B630" s="12">
        <v>0</v>
      </c>
    </row>
    <row r="631" spans="1:2" x14ac:dyDescent="0.25">
      <c r="A631" s="12" t="s">
        <v>1316</v>
      </c>
    </row>
    <row r="633" spans="1:2" x14ac:dyDescent="0.25">
      <c r="A633" s="12" t="s">
        <v>2013</v>
      </c>
    </row>
    <row r="634" spans="1:2" x14ac:dyDescent="0.25">
      <c r="A634" s="12" t="s">
        <v>2014</v>
      </c>
    </row>
    <row r="635" spans="1:2" x14ac:dyDescent="0.25">
      <c r="A635" s="12" t="s">
        <v>2015</v>
      </c>
    </row>
    <row r="636" spans="1:2" x14ac:dyDescent="0.25">
      <c r="A636" s="12" t="s">
        <v>2016</v>
      </c>
    </row>
    <row r="637" spans="1:2" x14ac:dyDescent="0.25">
      <c r="A637" s="12" t="s">
        <v>2017</v>
      </c>
    </row>
    <row r="638" spans="1:2" x14ac:dyDescent="0.25">
      <c r="A638" s="12" t="s">
        <v>2018</v>
      </c>
    </row>
    <row r="639" spans="1:2" x14ac:dyDescent="0.25">
      <c r="A639" s="12" t="s">
        <v>2019</v>
      </c>
    </row>
    <row r="640" spans="1:2" x14ac:dyDescent="0.25">
      <c r="A640" s="12" t="s">
        <v>2020</v>
      </c>
    </row>
    <row r="641" spans="1:1" x14ac:dyDescent="0.25">
      <c r="A641" s="12" t="s">
        <v>2021</v>
      </c>
    </row>
    <row r="643" spans="1:1" x14ac:dyDescent="0.25">
      <c r="A643" s="12">
        <v>9224</v>
      </c>
    </row>
    <row r="649" spans="1:1" x14ac:dyDescent="0.25">
      <c r="A649" s="12" t="s">
        <v>1356</v>
      </c>
    </row>
    <row r="652" spans="1:1" x14ac:dyDescent="0.25">
      <c r="A652" s="12" t="s">
        <v>1360</v>
      </c>
    </row>
    <row r="655" spans="1:1" x14ac:dyDescent="0.25">
      <c r="A655" s="12" t="s">
        <v>1352</v>
      </c>
    </row>
    <row r="658" spans="1:2" x14ac:dyDescent="0.25">
      <c r="A658" s="12" t="s">
        <v>1364</v>
      </c>
    </row>
    <row r="661" spans="1:2" x14ac:dyDescent="0.25">
      <c r="A661" s="12">
        <v>9019</v>
      </c>
    </row>
    <row r="665" spans="1:2" x14ac:dyDescent="0.25">
      <c r="A665" s="12">
        <v>9014</v>
      </c>
    </row>
    <row r="667" spans="1:2" x14ac:dyDescent="0.25">
      <c r="A667" s="12">
        <v>12156</v>
      </c>
    </row>
    <row r="668" spans="1:2" x14ac:dyDescent="0.25">
      <c r="A668" s="12">
        <v>9050</v>
      </c>
      <c r="B668" s="12">
        <v>3600</v>
      </c>
    </row>
    <row r="673" spans="1:2" x14ac:dyDescent="0.25">
      <c r="A673" s="12">
        <v>9056</v>
      </c>
    </row>
    <row r="675" spans="1:2" x14ac:dyDescent="0.25">
      <c r="A675" s="12">
        <v>6000</v>
      </c>
    </row>
    <row r="678" spans="1:2" x14ac:dyDescent="0.25">
      <c r="A678" s="12">
        <v>9057</v>
      </c>
      <c r="B678" s="12">
        <v>4200</v>
      </c>
    </row>
    <row r="683" spans="1:2" x14ac:dyDescent="0.25">
      <c r="A683" s="12">
        <v>9058</v>
      </c>
    </row>
    <row r="688" spans="1:2" x14ac:dyDescent="0.25">
      <c r="A688" s="12">
        <v>90502</v>
      </c>
      <c r="B688" s="12">
        <v>600</v>
      </c>
    </row>
    <row r="693" spans="1:2" x14ac:dyDescent="0.25">
      <c r="A693" s="12">
        <v>90503</v>
      </c>
      <c r="B693" s="12">
        <v>600</v>
      </c>
    </row>
    <row r="698" spans="1:2" x14ac:dyDescent="0.25">
      <c r="A698" s="12" t="s">
        <v>1201</v>
      </c>
    </row>
    <row r="700" spans="1:2" x14ac:dyDescent="0.25">
      <c r="A700" s="12" t="s">
        <v>2022</v>
      </c>
    </row>
    <row r="701" spans="1:2" x14ac:dyDescent="0.25">
      <c r="A701" s="12" t="s">
        <v>2023</v>
      </c>
    </row>
    <row r="702" spans="1:2" x14ac:dyDescent="0.25">
      <c r="A702" s="12" t="s">
        <v>2024</v>
      </c>
    </row>
    <row r="703" spans="1:2" x14ac:dyDescent="0.25">
      <c r="A703" s="12" t="s">
        <v>2025</v>
      </c>
    </row>
    <row r="705" spans="1:1" x14ac:dyDescent="0.25">
      <c r="A705" s="12" t="s">
        <v>2026</v>
      </c>
    </row>
    <row r="706" spans="1:1" x14ac:dyDescent="0.25">
      <c r="A706" s="12" t="s">
        <v>2027</v>
      </c>
    </row>
    <row r="707" spans="1:1" x14ac:dyDescent="0.25">
      <c r="A707" s="12" t="s">
        <v>2028</v>
      </c>
    </row>
    <row r="708" spans="1:1" x14ac:dyDescent="0.25">
      <c r="A708" s="12" t="s">
        <v>2029</v>
      </c>
    </row>
    <row r="709" spans="1:1" x14ac:dyDescent="0.25">
      <c r="A709" s="12" t="s">
        <v>2030</v>
      </c>
    </row>
    <row r="710" spans="1:1" x14ac:dyDescent="0.25">
      <c r="A710" s="12" t="s">
        <v>2031</v>
      </c>
    </row>
    <row r="711" spans="1:1" x14ac:dyDescent="0.25">
      <c r="A711" s="12" t="s">
        <v>2032</v>
      </c>
    </row>
    <row r="712" spans="1:1" x14ac:dyDescent="0.25">
      <c r="A712" s="12" t="s">
        <v>2033</v>
      </c>
    </row>
    <row r="713" spans="1:1" x14ac:dyDescent="0.25">
      <c r="A713" s="12" t="s">
        <v>2034</v>
      </c>
    </row>
    <row r="714" spans="1:1" x14ac:dyDescent="0.25">
      <c r="A714" s="12" t="s">
        <v>2035</v>
      </c>
    </row>
    <row r="715" spans="1:1" x14ac:dyDescent="0.25">
      <c r="A715" s="12" t="s">
        <v>2036</v>
      </c>
    </row>
    <row r="716" spans="1:1" x14ac:dyDescent="0.25">
      <c r="A716" s="12" t="s">
        <v>2037</v>
      </c>
    </row>
    <row r="717" spans="1:1" x14ac:dyDescent="0.25">
      <c r="A717" s="12" t="s">
        <v>2038</v>
      </c>
    </row>
    <row r="718" spans="1:1" x14ac:dyDescent="0.25">
      <c r="A718" s="12" t="s">
        <v>2039</v>
      </c>
    </row>
    <row r="719" spans="1:1" x14ac:dyDescent="0.25">
      <c r="A719" s="12" t="s">
        <v>2040</v>
      </c>
    </row>
    <row r="720" spans="1:1" x14ac:dyDescent="0.25">
      <c r="A720" s="12" t="s">
        <v>2041</v>
      </c>
    </row>
    <row r="721" spans="1:2" x14ac:dyDescent="0.25">
      <c r="A721" s="12" t="s">
        <v>2042</v>
      </c>
    </row>
    <row r="722" spans="1:2" x14ac:dyDescent="0.25">
      <c r="A722" s="12" t="s">
        <v>2043</v>
      </c>
    </row>
    <row r="723" spans="1:2" x14ac:dyDescent="0.25">
      <c r="A723" s="12" t="s">
        <v>2044</v>
      </c>
    </row>
    <row r="724" spans="1:2" x14ac:dyDescent="0.25">
      <c r="A724" s="12" t="s">
        <v>2045</v>
      </c>
    </row>
    <row r="726" spans="1:2" x14ac:dyDescent="0.25">
      <c r="A726" s="12" t="s">
        <v>2046</v>
      </c>
      <c r="B726" s="12">
        <v>6000</v>
      </c>
    </row>
    <row r="727" spans="1:2" x14ac:dyDescent="0.25">
      <c r="A727" s="12" t="s">
        <v>2047</v>
      </c>
      <c r="B727" s="12">
        <v>1970</v>
      </c>
    </row>
    <row r="728" spans="1:2" x14ac:dyDescent="0.25">
      <c r="A728" s="12" t="s">
        <v>1638</v>
      </c>
    </row>
    <row r="730" spans="1:2" x14ac:dyDescent="0.25">
      <c r="A730" s="12" t="s">
        <v>2048</v>
      </c>
    </row>
    <row r="731" spans="1:2" x14ac:dyDescent="0.25">
      <c r="A731" s="12" t="s">
        <v>2049</v>
      </c>
    </row>
    <row r="732" spans="1:2" x14ac:dyDescent="0.25">
      <c r="A732" s="12" t="s">
        <v>2050</v>
      </c>
    </row>
    <row r="734" spans="1:2" x14ac:dyDescent="0.25">
      <c r="A734" s="12">
        <v>9044</v>
      </c>
      <c r="B734" s="12">
        <v>3000</v>
      </c>
    </row>
    <row r="735" spans="1:2" x14ac:dyDescent="0.25">
      <c r="A735" s="12">
        <v>9405</v>
      </c>
      <c r="B735" s="12">
        <v>30000</v>
      </c>
    </row>
    <row r="736" spans="1:2" x14ac:dyDescent="0.25">
      <c r="A736" s="12">
        <v>9409</v>
      </c>
      <c r="B736" s="12">
        <v>15000</v>
      </c>
    </row>
    <row r="737" spans="1:2" x14ac:dyDescent="0.25">
      <c r="A737" s="12">
        <v>9417</v>
      </c>
      <c r="B737" s="12">
        <v>0</v>
      </c>
    </row>
    <row r="738" spans="1:2" x14ac:dyDescent="0.25">
      <c r="A738" s="12" t="s">
        <v>1553</v>
      </c>
      <c r="B738" s="12">
        <v>30000</v>
      </c>
    </row>
    <row r="739" spans="1:2" x14ac:dyDescent="0.25">
      <c r="A739" s="12">
        <v>9468</v>
      </c>
      <c r="B739" s="12">
        <v>0</v>
      </c>
    </row>
    <row r="740" spans="1:2" x14ac:dyDescent="0.25">
      <c r="A740" s="12" t="s">
        <v>1526</v>
      </c>
      <c r="B740" s="12">
        <v>0</v>
      </c>
    </row>
    <row r="741" spans="1:2" x14ac:dyDescent="0.25">
      <c r="A741" s="12" t="s">
        <v>1530</v>
      </c>
      <c r="B741" s="12">
        <v>0</v>
      </c>
    </row>
    <row r="742" spans="1:2" x14ac:dyDescent="0.25">
      <c r="A742" s="12" t="s">
        <v>1534</v>
      </c>
      <c r="B742" s="12">
        <v>0</v>
      </c>
    </row>
    <row r="743" spans="1:2" x14ac:dyDescent="0.25">
      <c r="A743" s="12" t="s">
        <v>1538</v>
      </c>
      <c r="B743" s="12">
        <v>900</v>
      </c>
    </row>
    <row r="744" spans="1:2" x14ac:dyDescent="0.25">
      <c r="A744" s="12">
        <v>950011</v>
      </c>
      <c r="B744" s="12">
        <v>0</v>
      </c>
    </row>
    <row r="745" spans="1:2" x14ac:dyDescent="0.25">
      <c r="A745" s="12" t="s">
        <v>1588</v>
      </c>
      <c r="B745" s="12">
        <v>0</v>
      </c>
    </row>
    <row r="746" spans="1:2" x14ac:dyDescent="0.25">
      <c r="A746" s="12" t="s">
        <v>1597</v>
      </c>
      <c r="B746" s="12">
        <v>0</v>
      </c>
    </row>
    <row r="747" spans="1:2" x14ac:dyDescent="0.25">
      <c r="A747" s="12" t="s">
        <v>1617</v>
      </c>
      <c r="B747" s="12">
        <v>0</v>
      </c>
    </row>
    <row r="748" spans="1:2" x14ac:dyDescent="0.25">
      <c r="A748" s="12" t="s">
        <v>1667</v>
      </c>
      <c r="B748" s="12">
        <v>0</v>
      </c>
    </row>
    <row r="749" spans="1:2" x14ac:dyDescent="0.25">
      <c r="A749" s="12" t="s">
        <v>1512</v>
      </c>
      <c r="B749" s="12">
        <v>6000</v>
      </c>
    </row>
    <row r="750" spans="1:2" x14ac:dyDescent="0.25">
      <c r="A750" s="12" t="s">
        <v>1517</v>
      </c>
      <c r="B750" s="12">
        <v>10000</v>
      </c>
    </row>
    <row r="751" spans="1:2" x14ac:dyDescent="0.25">
      <c r="A751" s="12" t="s">
        <v>1522</v>
      </c>
      <c r="B751" s="12">
        <v>0</v>
      </c>
    </row>
    <row r="753" spans="1:2" x14ac:dyDescent="0.25">
      <c r="A753" s="12" t="s">
        <v>1080</v>
      </c>
      <c r="B753" s="12">
        <v>6000</v>
      </c>
    </row>
    <row r="754" spans="1:2" x14ac:dyDescent="0.25">
      <c r="A754" s="12" t="s">
        <v>1124</v>
      </c>
      <c r="B754" s="12">
        <v>0</v>
      </c>
    </row>
    <row r="755" spans="1:2" x14ac:dyDescent="0.25">
      <c r="A755" s="12" t="s">
        <v>762</v>
      </c>
      <c r="B755" s="12">
        <v>40000</v>
      </c>
    </row>
    <row r="757" spans="1:2" x14ac:dyDescent="0.25">
      <c r="A757" s="12" t="s">
        <v>758</v>
      </c>
      <c r="B757" s="12">
        <v>40000</v>
      </c>
    </row>
    <row r="758" spans="1:2" x14ac:dyDescent="0.25">
      <c r="A758" s="12" t="s">
        <v>754</v>
      </c>
      <c r="B758" s="12">
        <v>15000</v>
      </c>
    </row>
    <row r="759" spans="1:2" x14ac:dyDescent="0.25">
      <c r="A759" s="12" t="s">
        <v>749</v>
      </c>
      <c r="B759" s="12">
        <v>40000</v>
      </c>
    </row>
    <row r="760" spans="1:2" x14ac:dyDescent="0.25">
      <c r="A760" s="12" t="s">
        <v>1085</v>
      </c>
      <c r="B760" s="12">
        <v>0</v>
      </c>
    </row>
    <row r="761" spans="1:2" x14ac:dyDescent="0.25">
      <c r="A761" s="12" t="s">
        <v>1089</v>
      </c>
      <c r="B761" s="12">
        <v>48000</v>
      </c>
    </row>
    <row r="762" spans="1:2" x14ac:dyDescent="0.25">
      <c r="A762" s="12" t="s">
        <v>745</v>
      </c>
      <c r="B762" s="12">
        <v>12000</v>
      </c>
    </row>
    <row r="763" spans="1:2" x14ac:dyDescent="0.25">
      <c r="A763" s="12" t="s">
        <v>740</v>
      </c>
      <c r="B763" s="12">
        <v>0</v>
      </c>
    </row>
    <row r="764" spans="1:2" x14ac:dyDescent="0.25">
      <c r="A764" s="12" t="s">
        <v>860</v>
      </c>
      <c r="B764" s="12">
        <v>6000</v>
      </c>
    </row>
    <row r="766" spans="1:2" x14ac:dyDescent="0.25">
      <c r="A766" s="12" t="s">
        <v>1336</v>
      </c>
      <c r="B766" s="12">
        <v>920</v>
      </c>
    </row>
    <row r="767" spans="1:2" x14ac:dyDescent="0.25">
      <c r="A767" s="12" t="s">
        <v>1320</v>
      </c>
      <c r="B767" s="12">
        <v>0</v>
      </c>
    </row>
    <row r="768" spans="1:2" x14ac:dyDescent="0.25">
      <c r="A768" s="12" t="s">
        <v>1348</v>
      </c>
      <c r="B768" s="12">
        <v>0</v>
      </c>
    </row>
    <row r="769" spans="1:2" x14ac:dyDescent="0.25">
      <c r="A769" s="12" t="s">
        <v>1332</v>
      </c>
      <c r="B769" s="12">
        <v>460</v>
      </c>
    </row>
    <row r="770" spans="1:2" x14ac:dyDescent="0.25">
      <c r="A770" s="12" t="s">
        <v>1340</v>
      </c>
      <c r="B770" s="12">
        <v>460</v>
      </c>
    </row>
    <row r="771" spans="1:2" x14ac:dyDescent="0.25">
      <c r="A771" s="12" t="s">
        <v>1344</v>
      </c>
      <c r="B771" s="12">
        <v>0</v>
      </c>
    </row>
    <row r="772" spans="1:2" x14ac:dyDescent="0.25">
      <c r="A772" s="12" t="s">
        <v>786</v>
      </c>
      <c r="B772" s="12">
        <v>0</v>
      </c>
    </row>
    <row r="773" spans="1:2" x14ac:dyDescent="0.25">
      <c r="A773" s="12" t="s">
        <v>1324</v>
      </c>
      <c r="B773" s="12">
        <v>0</v>
      </c>
    </row>
    <row r="774" spans="1:2" x14ac:dyDescent="0.25">
      <c r="A774" s="12" t="s">
        <v>1328</v>
      </c>
      <c r="B774" s="12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092A-B7F1-4F7C-B059-E418B8A0F966}">
  <dimension ref="A1:W349"/>
  <sheetViews>
    <sheetView showGridLines="0" tabSelected="1" zoomScale="70" zoomScaleNormal="70" workbookViewId="0">
      <selection activeCell="F24" sqref="F24"/>
    </sheetView>
  </sheetViews>
  <sheetFormatPr defaultRowHeight="15" x14ac:dyDescent="0.25"/>
  <cols>
    <col min="1" max="1" width="16.85546875" bestFit="1" customWidth="1"/>
    <col min="2" max="2" width="49.7109375" customWidth="1"/>
    <col min="3" max="3" width="34.85546875" bestFit="1" customWidth="1"/>
    <col min="4" max="4" width="12" bestFit="1" customWidth="1"/>
    <col min="5" max="5" width="18.5703125" bestFit="1" customWidth="1"/>
    <col min="6" max="6" width="21.5703125" bestFit="1" customWidth="1"/>
    <col min="7" max="7" width="17.42578125" bestFit="1" customWidth="1"/>
    <col min="8" max="8" width="17.42578125" customWidth="1"/>
    <col min="9" max="9" width="14.5703125" bestFit="1" customWidth="1"/>
    <col min="10" max="10" width="13.85546875" bestFit="1" customWidth="1"/>
    <col min="11" max="11" width="5.28515625" style="12" customWidth="1"/>
    <col min="12" max="12" width="10.28515625" style="12" bestFit="1" customWidth="1"/>
    <col min="13" max="13" width="45.7109375" style="12" bestFit="1" customWidth="1"/>
    <col min="14" max="14" width="28.28515625" style="12" bestFit="1" customWidth="1"/>
    <col min="15" max="15" width="9.140625" style="12" bestFit="1" customWidth="1"/>
    <col min="16" max="16" width="8.140625" style="12" bestFit="1" customWidth="1"/>
    <col min="17" max="17" width="9.140625" style="12" bestFit="1" customWidth="1"/>
    <col min="18" max="18" width="12" style="12" bestFit="1" customWidth="1"/>
    <col min="19" max="19" width="16.42578125" style="12" customWidth="1"/>
    <col min="20" max="20" width="17.42578125" style="12" bestFit="1" customWidth="1"/>
    <col min="21" max="21" width="17.42578125" style="12" customWidth="1"/>
    <col min="22" max="22" width="10.28515625" style="12" bestFit="1" customWidth="1"/>
    <col min="23" max="23" width="10.5703125" style="12" bestFit="1" customWidth="1"/>
    <col min="24" max="16384" width="9.140625" style="12"/>
  </cols>
  <sheetData>
    <row r="1" spans="1:23" ht="15.75" thickBot="1" x14ac:dyDescent="0.3"/>
    <row r="2" spans="1:23" ht="41.25" customHeight="1" thickBot="1" x14ac:dyDescent="0.6">
      <c r="A2" s="92" t="s">
        <v>6070</v>
      </c>
      <c r="B2" s="93"/>
      <c r="C2" s="93"/>
      <c r="D2" s="93"/>
      <c r="E2" s="93"/>
      <c r="F2" s="93"/>
      <c r="G2" s="93"/>
      <c r="H2" s="93"/>
      <c r="I2" s="93"/>
      <c r="J2" s="94"/>
      <c r="L2" s="86" t="s">
        <v>6071</v>
      </c>
      <c r="M2" s="87"/>
      <c r="N2" s="87"/>
      <c r="O2" s="87"/>
      <c r="P2" s="87"/>
      <c r="Q2" s="87"/>
      <c r="R2" s="87"/>
      <c r="S2" s="87"/>
      <c r="T2" s="87"/>
      <c r="U2" s="87"/>
      <c r="V2" s="87"/>
      <c r="W2" s="88"/>
    </row>
    <row r="3" spans="1:23" ht="6.75" customHeight="1" thickBot="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</row>
    <row r="4" spans="1:23" s="48" customFormat="1" ht="14.25" thickBot="1" x14ac:dyDescent="0.3">
      <c r="A4" s="86" t="s">
        <v>6087</v>
      </c>
      <c r="B4" s="87"/>
      <c r="C4" s="87"/>
      <c r="D4" s="87"/>
      <c r="E4" s="87"/>
      <c r="F4" s="87"/>
      <c r="G4" s="87"/>
      <c r="H4" s="87"/>
      <c r="I4" s="87"/>
      <c r="J4" s="88"/>
      <c r="L4" s="86" t="s">
        <v>6080</v>
      </c>
      <c r="M4" s="87"/>
      <c r="N4" s="87"/>
      <c r="O4" s="87"/>
      <c r="P4" s="87"/>
      <c r="Q4" s="87"/>
      <c r="R4" s="87"/>
      <c r="S4" s="87"/>
      <c r="T4" s="87"/>
      <c r="U4" s="87"/>
      <c r="V4" s="87"/>
      <c r="W4" s="88"/>
    </row>
    <row r="5" spans="1:23" ht="14.25" thickBot="1" x14ac:dyDescent="0.3">
      <c r="A5" s="53" t="s">
        <v>5</v>
      </c>
      <c r="B5" s="54" t="s">
        <v>2052</v>
      </c>
      <c r="C5" s="55" t="s">
        <v>2053</v>
      </c>
      <c r="D5" s="57">
        <v>802</v>
      </c>
      <c r="E5" s="70" t="s">
        <v>6069</v>
      </c>
      <c r="F5" s="67" t="s">
        <v>6072</v>
      </c>
      <c r="G5" s="63" t="s">
        <v>6073</v>
      </c>
      <c r="H5" s="63" t="s">
        <v>6136</v>
      </c>
      <c r="I5" s="63" t="s">
        <v>6076</v>
      </c>
      <c r="J5" s="64" t="s">
        <v>6074</v>
      </c>
      <c r="L5" s="53" t="s">
        <v>5</v>
      </c>
      <c r="M5" s="54" t="s">
        <v>2052</v>
      </c>
      <c r="N5" s="55" t="s">
        <v>2053</v>
      </c>
      <c r="O5" s="54">
        <v>805</v>
      </c>
      <c r="P5" s="54">
        <v>806</v>
      </c>
      <c r="Q5" s="57" t="s">
        <v>6068</v>
      </c>
      <c r="R5" s="70" t="s">
        <v>6069</v>
      </c>
      <c r="S5" s="67" t="s">
        <v>6072</v>
      </c>
      <c r="T5" s="63" t="s">
        <v>6073</v>
      </c>
      <c r="U5" s="63" t="s">
        <v>6136</v>
      </c>
      <c r="V5" s="63" t="s">
        <v>6076</v>
      </c>
      <c r="W5" s="64" t="s">
        <v>6074</v>
      </c>
    </row>
    <row r="6" spans="1:23" ht="13.5" x14ac:dyDescent="0.25">
      <c r="A6" s="45">
        <v>4001165</v>
      </c>
      <c r="B6" s="46" t="s">
        <v>169</v>
      </c>
      <c r="C6" s="47">
        <f>SUMIF('LISTA TECNICA'!$I:$I,$A6,'LISTA TECNICA'!$P:$P)</f>
        <v>0</v>
      </c>
      <c r="D6" s="66">
        <f>IFERROR(VLOOKUP($A6,'0802'!$A:$D,4,0),0)</f>
        <v>219</v>
      </c>
      <c r="E6" s="72">
        <f t="shared" ref="E6:E31" si="0">D6-C6</f>
        <v>219</v>
      </c>
      <c r="F6" s="69"/>
      <c r="G6" s="60"/>
      <c r="H6" s="60"/>
      <c r="I6" s="60"/>
      <c r="J6" s="60"/>
      <c r="L6" s="45">
        <v>4000013</v>
      </c>
      <c r="M6" s="46" t="s">
        <v>522</v>
      </c>
      <c r="N6" s="47">
        <f>SUMIF('LISTA TECNICA'!$I:$I,$L6,'LISTA TECNICA'!$P:$P)</f>
        <v>200.04</v>
      </c>
      <c r="O6" s="49">
        <f>IFERROR(VLOOKUP($L6,'0805'!$A:$D,4,0),0)</f>
        <v>542</v>
      </c>
      <c r="P6" s="49">
        <f>IFERROR(VLOOKUP($L6,'0806'!$A:$D,4,0),0)</f>
        <v>0</v>
      </c>
      <c r="Q6" s="59">
        <f t="shared" ref="Q6:Q45" si="1">P6+O6</f>
        <v>542</v>
      </c>
      <c r="R6" s="72">
        <f t="shared" ref="R6:R45" si="2">Q6-N6</f>
        <v>341.96000000000004</v>
      </c>
      <c r="S6" s="69"/>
      <c r="T6" s="60"/>
      <c r="U6" s="60"/>
      <c r="V6" s="60"/>
      <c r="W6" s="60"/>
    </row>
    <row r="7" spans="1:23" ht="27" x14ac:dyDescent="0.25">
      <c r="A7" s="45">
        <v>4008830</v>
      </c>
      <c r="B7" s="46" t="s">
        <v>1275</v>
      </c>
      <c r="C7" s="47">
        <f>SUMIF('LISTA TECNICA'!$I:$I,$A7,'LISTA TECNICA'!$P:$P)</f>
        <v>379.38659999999999</v>
      </c>
      <c r="D7" s="66">
        <f>IFERROR(VLOOKUP($A7,'0802'!$A:$D,4,0),0)</f>
        <v>424</v>
      </c>
      <c r="E7" s="72">
        <f t="shared" si="0"/>
        <v>44.613400000000013</v>
      </c>
      <c r="F7" s="69"/>
      <c r="G7" s="81" t="s">
        <v>6124</v>
      </c>
      <c r="H7" s="81" t="s">
        <v>6137</v>
      </c>
      <c r="I7" s="81" t="s">
        <v>6123</v>
      </c>
      <c r="J7" s="60"/>
      <c r="L7" s="45">
        <v>4000018</v>
      </c>
      <c r="M7" s="46" t="s">
        <v>486</v>
      </c>
      <c r="N7" s="47">
        <f>SUMIF('LISTA TECNICA'!$I:$I,$L7,'LISTA TECNICA'!$P:$P)</f>
        <v>700.34999999999991</v>
      </c>
      <c r="O7" s="49">
        <f>IFERROR(VLOOKUP($L7,'0805'!$A:$D,4,0),0)</f>
        <v>1760</v>
      </c>
      <c r="P7" s="49">
        <f>IFERROR(VLOOKUP($L7,'0806'!$A:$D,4,0),0)</f>
        <v>596</v>
      </c>
      <c r="Q7" s="59">
        <f t="shared" si="1"/>
        <v>2356</v>
      </c>
      <c r="R7" s="72">
        <f t="shared" si="2"/>
        <v>1655.65</v>
      </c>
      <c r="S7" s="69"/>
      <c r="T7" s="60"/>
      <c r="U7" s="60"/>
      <c r="V7" s="60"/>
      <c r="W7" s="60"/>
    </row>
    <row r="8" spans="1:23" ht="13.5" x14ac:dyDescent="0.25">
      <c r="A8" s="45">
        <v>4008832</v>
      </c>
      <c r="B8" s="46" t="s">
        <v>1302</v>
      </c>
      <c r="C8" s="47">
        <f>SUMIF('LISTA TECNICA'!$I:$I,$A8,'LISTA TECNICA'!$P:$P)</f>
        <v>504.10079999999994</v>
      </c>
      <c r="D8" s="66">
        <f>IFERROR(VLOOKUP($A8,'0802'!$A:$D,4,0),0)</f>
        <v>635</v>
      </c>
      <c r="E8" s="72">
        <f t="shared" si="0"/>
        <v>130.89920000000006</v>
      </c>
      <c r="F8" s="69"/>
      <c r="G8" s="60" t="s">
        <v>6125</v>
      </c>
      <c r="H8" s="60">
        <v>600</v>
      </c>
      <c r="I8" s="60" t="s">
        <v>6113</v>
      </c>
      <c r="J8" s="60"/>
      <c r="L8" s="45">
        <v>4000017</v>
      </c>
      <c r="M8" s="46" t="s">
        <v>485</v>
      </c>
      <c r="N8" s="47">
        <f>SUMIF('LISTA TECNICA'!$I:$I,$L8,'LISTA TECNICA'!$P:$P)</f>
        <v>1400.6999999999998</v>
      </c>
      <c r="O8" s="49">
        <f>IFERROR(VLOOKUP($L8,'0805'!$A:$D,4,0),0)</f>
        <v>1066</v>
      </c>
      <c r="P8" s="49">
        <f>IFERROR(VLOOKUP($L8,'0806'!$A:$D,4,0),0)</f>
        <v>2354</v>
      </c>
      <c r="Q8" s="59">
        <f t="shared" si="1"/>
        <v>3420</v>
      </c>
      <c r="R8" s="72">
        <f t="shared" si="2"/>
        <v>2019.3000000000002</v>
      </c>
      <c r="S8" s="69"/>
      <c r="T8" s="60"/>
      <c r="U8" s="60"/>
      <c r="V8" s="60"/>
      <c r="W8" s="60"/>
    </row>
    <row r="9" spans="1:23" ht="13.5" x14ac:dyDescent="0.25">
      <c r="A9" s="45">
        <v>4001356</v>
      </c>
      <c r="B9" s="46" t="s">
        <v>76</v>
      </c>
      <c r="C9" s="47">
        <f>SUMIF('LISTA TECNICA'!$I:$I,$A9,'LISTA TECNICA'!$P:$P)</f>
        <v>700.14</v>
      </c>
      <c r="D9" s="66">
        <f>IFERROR(VLOOKUP($A9,'0802'!$A:$D,4,0),0)</f>
        <v>1192</v>
      </c>
      <c r="E9" s="72">
        <f t="shared" si="0"/>
        <v>491.86</v>
      </c>
      <c r="F9" s="69"/>
      <c r="G9" s="60"/>
      <c r="H9" s="60"/>
      <c r="I9" s="60"/>
      <c r="J9" s="60"/>
      <c r="L9" s="45">
        <v>4008312</v>
      </c>
      <c r="M9" s="46" t="s">
        <v>97</v>
      </c>
      <c r="N9" s="47">
        <f>SUMIF('LISTA TECNICA'!$I:$I,$L9,'LISTA TECNICA'!$P:$P)</f>
        <v>200.16</v>
      </c>
      <c r="O9" s="49">
        <f>IFERROR(VLOOKUP($L9,'0805'!$A:$D,4,0),0)</f>
        <v>1050</v>
      </c>
      <c r="P9" s="49">
        <f>IFERROR(VLOOKUP($L9,'0806'!$A:$D,4,0),0)</f>
        <v>0</v>
      </c>
      <c r="Q9" s="59">
        <f t="shared" si="1"/>
        <v>1050</v>
      </c>
      <c r="R9" s="72">
        <f t="shared" si="2"/>
        <v>849.84</v>
      </c>
      <c r="S9" s="69"/>
      <c r="T9" s="60"/>
      <c r="U9" s="60"/>
      <c r="V9" s="60"/>
      <c r="W9" s="60"/>
    </row>
    <row r="10" spans="1:23" ht="13.5" x14ac:dyDescent="0.25">
      <c r="A10" s="45">
        <v>4001360</v>
      </c>
      <c r="B10" s="46" t="s">
        <v>79</v>
      </c>
      <c r="C10" s="47">
        <f>SUMIF('LISTA TECNICA'!$I:$I,$A10,'LISTA TECNICA'!$P:$P)</f>
        <v>0</v>
      </c>
      <c r="D10" s="66">
        <f>IFERROR(VLOOKUP($A10,'0802'!$A:$D,4,0),0)</f>
        <v>560</v>
      </c>
      <c r="E10" s="72">
        <f t="shared" si="0"/>
        <v>560</v>
      </c>
      <c r="F10" s="69"/>
      <c r="G10" s="60"/>
      <c r="H10" s="60"/>
      <c r="I10" s="60"/>
      <c r="J10" s="60"/>
      <c r="L10" s="45">
        <v>4000056</v>
      </c>
      <c r="M10" s="46" t="s">
        <v>1243</v>
      </c>
      <c r="N10" s="47">
        <f>SUMIF('LISTA TECNICA'!$I:$I,$L10,'LISTA TECNICA'!$P:$P)</f>
        <v>199.20000000000002</v>
      </c>
      <c r="O10" s="49">
        <f>IFERROR(VLOOKUP($L10,'0805'!$A:$D,4,0),0)</f>
        <v>1372</v>
      </c>
      <c r="P10" s="49">
        <f>IFERROR(VLOOKUP($L10,'0806'!$A:$D,4,0),0)</f>
        <v>13</v>
      </c>
      <c r="Q10" s="59">
        <f t="shared" si="1"/>
        <v>1385</v>
      </c>
      <c r="R10" s="72">
        <f t="shared" si="2"/>
        <v>1185.8</v>
      </c>
      <c r="S10" s="69"/>
      <c r="T10" s="60"/>
      <c r="U10" s="60"/>
      <c r="V10" s="60"/>
      <c r="W10" s="60"/>
    </row>
    <row r="11" spans="1:23" ht="13.5" x14ac:dyDescent="0.25">
      <c r="A11" s="45">
        <v>4005240</v>
      </c>
      <c r="B11" s="46" t="s">
        <v>367</v>
      </c>
      <c r="C11" s="47">
        <f>SUMIF('LISTA TECNICA'!$I:$I,$A11,'LISTA TECNICA'!$P:$P)</f>
        <v>527.10539999999992</v>
      </c>
      <c r="D11" s="66">
        <f>IFERROR(VLOOKUP($A11,'0802'!$A:$D,4,0),0)</f>
        <v>685</v>
      </c>
      <c r="E11" s="72">
        <f t="shared" si="0"/>
        <v>157.89460000000008</v>
      </c>
      <c r="F11" s="69"/>
      <c r="G11" s="60" t="s">
        <v>6126</v>
      </c>
      <c r="H11" s="60">
        <v>60</v>
      </c>
      <c r="I11" s="60" t="s">
        <v>6127</v>
      </c>
      <c r="J11" s="60"/>
      <c r="L11" s="45">
        <v>4000056</v>
      </c>
      <c r="M11" s="46" t="s">
        <v>1243</v>
      </c>
      <c r="N11" s="47">
        <f>SUMIF('LISTA TECNICA'!$I:$I,$L11,'LISTA TECNICA'!$P:$P)</f>
        <v>199.20000000000002</v>
      </c>
      <c r="O11" s="49">
        <f>IFERROR(VLOOKUP($L11,'0805'!$A:$D,4,0),0)</f>
        <v>1372</v>
      </c>
      <c r="P11" s="49">
        <f>IFERROR(VLOOKUP($L11,'0806'!$A:$D,4,0),0)</f>
        <v>13</v>
      </c>
      <c r="Q11" s="59">
        <f t="shared" si="1"/>
        <v>1385</v>
      </c>
      <c r="R11" s="72">
        <f t="shared" si="2"/>
        <v>1185.8</v>
      </c>
      <c r="S11" s="69"/>
      <c r="T11" s="60"/>
      <c r="U11" s="60"/>
      <c r="V11" s="60"/>
      <c r="W11" s="60"/>
    </row>
    <row r="12" spans="1:23" ht="13.5" x14ac:dyDescent="0.25">
      <c r="A12" s="45">
        <v>4005241</v>
      </c>
      <c r="B12" s="46" t="s">
        <v>374</v>
      </c>
      <c r="C12" s="47">
        <f>SUMIF('LISTA TECNICA'!$I:$I,$A12,'LISTA TECNICA'!$P:$P)</f>
        <v>600.12</v>
      </c>
      <c r="D12" s="66">
        <f>IFERROR(VLOOKUP($A12,'0802'!$A:$D,4,0),0)</f>
        <v>1269</v>
      </c>
      <c r="E12" s="72">
        <f t="shared" si="0"/>
        <v>668.88</v>
      </c>
      <c r="F12" s="69"/>
      <c r="G12" s="60"/>
      <c r="H12" s="60"/>
      <c r="I12" s="60"/>
      <c r="J12" s="60"/>
      <c r="L12" s="45">
        <v>4000070</v>
      </c>
      <c r="M12" s="46" t="s">
        <v>632</v>
      </c>
      <c r="N12" s="47">
        <f>SUMIF('LISTA TECNICA'!$I:$I,$L12,'LISTA TECNICA'!$P:$P)</f>
        <v>1100.8800000000001</v>
      </c>
      <c r="O12" s="49">
        <f>IFERROR(VLOOKUP($L12,'0805'!$A:$D,4,0),0)</f>
        <v>1738</v>
      </c>
      <c r="P12" s="49">
        <f>IFERROR(VLOOKUP($L12,'0806'!$A:$D,4,0),0)</f>
        <v>0</v>
      </c>
      <c r="Q12" s="59">
        <f t="shared" si="1"/>
        <v>1738</v>
      </c>
      <c r="R12" s="72">
        <f t="shared" si="2"/>
        <v>637.11999999999989</v>
      </c>
      <c r="S12" s="69"/>
      <c r="T12" s="60"/>
      <c r="U12" s="60"/>
      <c r="V12" s="60"/>
      <c r="W12" s="60"/>
    </row>
    <row r="13" spans="1:23" ht="13.5" x14ac:dyDescent="0.25">
      <c r="A13" s="45">
        <v>4005242</v>
      </c>
      <c r="B13" s="46" t="s">
        <v>385</v>
      </c>
      <c r="C13" s="47">
        <f>SUMIF('LISTA TECNICA'!$I:$I,$A13,'LISTA TECNICA'!$P:$P)</f>
        <v>258.25799999999998</v>
      </c>
      <c r="D13" s="66">
        <f>IFERROR(VLOOKUP($A13,'0802'!$A:$D,4,0),0)</f>
        <v>982</v>
      </c>
      <c r="E13" s="72">
        <f t="shared" si="0"/>
        <v>723.74199999999996</v>
      </c>
      <c r="F13" s="69"/>
      <c r="G13" s="60"/>
      <c r="H13" s="60"/>
      <c r="I13" s="60"/>
      <c r="J13" s="60"/>
      <c r="L13" s="45">
        <v>4000071</v>
      </c>
      <c r="M13" s="46" t="s">
        <v>633</v>
      </c>
      <c r="N13" s="47">
        <f>SUMIF('LISTA TECNICA'!$I:$I,$L13,'LISTA TECNICA'!$P:$P)</f>
        <v>2200.44</v>
      </c>
      <c r="O13" s="49">
        <f>IFERROR(VLOOKUP($L13,'0805'!$A:$D,4,0),0)</f>
        <v>4085</v>
      </c>
      <c r="P13" s="49">
        <f>IFERROR(VLOOKUP($L13,'0806'!$A:$D,4,0),0)</f>
        <v>0</v>
      </c>
      <c r="Q13" s="59">
        <f t="shared" si="1"/>
        <v>4085</v>
      </c>
      <c r="R13" s="72">
        <f t="shared" si="2"/>
        <v>1884.56</v>
      </c>
      <c r="S13" s="69"/>
      <c r="T13" s="60"/>
      <c r="U13" s="60"/>
      <c r="V13" s="60"/>
      <c r="W13" s="60"/>
    </row>
    <row r="14" spans="1:23" ht="13.5" x14ac:dyDescent="0.25">
      <c r="A14" s="45">
        <v>4005245</v>
      </c>
      <c r="B14" s="46" t="s">
        <v>738</v>
      </c>
      <c r="C14" s="47">
        <f>SUMIF('LISTA TECNICA'!$I:$I,$A14,'LISTA TECNICA'!$P:$P)</f>
        <v>0</v>
      </c>
      <c r="D14" s="66">
        <f>IFERROR(VLOOKUP($A14,'0802'!$A:$D,4,0),0)</f>
        <v>0</v>
      </c>
      <c r="E14" s="72">
        <f t="shared" si="0"/>
        <v>0</v>
      </c>
      <c r="F14" s="69"/>
      <c r="G14" s="60"/>
      <c r="H14" s="60"/>
      <c r="I14" s="60"/>
      <c r="J14" s="60"/>
      <c r="L14" s="45">
        <v>4000117</v>
      </c>
      <c r="M14" s="46" t="s">
        <v>123</v>
      </c>
      <c r="N14" s="47">
        <f>SUMIF('LISTA TECNICA'!$I:$I,$L14,'LISTA TECNICA'!$P:$P)</f>
        <v>0</v>
      </c>
      <c r="O14" s="49">
        <f>IFERROR(VLOOKUP($L14,'0805'!$A:$D,4,0),0)</f>
        <v>600</v>
      </c>
      <c r="P14" s="49">
        <f>IFERROR(VLOOKUP($L14,'0806'!$A:$D,4,0),0)</f>
        <v>0</v>
      </c>
      <c r="Q14" s="59">
        <f t="shared" si="1"/>
        <v>600</v>
      </c>
      <c r="R14" s="72">
        <f t="shared" si="2"/>
        <v>600</v>
      </c>
      <c r="S14" s="69"/>
      <c r="T14" s="60"/>
      <c r="U14" s="60"/>
      <c r="V14" s="60"/>
      <c r="W14" s="60"/>
    </row>
    <row r="15" spans="1:23" ht="13.5" x14ac:dyDescent="0.25">
      <c r="A15" s="45">
        <v>4005244</v>
      </c>
      <c r="B15" s="46" t="s">
        <v>1759</v>
      </c>
      <c r="C15" s="47">
        <f>SUMIF('LISTA TECNICA'!$I:$I,$A15,'LISTA TECNICA'!$P:$P)</f>
        <v>0</v>
      </c>
      <c r="D15" s="66">
        <f>IFERROR(VLOOKUP($A15,'0802'!$A:$D,4,0),0)</f>
        <v>0</v>
      </c>
      <c r="E15" s="72">
        <f t="shared" si="0"/>
        <v>0</v>
      </c>
      <c r="F15" s="69"/>
      <c r="G15" s="60"/>
      <c r="H15" s="60"/>
      <c r="I15" s="60"/>
      <c r="J15" s="60"/>
      <c r="L15" s="45">
        <v>4000120</v>
      </c>
      <c r="M15" s="46" t="s">
        <v>129</v>
      </c>
      <c r="N15" s="47">
        <f>SUMIF('LISTA TECNICA'!$I:$I,$L15,'LISTA TECNICA'!$P:$P)</f>
        <v>400.08</v>
      </c>
      <c r="O15" s="49">
        <f>IFERROR(VLOOKUP($L15,'0805'!$A:$D,4,0),0)</f>
        <v>866</v>
      </c>
      <c r="P15" s="49">
        <f>IFERROR(VLOOKUP($L15,'0806'!$A:$D,4,0),0)</f>
        <v>118</v>
      </c>
      <c r="Q15" s="59">
        <f t="shared" si="1"/>
        <v>984</v>
      </c>
      <c r="R15" s="72">
        <f t="shared" si="2"/>
        <v>583.92000000000007</v>
      </c>
      <c r="S15" s="69"/>
      <c r="T15" s="60"/>
      <c r="U15" s="60"/>
      <c r="V15" s="60"/>
      <c r="W15" s="60"/>
    </row>
    <row r="16" spans="1:23" ht="13.5" x14ac:dyDescent="0.25">
      <c r="A16" s="45">
        <v>4001403</v>
      </c>
      <c r="B16" s="46" t="s">
        <v>67</v>
      </c>
      <c r="C16" s="47">
        <f>SUMIF('LISTA TECNICA'!$I:$I,$A16,'LISTA TECNICA'!$P:$P)</f>
        <v>600.12</v>
      </c>
      <c r="D16" s="66">
        <f>IFERROR(VLOOKUP($A16,'0802'!$A:$D,4,0),0)</f>
        <v>118</v>
      </c>
      <c r="E16" s="72">
        <f t="shared" si="0"/>
        <v>-482.12</v>
      </c>
      <c r="F16" s="69"/>
      <c r="G16" s="60" t="s">
        <v>6075</v>
      </c>
      <c r="H16" s="60">
        <v>500</v>
      </c>
      <c r="I16" s="61" t="s">
        <v>6079</v>
      </c>
      <c r="J16" s="60"/>
      <c r="L16" s="45">
        <v>4000121</v>
      </c>
      <c r="M16" s="46" t="s">
        <v>561</v>
      </c>
      <c r="N16" s="47">
        <f>SUMIF('LISTA TECNICA'!$I:$I,$L16,'LISTA TECNICA'!$P:$P)</f>
        <v>950.76</v>
      </c>
      <c r="O16" s="49">
        <f>IFERROR(VLOOKUP($L16,'0805'!$A:$D,4,0),0)</f>
        <v>2122</v>
      </c>
      <c r="P16" s="49">
        <f>IFERROR(VLOOKUP($L16,'0806'!$A:$D,4,0),0)</f>
        <v>27</v>
      </c>
      <c r="Q16" s="59">
        <f t="shared" si="1"/>
        <v>2149</v>
      </c>
      <c r="R16" s="72">
        <f t="shared" si="2"/>
        <v>1198.24</v>
      </c>
      <c r="S16" s="69"/>
      <c r="T16" s="60"/>
      <c r="U16" s="60"/>
      <c r="V16" s="60"/>
      <c r="W16" s="60"/>
    </row>
    <row r="17" spans="1:23" ht="13.5" x14ac:dyDescent="0.25">
      <c r="A17" s="45">
        <v>4001404</v>
      </c>
      <c r="B17" s="46" t="s">
        <v>72</v>
      </c>
      <c r="C17" s="47">
        <f>SUMIF('LISTA TECNICA'!$I:$I,$A17,'LISTA TECNICA'!$P:$P)</f>
        <v>0</v>
      </c>
      <c r="D17" s="66">
        <f>IFERROR(VLOOKUP($A17,'0802'!$A:$D,4,0),0)</f>
        <v>950</v>
      </c>
      <c r="E17" s="72">
        <f t="shared" si="0"/>
        <v>950</v>
      </c>
      <c r="F17" s="69"/>
      <c r="G17" s="60"/>
      <c r="H17" s="60"/>
      <c r="I17" s="60"/>
      <c r="J17" s="60"/>
      <c r="L17" s="45">
        <v>4000124</v>
      </c>
      <c r="M17" s="46" t="s">
        <v>514</v>
      </c>
      <c r="N17" s="47">
        <f>SUMIF('LISTA TECNICA'!$I:$I,$L17,'LISTA TECNICA'!$P:$P)</f>
        <v>400.32</v>
      </c>
      <c r="O17" s="49">
        <f>IFERROR(VLOOKUP($L17,'0805'!$A:$D,4,0),0)</f>
        <v>700</v>
      </c>
      <c r="P17" s="49">
        <f>IFERROR(VLOOKUP($L17,'0806'!$A:$D,4,0),0)</f>
        <v>0</v>
      </c>
      <c r="Q17" s="59">
        <f t="shared" si="1"/>
        <v>700</v>
      </c>
      <c r="R17" s="72">
        <f t="shared" si="2"/>
        <v>299.68</v>
      </c>
      <c r="S17" s="69"/>
      <c r="T17" s="60"/>
      <c r="U17" s="60"/>
      <c r="V17" s="60"/>
      <c r="W17" s="60"/>
    </row>
    <row r="18" spans="1:23" ht="13.5" x14ac:dyDescent="0.25">
      <c r="A18" s="45">
        <v>4011430</v>
      </c>
      <c r="B18" s="46" t="s">
        <v>1777</v>
      </c>
      <c r="C18" s="47">
        <f>SUMIF('LISTA TECNICA'!$I:$I,$A18,'LISTA TECNICA'!$P:$P)</f>
        <v>0</v>
      </c>
      <c r="D18" s="66">
        <f>IFERROR(VLOOKUP($A18,'0802'!$A:$D,4,0),0)</f>
        <v>0</v>
      </c>
      <c r="E18" s="72">
        <f t="shared" si="0"/>
        <v>0</v>
      </c>
      <c r="F18" s="69"/>
      <c r="G18" s="60"/>
      <c r="H18" s="60"/>
      <c r="I18" s="60"/>
      <c r="J18" s="60"/>
      <c r="L18" s="45">
        <v>4000125</v>
      </c>
      <c r="M18" s="46" t="s">
        <v>515</v>
      </c>
      <c r="N18" s="47">
        <f>SUMIF('LISTA TECNICA'!$I:$I,$L18,'LISTA TECNICA'!$P:$P)</f>
        <v>800.16</v>
      </c>
      <c r="O18" s="49">
        <f>IFERROR(VLOOKUP($L18,'0805'!$A:$D,4,0),0)</f>
        <v>871</v>
      </c>
      <c r="P18" s="49">
        <f>IFERROR(VLOOKUP($L18,'0806'!$A:$D,4,0),0)</f>
        <v>401</v>
      </c>
      <c r="Q18" s="59">
        <f t="shared" si="1"/>
        <v>1272</v>
      </c>
      <c r="R18" s="72">
        <f t="shared" si="2"/>
        <v>471.84000000000003</v>
      </c>
      <c r="S18" s="69"/>
      <c r="T18" s="60"/>
      <c r="U18" s="60"/>
      <c r="V18" s="60"/>
      <c r="W18" s="60"/>
    </row>
    <row r="19" spans="1:23" ht="13.5" x14ac:dyDescent="0.25">
      <c r="A19" s="45">
        <v>4011431</v>
      </c>
      <c r="B19" s="46" t="s">
        <v>1784</v>
      </c>
      <c r="C19" s="47">
        <f>SUMIF('LISTA TECNICA'!$I:$I,$A19,'LISTA TECNICA'!$P:$P)</f>
        <v>0</v>
      </c>
      <c r="D19" s="66">
        <f>IFERROR(VLOOKUP($A19,'0802'!$A:$D,4,0),0)</f>
        <v>0</v>
      </c>
      <c r="E19" s="72">
        <f t="shared" si="0"/>
        <v>0</v>
      </c>
      <c r="F19" s="69"/>
      <c r="G19" s="60"/>
      <c r="H19" s="60"/>
      <c r="I19" s="60"/>
      <c r="J19" s="60"/>
      <c r="L19" s="45">
        <v>4016880</v>
      </c>
      <c r="M19" s="46" t="s">
        <v>495</v>
      </c>
      <c r="N19" s="47">
        <f>SUMIF('LISTA TECNICA'!$I:$I,$L19,'LISTA TECNICA'!$P:$P)</f>
        <v>2700</v>
      </c>
      <c r="O19" s="49">
        <f>IFERROR(VLOOKUP($L19,'0805'!$A:$D,4,0),0)</f>
        <v>0</v>
      </c>
      <c r="P19" s="49">
        <f>IFERROR(VLOOKUP($L19,'0806'!$A:$D,4,0),0)</f>
        <v>1608</v>
      </c>
      <c r="Q19" s="59">
        <f t="shared" si="1"/>
        <v>1608</v>
      </c>
      <c r="R19" s="72">
        <f t="shared" si="2"/>
        <v>-1092</v>
      </c>
      <c r="S19" s="69"/>
      <c r="T19" s="60" t="s">
        <v>6096</v>
      </c>
      <c r="U19" s="82">
        <v>2500</v>
      </c>
      <c r="V19" s="60" t="s">
        <v>6097</v>
      </c>
      <c r="W19" s="60"/>
    </row>
    <row r="20" spans="1:23" ht="13.5" x14ac:dyDescent="0.25">
      <c r="A20" s="45">
        <v>4011432</v>
      </c>
      <c r="B20" s="46" t="s">
        <v>1791</v>
      </c>
      <c r="C20" s="47">
        <f>SUMIF('LISTA TECNICA'!$I:$I,$A20,'LISTA TECNICA'!$P:$P)</f>
        <v>0</v>
      </c>
      <c r="D20" s="66">
        <f>IFERROR(VLOOKUP($A20,'0802'!$A:$D,4,0),0)</f>
        <v>0</v>
      </c>
      <c r="E20" s="72">
        <f t="shared" si="0"/>
        <v>0</v>
      </c>
      <c r="F20" s="69"/>
      <c r="G20" s="60"/>
      <c r="H20" s="60"/>
      <c r="I20" s="60"/>
      <c r="J20" s="60"/>
      <c r="L20" s="45">
        <v>4000126</v>
      </c>
      <c r="M20" s="46" t="s">
        <v>529</v>
      </c>
      <c r="N20" s="47">
        <f>SUMIF('LISTA TECNICA'!$I:$I,$L20,'LISTA TECNICA'!$P:$P)</f>
        <v>0</v>
      </c>
      <c r="O20" s="49">
        <f>IFERROR(VLOOKUP($L20,'0805'!$A:$D,4,0),0)</f>
        <v>375</v>
      </c>
      <c r="P20" s="49">
        <f>IFERROR(VLOOKUP($L20,'0806'!$A:$D,4,0),0)</f>
        <v>0</v>
      </c>
      <c r="Q20" s="59">
        <f t="shared" si="1"/>
        <v>375</v>
      </c>
      <c r="R20" s="72">
        <f t="shared" si="2"/>
        <v>375</v>
      </c>
      <c r="S20" s="69"/>
      <c r="T20" s="60"/>
      <c r="U20" s="60"/>
      <c r="V20" s="60"/>
      <c r="W20" s="60"/>
    </row>
    <row r="21" spans="1:23" ht="13.5" x14ac:dyDescent="0.25">
      <c r="A21" s="45">
        <v>4011433</v>
      </c>
      <c r="B21" s="46" t="s">
        <v>1801</v>
      </c>
      <c r="C21" s="47">
        <f>SUMIF('LISTA TECNICA'!$I:$I,$A21,'LISTA TECNICA'!$P:$P)</f>
        <v>0</v>
      </c>
      <c r="D21" s="66">
        <f>IFERROR(VLOOKUP($A21,'0802'!$A:$D,4,0),0)</f>
        <v>0</v>
      </c>
      <c r="E21" s="72">
        <f t="shared" si="0"/>
        <v>0</v>
      </c>
      <c r="F21" s="69"/>
      <c r="G21" s="60"/>
      <c r="H21" s="60"/>
      <c r="I21" s="60"/>
      <c r="J21" s="60"/>
      <c r="L21" s="45">
        <v>4000129</v>
      </c>
      <c r="M21" s="46" t="s">
        <v>501</v>
      </c>
      <c r="N21" s="47">
        <f>SUMIF('LISTA TECNICA'!$I:$I,$L21,'LISTA TECNICA'!$P:$P)</f>
        <v>650.52</v>
      </c>
      <c r="O21" s="49">
        <f>IFERROR(VLOOKUP($L21,'0805'!$A:$D,4,0),0)</f>
        <v>1840</v>
      </c>
      <c r="P21" s="49">
        <f>IFERROR(VLOOKUP($L21,'0806'!$A:$D,4,0),0)</f>
        <v>612</v>
      </c>
      <c r="Q21" s="59">
        <f t="shared" si="1"/>
        <v>2452</v>
      </c>
      <c r="R21" s="72">
        <f t="shared" si="2"/>
        <v>1801.48</v>
      </c>
      <c r="S21" s="69"/>
      <c r="T21" s="60"/>
      <c r="U21" s="60"/>
      <c r="V21" s="60"/>
      <c r="W21" s="60"/>
    </row>
    <row r="22" spans="1:23" ht="13.5" x14ac:dyDescent="0.25">
      <c r="A22" s="45">
        <v>4016923</v>
      </c>
      <c r="B22" s="46" t="s">
        <v>783</v>
      </c>
      <c r="C22" s="47">
        <f>SUMIF('LISTA TECNICA'!$I:$I,$A22,'LISTA TECNICA'!$P:$P)</f>
        <v>0</v>
      </c>
      <c r="D22" s="66">
        <f>IFERROR(VLOOKUP($A22,'0802'!$A:$D,4,0),0)</f>
        <v>0</v>
      </c>
      <c r="E22" s="72">
        <f t="shared" si="0"/>
        <v>0</v>
      </c>
      <c r="F22" s="69"/>
      <c r="G22" s="60"/>
      <c r="H22" s="60"/>
      <c r="I22" s="60"/>
      <c r="J22" s="60"/>
      <c r="L22" s="45">
        <v>4008733</v>
      </c>
      <c r="M22" s="46" t="s">
        <v>551</v>
      </c>
      <c r="N22" s="47">
        <f>SUMIF('LISTA TECNICA'!$I:$I,$L22,'LISTA TECNICA'!$P:$P)</f>
        <v>400.2</v>
      </c>
      <c r="O22" s="49">
        <f>IFERROR(VLOOKUP($L22,'0805'!$A:$D,4,0),0)</f>
        <v>600</v>
      </c>
      <c r="P22" s="49">
        <f>IFERROR(VLOOKUP($L22,'0806'!$A:$D,4,0),0)</f>
        <v>0</v>
      </c>
      <c r="Q22" s="59">
        <f t="shared" si="1"/>
        <v>600</v>
      </c>
      <c r="R22" s="72">
        <f t="shared" si="2"/>
        <v>199.8</v>
      </c>
      <c r="S22" s="69"/>
      <c r="T22" s="60"/>
      <c r="U22" s="60"/>
      <c r="V22" s="60"/>
      <c r="W22" s="60"/>
    </row>
    <row r="23" spans="1:23" ht="13.5" x14ac:dyDescent="0.25">
      <c r="A23" s="45">
        <v>4007480</v>
      </c>
      <c r="B23" s="46" t="s">
        <v>868</v>
      </c>
      <c r="C23" s="47">
        <f>SUMIF('LISTA TECNICA'!$I:$I,$A23,'LISTA TECNICA'!$P:$P)</f>
        <v>475.38</v>
      </c>
      <c r="D23" s="66">
        <f>IFERROR(VLOOKUP($A23,'0802'!$A:$D,4,0),0)</f>
        <v>1290</v>
      </c>
      <c r="E23" s="72">
        <f t="shared" si="0"/>
        <v>814.62</v>
      </c>
      <c r="F23" s="69"/>
      <c r="G23" s="60"/>
      <c r="H23" s="60"/>
      <c r="I23" s="60"/>
      <c r="J23" s="60"/>
      <c r="L23" s="45">
        <v>4008732</v>
      </c>
      <c r="M23" s="46" t="s">
        <v>550</v>
      </c>
      <c r="N23" s="47">
        <f>SUMIF('LISTA TECNICA'!$I:$I,$L23,'LISTA TECNICA'!$P:$P)</f>
        <v>200.1</v>
      </c>
      <c r="O23" s="49">
        <f>IFERROR(VLOOKUP($L23,'0805'!$A:$D,4,0),0)</f>
        <v>757</v>
      </c>
      <c r="P23" s="49">
        <f>IFERROR(VLOOKUP($L23,'0806'!$A:$D,4,0),0)</f>
        <v>0</v>
      </c>
      <c r="Q23" s="59">
        <f t="shared" si="1"/>
        <v>757</v>
      </c>
      <c r="R23" s="72">
        <f t="shared" si="2"/>
        <v>556.9</v>
      </c>
      <c r="S23" s="69"/>
      <c r="T23" s="60"/>
      <c r="U23" s="60"/>
      <c r="V23" s="60"/>
      <c r="W23" s="60"/>
    </row>
    <row r="24" spans="1:23" ht="13.5" x14ac:dyDescent="0.25">
      <c r="A24" s="45">
        <v>4004700</v>
      </c>
      <c r="B24" s="46" t="s">
        <v>970</v>
      </c>
      <c r="C24" s="47">
        <f>SUMIF('LISTA TECNICA'!$I:$I,$A24,'LISTA TECNICA'!$P:$P)</f>
        <v>100.08</v>
      </c>
      <c r="D24" s="66">
        <f>IFERROR(VLOOKUP($A24,'0802'!$A:$D,4,0),0)</f>
        <v>438</v>
      </c>
      <c r="E24" s="72">
        <f t="shared" si="0"/>
        <v>337.92</v>
      </c>
      <c r="F24" s="69"/>
      <c r="G24" s="60"/>
      <c r="H24" s="60"/>
      <c r="I24" s="60"/>
      <c r="J24" s="60"/>
      <c r="L24" s="45">
        <v>4011811</v>
      </c>
      <c r="M24" s="46" t="s">
        <v>576</v>
      </c>
      <c r="N24" s="47">
        <f>SUMIF('LISTA TECNICA'!$I:$I,$L24,'LISTA TECNICA'!$P:$P)</f>
        <v>0</v>
      </c>
      <c r="O24" s="49">
        <f>IFERROR(VLOOKUP($L24,'0805'!$A:$D,4,0),0)</f>
        <v>238</v>
      </c>
      <c r="P24" s="49">
        <f>IFERROR(VLOOKUP($L24,'0806'!$A:$D,4,0),0)</f>
        <v>0</v>
      </c>
      <c r="Q24" s="59">
        <f t="shared" si="1"/>
        <v>238</v>
      </c>
      <c r="R24" s="72">
        <f t="shared" si="2"/>
        <v>238</v>
      </c>
      <c r="S24" s="69"/>
      <c r="T24" s="60"/>
      <c r="U24" s="60"/>
      <c r="V24" s="60"/>
      <c r="W24" s="60"/>
    </row>
    <row r="25" spans="1:23" ht="13.5" x14ac:dyDescent="0.25">
      <c r="A25" s="45">
        <v>4010424</v>
      </c>
      <c r="B25" s="46" t="s">
        <v>1372</v>
      </c>
      <c r="C25" s="47">
        <f>SUMIF('LISTA TECNICA'!$I:$I,$A25,'LISTA TECNICA'!$P:$P)</f>
        <v>0</v>
      </c>
      <c r="D25" s="66">
        <f>IFERROR(VLOOKUP($A25,'0802'!$A:$D,4,0),0)</f>
        <v>708</v>
      </c>
      <c r="E25" s="72">
        <f t="shared" si="0"/>
        <v>708</v>
      </c>
      <c r="F25" s="69"/>
      <c r="G25" s="60"/>
      <c r="H25" s="60"/>
      <c r="I25" s="60"/>
      <c r="J25" s="60"/>
      <c r="L25" s="45">
        <v>4011815</v>
      </c>
      <c r="M25" s="46" t="s">
        <v>577</v>
      </c>
      <c r="N25" s="47">
        <f>SUMIF('LISTA TECNICA'!$I:$I,$L25,'LISTA TECNICA'!$P:$P)</f>
        <v>0</v>
      </c>
      <c r="O25" s="49">
        <f>IFERROR(VLOOKUP($L25,'0805'!$A:$D,4,0),0)</f>
        <v>700</v>
      </c>
      <c r="P25" s="49">
        <f>IFERROR(VLOOKUP($L25,'0806'!$A:$D,4,0),0)</f>
        <v>0</v>
      </c>
      <c r="Q25" s="59">
        <f t="shared" si="1"/>
        <v>700</v>
      </c>
      <c r="R25" s="72">
        <f t="shared" si="2"/>
        <v>700</v>
      </c>
      <c r="S25" s="69"/>
      <c r="T25" s="60"/>
      <c r="U25" s="60"/>
      <c r="V25" s="60"/>
      <c r="W25" s="60"/>
    </row>
    <row r="26" spans="1:23" ht="13.5" x14ac:dyDescent="0.25">
      <c r="A26" s="45">
        <v>4010426</v>
      </c>
      <c r="B26" s="46" t="s">
        <v>1377</v>
      </c>
      <c r="C26" s="47">
        <f>SUMIF('LISTA TECNICA'!$I:$I,$A26,'LISTA TECNICA'!$P:$P)</f>
        <v>0</v>
      </c>
      <c r="D26" s="66">
        <f>IFERROR(VLOOKUP($A26,'0802'!$A:$D,4,0),0)</f>
        <v>0</v>
      </c>
      <c r="E26" s="72">
        <f t="shared" si="0"/>
        <v>0</v>
      </c>
      <c r="F26" s="69"/>
      <c r="G26" s="60"/>
      <c r="H26" s="60"/>
      <c r="I26" s="60"/>
      <c r="J26" s="60"/>
      <c r="L26" s="45">
        <v>4000133</v>
      </c>
      <c r="M26" s="46" t="s">
        <v>1229</v>
      </c>
      <c r="N26" s="47">
        <f>SUMIF('LISTA TECNICA'!$I:$I,$L26,'LISTA TECNICA'!$P:$P)</f>
        <v>500.40000000000003</v>
      </c>
      <c r="O26" s="49">
        <f>IFERROR(VLOOKUP($L26,'0805'!$A:$D,4,0),0)</f>
        <v>1039</v>
      </c>
      <c r="P26" s="49">
        <f>IFERROR(VLOOKUP($L26,'0806'!$A:$D,4,0),0)</f>
        <v>6</v>
      </c>
      <c r="Q26" s="59">
        <f t="shared" si="1"/>
        <v>1045</v>
      </c>
      <c r="R26" s="72">
        <f t="shared" si="2"/>
        <v>544.59999999999991</v>
      </c>
      <c r="S26" s="69"/>
      <c r="T26" s="60"/>
      <c r="U26" s="60"/>
      <c r="V26" s="60"/>
      <c r="W26" s="60"/>
    </row>
    <row r="27" spans="1:23" ht="13.5" x14ac:dyDescent="0.25">
      <c r="A27" s="45">
        <v>4005290</v>
      </c>
      <c r="B27" s="46" t="s">
        <v>1771</v>
      </c>
      <c r="C27" s="47">
        <f>SUMIF('LISTA TECNICA'!$I:$I,$A27,'LISTA TECNICA'!$P:$P)</f>
        <v>0</v>
      </c>
      <c r="D27" s="66">
        <f>IFERROR(VLOOKUP($A27,'0802'!$A:$D,4,0),0)</f>
        <v>0</v>
      </c>
      <c r="E27" s="72">
        <f t="shared" si="0"/>
        <v>0</v>
      </c>
      <c r="F27" s="69"/>
      <c r="G27" s="60"/>
      <c r="H27" s="60"/>
      <c r="I27" s="60"/>
      <c r="J27" s="60"/>
      <c r="L27" s="45">
        <v>4012869</v>
      </c>
      <c r="M27" s="46" t="s">
        <v>1232</v>
      </c>
      <c r="N27" s="47">
        <f>SUMIF('LISTA TECNICA'!$I:$I,$L27,'LISTA TECNICA'!$P:$P)</f>
        <v>2000.3999999999999</v>
      </c>
      <c r="O27" s="49">
        <f>IFERROR(VLOOKUP($L27,'0805'!$A:$D,4,0),0)</f>
        <v>3280</v>
      </c>
      <c r="P27" s="49">
        <f>IFERROR(VLOOKUP($L27,'0806'!$A:$D,4,0),0)</f>
        <v>24</v>
      </c>
      <c r="Q27" s="59">
        <f t="shared" si="1"/>
        <v>3304</v>
      </c>
      <c r="R27" s="72">
        <f t="shared" si="2"/>
        <v>1303.6000000000001</v>
      </c>
      <c r="S27" s="69"/>
      <c r="T27" s="60"/>
      <c r="U27" s="60"/>
      <c r="V27" s="60"/>
      <c r="W27" s="60"/>
    </row>
    <row r="28" spans="1:23" ht="13.5" x14ac:dyDescent="0.25">
      <c r="A28" s="45">
        <v>4011434</v>
      </c>
      <c r="B28" s="46" t="s">
        <v>1778</v>
      </c>
      <c r="C28" s="47">
        <f>SUMIF('LISTA TECNICA'!$I:$I,$A28,'LISTA TECNICA'!$P:$P)</f>
        <v>0</v>
      </c>
      <c r="D28" s="66">
        <f>IFERROR(VLOOKUP($A28,'0802'!$A:$D,4,0),0)</f>
        <v>0</v>
      </c>
      <c r="E28" s="72">
        <f t="shared" si="0"/>
        <v>0</v>
      </c>
      <c r="F28" s="69"/>
      <c r="G28" s="60"/>
      <c r="H28" s="60"/>
      <c r="I28" s="60"/>
      <c r="J28" s="60"/>
      <c r="L28" s="45">
        <v>4008731</v>
      </c>
      <c r="M28" s="46" t="s">
        <v>139</v>
      </c>
      <c r="N28" s="47">
        <f>SUMIF('LISTA TECNICA'!$I:$I,$L28,'LISTA TECNICA'!$P:$P)</f>
        <v>800.4</v>
      </c>
      <c r="O28" s="49">
        <f>IFERROR(VLOOKUP($L28,'0805'!$A:$D,4,0),0)</f>
        <v>1940</v>
      </c>
      <c r="P28" s="49">
        <f>IFERROR(VLOOKUP($L28,'0806'!$A:$D,4,0),0)</f>
        <v>0</v>
      </c>
      <c r="Q28" s="59">
        <f t="shared" si="1"/>
        <v>1940</v>
      </c>
      <c r="R28" s="72">
        <f t="shared" si="2"/>
        <v>1139.5999999999999</v>
      </c>
      <c r="S28" s="69"/>
      <c r="T28" s="60"/>
      <c r="U28" s="60"/>
      <c r="V28" s="60"/>
      <c r="W28" s="60"/>
    </row>
    <row r="29" spans="1:23" ht="13.5" x14ac:dyDescent="0.25">
      <c r="A29" s="45">
        <v>4001359</v>
      </c>
      <c r="B29" s="46" t="s">
        <v>1439</v>
      </c>
      <c r="C29" s="47">
        <f>SUMIF('LISTA TECNICA'!$I:$I,$A29,'LISTA TECNICA'!$P:$P)</f>
        <v>1200.24</v>
      </c>
      <c r="D29" s="66">
        <f>IFERROR(VLOOKUP($A29,'0802'!$A:$D,4,0),0)</f>
        <v>1562</v>
      </c>
      <c r="E29" s="72">
        <f t="shared" si="0"/>
        <v>361.76</v>
      </c>
      <c r="F29" s="69"/>
      <c r="G29" s="60"/>
      <c r="H29" s="60"/>
      <c r="I29" s="60"/>
      <c r="J29" s="60"/>
      <c r="L29" s="45">
        <v>4008730</v>
      </c>
      <c r="M29" s="46" t="s">
        <v>138</v>
      </c>
      <c r="N29" s="47">
        <f>SUMIF('LISTA TECNICA'!$I:$I,$L29,'LISTA TECNICA'!$P:$P)</f>
        <v>400.2</v>
      </c>
      <c r="O29" s="49">
        <f>IFERROR(VLOOKUP($L29,'0805'!$A:$D,4,0),0)</f>
        <v>1247</v>
      </c>
      <c r="P29" s="49">
        <f>IFERROR(VLOOKUP($L29,'0806'!$A:$D,4,0),0)</f>
        <v>0</v>
      </c>
      <c r="Q29" s="59">
        <f t="shared" si="1"/>
        <v>1247</v>
      </c>
      <c r="R29" s="72">
        <f t="shared" si="2"/>
        <v>846.8</v>
      </c>
      <c r="S29" s="69"/>
      <c r="T29" s="60"/>
      <c r="U29" s="60"/>
      <c r="V29" s="60"/>
      <c r="W29" s="60"/>
    </row>
    <row r="30" spans="1:23" ht="13.5" x14ac:dyDescent="0.25">
      <c r="A30" s="45">
        <v>4016811</v>
      </c>
      <c r="B30" s="46" t="s">
        <v>1455</v>
      </c>
      <c r="C30" s="47">
        <f>SUMIF('LISTA TECNICA'!$I:$I,$A30,'LISTA TECNICA'!$P:$P)</f>
        <v>400.08</v>
      </c>
      <c r="D30" s="66">
        <f>IFERROR(VLOOKUP($A30,'0802'!$A:$D,4,0),0)</f>
        <v>2440</v>
      </c>
      <c r="E30" s="72">
        <f t="shared" si="0"/>
        <v>2039.92</v>
      </c>
      <c r="F30" s="69"/>
      <c r="G30" s="60"/>
      <c r="H30" s="60"/>
      <c r="I30" s="60"/>
      <c r="J30" s="60"/>
      <c r="L30" s="45">
        <v>4006456</v>
      </c>
      <c r="M30" s="46" t="s">
        <v>191</v>
      </c>
      <c r="N30" s="47">
        <f>SUMIF('LISTA TECNICA'!$I:$I,$L30,'LISTA TECNICA'!$P:$P)</f>
        <v>1200.96</v>
      </c>
      <c r="O30" s="49">
        <f>IFERROR(VLOOKUP($L30,'0805'!$A:$D,4,0),0)</f>
        <v>2164</v>
      </c>
      <c r="P30" s="49">
        <f>IFERROR(VLOOKUP($L30,'0806'!$A:$D,4,0),0)</f>
        <v>172</v>
      </c>
      <c r="Q30" s="59">
        <f t="shared" si="1"/>
        <v>2336</v>
      </c>
      <c r="R30" s="72">
        <f t="shared" si="2"/>
        <v>1135.04</v>
      </c>
      <c r="S30" s="69"/>
      <c r="T30" s="60"/>
      <c r="U30" s="60"/>
      <c r="V30" s="60"/>
      <c r="W30" s="60"/>
    </row>
    <row r="31" spans="1:23" ht="13.5" x14ac:dyDescent="0.25">
      <c r="A31" s="45">
        <v>4011435</v>
      </c>
      <c r="B31" s="46" t="s">
        <v>1785</v>
      </c>
      <c r="C31" s="47">
        <f>SUMIF('LISTA TECNICA'!$I:$I,$A31,'LISTA TECNICA'!$P:$P)</f>
        <v>0</v>
      </c>
      <c r="D31" s="66">
        <f>IFERROR(VLOOKUP($A31,'0802'!$A:$D,4,0),0)</f>
        <v>0</v>
      </c>
      <c r="E31" s="72">
        <f t="shared" si="0"/>
        <v>0</v>
      </c>
      <c r="F31" s="69"/>
      <c r="G31" s="60"/>
      <c r="H31" s="60"/>
      <c r="I31" s="60"/>
      <c r="J31" s="60"/>
      <c r="L31" s="45">
        <v>4007347</v>
      </c>
      <c r="M31" s="46" t="s">
        <v>192</v>
      </c>
      <c r="N31" s="47">
        <f>SUMIF('LISTA TECNICA'!$I:$I,$L31,'LISTA TECNICA'!$P:$P)</f>
        <v>2400.48</v>
      </c>
      <c r="O31" s="49">
        <f>IFERROR(VLOOKUP($L31,'0805'!$A:$D,4,0),0)</f>
        <v>1880</v>
      </c>
      <c r="P31" s="49">
        <f>IFERROR(VLOOKUP($L31,'0806'!$A:$D,4,0),0)</f>
        <v>0</v>
      </c>
      <c r="Q31" s="59">
        <f t="shared" si="1"/>
        <v>1880</v>
      </c>
      <c r="R31" s="72">
        <f t="shared" si="2"/>
        <v>-520.48</v>
      </c>
      <c r="S31" s="69"/>
      <c r="T31" s="60" t="s">
        <v>6098</v>
      </c>
      <c r="U31" s="82">
        <v>1500</v>
      </c>
      <c r="V31" s="60" t="s">
        <v>6099</v>
      </c>
      <c r="W31" s="60"/>
    </row>
    <row r="32" spans="1:23" ht="13.5" x14ac:dyDescent="0.25">
      <c r="A32" s="45">
        <v>4001186</v>
      </c>
      <c r="B32" s="46" t="s">
        <v>471</v>
      </c>
      <c r="C32" s="47">
        <f>SUMIF('LISTA TECNICA'!$I:$I,$A32,'LISTA TECNICA'!$P:$P)</f>
        <v>16.68</v>
      </c>
      <c r="D32" s="66">
        <f>IFERROR(VLOOKUP($A32,'0802'!$A:$D,4,0),0)</f>
        <v>0</v>
      </c>
      <c r="E32" s="72">
        <f t="shared" ref="E32:E33" si="3">D32-C32</f>
        <v>-16.68</v>
      </c>
      <c r="F32" s="69"/>
      <c r="G32" s="60"/>
      <c r="H32" s="60"/>
      <c r="I32" s="60"/>
      <c r="J32" s="60"/>
      <c r="L32" s="45">
        <v>4007348</v>
      </c>
      <c r="M32" s="46" t="s">
        <v>193</v>
      </c>
      <c r="N32" s="47">
        <f>SUMIF('LISTA TECNICA'!$I:$I,$L32,'LISTA TECNICA'!$P:$P)</f>
        <v>4800.96</v>
      </c>
      <c r="O32" s="49">
        <f>IFERROR(VLOOKUP($L32,'0805'!$A:$D,4,0),0)</f>
        <v>6253</v>
      </c>
      <c r="P32" s="49">
        <f>IFERROR(VLOOKUP($L32,'0806'!$A:$D,4,0),0)</f>
        <v>0</v>
      </c>
      <c r="Q32" s="59">
        <f t="shared" si="1"/>
        <v>6253</v>
      </c>
      <c r="R32" s="72">
        <f t="shared" si="2"/>
        <v>1452.04</v>
      </c>
      <c r="S32" s="69"/>
      <c r="T32" s="60"/>
      <c r="U32" s="60"/>
      <c r="V32" s="60"/>
      <c r="W32" s="60"/>
    </row>
    <row r="33" spans="1:23" ht="13.5" x14ac:dyDescent="0.25">
      <c r="A33" s="45">
        <v>4001187</v>
      </c>
      <c r="B33" s="46" t="s">
        <v>474</v>
      </c>
      <c r="C33" s="47">
        <f>SUMIF('LISTA TECNICA'!$I:$I,$A33,'LISTA TECNICA'!$P:$P)</f>
        <v>16.68</v>
      </c>
      <c r="D33" s="66">
        <f>IFERROR(VLOOKUP($A33,'0802'!$A:$D,4,0),0)</f>
        <v>0</v>
      </c>
      <c r="E33" s="72">
        <f t="shared" si="3"/>
        <v>-16.68</v>
      </c>
      <c r="F33" s="69"/>
      <c r="G33" s="60"/>
      <c r="H33" s="60"/>
      <c r="I33" s="60"/>
      <c r="J33" s="60"/>
      <c r="L33" s="45">
        <v>4008674</v>
      </c>
      <c r="M33" s="46" t="s">
        <v>1421</v>
      </c>
      <c r="N33" s="47">
        <f>SUMIF('LISTA TECNICA'!$I:$I,$L33,'LISTA TECNICA'!$P:$P)</f>
        <v>0</v>
      </c>
      <c r="O33" s="49">
        <f>IFERROR(VLOOKUP($L33,'0805'!$A:$D,4,0),0)</f>
        <v>659</v>
      </c>
      <c r="P33" s="49">
        <f>IFERROR(VLOOKUP($L33,'0806'!$A:$D,4,0),0)</f>
        <v>0</v>
      </c>
      <c r="Q33" s="59">
        <f t="shared" si="1"/>
        <v>659</v>
      </c>
      <c r="R33" s="72">
        <f t="shared" si="2"/>
        <v>659</v>
      </c>
      <c r="S33" s="69"/>
      <c r="T33" s="60"/>
      <c r="U33" s="60"/>
      <c r="V33" s="60"/>
      <c r="W33" s="60"/>
    </row>
    <row r="34" spans="1:23" ht="13.5" x14ac:dyDescent="0.25">
      <c r="A34" s="45">
        <v>4011437</v>
      </c>
      <c r="B34" s="46" t="s">
        <v>1792</v>
      </c>
      <c r="C34" s="47">
        <f>SUMIF('LISTA TECNICA'!$I:$I,$A34,'LISTA TECNICA'!$P:$P)</f>
        <v>0</v>
      </c>
      <c r="D34" s="66">
        <f>IFERROR(VLOOKUP($A34,'0802'!$A:$D,4,0),0)</f>
        <v>0</v>
      </c>
      <c r="E34" s="72">
        <f>D34-C34</f>
        <v>0</v>
      </c>
      <c r="F34" s="69"/>
      <c r="G34" s="60"/>
      <c r="H34" s="60"/>
      <c r="I34" s="60"/>
      <c r="J34" s="60"/>
      <c r="L34" s="45">
        <v>4008676</v>
      </c>
      <c r="M34" s="46" t="s">
        <v>1422</v>
      </c>
      <c r="N34" s="47">
        <f>SUMIF('LISTA TECNICA'!$I:$I,$L34,'LISTA TECNICA'!$P:$P)</f>
        <v>0</v>
      </c>
      <c r="O34" s="49">
        <f>IFERROR(VLOOKUP($L34,'0805'!$A:$D,4,0),0)</f>
        <v>300</v>
      </c>
      <c r="P34" s="49">
        <f>IFERROR(VLOOKUP($L34,'0806'!$A:$D,4,0),0)</f>
        <v>0</v>
      </c>
      <c r="Q34" s="59">
        <f t="shared" si="1"/>
        <v>300</v>
      </c>
      <c r="R34" s="72">
        <f t="shared" si="2"/>
        <v>300</v>
      </c>
      <c r="S34" s="69"/>
      <c r="T34" s="60"/>
      <c r="U34" s="60"/>
      <c r="V34" s="60"/>
      <c r="W34" s="60"/>
    </row>
    <row r="35" spans="1:23" ht="13.5" x14ac:dyDescent="0.25">
      <c r="A35" s="45">
        <v>4003879</v>
      </c>
      <c r="B35" s="46" t="s">
        <v>1149</v>
      </c>
      <c r="C35" s="47">
        <f>SUMIF('LISTA TECNICA'!$I:$I,$A35,'LISTA TECNICA'!$P:$P)</f>
        <v>0</v>
      </c>
      <c r="D35" s="66">
        <f>IFERROR(VLOOKUP($A35,'0802'!$A:$D,4,0),0)</f>
        <v>0</v>
      </c>
      <c r="E35" s="72">
        <f>D35-C35</f>
        <v>0</v>
      </c>
      <c r="F35" s="69"/>
      <c r="G35" s="60"/>
      <c r="H35" s="60"/>
      <c r="I35" s="60"/>
      <c r="J35" s="60"/>
      <c r="L35" s="45">
        <v>4014845</v>
      </c>
      <c r="M35" s="46" t="s">
        <v>109</v>
      </c>
      <c r="N35" s="47">
        <f>SUMIF('LISTA TECNICA'!$I:$I,$L35,'LISTA TECNICA'!$P:$P)</f>
        <v>380.30400000000003</v>
      </c>
      <c r="O35" s="49">
        <f>IFERROR(VLOOKUP($L35,'0805'!$A:$D,4,0),0)</f>
        <v>700</v>
      </c>
      <c r="P35" s="49">
        <f>IFERROR(VLOOKUP($L35,'0806'!$A:$D,4,0),0)</f>
        <v>0</v>
      </c>
      <c r="Q35" s="59">
        <f t="shared" si="1"/>
        <v>700</v>
      </c>
      <c r="R35" s="72">
        <f t="shared" si="2"/>
        <v>319.69599999999997</v>
      </c>
      <c r="S35" s="69"/>
      <c r="T35" s="60"/>
      <c r="U35" s="60"/>
      <c r="V35" s="60"/>
      <c r="W35" s="60"/>
    </row>
    <row r="36" spans="1:23" ht="13.5" x14ac:dyDescent="0.25">
      <c r="A36" s="45">
        <v>4013822</v>
      </c>
      <c r="B36" s="46" t="s">
        <v>1020</v>
      </c>
      <c r="C36" s="47">
        <f>SUMIF('LISTA TECNICA'!$I:$I,$A36,'LISTA TECNICA'!$P:$P)</f>
        <v>0</v>
      </c>
      <c r="D36" s="66">
        <f>IFERROR(VLOOKUP($A36,'0802'!$A:$D,4,0),0)</f>
        <v>280</v>
      </c>
      <c r="E36" s="72">
        <f>D36-C36</f>
        <v>280</v>
      </c>
      <c r="F36" s="69"/>
      <c r="G36" s="60"/>
      <c r="H36" s="60"/>
      <c r="I36" s="60"/>
      <c r="J36" s="60"/>
      <c r="L36" s="45">
        <v>4000136</v>
      </c>
      <c r="M36" s="46" t="s">
        <v>353</v>
      </c>
      <c r="N36" s="47">
        <f>SUMIF('LISTA TECNICA'!$I:$I,$L36,'LISTA TECNICA'!$P:$P)</f>
        <v>0</v>
      </c>
      <c r="O36" s="49">
        <f>IFERROR(VLOOKUP($L36,'0805'!$A:$D,4,0),0)</f>
        <v>612</v>
      </c>
      <c r="P36" s="49">
        <f>IFERROR(VLOOKUP($L36,'0806'!$A:$D,4,0),0)</f>
        <v>0</v>
      </c>
      <c r="Q36" s="59">
        <f t="shared" si="1"/>
        <v>612</v>
      </c>
      <c r="R36" s="72">
        <f t="shared" si="2"/>
        <v>612</v>
      </c>
      <c r="S36" s="69"/>
      <c r="T36" s="60"/>
      <c r="U36" s="60"/>
      <c r="V36" s="60"/>
      <c r="W36" s="60"/>
    </row>
    <row r="37" spans="1:23" ht="15.75" thickBot="1" x14ac:dyDescent="0.3">
      <c r="L37" s="45">
        <v>4000137</v>
      </c>
      <c r="M37" s="46" t="s">
        <v>354</v>
      </c>
      <c r="N37" s="47">
        <f>SUMIF('LISTA TECNICA'!$I:$I,$L37,'LISTA TECNICA'!$P:$P)</f>
        <v>0</v>
      </c>
      <c r="O37" s="49">
        <f>IFERROR(VLOOKUP($L37,'0805'!$A:$D,4,0),0)</f>
        <v>450</v>
      </c>
      <c r="P37" s="49">
        <f>IFERROR(VLOOKUP($L37,'0806'!$A:$D,4,0),0)</f>
        <v>0</v>
      </c>
      <c r="Q37" s="59">
        <f t="shared" si="1"/>
        <v>450</v>
      </c>
      <c r="R37" s="72">
        <f t="shared" si="2"/>
        <v>450</v>
      </c>
      <c r="S37" s="69"/>
      <c r="T37" s="60"/>
      <c r="U37" s="60"/>
      <c r="V37" s="60"/>
      <c r="W37" s="60"/>
    </row>
    <row r="38" spans="1:23" ht="14.25" thickBot="1" x14ac:dyDescent="0.3">
      <c r="A38" s="86" t="s">
        <v>6088</v>
      </c>
      <c r="B38" s="87"/>
      <c r="C38" s="87"/>
      <c r="D38" s="87"/>
      <c r="E38" s="87"/>
      <c r="F38" s="87"/>
      <c r="G38" s="87"/>
      <c r="H38" s="87"/>
      <c r="I38" s="87"/>
      <c r="J38" s="88"/>
      <c r="L38" s="45">
        <v>4000138</v>
      </c>
      <c r="M38" s="46" t="s">
        <v>18</v>
      </c>
      <c r="N38" s="47">
        <f>SUMIF('LISTA TECNICA'!$I:$I,$L38,'LISTA TECNICA'!$P:$P)</f>
        <v>460.09199999999998</v>
      </c>
      <c r="O38" s="49">
        <f>IFERROR(VLOOKUP($L38,'0805'!$A:$D,4,0),0)</f>
        <v>800</v>
      </c>
      <c r="P38" s="49">
        <f>IFERROR(VLOOKUP($L38,'0806'!$A:$D,4,0),0)</f>
        <v>0</v>
      </c>
      <c r="Q38" s="59">
        <f t="shared" si="1"/>
        <v>800</v>
      </c>
      <c r="R38" s="72">
        <f t="shared" si="2"/>
        <v>339.90800000000002</v>
      </c>
      <c r="S38" s="69"/>
      <c r="T38" s="60"/>
      <c r="U38" s="60"/>
      <c r="V38" s="60"/>
      <c r="W38" s="60"/>
    </row>
    <row r="39" spans="1:23" ht="14.25" thickBot="1" x14ac:dyDescent="0.3">
      <c r="A39" s="53" t="s">
        <v>5</v>
      </c>
      <c r="B39" s="54" t="s">
        <v>2052</v>
      </c>
      <c r="C39" s="55" t="s">
        <v>2053</v>
      </c>
      <c r="D39" s="57">
        <v>802</v>
      </c>
      <c r="E39" s="70" t="s">
        <v>6069</v>
      </c>
      <c r="F39" s="67" t="s">
        <v>6072</v>
      </c>
      <c r="G39" s="63" t="s">
        <v>6073</v>
      </c>
      <c r="H39" s="63" t="s">
        <v>6136</v>
      </c>
      <c r="I39" s="63" t="s">
        <v>6076</v>
      </c>
      <c r="J39" s="64" t="s">
        <v>6074</v>
      </c>
      <c r="L39" s="45">
        <v>4000141</v>
      </c>
      <c r="M39" s="46" t="s">
        <v>89</v>
      </c>
      <c r="N39" s="47">
        <f>SUMIF('LISTA TECNICA'!$I:$I,$L39,'LISTA TECNICA'!$P:$P)</f>
        <v>964.77120000000002</v>
      </c>
      <c r="O39" s="49">
        <f>IFERROR(VLOOKUP($L39,'0805'!$A:$D,4,0),0)</f>
        <v>3966</v>
      </c>
      <c r="P39" s="49">
        <f>IFERROR(VLOOKUP($L39,'0806'!$A:$D,4,0),0)</f>
        <v>117</v>
      </c>
      <c r="Q39" s="59">
        <f t="shared" si="1"/>
        <v>4083</v>
      </c>
      <c r="R39" s="72">
        <f t="shared" si="2"/>
        <v>3118.2287999999999</v>
      </c>
      <c r="S39" s="69"/>
      <c r="T39" s="60"/>
      <c r="U39" s="60"/>
      <c r="V39" s="60"/>
      <c r="W39" s="60"/>
    </row>
    <row r="40" spans="1:23" ht="13.5" x14ac:dyDescent="0.25">
      <c r="A40" s="45">
        <v>4009849</v>
      </c>
      <c r="B40" s="46" t="s">
        <v>623</v>
      </c>
      <c r="C40" s="47">
        <f>SUMIF('LISTA TECNICA'!$I:$I,$A40,'LISTA TECNICA'!$P:$P)</f>
        <v>2400</v>
      </c>
      <c r="D40" s="66">
        <f>IFERROR(VLOOKUP($A40,'0802'!$A:$D,4,0),0)</f>
        <v>5710</v>
      </c>
      <c r="E40" s="72">
        <f t="shared" ref="E40:E71" si="4">D40-C40</f>
        <v>3310</v>
      </c>
      <c r="F40" s="69"/>
      <c r="G40" s="60"/>
      <c r="H40" s="60"/>
      <c r="I40" s="60"/>
      <c r="J40" s="60"/>
      <c r="L40" s="45">
        <v>4014389</v>
      </c>
      <c r="M40" s="46" t="s">
        <v>1731</v>
      </c>
      <c r="N40" s="47">
        <f>SUMIF('LISTA TECNICA'!$I:$I,$L40,'LISTA TECNICA'!$P:$P)</f>
        <v>0</v>
      </c>
      <c r="O40" s="49">
        <f>IFERROR(VLOOKUP($L40,'0805'!$A:$D,4,0),0)</f>
        <v>650</v>
      </c>
      <c r="P40" s="49">
        <f>IFERROR(VLOOKUP($L40,'0806'!$A:$D,4,0),0)</f>
        <v>0</v>
      </c>
      <c r="Q40" s="59">
        <f t="shared" si="1"/>
        <v>650</v>
      </c>
      <c r="R40" s="72">
        <f t="shared" si="2"/>
        <v>650</v>
      </c>
      <c r="S40" s="69"/>
      <c r="T40" s="60" t="s">
        <v>6100</v>
      </c>
      <c r="U40" s="60">
        <v>400</v>
      </c>
      <c r="V40" s="60" t="s">
        <v>6101</v>
      </c>
      <c r="W40" s="60"/>
    </row>
    <row r="41" spans="1:23" ht="13.5" x14ac:dyDescent="0.25">
      <c r="A41" s="45">
        <v>4002370</v>
      </c>
      <c r="B41" s="46" t="s">
        <v>38</v>
      </c>
      <c r="C41" s="47">
        <f>SUMIF('LISTA TECNICA'!$I:$I,$A41,'LISTA TECNICA'!$P:$P)</f>
        <v>0</v>
      </c>
      <c r="D41" s="66">
        <f>IFERROR(VLOOKUP($A41,'0802'!$A:$D,4,0),0)</f>
        <v>9400</v>
      </c>
      <c r="E41" s="72">
        <f t="shared" si="4"/>
        <v>9400</v>
      </c>
      <c r="F41" s="69"/>
      <c r="G41" s="60"/>
      <c r="H41" s="60"/>
      <c r="I41" s="60"/>
      <c r="J41" s="60"/>
      <c r="L41" s="45">
        <v>4014388</v>
      </c>
      <c r="M41" s="46" t="s">
        <v>1730</v>
      </c>
      <c r="N41" s="47">
        <f>SUMIF('LISTA TECNICA'!$I:$I,$L41,'LISTA TECNICA'!$P:$P)</f>
        <v>0</v>
      </c>
      <c r="O41" s="49">
        <f>IFERROR(VLOOKUP($L41,'0805'!$A:$D,4,0),0)</f>
        <v>1650</v>
      </c>
      <c r="P41" s="49">
        <f>IFERROR(VLOOKUP($L41,'0806'!$A:$D,4,0),0)</f>
        <v>0</v>
      </c>
      <c r="Q41" s="59">
        <f t="shared" si="1"/>
        <v>1650</v>
      </c>
      <c r="R41" s="72">
        <f t="shared" si="2"/>
        <v>1650</v>
      </c>
      <c r="S41" s="69"/>
      <c r="T41" s="60"/>
      <c r="U41" s="60"/>
      <c r="V41" s="60"/>
      <c r="W41" s="60"/>
    </row>
    <row r="42" spans="1:23" ht="13.5" x14ac:dyDescent="0.25">
      <c r="A42" s="45">
        <v>4002373</v>
      </c>
      <c r="B42" s="46" t="s">
        <v>49</v>
      </c>
      <c r="C42" s="47">
        <f>SUMIF('LISTA TECNICA'!$I:$I,$A42,'LISTA TECNICA'!$P:$P)</f>
        <v>0</v>
      </c>
      <c r="D42" s="66">
        <f>IFERROR(VLOOKUP($A42,'0802'!$A:$D,4,0),0)</f>
        <v>11913</v>
      </c>
      <c r="E42" s="72">
        <f t="shared" si="4"/>
        <v>11913</v>
      </c>
      <c r="F42" s="69"/>
      <c r="G42" s="60"/>
      <c r="H42" s="60"/>
      <c r="I42" s="60"/>
      <c r="J42" s="60"/>
      <c r="L42" s="45">
        <v>4005883</v>
      </c>
      <c r="M42" s="46" t="s">
        <v>1464</v>
      </c>
      <c r="N42" s="47">
        <f>SUMIF('LISTA TECNICA'!$I:$I,$L42,'LISTA TECNICA'!$P:$P)</f>
        <v>0</v>
      </c>
      <c r="O42" s="49">
        <f>IFERROR(VLOOKUP($L42,'0805'!$A:$D,4,0),0)</f>
        <v>0</v>
      </c>
      <c r="P42" s="49">
        <f>IFERROR(VLOOKUP($L42,'0806'!$A:$D,4,0),0)</f>
        <v>0</v>
      </c>
      <c r="Q42" s="59">
        <f t="shared" si="1"/>
        <v>0</v>
      </c>
      <c r="R42" s="72">
        <f t="shared" si="2"/>
        <v>0</v>
      </c>
      <c r="S42" s="69"/>
      <c r="T42" s="60"/>
      <c r="U42" s="60"/>
      <c r="V42" s="60"/>
      <c r="W42" s="60"/>
    </row>
    <row r="43" spans="1:23" ht="13.5" x14ac:dyDescent="0.25">
      <c r="A43" s="45">
        <v>4002380</v>
      </c>
      <c r="B43" s="46" t="s">
        <v>68</v>
      </c>
      <c r="C43" s="47">
        <f>SUMIF('LISTA TECNICA'!$I:$I,$A43,'LISTA TECNICA'!$P:$P)</f>
        <v>3600</v>
      </c>
      <c r="D43" s="66">
        <f>IFERROR(VLOOKUP($A43,'0802'!$A:$D,4,0),0)</f>
        <v>7256</v>
      </c>
      <c r="E43" s="72">
        <f t="shared" si="4"/>
        <v>3656</v>
      </c>
      <c r="F43" s="69"/>
      <c r="G43" s="60"/>
      <c r="H43" s="60"/>
      <c r="I43" s="60"/>
      <c r="J43" s="60"/>
      <c r="L43" s="45">
        <v>4016890</v>
      </c>
      <c r="M43" s="46" t="s">
        <v>496</v>
      </c>
      <c r="N43" s="47">
        <f>SUMIF('LISTA TECNICA'!$I:$I,$L43,'LISTA TECNICA'!$P:$P)</f>
        <v>900.18</v>
      </c>
      <c r="O43" s="49">
        <f>IFERROR(VLOOKUP($L43,'0805'!$A:$D,4,0),0)</f>
        <v>261</v>
      </c>
      <c r="P43" s="49">
        <f>IFERROR(VLOOKUP($L43,'0806'!$A:$D,4,0),0)</f>
        <v>404</v>
      </c>
      <c r="Q43" s="59">
        <f t="shared" si="1"/>
        <v>665</v>
      </c>
      <c r="R43" s="72">
        <f t="shared" si="2"/>
        <v>-235.17999999999995</v>
      </c>
      <c r="S43" s="69"/>
      <c r="T43" s="60" t="s">
        <v>6102</v>
      </c>
      <c r="U43" s="60">
        <v>600</v>
      </c>
      <c r="V43" s="60" t="s">
        <v>6097</v>
      </c>
      <c r="W43" s="60"/>
    </row>
    <row r="44" spans="1:23" ht="13.5" x14ac:dyDescent="0.25">
      <c r="A44" s="45">
        <v>4002385</v>
      </c>
      <c r="B44" s="46" t="s">
        <v>73</v>
      </c>
      <c r="C44" s="47">
        <f>SUMIF('LISTA TECNICA'!$I:$I,$A44,'LISTA TECNICA'!$P:$P)</f>
        <v>0</v>
      </c>
      <c r="D44" s="66">
        <f>IFERROR(VLOOKUP($A44,'0802'!$A:$D,4,0),0)</f>
        <v>7300</v>
      </c>
      <c r="E44" s="72">
        <f t="shared" si="4"/>
        <v>7300</v>
      </c>
      <c r="F44" s="69"/>
      <c r="G44" s="60"/>
      <c r="H44" s="60"/>
      <c r="I44" s="60"/>
      <c r="J44" s="60"/>
      <c r="L44" s="45">
        <v>4013164</v>
      </c>
      <c r="M44" s="46" t="s">
        <v>718</v>
      </c>
      <c r="N44" s="47">
        <f>SUMIF('LISTA TECNICA'!$I:$I,$L44,'LISTA TECNICA'!$P:$P)</f>
        <v>5955.9499999999989</v>
      </c>
      <c r="O44" s="49">
        <f>IFERROR(VLOOKUP($L44,'0805'!$A:$D,4,0),0)</f>
        <v>5007</v>
      </c>
      <c r="P44" s="49">
        <f>IFERROR(VLOOKUP($L44,'0806'!$A:$D,4,0),0)</f>
        <v>432</v>
      </c>
      <c r="Q44" s="59">
        <f t="shared" si="1"/>
        <v>5439</v>
      </c>
      <c r="R44" s="72">
        <f t="shared" si="2"/>
        <v>-516.94999999999891</v>
      </c>
      <c r="S44" s="69"/>
      <c r="T44" s="60" t="s">
        <v>6103</v>
      </c>
      <c r="U44" s="82">
        <v>2000</v>
      </c>
      <c r="V44" s="60" t="s">
        <v>6104</v>
      </c>
      <c r="W44" s="60"/>
    </row>
    <row r="45" spans="1:23" ht="13.5" x14ac:dyDescent="0.25">
      <c r="A45" s="45">
        <v>4002386</v>
      </c>
      <c r="B45" s="46" t="s">
        <v>77</v>
      </c>
      <c r="C45" s="47">
        <f>SUMIF('LISTA TECNICA'!$I:$I,$A45,'LISTA TECNICA'!$P:$P)</f>
        <v>4200</v>
      </c>
      <c r="D45" s="66">
        <f>IFERROR(VLOOKUP($A45,'0802'!$A:$D,4,0),0)</f>
        <v>5972</v>
      </c>
      <c r="E45" s="72">
        <f t="shared" si="4"/>
        <v>1772</v>
      </c>
      <c r="F45" s="69"/>
      <c r="G45" s="60"/>
      <c r="H45" s="60"/>
      <c r="I45" s="60"/>
      <c r="J45" s="60"/>
      <c r="L45" s="45">
        <v>4005953</v>
      </c>
      <c r="M45" s="46" t="s">
        <v>1267</v>
      </c>
      <c r="N45" s="47">
        <f>SUMIF('LISTA TECNICA'!$I:$I,$L45,'LISTA TECNICA'!$P:$P)</f>
        <v>600.12</v>
      </c>
      <c r="O45" s="49">
        <f>IFERROR(VLOOKUP($L45,'0805'!$A:$D,4,0),0)</f>
        <v>1170</v>
      </c>
      <c r="P45" s="49">
        <f>IFERROR(VLOOKUP($L45,'0806'!$A:$D,4,0),0)</f>
        <v>0</v>
      </c>
      <c r="Q45" s="59">
        <f t="shared" si="1"/>
        <v>1170</v>
      </c>
      <c r="R45" s="72">
        <f t="shared" si="2"/>
        <v>569.88</v>
      </c>
      <c r="S45" s="69"/>
      <c r="T45" s="60"/>
      <c r="U45" s="60"/>
      <c r="V45" s="60"/>
      <c r="W45" s="60"/>
    </row>
    <row r="46" spans="1:23" x14ac:dyDescent="0.25">
      <c r="A46" s="45">
        <v>4002387</v>
      </c>
      <c r="B46" s="46" t="s">
        <v>80</v>
      </c>
      <c r="C46" s="47">
        <f>SUMIF('LISTA TECNICA'!$I:$I,$A46,'LISTA TECNICA'!$P:$P)</f>
        <v>0</v>
      </c>
      <c r="D46" s="66">
        <f>IFERROR(VLOOKUP($A46,'0802'!$A:$D,4,0),0)</f>
        <v>8800</v>
      </c>
      <c r="E46" s="72">
        <f t="shared" si="4"/>
        <v>8800</v>
      </c>
      <c r="F46" s="69"/>
      <c r="G46" s="60"/>
      <c r="H46" s="60"/>
      <c r="I46" s="60"/>
      <c r="J46" s="60"/>
      <c r="L46"/>
      <c r="M46"/>
      <c r="N46"/>
      <c r="O46"/>
      <c r="P46"/>
      <c r="Q46"/>
      <c r="R46"/>
      <c r="S46"/>
      <c r="T46"/>
      <c r="U46"/>
      <c r="V46"/>
      <c r="W46"/>
    </row>
    <row r="47" spans="1:23" ht="15.75" thickBot="1" x14ac:dyDescent="0.3">
      <c r="A47" s="45">
        <v>4010200</v>
      </c>
      <c r="B47" s="46" t="s">
        <v>1276</v>
      </c>
      <c r="C47" s="47">
        <f>SUMIF('LISTA TECNICA'!$I:$I,$A47,'LISTA TECNICA'!$P:$P)</f>
        <v>1826</v>
      </c>
      <c r="D47" s="66">
        <f>IFERROR(VLOOKUP($A47,'0802'!$A:$D,4,0),0)</f>
        <v>1816</v>
      </c>
      <c r="E47" s="72">
        <f t="shared" si="4"/>
        <v>-10</v>
      </c>
      <c r="F47" s="69"/>
      <c r="G47" s="60" t="s">
        <v>6077</v>
      </c>
      <c r="H47" s="82">
        <v>1500</v>
      </c>
      <c r="I47" s="60" t="s">
        <v>6078</v>
      </c>
      <c r="J47" s="60"/>
      <c r="L47"/>
      <c r="M47"/>
      <c r="N47"/>
      <c r="O47"/>
      <c r="P47"/>
      <c r="Q47"/>
      <c r="R47"/>
      <c r="S47"/>
      <c r="T47"/>
      <c r="U47"/>
      <c r="V47"/>
      <c r="W47"/>
    </row>
    <row r="48" spans="1:23" ht="14.25" thickBot="1" x14ac:dyDescent="0.3">
      <c r="A48" s="45">
        <v>4010201</v>
      </c>
      <c r="B48" s="46" t="s">
        <v>1303</v>
      </c>
      <c r="C48" s="47">
        <f>SUMIF('LISTA TECNICA'!$I:$I,$A48,'LISTA TECNICA'!$P:$P)</f>
        <v>1512</v>
      </c>
      <c r="D48" s="66">
        <f>IFERROR(VLOOKUP($A48,'0802'!$A:$D,4,0),0)</f>
        <v>3072</v>
      </c>
      <c r="E48" s="72">
        <f t="shared" si="4"/>
        <v>1560</v>
      </c>
      <c r="F48" s="69"/>
      <c r="G48" s="60"/>
      <c r="H48" s="60"/>
      <c r="I48" s="60"/>
      <c r="J48" s="60"/>
      <c r="L48" s="86" t="s">
        <v>6081</v>
      </c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8"/>
    </row>
    <row r="49" spans="1:23" ht="14.25" thickBot="1" x14ac:dyDescent="0.3">
      <c r="A49" s="45">
        <v>4002435</v>
      </c>
      <c r="B49" s="46" t="s">
        <v>170</v>
      </c>
      <c r="C49" s="47">
        <f>SUMIF('LISTA TECNICA'!$I:$I,$A49,'LISTA TECNICA'!$P:$P)</f>
        <v>0</v>
      </c>
      <c r="D49" s="66">
        <f>IFERROR(VLOOKUP($A49,'0802'!$A:$D,4,0),0)</f>
        <v>7900</v>
      </c>
      <c r="E49" s="72">
        <f t="shared" si="4"/>
        <v>7900</v>
      </c>
      <c r="F49" s="69"/>
      <c r="G49" s="60" t="s">
        <v>6128</v>
      </c>
      <c r="H49" s="82">
        <v>1274</v>
      </c>
      <c r="I49" s="60" t="s">
        <v>6129</v>
      </c>
      <c r="J49" s="60"/>
      <c r="L49" s="53" t="s">
        <v>5</v>
      </c>
      <c r="M49" s="54" t="s">
        <v>2052</v>
      </c>
      <c r="N49" s="55" t="s">
        <v>2053</v>
      </c>
      <c r="O49" s="54">
        <v>805</v>
      </c>
      <c r="P49" s="54">
        <v>806</v>
      </c>
      <c r="Q49" s="57" t="s">
        <v>6068</v>
      </c>
      <c r="R49" s="70" t="s">
        <v>6069</v>
      </c>
      <c r="S49" s="67" t="s">
        <v>6072</v>
      </c>
      <c r="T49" s="63" t="s">
        <v>6073</v>
      </c>
      <c r="U49" s="63" t="s">
        <v>6136</v>
      </c>
      <c r="V49" s="63" t="s">
        <v>6076</v>
      </c>
      <c r="W49" s="64" t="s">
        <v>6074</v>
      </c>
    </row>
    <row r="50" spans="1:23" ht="13.5" x14ac:dyDescent="0.25">
      <c r="A50" s="45">
        <v>4014900</v>
      </c>
      <c r="B50" s="46" t="s">
        <v>1355</v>
      </c>
      <c r="C50" s="47">
        <f>SUMIF('LISTA TECNICA'!$I:$I,$A50,'LISTA TECNICA'!$P:$P)</f>
        <v>0</v>
      </c>
      <c r="D50" s="66">
        <f>IFERROR(VLOOKUP($A50,'0802'!$A:$D,4,0),0)</f>
        <v>7580</v>
      </c>
      <c r="E50" s="72">
        <f t="shared" si="4"/>
        <v>7580</v>
      </c>
      <c r="F50" s="69"/>
      <c r="G50" s="60"/>
      <c r="H50" s="60"/>
      <c r="I50" s="60"/>
      <c r="J50" s="60"/>
      <c r="L50" s="45">
        <v>4013372</v>
      </c>
      <c r="M50" s="46" t="s">
        <v>1238</v>
      </c>
      <c r="N50" s="47">
        <f>SUMIF('LISTA TECNICA'!$I:$I,$L50,'LISTA TECNICA'!$P:$P)</f>
        <v>0</v>
      </c>
      <c r="O50" s="49">
        <f>IFERROR(VLOOKUP($L50,'0805'!$A:$D,4,0),0)</f>
        <v>365</v>
      </c>
      <c r="P50" s="49">
        <f>IFERROR(VLOOKUP($L50,'0806'!$A:$D,4,0),0)</f>
        <v>0</v>
      </c>
      <c r="Q50" s="59">
        <f t="shared" ref="Q50:Q81" si="5">P50+O50</f>
        <v>365</v>
      </c>
      <c r="R50" s="72">
        <f t="shared" ref="R50:R81" si="6">Q50-N50</f>
        <v>365</v>
      </c>
      <c r="S50" s="69"/>
      <c r="T50" s="60"/>
      <c r="U50" s="60"/>
      <c r="V50" s="60"/>
      <c r="W50" s="60"/>
    </row>
    <row r="51" spans="1:23" ht="13.5" x14ac:dyDescent="0.25">
      <c r="A51" s="45">
        <v>4014899</v>
      </c>
      <c r="B51" s="46" t="s">
        <v>1359</v>
      </c>
      <c r="C51" s="47">
        <f>SUMIF('LISTA TECNICA'!$I:$I,$A51,'LISTA TECNICA'!$P:$P)</f>
        <v>0</v>
      </c>
      <c r="D51" s="66">
        <f>IFERROR(VLOOKUP($A51,'0802'!$A:$D,4,0),0)</f>
        <v>4660</v>
      </c>
      <c r="E51" s="72">
        <f t="shared" si="4"/>
        <v>4660</v>
      </c>
      <c r="F51" s="69"/>
      <c r="G51" s="60"/>
      <c r="H51" s="60"/>
      <c r="I51" s="60"/>
      <c r="J51" s="60"/>
      <c r="L51" s="45">
        <v>4003870</v>
      </c>
      <c r="M51" s="46" t="s">
        <v>457</v>
      </c>
      <c r="N51" s="47">
        <f>SUMIF('LISTA TECNICA'!$I:$I,$L51,'LISTA TECNICA'!$P:$P)</f>
        <v>30</v>
      </c>
      <c r="O51" s="49">
        <f>IFERROR(VLOOKUP($L51,'0805'!$A:$D,4,0),0)</f>
        <v>253</v>
      </c>
      <c r="P51" s="49">
        <f>IFERROR(VLOOKUP($L51,'0806'!$A:$D,4,0),0)</f>
        <v>0</v>
      </c>
      <c r="Q51" s="59">
        <f t="shared" si="5"/>
        <v>253</v>
      </c>
      <c r="R51" s="72">
        <f t="shared" si="6"/>
        <v>223</v>
      </c>
      <c r="S51" s="69"/>
      <c r="T51" s="60"/>
      <c r="U51" s="60"/>
      <c r="V51" s="60"/>
      <c r="W51" s="60"/>
    </row>
    <row r="52" spans="1:23" ht="13.5" x14ac:dyDescent="0.25">
      <c r="A52" s="45">
        <v>4014902</v>
      </c>
      <c r="B52" s="46" t="s">
        <v>1363</v>
      </c>
      <c r="C52" s="47">
        <f>SUMIF('LISTA TECNICA'!$I:$I,$A52,'LISTA TECNICA'!$P:$P)</f>
        <v>0</v>
      </c>
      <c r="D52" s="66">
        <f>IFERROR(VLOOKUP($A52,'0802'!$A:$D,4,0),0)</f>
        <v>3690</v>
      </c>
      <c r="E52" s="72">
        <f t="shared" si="4"/>
        <v>3690</v>
      </c>
      <c r="F52" s="69"/>
      <c r="G52" s="60"/>
      <c r="H52" s="60"/>
      <c r="I52" s="60"/>
      <c r="J52" s="60"/>
      <c r="L52" s="45">
        <v>4003871</v>
      </c>
      <c r="M52" s="46" t="s">
        <v>1244</v>
      </c>
      <c r="N52" s="47">
        <f>SUMIF('LISTA TECNICA'!$I:$I,$L52,'LISTA TECNICA'!$P:$P)</f>
        <v>100.08</v>
      </c>
      <c r="O52" s="49">
        <f>IFERROR(VLOOKUP($L52,'0805'!$A:$D,4,0),0)</f>
        <v>731</v>
      </c>
      <c r="P52" s="49">
        <f>IFERROR(VLOOKUP($L52,'0806'!$A:$D,4,0),0)</f>
        <v>0</v>
      </c>
      <c r="Q52" s="59">
        <f t="shared" si="5"/>
        <v>731</v>
      </c>
      <c r="R52" s="72">
        <f t="shared" si="6"/>
        <v>630.91999999999996</v>
      </c>
      <c r="S52" s="69"/>
      <c r="T52" s="60"/>
      <c r="U52" s="60"/>
      <c r="V52" s="60"/>
      <c r="W52" s="60"/>
    </row>
    <row r="53" spans="1:23" ht="13.5" x14ac:dyDescent="0.25">
      <c r="A53" s="45">
        <v>4014901</v>
      </c>
      <c r="B53" s="46" t="s">
        <v>1367</v>
      </c>
      <c r="C53" s="47">
        <f>SUMIF('LISTA TECNICA'!$I:$I,$A53,'LISTA TECNICA'!$P:$P)</f>
        <v>0</v>
      </c>
      <c r="D53" s="66">
        <f>IFERROR(VLOOKUP($A53,'0802'!$A:$D,4,0),0)</f>
        <v>4650</v>
      </c>
      <c r="E53" s="72">
        <f t="shared" si="4"/>
        <v>4650</v>
      </c>
      <c r="F53" s="69"/>
      <c r="G53" s="60"/>
      <c r="H53" s="60"/>
      <c r="I53" s="60"/>
      <c r="J53" s="60"/>
      <c r="L53" s="45">
        <v>4003873</v>
      </c>
      <c r="M53" s="46" t="s">
        <v>326</v>
      </c>
      <c r="N53" s="47">
        <f>SUMIF('LISTA TECNICA'!$I:$I,$L53,'LISTA TECNICA'!$P:$P)</f>
        <v>2200</v>
      </c>
      <c r="O53" s="49">
        <f>IFERROR(VLOOKUP($L53,'0805'!$A:$D,4,0),0)</f>
        <v>1585</v>
      </c>
      <c r="P53" s="49">
        <f>IFERROR(VLOOKUP($L53,'0806'!$A:$D,4,0),0)</f>
        <v>0</v>
      </c>
      <c r="Q53" s="59">
        <f t="shared" si="5"/>
        <v>1585</v>
      </c>
      <c r="R53" s="72">
        <f t="shared" si="6"/>
        <v>-615</v>
      </c>
      <c r="S53" s="69"/>
      <c r="T53" s="60" t="s">
        <v>6105</v>
      </c>
      <c r="U53" s="82">
        <v>1300</v>
      </c>
      <c r="V53" s="60" t="s">
        <v>6106</v>
      </c>
      <c r="W53" s="60"/>
    </row>
    <row r="54" spans="1:23" ht="13.5" x14ac:dyDescent="0.25">
      <c r="A54" s="45">
        <v>4002439</v>
      </c>
      <c r="B54" s="46" t="s">
        <v>178</v>
      </c>
      <c r="C54" s="47">
        <f>SUMIF('LISTA TECNICA'!$I:$I,$A54,'LISTA TECNICA'!$P:$P)</f>
        <v>600</v>
      </c>
      <c r="D54" s="66">
        <f>IFERROR(VLOOKUP($A54,'0802'!$A:$D,4,0),0)</f>
        <v>27288</v>
      </c>
      <c r="E54" s="72">
        <f t="shared" si="4"/>
        <v>26688</v>
      </c>
      <c r="F54" s="69"/>
      <c r="G54" s="60"/>
      <c r="H54" s="60"/>
      <c r="I54" s="60"/>
      <c r="J54" s="60"/>
      <c r="L54" s="45">
        <v>4001138</v>
      </c>
      <c r="M54" s="46" t="s">
        <v>461</v>
      </c>
      <c r="N54" s="47">
        <f>SUMIF('LISTA TECNICA'!$I:$I,$L54,'LISTA TECNICA'!$P:$P)</f>
        <v>40</v>
      </c>
      <c r="O54" s="49">
        <f>IFERROR(VLOOKUP($L54,'0805'!$A:$D,4,0),0)</f>
        <v>347</v>
      </c>
      <c r="P54" s="49">
        <f>IFERROR(VLOOKUP($L54,'0806'!$A:$D,4,0),0)</f>
        <v>20</v>
      </c>
      <c r="Q54" s="59">
        <f t="shared" si="5"/>
        <v>367</v>
      </c>
      <c r="R54" s="72">
        <f t="shared" si="6"/>
        <v>327</v>
      </c>
      <c r="S54" s="69"/>
      <c r="T54" s="60"/>
      <c r="U54" s="60"/>
      <c r="V54" s="60"/>
      <c r="W54" s="60"/>
    </row>
    <row r="55" spans="1:23" ht="13.5" x14ac:dyDescent="0.25">
      <c r="A55" s="45">
        <v>4002474</v>
      </c>
      <c r="B55" s="46" t="s">
        <v>366</v>
      </c>
      <c r="C55" s="47">
        <f>SUMIF('LISTA TECNICA'!$I:$I,$A55,'LISTA TECNICA'!$P:$P)</f>
        <v>3162</v>
      </c>
      <c r="D55" s="66">
        <f>IFERROR(VLOOKUP($A55,'0802'!$A:$D,4,0),0)</f>
        <v>29900</v>
      </c>
      <c r="E55" s="72">
        <f t="shared" si="4"/>
        <v>26738</v>
      </c>
      <c r="F55" s="69"/>
      <c r="G55" s="60"/>
      <c r="H55" s="60"/>
      <c r="I55" s="60"/>
      <c r="J55" s="60"/>
      <c r="L55" s="45">
        <v>4001140</v>
      </c>
      <c r="M55" s="46" t="s">
        <v>256</v>
      </c>
      <c r="N55" s="47">
        <f>SUMIF('LISTA TECNICA'!$I:$I,$L55,'LISTA TECNICA'!$P:$P)</f>
        <v>200.16</v>
      </c>
      <c r="O55" s="49">
        <f>IFERROR(VLOOKUP($L55,'0805'!$A:$D,4,0),0)</f>
        <v>454</v>
      </c>
      <c r="P55" s="49">
        <f>IFERROR(VLOOKUP($L55,'0806'!$A:$D,4,0),0)</f>
        <v>0</v>
      </c>
      <c r="Q55" s="59">
        <f t="shared" si="5"/>
        <v>454</v>
      </c>
      <c r="R55" s="72">
        <f t="shared" si="6"/>
        <v>253.84</v>
      </c>
      <c r="S55" s="69"/>
      <c r="T55" s="60"/>
      <c r="U55" s="60"/>
      <c r="V55" s="60"/>
      <c r="W55" s="60"/>
    </row>
    <row r="56" spans="1:23" ht="13.5" x14ac:dyDescent="0.25">
      <c r="A56" s="45">
        <v>4004927</v>
      </c>
      <c r="B56" s="46" t="s">
        <v>373</v>
      </c>
      <c r="C56" s="47">
        <f>SUMIF('LISTA TECNICA'!$I:$I,$A56,'LISTA TECNICA'!$P:$P)</f>
        <v>3600</v>
      </c>
      <c r="D56" s="66">
        <f>IFERROR(VLOOKUP($A56,'0802'!$A:$D,4,0),0)</f>
        <v>12791</v>
      </c>
      <c r="E56" s="72">
        <f t="shared" si="4"/>
        <v>9191</v>
      </c>
      <c r="F56" s="69"/>
      <c r="G56" s="60"/>
      <c r="H56" s="60"/>
      <c r="I56" s="60"/>
      <c r="J56" s="60"/>
      <c r="L56" s="45">
        <v>4001141</v>
      </c>
      <c r="M56" s="46" t="s">
        <v>270</v>
      </c>
      <c r="N56" s="47">
        <f>SUMIF('LISTA TECNICA'!$I:$I,$L56,'LISTA TECNICA'!$P:$P)</f>
        <v>0</v>
      </c>
      <c r="O56" s="49">
        <f>IFERROR(VLOOKUP($L56,'0805'!$A:$D,4,0),0)</f>
        <v>1010</v>
      </c>
      <c r="P56" s="49">
        <f>IFERROR(VLOOKUP($L56,'0806'!$A:$D,4,0),0)</f>
        <v>22</v>
      </c>
      <c r="Q56" s="59">
        <f t="shared" si="5"/>
        <v>1032</v>
      </c>
      <c r="R56" s="72">
        <f t="shared" si="6"/>
        <v>1032</v>
      </c>
      <c r="S56" s="69"/>
      <c r="T56" s="60"/>
      <c r="U56" s="60"/>
      <c r="V56" s="60"/>
      <c r="W56" s="60"/>
    </row>
    <row r="57" spans="1:23" ht="13.5" x14ac:dyDescent="0.25">
      <c r="A57" s="45">
        <v>4002476</v>
      </c>
      <c r="B57" s="46" t="s">
        <v>383</v>
      </c>
      <c r="C57" s="47">
        <f>SUMIF('LISTA TECNICA'!$I:$I,$A57,'LISTA TECNICA'!$P:$P)</f>
        <v>3612</v>
      </c>
      <c r="D57" s="66">
        <f>IFERROR(VLOOKUP($A57,'0802'!$A:$D,4,0),0)</f>
        <v>15120</v>
      </c>
      <c r="E57" s="72">
        <f t="shared" si="4"/>
        <v>11508</v>
      </c>
      <c r="F57" s="69"/>
      <c r="G57" s="60"/>
      <c r="H57" s="60"/>
      <c r="I57" s="60"/>
      <c r="J57" s="60"/>
      <c r="L57" s="45">
        <v>4001142</v>
      </c>
      <c r="M57" s="46" t="s">
        <v>261</v>
      </c>
      <c r="N57" s="47">
        <f>SUMIF('LISTA TECNICA'!$I:$I,$L57,'LISTA TECNICA'!$P:$P)</f>
        <v>50</v>
      </c>
      <c r="O57" s="49">
        <f>IFERROR(VLOOKUP($L57,'0805'!$A:$D,4,0),0)</f>
        <v>1079</v>
      </c>
      <c r="P57" s="49">
        <f>IFERROR(VLOOKUP($L57,'0806'!$A:$D,4,0),0)</f>
        <v>0</v>
      </c>
      <c r="Q57" s="59">
        <f t="shared" si="5"/>
        <v>1079</v>
      </c>
      <c r="R57" s="72">
        <f t="shared" si="6"/>
        <v>1029</v>
      </c>
      <c r="S57" s="69"/>
      <c r="T57" s="60"/>
      <c r="U57" s="60"/>
      <c r="V57" s="60"/>
      <c r="W57" s="60"/>
    </row>
    <row r="58" spans="1:23" ht="13.5" x14ac:dyDescent="0.25">
      <c r="A58" s="45">
        <v>4005287</v>
      </c>
      <c r="B58" s="46" t="s">
        <v>739</v>
      </c>
      <c r="C58" s="47">
        <f>SUMIF('LISTA TECNICA'!$I:$I,$A58,'LISTA TECNICA'!$P:$P)</f>
        <v>0</v>
      </c>
      <c r="D58" s="66">
        <f>IFERROR(VLOOKUP($A58,'0802'!$A:$D,4,0),0)</f>
        <v>2904</v>
      </c>
      <c r="E58" s="72">
        <f t="shared" si="4"/>
        <v>2904</v>
      </c>
      <c r="F58" s="69"/>
      <c r="G58" s="60"/>
      <c r="H58" s="60"/>
      <c r="I58" s="60"/>
      <c r="J58" s="60"/>
      <c r="L58" s="45">
        <v>4001144</v>
      </c>
      <c r="M58" s="46" t="s">
        <v>574</v>
      </c>
      <c r="N58" s="47">
        <f>SUMIF('LISTA TECNICA'!$I:$I,$L58,'LISTA TECNICA'!$P:$P)</f>
        <v>0</v>
      </c>
      <c r="O58" s="49">
        <f>IFERROR(VLOOKUP($L58,'0805'!$A:$D,4,0),0)</f>
        <v>155</v>
      </c>
      <c r="P58" s="49">
        <f>IFERROR(VLOOKUP($L58,'0806'!$A:$D,4,0),0)</f>
        <v>0</v>
      </c>
      <c r="Q58" s="59">
        <f t="shared" si="5"/>
        <v>155</v>
      </c>
      <c r="R58" s="72">
        <f t="shared" si="6"/>
        <v>155</v>
      </c>
      <c r="S58" s="69"/>
      <c r="T58" s="60"/>
      <c r="U58" s="60"/>
      <c r="V58" s="60"/>
      <c r="W58" s="60"/>
    </row>
    <row r="59" spans="1:23" ht="13.5" x14ac:dyDescent="0.25">
      <c r="A59" s="45">
        <v>4004881</v>
      </c>
      <c r="B59" s="46" t="s">
        <v>1444</v>
      </c>
      <c r="C59" s="47">
        <f>SUMIF('LISTA TECNICA'!$I:$I,$A59,'LISTA TECNICA'!$P:$P)</f>
        <v>0</v>
      </c>
      <c r="D59" s="66">
        <f>IFERROR(VLOOKUP($A59,'0802'!$A:$D,4,0),0)</f>
        <v>1352</v>
      </c>
      <c r="E59" s="72">
        <f t="shared" si="4"/>
        <v>1352</v>
      </c>
      <c r="F59" s="69"/>
      <c r="G59" s="60"/>
      <c r="H59" s="60"/>
      <c r="I59" s="60"/>
      <c r="J59" s="60"/>
      <c r="L59" s="45">
        <v>4001146</v>
      </c>
      <c r="M59" s="46" t="s">
        <v>568</v>
      </c>
      <c r="N59" s="47">
        <f>SUMIF('LISTA TECNICA'!$I:$I,$L59,'LISTA TECNICA'!$P:$P)</f>
        <v>650.52</v>
      </c>
      <c r="O59" s="49">
        <f>IFERROR(VLOOKUP($L59,'0805'!$A:$D,4,0),0)</f>
        <v>1082</v>
      </c>
      <c r="P59" s="49">
        <f>IFERROR(VLOOKUP($L59,'0806'!$A:$D,4,0),0)</f>
        <v>55</v>
      </c>
      <c r="Q59" s="59">
        <f t="shared" si="5"/>
        <v>1137</v>
      </c>
      <c r="R59" s="72">
        <f t="shared" si="6"/>
        <v>486.48</v>
      </c>
      <c r="S59" s="69"/>
      <c r="T59" s="60" t="s">
        <v>6107</v>
      </c>
      <c r="U59" s="60">
        <v>-25</v>
      </c>
      <c r="V59" s="60" t="s">
        <v>6108</v>
      </c>
      <c r="W59" s="60"/>
    </row>
    <row r="60" spans="1:23" ht="13.5" x14ac:dyDescent="0.25">
      <c r="A60" s="45">
        <v>4002546</v>
      </c>
      <c r="B60" s="46" t="s">
        <v>179</v>
      </c>
      <c r="C60" s="47">
        <f>SUMIF('LISTA TECNICA'!$I:$I,$A60,'LISTA TECNICA'!$P:$P)</f>
        <v>8942.5135999999984</v>
      </c>
      <c r="D60" s="66">
        <f>IFERROR(VLOOKUP($A60,'0802'!$A:$D,4,0),0)</f>
        <v>353630</v>
      </c>
      <c r="E60" s="72">
        <f t="shared" si="4"/>
        <v>344687.48639999999</v>
      </c>
      <c r="F60" s="69"/>
      <c r="G60" s="60"/>
      <c r="H60" s="60"/>
      <c r="I60" s="60"/>
      <c r="J60" s="60"/>
      <c r="L60" s="45">
        <v>4003874</v>
      </c>
      <c r="M60" s="46" t="s">
        <v>563</v>
      </c>
      <c r="N60" s="47">
        <f>SUMIF('LISTA TECNICA'!$I:$I,$L60,'LISTA TECNICA'!$P:$P)</f>
        <v>300.24</v>
      </c>
      <c r="O60" s="49">
        <f>IFERROR(VLOOKUP($L60,'0805'!$A:$D,4,0),0)</f>
        <v>626</v>
      </c>
      <c r="P60" s="49">
        <f>IFERROR(VLOOKUP($L60,'0806'!$A:$D,4,0),0)</f>
        <v>11</v>
      </c>
      <c r="Q60" s="59">
        <f t="shared" si="5"/>
        <v>637</v>
      </c>
      <c r="R60" s="72">
        <f t="shared" si="6"/>
        <v>336.76</v>
      </c>
      <c r="S60" s="69"/>
      <c r="T60" s="60"/>
      <c r="U60" s="60"/>
      <c r="V60" s="60"/>
      <c r="W60" s="60"/>
    </row>
    <row r="61" spans="1:23" ht="13.5" x14ac:dyDescent="0.25">
      <c r="A61" s="45">
        <v>4005285</v>
      </c>
      <c r="B61" s="46" t="s">
        <v>1770</v>
      </c>
      <c r="C61" s="47">
        <f>SUMIF('LISTA TECNICA'!$I:$I,$A61,'LISTA TECNICA'!$P:$P)</f>
        <v>0</v>
      </c>
      <c r="D61" s="66">
        <f>IFERROR(VLOOKUP($A61,'0802'!$A:$D,4,0),0)</f>
        <v>0</v>
      </c>
      <c r="E61" s="72">
        <f t="shared" si="4"/>
        <v>0</v>
      </c>
      <c r="F61" s="69"/>
      <c r="G61" s="60"/>
      <c r="H61" s="60"/>
      <c r="I61" s="60"/>
      <c r="J61" s="60"/>
      <c r="L61" s="45">
        <v>4001151</v>
      </c>
      <c r="M61" s="46" t="s">
        <v>584</v>
      </c>
      <c r="N61" s="47">
        <f>SUMIF('LISTA TECNICA'!$I:$I,$L61,'LISTA TECNICA'!$P:$P)</f>
        <v>100.08</v>
      </c>
      <c r="O61" s="49">
        <f>IFERROR(VLOOKUP($L61,'0805'!$A:$D,4,0),0)</f>
        <v>411</v>
      </c>
      <c r="P61" s="49">
        <f>IFERROR(VLOOKUP($L61,'0806'!$A:$D,4,0),0)</f>
        <v>0</v>
      </c>
      <c r="Q61" s="59">
        <f t="shared" si="5"/>
        <v>411</v>
      </c>
      <c r="R61" s="72">
        <f t="shared" si="6"/>
        <v>310.92</v>
      </c>
      <c r="S61" s="69"/>
      <c r="T61" s="60"/>
      <c r="U61" s="60"/>
      <c r="V61" s="60"/>
      <c r="W61" s="60"/>
    </row>
    <row r="62" spans="1:23" ht="13.5" x14ac:dyDescent="0.25">
      <c r="A62" s="45">
        <v>4013355</v>
      </c>
      <c r="B62" s="46" t="s">
        <v>892</v>
      </c>
      <c r="C62" s="47">
        <f>SUMIF('LISTA TECNICA'!$I:$I,$A62,'LISTA TECNICA'!$P:$P)</f>
        <v>0</v>
      </c>
      <c r="D62" s="66">
        <f>IFERROR(VLOOKUP($A62,'0802'!$A:$D,4,0),0)</f>
        <v>750</v>
      </c>
      <c r="E62" s="72">
        <f t="shared" si="4"/>
        <v>750</v>
      </c>
      <c r="F62" s="69"/>
      <c r="G62" s="60"/>
      <c r="H62" s="60"/>
      <c r="I62" s="60"/>
      <c r="J62" s="60"/>
      <c r="L62" s="45">
        <v>4001153</v>
      </c>
      <c r="M62" s="46" t="s">
        <v>124</v>
      </c>
      <c r="N62" s="47">
        <f>SUMIF('LISTA TECNICA'!$I:$I,$L62,'LISTA TECNICA'!$P:$P)</f>
        <v>0</v>
      </c>
      <c r="O62" s="49">
        <f>IFERROR(VLOOKUP($L62,'0805'!$A:$D,4,0),0)</f>
        <v>652</v>
      </c>
      <c r="P62" s="49">
        <f>IFERROR(VLOOKUP($L62,'0806'!$A:$D,4,0),0)</f>
        <v>0</v>
      </c>
      <c r="Q62" s="59">
        <f t="shared" si="5"/>
        <v>652</v>
      </c>
      <c r="R62" s="72">
        <f t="shared" si="6"/>
        <v>652</v>
      </c>
      <c r="S62" s="69"/>
      <c r="T62" s="60" t="s">
        <v>6109</v>
      </c>
      <c r="U62" s="60">
        <v>75</v>
      </c>
      <c r="V62" s="60" t="s">
        <v>6110</v>
      </c>
      <c r="W62" s="60"/>
    </row>
    <row r="63" spans="1:23" ht="13.5" x14ac:dyDescent="0.25">
      <c r="A63" s="45">
        <v>4013357</v>
      </c>
      <c r="B63" s="46" t="s">
        <v>897</v>
      </c>
      <c r="C63" s="47">
        <f>SUMIF('LISTA TECNICA'!$I:$I,$A63,'LISTA TECNICA'!$P:$P)</f>
        <v>0</v>
      </c>
      <c r="D63" s="66">
        <f>IFERROR(VLOOKUP($A63,'0802'!$A:$D,4,0),0)</f>
        <v>900</v>
      </c>
      <c r="E63" s="72">
        <f t="shared" si="4"/>
        <v>900</v>
      </c>
      <c r="F63" s="69"/>
      <c r="G63" s="60"/>
      <c r="H63" s="60"/>
      <c r="I63" s="60"/>
      <c r="J63" s="60"/>
      <c r="L63" s="45">
        <v>4001159</v>
      </c>
      <c r="M63" s="46" t="s">
        <v>251</v>
      </c>
      <c r="N63" s="47">
        <f>SUMIF('LISTA TECNICA'!$I:$I,$L63,'LISTA TECNICA'!$P:$P)</f>
        <v>950</v>
      </c>
      <c r="O63" s="49">
        <f>IFERROR(VLOOKUP($L63,'0805'!$A:$D,4,0),0)</f>
        <v>906</v>
      </c>
      <c r="P63" s="49">
        <f>IFERROR(VLOOKUP($L63,'0806'!$A:$D,4,0),0)</f>
        <v>236</v>
      </c>
      <c r="Q63" s="59">
        <f t="shared" si="5"/>
        <v>1142</v>
      </c>
      <c r="R63" s="72">
        <f t="shared" si="6"/>
        <v>192</v>
      </c>
      <c r="S63" s="69"/>
      <c r="T63" s="60"/>
      <c r="U63" s="60"/>
      <c r="V63" s="60"/>
      <c r="W63" s="60"/>
    </row>
    <row r="64" spans="1:23" ht="13.5" x14ac:dyDescent="0.25">
      <c r="A64" s="45">
        <v>4013353</v>
      </c>
      <c r="B64" s="46" t="s">
        <v>901</v>
      </c>
      <c r="C64" s="47">
        <f>SUMIF('LISTA TECNICA'!$I:$I,$A64,'LISTA TECNICA'!$P:$P)</f>
        <v>0</v>
      </c>
      <c r="D64" s="66">
        <f>IFERROR(VLOOKUP($A64,'0802'!$A:$D,4,0),0)</f>
        <v>0</v>
      </c>
      <c r="E64" s="72">
        <f t="shared" si="4"/>
        <v>0</v>
      </c>
      <c r="F64" s="69"/>
      <c r="G64" s="60"/>
      <c r="H64" s="60"/>
      <c r="I64" s="60"/>
      <c r="J64" s="60"/>
      <c r="L64" s="45">
        <v>4001161</v>
      </c>
      <c r="M64" s="46" t="s">
        <v>700</v>
      </c>
      <c r="N64" s="47">
        <f>SUMIF('LISTA TECNICA'!$I:$I,$L64,'LISTA TECNICA'!$P:$P)</f>
        <v>907.19999999999993</v>
      </c>
      <c r="O64" s="49">
        <f>IFERROR(VLOOKUP($L64,'0805'!$A:$D,4,0),0)</f>
        <v>213</v>
      </c>
      <c r="P64" s="49">
        <f>IFERROR(VLOOKUP($L64,'0806'!$A:$D,4,0),0)</f>
        <v>502</v>
      </c>
      <c r="Q64" s="59">
        <f t="shared" si="5"/>
        <v>715</v>
      </c>
      <c r="R64" s="72">
        <f t="shared" si="6"/>
        <v>-192.19999999999993</v>
      </c>
      <c r="S64" s="69"/>
      <c r="T64" s="60" t="s">
        <v>6111</v>
      </c>
      <c r="U64" s="60">
        <v>500</v>
      </c>
      <c r="V64" s="60" t="s">
        <v>6099</v>
      </c>
      <c r="W64" s="60"/>
    </row>
    <row r="65" spans="1:23" ht="13.5" x14ac:dyDescent="0.25">
      <c r="A65" s="45">
        <v>4013354</v>
      </c>
      <c r="B65" s="46" t="s">
        <v>905</v>
      </c>
      <c r="C65" s="47">
        <f>SUMIF('LISTA TECNICA'!$I:$I,$A65,'LISTA TECNICA'!$P:$P)</f>
        <v>0</v>
      </c>
      <c r="D65" s="66">
        <f>IFERROR(VLOOKUP($A65,'0802'!$A:$D,4,0),0)</f>
        <v>1600</v>
      </c>
      <c r="E65" s="72">
        <f t="shared" si="4"/>
        <v>1600</v>
      </c>
      <c r="F65" s="69"/>
      <c r="G65" s="60"/>
      <c r="H65" s="60"/>
      <c r="I65" s="60"/>
      <c r="J65" s="60"/>
      <c r="L65" s="45">
        <v>4001169</v>
      </c>
      <c r="M65" s="46" t="s">
        <v>131</v>
      </c>
      <c r="N65" s="47">
        <f>SUMIF('LISTA TECNICA'!$I:$I,$L65,'LISTA TECNICA'!$P:$P)</f>
        <v>100.08</v>
      </c>
      <c r="O65" s="49">
        <f>IFERROR(VLOOKUP($L65,'0805'!$A:$D,4,0),0)</f>
        <v>450</v>
      </c>
      <c r="P65" s="49">
        <f>IFERROR(VLOOKUP($L65,'0806'!$A:$D,4,0),0)</f>
        <v>0</v>
      </c>
      <c r="Q65" s="59">
        <f t="shared" si="5"/>
        <v>450</v>
      </c>
      <c r="R65" s="72">
        <f t="shared" si="6"/>
        <v>349.92</v>
      </c>
      <c r="S65" s="69"/>
      <c r="T65" s="60"/>
      <c r="U65" s="60"/>
      <c r="V65" s="60"/>
      <c r="W65" s="60"/>
    </row>
    <row r="66" spans="1:23" ht="13.5" x14ac:dyDescent="0.25">
      <c r="A66" s="45">
        <v>4012164</v>
      </c>
      <c r="B66" s="46" t="s">
        <v>908</v>
      </c>
      <c r="C66" s="47">
        <f>SUMIF('LISTA TECNICA'!$I:$I,$A66,'LISTA TECNICA'!$P:$P)</f>
        <v>0</v>
      </c>
      <c r="D66" s="66">
        <f>IFERROR(VLOOKUP($A66,'0802'!$A:$D,4,0),0)</f>
        <v>5129</v>
      </c>
      <c r="E66" s="72">
        <f t="shared" si="4"/>
        <v>5129</v>
      </c>
      <c r="F66" s="69"/>
      <c r="G66" s="60"/>
      <c r="H66" s="60"/>
      <c r="I66" s="60"/>
      <c r="J66" s="60"/>
      <c r="L66" s="45">
        <v>4014919</v>
      </c>
      <c r="M66" s="46" t="s">
        <v>1549</v>
      </c>
      <c r="N66" s="47">
        <f>SUMIF('LISTA TECNICA'!$I:$I,$L66,'LISTA TECNICA'!$P:$P)</f>
        <v>3707.4</v>
      </c>
      <c r="O66" s="49">
        <f>IFERROR(VLOOKUP($L66,'0805'!$A:$D,4,0),0)</f>
        <v>2385</v>
      </c>
      <c r="P66" s="49">
        <f>IFERROR(VLOOKUP($L66,'0806'!$A:$D,4,0),0)</f>
        <v>507</v>
      </c>
      <c r="Q66" s="59">
        <f t="shared" si="5"/>
        <v>2892</v>
      </c>
      <c r="R66" s="72">
        <f t="shared" si="6"/>
        <v>-815.40000000000009</v>
      </c>
      <c r="S66" s="69"/>
      <c r="T66" s="60" t="s">
        <v>6112</v>
      </c>
      <c r="U66" s="82">
        <v>1200</v>
      </c>
      <c r="V66" s="60" t="s">
        <v>6113</v>
      </c>
      <c r="W66" s="60"/>
    </row>
    <row r="67" spans="1:23" ht="13.5" x14ac:dyDescent="0.25">
      <c r="A67" s="45">
        <v>4012163</v>
      </c>
      <c r="B67" s="46" t="s">
        <v>915</v>
      </c>
      <c r="C67" s="47">
        <f>SUMIF('LISTA TECNICA'!$I:$I,$A67,'LISTA TECNICA'!$P:$P)</f>
        <v>0</v>
      </c>
      <c r="D67" s="66">
        <f>IFERROR(VLOOKUP($A67,'0802'!$A:$D,4,0),0)</f>
        <v>7247</v>
      </c>
      <c r="E67" s="72">
        <f t="shared" si="4"/>
        <v>7247</v>
      </c>
      <c r="F67" s="69"/>
      <c r="G67" s="60"/>
      <c r="H67" s="60"/>
      <c r="I67" s="60"/>
      <c r="J67" s="60"/>
      <c r="L67" s="45">
        <v>4001170</v>
      </c>
      <c r="M67" s="46" t="s">
        <v>705</v>
      </c>
      <c r="N67" s="47">
        <f>SUMIF('LISTA TECNICA'!$I:$I,$L67,'LISTA TECNICA'!$P:$P)</f>
        <v>3528</v>
      </c>
      <c r="O67" s="49">
        <f>IFERROR(VLOOKUP($L67,'0805'!$A:$D,4,0),0)</f>
        <v>2954</v>
      </c>
      <c r="P67" s="49">
        <f>IFERROR(VLOOKUP($L67,'0806'!$A:$D,4,0),0)</f>
        <v>77</v>
      </c>
      <c r="Q67" s="59">
        <f t="shared" si="5"/>
        <v>3031</v>
      </c>
      <c r="R67" s="72">
        <f t="shared" si="6"/>
        <v>-497</v>
      </c>
      <c r="S67" s="69"/>
      <c r="T67" s="60" t="s">
        <v>6114</v>
      </c>
      <c r="U67" s="82">
        <v>1100</v>
      </c>
      <c r="V67" s="60" t="s">
        <v>6099</v>
      </c>
      <c r="W67" s="60"/>
    </row>
    <row r="68" spans="1:23" ht="13.5" x14ac:dyDescent="0.25">
      <c r="A68" s="45">
        <v>4012172</v>
      </c>
      <c r="B68" s="46" t="s">
        <v>945</v>
      </c>
      <c r="C68" s="47">
        <f>SUMIF('LISTA TECNICA'!$I:$I,$A68,'LISTA TECNICA'!$P:$P)</f>
        <v>5000</v>
      </c>
      <c r="D68" s="66">
        <f>IFERROR(VLOOKUP($A68,'0802'!$A:$D,4,0),0)</f>
        <v>24420</v>
      </c>
      <c r="E68" s="72">
        <f t="shared" si="4"/>
        <v>19420</v>
      </c>
      <c r="F68" s="69"/>
      <c r="G68" s="60"/>
      <c r="H68" s="60"/>
      <c r="I68" s="60"/>
      <c r="J68" s="60"/>
      <c r="L68" s="45">
        <v>4001175</v>
      </c>
      <c r="M68" s="46" t="s">
        <v>247</v>
      </c>
      <c r="N68" s="47">
        <f>SUMIF('LISTA TECNICA'!$I:$I,$L68,'LISTA TECNICA'!$P:$P)</f>
        <v>0</v>
      </c>
      <c r="O68" s="49">
        <f>IFERROR(VLOOKUP($L68,'0805'!$A:$D,4,0),0)</f>
        <v>353</v>
      </c>
      <c r="P68" s="49">
        <f>IFERROR(VLOOKUP($L68,'0806'!$A:$D,4,0),0)</f>
        <v>0</v>
      </c>
      <c r="Q68" s="59">
        <f t="shared" si="5"/>
        <v>353</v>
      </c>
      <c r="R68" s="72">
        <f t="shared" si="6"/>
        <v>353</v>
      </c>
      <c r="S68" s="69"/>
      <c r="T68" s="60"/>
      <c r="U68" s="60"/>
      <c r="V68" s="60"/>
      <c r="W68" s="60"/>
    </row>
    <row r="69" spans="1:23" ht="13.5" x14ac:dyDescent="0.25">
      <c r="A69" s="45">
        <v>4012174</v>
      </c>
      <c r="B69" s="46" t="s">
        <v>948</v>
      </c>
      <c r="C69" s="47">
        <f>SUMIF('LISTA TECNICA'!$I:$I,$A69,'LISTA TECNICA'!$P:$P)</f>
        <v>0</v>
      </c>
      <c r="D69" s="66">
        <f>IFERROR(VLOOKUP($A69,'0802'!$A:$D,4,0),0)</f>
        <v>8152</v>
      </c>
      <c r="E69" s="72">
        <f t="shared" si="4"/>
        <v>8152</v>
      </c>
      <c r="F69" s="69"/>
      <c r="G69" s="60"/>
      <c r="H69" s="60"/>
      <c r="I69" s="60"/>
      <c r="J69" s="60"/>
      <c r="L69" s="45">
        <v>4001178</v>
      </c>
      <c r="M69" s="46" t="s">
        <v>476</v>
      </c>
      <c r="N69" s="47">
        <f>SUMIF('LISTA TECNICA'!$I:$I,$L69,'LISTA TECNICA'!$P:$P)</f>
        <v>0</v>
      </c>
      <c r="O69" s="49">
        <f>IFERROR(VLOOKUP($L69,'0805'!$A:$D,4,0),0)</f>
        <v>367</v>
      </c>
      <c r="P69" s="49">
        <f>IFERROR(VLOOKUP($L69,'0806'!$A:$D,4,0),0)</f>
        <v>0</v>
      </c>
      <c r="Q69" s="59">
        <f t="shared" si="5"/>
        <v>367</v>
      </c>
      <c r="R69" s="72">
        <f t="shared" si="6"/>
        <v>367</v>
      </c>
      <c r="S69" s="69"/>
      <c r="T69" s="60"/>
      <c r="U69" s="60"/>
      <c r="V69" s="60"/>
      <c r="W69" s="60"/>
    </row>
    <row r="70" spans="1:23" ht="13.5" x14ac:dyDescent="0.25">
      <c r="A70" s="45">
        <v>4012171</v>
      </c>
      <c r="B70" s="46" t="s">
        <v>951</v>
      </c>
      <c r="C70" s="47">
        <f>SUMIF('LISTA TECNICA'!$I:$I,$A70,'LISTA TECNICA'!$P:$P)</f>
        <v>700</v>
      </c>
      <c r="D70" s="66">
        <f>IFERROR(VLOOKUP($A70,'0802'!$A:$D,4,0),0)</f>
        <v>12748</v>
      </c>
      <c r="E70" s="72">
        <f t="shared" si="4"/>
        <v>12048</v>
      </c>
      <c r="F70" s="69"/>
      <c r="G70" s="60"/>
      <c r="H70" s="60"/>
      <c r="I70" s="60"/>
      <c r="J70" s="60"/>
      <c r="L70" s="45">
        <v>4001183</v>
      </c>
      <c r="M70" s="46" t="s">
        <v>95</v>
      </c>
      <c r="N70" s="47">
        <f>SUMIF('LISTA TECNICA'!$I:$I,$L70,'LISTA TECNICA'!$P:$P)</f>
        <v>100.08</v>
      </c>
      <c r="O70" s="49">
        <f>IFERROR(VLOOKUP($L70,'0805'!$A:$D,4,0),0)</f>
        <v>129</v>
      </c>
      <c r="P70" s="49">
        <f>IFERROR(VLOOKUP($L70,'0806'!$A:$D,4,0),0)</f>
        <v>0</v>
      </c>
      <c r="Q70" s="59">
        <f t="shared" si="5"/>
        <v>129</v>
      </c>
      <c r="R70" s="72">
        <f t="shared" si="6"/>
        <v>28.92</v>
      </c>
      <c r="S70" s="69"/>
      <c r="T70" s="60" t="s">
        <v>6115</v>
      </c>
      <c r="U70" s="60">
        <v>400</v>
      </c>
      <c r="V70" s="60" t="s">
        <v>6106</v>
      </c>
      <c r="W70" s="60"/>
    </row>
    <row r="71" spans="1:23" ht="13.5" x14ac:dyDescent="0.25">
      <c r="A71" s="45">
        <v>4012173</v>
      </c>
      <c r="B71" s="46" t="s">
        <v>954</v>
      </c>
      <c r="C71" s="47">
        <f>SUMIF('LISTA TECNICA'!$I:$I,$A71,'LISTA TECNICA'!$P:$P)</f>
        <v>0</v>
      </c>
      <c r="D71" s="66">
        <f>IFERROR(VLOOKUP($A71,'0802'!$A:$D,4,0),0)</f>
        <v>4181</v>
      </c>
      <c r="E71" s="72">
        <f t="shared" si="4"/>
        <v>4181</v>
      </c>
      <c r="F71" s="69"/>
      <c r="G71" s="60"/>
      <c r="H71" s="60"/>
      <c r="I71" s="60"/>
      <c r="J71" s="60"/>
      <c r="L71" s="45">
        <v>4001195</v>
      </c>
      <c r="M71" s="46" t="s">
        <v>622</v>
      </c>
      <c r="N71" s="47">
        <f>SUMIF('LISTA TECNICA'!$I:$I,$L71,'LISTA TECNICA'!$P:$P)</f>
        <v>399.6</v>
      </c>
      <c r="O71" s="49">
        <f>IFERROR(VLOOKUP($L71,'0805'!$A:$D,4,0),0)</f>
        <v>0</v>
      </c>
      <c r="P71" s="49">
        <f>IFERROR(VLOOKUP($L71,'0806'!$A:$D,4,0),0)</f>
        <v>0</v>
      </c>
      <c r="Q71" s="59">
        <f t="shared" si="5"/>
        <v>0</v>
      </c>
      <c r="R71" s="72">
        <f t="shared" si="6"/>
        <v>-399.6</v>
      </c>
      <c r="S71" s="69"/>
      <c r="T71" s="60" t="s">
        <v>6116</v>
      </c>
      <c r="U71" s="60">
        <v>600</v>
      </c>
      <c r="V71" s="60" t="s">
        <v>6113</v>
      </c>
      <c r="W71" s="60"/>
    </row>
    <row r="72" spans="1:23" ht="13.5" x14ac:dyDescent="0.25">
      <c r="A72" s="45">
        <v>4012170</v>
      </c>
      <c r="B72" s="46" t="s">
        <v>960</v>
      </c>
      <c r="C72" s="47">
        <f>SUMIF('LISTA TECNICA'!$I:$I,$A72,'LISTA TECNICA'!$P:$P)</f>
        <v>900</v>
      </c>
      <c r="D72" s="66">
        <f>IFERROR(VLOOKUP($A72,'0802'!$A:$D,4,0),0)</f>
        <v>9500</v>
      </c>
      <c r="E72" s="72">
        <f t="shared" ref="E72:E98" si="7">D72-C72</f>
        <v>8600</v>
      </c>
      <c r="F72" s="69"/>
      <c r="G72" s="60"/>
      <c r="H72" s="60"/>
      <c r="I72" s="60"/>
      <c r="J72" s="60"/>
      <c r="L72" s="45">
        <v>4001196</v>
      </c>
      <c r="M72" s="46" t="s">
        <v>197</v>
      </c>
      <c r="N72" s="47">
        <f>SUMIF('LISTA TECNICA'!$I:$I,$L72,'LISTA TECNICA'!$P:$P)</f>
        <v>0</v>
      </c>
      <c r="O72" s="49">
        <f>IFERROR(VLOOKUP($L72,'0805'!$A:$D,4,0),0)</f>
        <v>108</v>
      </c>
      <c r="P72" s="49">
        <f>IFERROR(VLOOKUP($L72,'0806'!$A:$D,4,0),0)</f>
        <v>0</v>
      </c>
      <c r="Q72" s="59">
        <f t="shared" si="5"/>
        <v>108</v>
      </c>
      <c r="R72" s="72">
        <f t="shared" si="6"/>
        <v>108</v>
      </c>
      <c r="S72" s="69"/>
      <c r="T72" s="60"/>
      <c r="U72" s="60"/>
      <c r="V72" s="60"/>
      <c r="W72" s="60"/>
    </row>
    <row r="73" spans="1:23" ht="13.5" x14ac:dyDescent="0.25">
      <c r="A73" s="45">
        <v>4012167</v>
      </c>
      <c r="B73" s="46" t="s">
        <v>963</v>
      </c>
      <c r="C73" s="47">
        <f>SUMIF('LISTA TECNICA'!$I:$I,$A73,'LISTA TECNICA'!$P:$P)</f>
        <v>1400</v>
      </c>
      <c r="D73" s="66">
        <f>IFERROR(VLOOKUP($A73,'0802'!$A:$D,4,0),0)</f>
        <v>5832</v>
      </c>
      <c r="E73" s="72">
        <f t="shared" si="7"/>
        <v>4432</v>
      </c>
      <c r="F73" s="69"/>
      <c r="G73" s="60"/>
      <c r="H73" s="60"/>
      <c r="I73" s="60"/>
      <c r="J73" s="60"/>
      <c r="L73" s="45">
        <v>4001200</v>
      </c>
      <c r="M73" s="46" t="s">
        <v>640</v>
      </c>
      <c r="N73" s="47">
        <f>SUMIF('LISTA TECNICA'!$I:$I,$L73,'LISTA TECNICA'!$P:$P)</f>
        <v>100.08</v>
      </c>
      <c r="O73" s="49">
        <f>IFERROR(VLOOKUP($L73,'0805'!$A:$D,4,0),0)</f>
        <v>548</v>
      </c>
      <c r="P73" s="49">
        <f>IFERROR(VLOOKUP($L73,'0806'!$A:$D,4,0),0)</f>
        <v>0</v>
      </c>
      <c r="Q73" s="59">
        <f t="shared" si="5"/>
        <v>548</v>
      </c>
      <c r="R73" s="72">
        <f t="shared" si="6"/>
        <v>447.92</v>
      </c>
      <c r="S73" s="69"/>
      <c r="T73" s="60"/>
      <c r="U73" s="60"/>
      <c r="V73" s="60"/>
      <c r="W73" s="60"/>
    </row>
    <row r="74" spans="1:23" ht="13.5" x14ac:dyDescent="0.25">
      <c r="A74" s="45">
        <v>4012169</v>
      </c>
      <c r="B74" s="46" t="s">
        <v>966</v>
      </c>
      <c r="C74" s="47">
        <f>SUMIF('LISTA TECNICA'!$I:$I,$A74,'LISTA TECNICA'!$P:$P)</f>
        <v>800</v>
      </c>
      <c r="D74" s="66">
        <f>IFERROR(VLOOKUP($A74,'0802'!$A:$D,4,0),0)</f>
        <v>7512</v>
      </c>
      <c r="E74" s="72">
        <f t="shared" si="7"/>
        <v>6712</v>
      </c>
      <c r="F74" s="69"/>
      <c r="G74" s="60"/>
      <c r="H74" s="60"/>
      <c r="I74" s="60"/>
      <c r="J74" s="60"/>
      <c r="L74" s="45">
        <v>4001201</v>
      </c>
      <c r="M74" s="46" t="s">
        <v>608</v>
      </c>
      <c r="N74" s="47">
        <f>SUMIF('LISTA TECNICA'!$I:$I,$L74,'LISTA TECNICA'!$P:$P)</f>
        <v>100.08</v>
      </c>
      <c r="O74" s="49">
        <f>IFERROR(VLOOKUP($L74,'0805'!$A:$D,4,0),0)</f>
        <v>146</v>
      </c>
      <c r="P74" s="49">
        <f>IFERROR(VLOOKUP($L74,'0806'!$A:$D,4,0),0)</f>
        <v>0</v>
      </c>
      <c r="Q74" s="59">
        <f t="shared" si="5"/>
        <v>146</v>
      </c>
      <c r="R74" s="72">
        <f t="shared" si="6"/>
        <v>45.92</v>
      </c>
      <c r="S74" s="69"/>
      <c r="T74" s="60"/>
      <c r="U74" s="60"/>
      <c r="V74" s="60"/>
      <c r="W74" s="60"/>
    </row>
    <row r="75" spans="1:23" ht="27" x14ac:dyDescent="0.25">
      <c r="A75" s="45">
        <v>4012142</v>
      </c>
      <c r="B75" s="46" t="s">
        <v>971</v>
      </c>
      <c r="C75" s="47">
        <f>SUMIF('LISTA TECNICA'!$I:$I,$A75,'LISTA TECNICA'!$P:$P)</f>
        <v>1200</v>
      </c>
      <c r="D75" s="66">
        <f>IFERROR(VLOOKUP($A75,'0802'!$A:$D,4,0),0)</f>
        <v>2184</v>
      </c>
      <c r="E75" s="72">
        <f t="shared" si="7"/>
        <v>984</v>
      </c>
      <c r="F75" s="69"/>
      <c r="G75" s="60"/>
      <c r="H75" s="60"/>
      <c r="I75" s="60"/>
      <c r="J75" s="60"/>
      <c r="L75" s="45">
        <v>4001203</v>
      </c>
      <c r="M75" s="46" t="s">
        <v>208</v>
      </c>
      <c r="N75" s="47">
        <f>SUMIF('LISTA TECNICA'!$I:$I,$L75,'LISTA TECNICA'!$P:$P)</f>
        <v>604.79999999999995</v>
      </c>
      <c r="O75" s="49">
        <f>IFERROR(VLOOKUP($L75,'0805'!$A:$D,4,0),0)</f>
        <v>38</v>
      </c>
      <c r="P75" s="49">
        <f>IFERROR(VLOOKUP($L75,'0806'!$A:$D,4,0),0)</f>
        <v>4</v>
      </c>
      <c r="Q75" s="59">
        <f t="shared" si="5"/>
        <v>42</v>
      </c>
      <c r="R75" s="72">
        <f t="shared" si="6"/>
        <v>-562.79999999999995</v>
      </c>
      <c r="S75" s="69"/>
      <c r="T75" s="81" t="s">
        <v>6117</v>
      </c>
      <c r="U75" s="81" t="s">
        <v>6230</v>
      </c>
      <c r="V75" s="81" t="s">
        <v>6118</v>
      </c>
      <c r="W75" s="60"/>
    </row>
    <row r="76" spans="1:23" ht="13.5" x14ac:dyDescent="0.25">
      <c r="A76" s="45">
        <v>4012148</v>
      </c>
      <c r="B76" s="46" t="s">
        <v>975</v>
      </c>
      <c r="C76" s="47">
        <f>SUMIF('LISTA TECNICA'!$I:$I,$A76,'LISTA TECNICA'!$P:$P)</f>
        <v>0</v>
      </c>
      <c r="D76" s="66">
        <f>IFERROR(VLOOKUP($A76,'0802'!$A:$D,4,0),0)</f>
        <v>2955</v>
      </c>
      <c r="E76" s="72">
        <f t="shared" si="7"/>
        <v>2955</v>
      </c>
      <c r="F76" s="69"/>
      <c r="G76" s="60"/>
      <c r="H76" s="60"/>
      <c r="I76" s="60"/>
      <c r="J76" s="60"/>
      <c r="L76" s="45">
        <v>4001206</v>
      </c>
      <c r="M76" s="46" t="s">
        <v>189</v>
      </c>
      <c r="N76" s="47">
        <f>SUMIF('LISTA TECNICA'!$I:$I,$L76,'LISTA TECNICA'!$P:$P)</f>
        <v>1200.96</v>
      </c>
      <c r="O76" s="49">
        <f>IFERROR(VLOOKUP($L76,'0805'!$A:$D,4,0),0)</f>
        <v>1086</v>
      </c>
      <c r="P76" s="49">
        <f>IFERROR(VLOOKUP($L76,'0806'!$A:$D,4,0),0)</f>
        <v>0</v>
      </c>
      <c r="Q76" s="59">
        <f t="shared" si="5"/>
        <v>1086</v>
      </c>
      <c r="R76" s="72">
        <f t="shared" si="6"/>
        <v>-114.96000000000004</v>
      </c>
      <c r="S76" s="69"/>
      <c r="T76" s="60" t="s">
        <v>6119</v>
      </c>
      <c r="U76" s="60">
        <v>800</v>
      </c>
      <c r="V76" s="60" t="s">
        <v>6099</v>
      </c>
      <c r="W76" s="60"/>
    </row>
    <row r="77" spans="1:23" ht="13.5" x14ac:dyDescent="0.25">
      <c r="A77" s="45">
        <v>4012146</v>
      </c>
      <c r="B77" s="46" t="s">
        <v>979</v>
      </c>
      <c r="C77" s="47">
        <f>SUMIF('LISTA TECNICA'!$I:$I,$A77,'LISTA TECNICA'!$P:$P)</f>
        <v>0</v>
      </c>
      <c r="D77" s="66">
        <f>IFERROR(VLOOKUP($A77,'0802'!$A:$D,4,0),0)</f>
        <v>8864</v>
      </c>
      <c r="E77" s="72">
        <f t="shared" si="7"/>
        <v>8864</v>
      </c>
      <c r="F77" s="69"/>
      <c r="G77" s="60"/>
      <c r="H77" s="60"/>
      <c r="I77" s="60"/>
      <c r="J77" s="60"/>
      <c r="L77" s="45">
        <v>4001209</v>
      </c>
      <c r="M77" s="46" t="s">
        <v>266</v>
      </c>
      <c r="N77" s="47">
        <f>SUMIF('LISTA TECNICA'!$I:$I,$L77,'LISTA TECNICA'!$P:$P)</f>
        <v>0</v>
      </c>
      <c r="O77" s="49">
        <f>IFERROR(VLOOKUP($L77,'0805'!$A:$D,4,0),0)</f>
        <v>81</v>
      </c>
      <c r="P77" s="49">
        <f>IFERROR(VLOOKUP($L77,'0806'!$A:$D,4,0),0)</f>
        <v>0</v>
      </c>
      <c r="Q77" s="59">
        <f t="shared" si="5"/>
        <v>81</v>
      </c>
      <c r="R77" s="72">
        <f t="shared" si="6"/>
        <v>81</v>
      </c>
      <c r="S77" s="69"/>
      <c r="T77" s="60"/>
      <c r="U77" s="60"/>
      <c r="V77" s="60"/>
      <c r="W77" s="60"/>
    </row>
    <row r="78" spans="1:23" ht="13.5" x14ac:dyDescent="0.25">
      <c r="A78" s="45">
        <v>4012147</v>
      </c>
      <c r="B78" s="46" t="s">
        <v>983</v>
      </c>
      <c r="C78" s="47">
        <f>SUMIF('LISTA TECNICA'!$I:$I,$A78,'LISTA TECNICA'!$P:$P)</f>
        <v>0</v>
      </c>
      <c r="D78" s="66">
        <f>IFERROR(VLOOKUP($A78,'0802'!$A:$D,4,0),0)</f>
        <v>5928</v>
      </c>
      <c r="E78" s="72">
        <f t="shared" si="7"/>
        <v>5928</v>
      </c>
      <c r="F78" s="69"/>
      <c r="G78" s="60"/>
      <c r="H78" s="60"/>
      <c r="I78" s="60"/>
      <c r="J78" s="60"/>
      <c r="L78" s="45">
        <v>4001212</v>
      </c>
      <c r="M78" s="46" t="s">
        <v>238</v>
      </c>
      <c r="N78" s="47">
        <f>SUMIF('LISTA TECNICA'!$I:$I,$L78,'LISTA TECNICA'!$P:$P)</f>
        <v>150</v>
      </c>
      <c r="O78" s="49">
        <f>IFERROR(VLOOKUP($L78,'0805'!$A:$D,4,0),0)</f>
        <v>397</v>
      </c>
      <c r="P78" s="49">
        <f>IFERROR(VLOOKUP($L78,'0806'!$A:$D,4,0),0)</f>
        <v>2</v>
      </c>
      <c r="Q78" s="59">
        <f t="shared" si="5"/>
        <v>399</v>
      </c>
      <c r="R78" s="72">
        <f t="shared" si="6"/>
        <v>249</v>
      </c>
      <c r="S78" s="69"/>
      <c r="T78" s="60"/>
      <c r="U78" s="60"/>
      <c r="V78" s="60"/>
      <c r="W78" s="60"/>
    </row>
    <row r="79" spans="1:23" ht="13.5" x14ac:dyDescent="0.25">
      <c r="A79" s="45">
        <v>4013427</v>
      </c>
      <c r="B79" s="46" t="s">
        <v>998</v>
      </c>
      <c r="C79" s="47">
        <f>SUMIF('LISTA TECNICA'!$I:$I,$A79,'LISTA TECNICA'!$P:$P)</f>
        <v>0</v>
      </c>
      <c r="D79" s="66">
        <f>IFERROR(VLOOKUP($A79,'0802'!$A:$D,4,0),0)</f>
        <v>800</v>
      </c>
      <c r="E79" s="72">
        <f t="shared" si="7"/>
        <v>800</v>
      </c>
      <c r="F79" s="69"/>
      <c r="G79" s="60"/>
      <c r="H79" s="60"/>
      <c r="I79" s="60"/>
      <c r="J79" s="60"/>
      <c r="L79" s="45">
        <v>4001213</v>
      </c>
      <c r="M79" s="46" t="s">
        <v>516</v>
      </c>
      <c r="N79" s="47">
        <f>SUMIF('LISTA TECNICA'!$I:$I,$L79,'LISTA TECNICA'!$P:$P)</f>
        <v>400.32</v>
      </c>
      <c r="O79" s="49">
        <f>IFERROR(VLOOKUP($L79,'0805'!$A:$D,4,0),0)</f>
        <v>663</v>
      </c>
      <c r="P79" s="49">
        <f>IFERROR(VLOOKUP($L79,'0806'!$A:$D,4,0),0)</f>
        <v>49</v>
      </c>
      <c r="Q79" s="59">
        <f t="shared" si="5"/>
        <v>712</v>
      </c>
      <c r="R79" s="72">
        <f t="shared" si="6"/>
        <v>311.68</v>
      </c>
      <c r="S79" s="69"/>
      <c r="T79" s="60"/>
      <c r="U79" s="60"/>
      <c r="V79" s="60"/>
      <c r="W79" s="60"/>
    </row>
    <row r="80" spans="1:23" ht="13.5" x14ac:dyDescent="0.25">
      <c r="A80" s="45">
        <v>4013424</v>
      </c>
      <c r="B80" s="46" t="s">
        <v>1001</v>
      </c>
      <c r="C80" s="47">
        <f>SUMIF('LISTA TECNICA'!$I:$I,$A80,'LISTA TECNICA'!$P:$P)</f>
        <v>0</v>
      </c>
      <c r="D80" s="66">
        <f>IFERROR(VLOOKUP($A80,'0802'!$A:$D,4,0),0)</f>
        <v>1370</v>
      </c>
      <c r="E80" s="72">
        <f t="shared" si="7"/>
        <v>1370</v>
      </c>
      <c r="F80" s="69"/>
      <c r="G80" s="60"/>
      <c r="H80" s="60"/>
      <c r="I80" s="60"/>
      <c r="J80" s="60"/>
      <c r="L80" s="45">
        <v>4001215</v>
      </c>
      <c r="M80" s="46" t="s">
        <v>493</v>
      </c>
      <c r="N80" s="47">
        <f>SUMIF('LISTA TECNICA'!$I:$I,$L80,'LISTA TECNICA'!$P:$P)</f>
        <v>450.36</v>
      </c>
      <c r="O80" s="49">
        <f>IFERROR(VLOOKUP($L80,'0805'!$A:$D,4,0),0)</f>
        <v>919</v>
      </c>
      <c r="P80" s="49">
        <f>IFERROR(VLOOKUP($L80,'0806'!$A:$D,4,0),0)</f>
        <v>0</v>
      </c>
      <c r="Q80" s="59">
        <f t="shared" si="5"/>
        <v>919</v>
      </c>
      <c r="R80" s="72">
        <f t="shared" si="6"/>
        <v>468.64</v>
      </c>
      <c r="S80" s="69"/>
      <c r="T80" s="60"/>
      <c r="U80" s="60"/>
      <c r="V80" s="60"/>
      <c r="W80" s="60"/>
    </row>
    <row r="81" spans="1:23" ht="13.5" x14ac:dyDescent="0.25">
      <c r="A81" s="45">
        <v>4013426</v>
      </c>
      <c r="B81" s="46" t="s">
        <v>1004</v>
      </c>
      <c r="C81" s="47">
        <f>SUMIF('LISTA TECNICA'!$I:$I,$A81,'LISTA TECNICA'!$P:$P)</f>
        <v>0</v>
      </c>
      <c r="D81" s="66">
        <f>IFERROR(VLOOKUP($A81,'0802'!$A:$D,4,0),0)</f>
        <v>750</v>
      </c>
      <c r="E81" s="72">
        <f t="shared" si="7"/>
        <v>750</v>
      </c>
      <c r="F81" s="69"/>
      <c r="G81" s="60"/>
      <c r="H81" s="60"/>
      <c r="I81" s="60"/>
      <c r="J81" s="60"/>
      <c r="L81" s="45">
        <v>4001216</v>
      </c>
      <c r="M81" s="46" t="s">
        <v>487</v>
      </c>
      <c r="N81" s="47">
        <f>SUMIF('LISTA TECNICA'!$I:$I,$L81,'LISTA TECNICA'!$P:$P)</f>
        <v>700.34999999999991</v>
      </c>
      <c r="O81" s="49">
        <f>IFERROR(VLOOKUP($L81,'0805'!$A:$D,4,0),0)</f>
        <v>2623</v>
      </c>
      <c r="P81" s="49">
        <f>IFERROR(VLOOKUP($L81,'0806'!$A:$D,4,0),0)</f>
        <v>348</v>
      </c>
      <c r="Q81" s="59">
        <f t="shared" si="5"/>
        <v>2971</v>
      </c>
      <c r="R81" s="72">
        <f t="shared" si="6"/>
        <v>2270.65</v>
      </c>
      <c r="S81" s="69"/>
      <c r="T81" s="60"/>
      <c r="U81" s="60"/>
      <c r="V81" s="60"/>
      <c r="W81" s="60"/>
    </row>
    <row r="82" spans="1:23" ht="13.5" x14ac:dyDescent="0.25">
      <c r="A82" s="45">
        <v>4013120</v>
      </c>
      <c r="B82" s="46" t="s">
        <v>1062</v>
      </c>
      <c r="C82" s="47">
        <f>SUMIF('LISTA TECNICA'!$I:$I,$A82,'LISTA TECNICA'!$P:$P)</f>
        <v>400</v>
      </c>
      <c r="D82" s="66">
        <f>IFERROR(VLOOKUP($A82,'0802'!$A:$D,4,0),0)</f>
        <v>5469</v>
      </c>
      <c r="E82" s="72">
        <f t="shared" si="7"/>
        <v>5069</v>
      </c>
      <c r="F82" s="69"/>
      <c r="G82" s="60"/>
      <c r="H82" s="60"/>
      <c r="I82" s="60"/>
      <c r="J82" s="60"/>
      <c r="L82" s="45">
        <v>4001219</v>
      </c>
      <c r="M82" s="46" t="s">
        <v>614</v>
      </c>
      <c r="N82" s="47">
        <f>SUMIF('LISTA TECNICA'!$I:$I,$L82,'LISTA TECNICA'!$P:$P)</f>
        <v>200.16</v>
      </c>
      <c r="O82" s="49">
        <f>IFERROR(VLOOKUP($L82,'0805'!$A:$D,4,0),0)</f>
        <v>437</v>
      </c>
      <c r="P82" s="49">
        <f>IFERROR(VLOOKUP($L82,'0806'!$A:$D,4,0),0)</f>
        <v>0</v>
      </c>
      <c r="Q82" s="59">
        <f t="shared" ref="Q82:Q113" si="8">P82+O82</f>
        <v>437</v>
      </c>
      <c r="R82" s="72">
        <f t="shared" ref="R82:R113" si="9">Q82-N82</f>
        <v>236.84</v>
      </c>
      <c r="S82" s="69"/>
      <c r="T82" s="60"/>
      <c r="U82" s="60"/>
      <c r="V82" s="60"/>
      <c r="W82" s="60"/>
    </row>
    <row r="83" spans="1:23" ht="13.5" x14ac:dyDescent="0.25">
      <c r="A83" s="45">
        <v>4010413</v>
      </c>
      <c r="B83" s="46" t="s">
        <v>1286</v>
      </c>
      <c r="C83" s="47">
        <f>SUMIF('LISTA TECNICA'!$I:$I,$A83,'LISTA TECNICA'!$P:$P)</f>
        <v>1505</v>
      </c>
      <c r="D83" s="66">
        <f>IFERROR(VLOOKUP($A83,'0802'!$A:$D,4,0),0)</f>
        <v>6029</v>
      </c>
      <c r="E83" s="72">
        <f t="shared" si="7"/>
        <v>4524</v>
      </c>
      <c r="F83" s="69"/>
      <c r="G83" s="60"/>
      <c r="H83" s="60"/>
      <c r="I83" s="60"/>
      <c r="J83" s="60"/>
      <c r="L83" s="45">
        <v>4001220</v>
      </c>
      <c r="M83" s="46" t="s">
        <v>523</v>
      </c>
      <c r="N83" s="47">
        <f>SUMIF('LISTA TECNICA'!$I:$I,$L83,'LISTA TECNICA'!$P:$P)</f>
        <v>100.08</v>
      </c>
      <c r="O83" s="49">
        <f>IFERROR(VLOOKUP($L83,'0805'!$A:$D,4,0),0)</f>
        <v>598</v>
      </c>
      <c r="P83" s="49">
        <f>IFERROR(VLOOKUP($L83,'0806'!$A:$D,4,0),0)</f>
        <v>0</v>
      </c>
      <c r="Q83" s="59">
        <f t="shared" si="8"/>
        <v>598</v>
      </c>
      <c r="R83" s="72">
        <f t="shared" si="9"/>
        <v>497.92</v>
      </c>
      <c r="S83" s="69"/>
      <c r="T83" s="60"/>
      <c r="U83" s="60"/>
      <c r="V83" s="60"/>
      <c r="W83" s="60"/>
    </row>
    <row r="84" spans="1:23" ht="13.5" x14ac:dyDescent="0.25">
      <c r="A84" s="45">
        <v>4010861</v>
      </c>
      <c r="B84" s="46" t="s">
        <v>1281</v>
      </c>
      <c r="C84" s="47">
        <f>SUMIF('LISTA TECNICA'!$I:$I,$A84,'LISTA TECNICA'!$P:$P)</f>
        <v>1218</v>
      </c>
      <c r="D84" s="66">
        <f>IFERROR(VLOOKUP($A84,'0802'!$A:$D,4,0),0)</f>
        <v>3650</v>
      </c>
      <c r="E84" s="72">
        <f t="shared" si="7"/>
        <v>2432</v>
      </c>
      <c r="F84" s="69"/>
      <c r="G84" s="60"/>
      <c r="H84" s="60"/>
      <c r="I84" s="60"/>
      <c r="J84" s="60"/>
      <c r="L84" s="45">
        <v>4001221</v>
      </c>
      <c r="M84" s="46" t="s">
        <v>716</v>
      </c>
      <c r="N84" s="47">
        <f>SUMIF('LISTA TECNICA'!$I:$I,$L84,'LISTA TECNICA'!$P:$P)</f>
        <v>5955.9499999999989</v>
      </c>
      <c r="O84" s="49">
        <f>IFERROR(VLOOKUP($L84,'0805'!$A:$D,4,0),0)</f>
        <v>5347</v>
      </c>
      <c r="P84" s="49">
        <f>IFERROR(VLOOKUP($L84,'0806'!$A:$D,4,0),0)</f>
        <v>509</v>
      </c>
      <c r="Q84" s="59">
        <f t="shared" si="8"/>
        <v>5856</v>
      </c>
      <c r="R84" s="72">
        <f t="shared" si="9"/>
        <v>-99.949999999998909</v>
      </c>
      <c r="S84" s="69"/>
      <c r="T84" s="60" t="s">
        <v>6120</v>
      </c>
      <c r="U84" s="82">
        <v>2000</v>
      </c>
      <c r="V84" s="60" t="s">
        <v>6099</v>
      </c>
      <c r="W84" s="60"/>
    </row>
    <row r="85" spans="1:23" ht="13.5" x14ac:dyDescent="0.25">
      <c r="A85" s="45">
        <v>4010860</v>
      </c>
      <c r="B85" s="46" t="s">
        <v>1291</v>
      </c>
      <c r="C85" s="47">
        <f>SUMIF('LISTA TECNICA'!$I:$I,$A85,'LISTA TECNICA'!$P:$P)</f>
        <v>0</v>
      </c>
      <c r="D85" s="66">
        <f>IFERROR(VLOOKUP($A85,'0802'!$A:$D,4,0),0)</f>
        <v>962</v>
      </c>
      <c r="E85" s="72">
        <f t="shared" si="7"/>
        <v>962</v>
      </c>
      <c r="F85" s="69"/>
      <c r="G85" s="60" t="s">
        <v>6130</v>
      </c>
      <c r="H85" s="82">
        <v>1500</v>
      </c>
      <c r="I85" s="60" t="s">
        <v>6078</v>
      </c>
      <c r="J85" s="60"/>
      <c r="L85" s="45">
        <v>4001223</v>
      </c>
      <c r="M85" s="46" t="s">
        <v>530</v>
      </c>
      <c r="N85" s="47">
        <f>SUMIF('LISTA TECNICA'!$I:$I,$L85,'LISTA TECNICA'!$P:$P)</f>
        <v>0</v>
      </c>
      <c r="O85" s="49">
        <f>IFERROR(VLOOKUP($L85,'0805'!$A:$D,4,0),0)</f>
        <v>375</v>
      </c>
      <c r="P85" s="49">
        <f>IFERROR(VLOOKUP($L85,'0806'!$A:$D,4,0),0)</f>
        <v>0</v>
      </c>
      <c r="Q85" s="59">
        <f t="shared" si="8"/>
        <v>375</v>
      </c>
      <c r="R85" s="72">
        <f t="shared" si="9"/>
        <v>375</v>
      </c>
      <c r="S85" s="69"/>
      <c r="T85" s="60"/>
      <c r="U85" s="60"/>
      <c r="V85" s="60"/>
      <c r="W85" s="60"/>
    </row>
    <row r="86" spans="1:23" ht="13.5" x14ac:dyDescent="0.25">
      <c r="A86" s="45">
        <v>4010862</v>
      </c>
      <c r="B86" s="46" t="s">
        <v>1296</v>
      </c>
      <c r="C86" s="47">
        <f>SUMIF('LISTA TECNICA'!$I:$I,$A86,'LISTA TECNICA'!$P:$P)</f>
        <v>0</v>
      </c>
      <c r="D86" s="66">
        <f>IFERROR(VLOOKUP($A86,'0802'!$A:$D,4,0),0)</f>
        <v>1752</v>
      </c>
      <c r="E86" s="72">
        <f t="shared" si="7"/>
        <v>1752</v>
      </c>
      <c r="F86" s="69"/>
      <c r="G86" s="60"/>
      <c r="H86" s="60"/>
      <c r="I86" s="60"/>
      <c r="J86" s="60"/>
      <c r="L86" s="45">
        <v>4001226</v>
      </c>
      <c r="M86" s="46" t="s">
        <v>502</v>
      </c>
      <c r="N86" s="47">
        <f>SUMIF('LISTA TECNICA'!$I:$I,$L86,'LISTA TECNICA'!$P:$P)</f>
        <v>650.52</v>
      </c>
      <c r="O86" s="49">
        <f>IFERROR(VLOOKUP($L86,'0805'!$A:$D,4,0),0)</f>
        <v>414</v>
      </c>
      <c r="P86" s="49">
        <f>IFERROR(VLOOKUP($L86,'0806'!$A:$D,4,0),0)</f>
        <v>785</v>
      </c>
      <c r="Q86" s="59">
        <f t="shared" si="8"/>
        <v>1199</v>
      </c>
      <c r="R86" s="72">
        <f t="shared" si="9"/>
        <v>548.48</v>
      </c>
      <c r="S86" s="69"/>
      <c r="T86" s="60"/>
      <c r="U86" s="60"/>
      <c r="V86" s="60"/>
      <c r="W86" s="60"/>
    </row>
    <row r="87" spans="1:23" ht="13.5" x14ac:dyDescent="0.25">
      <c r="A87" s="45">
        <v>4010414</v>
      </c>
      <c r="B87" s="46" t="s">
        <v>1311</v>
      </c>
      <c r="C87" s="47">
        <f>SUMIF('LISTA TECNICA'!$I:$I,$A87,'LISTA TECNICA'!$P:$P)</f>
        <v>1512</v>
      </c>
      <c r="D87" s="66">
        <f>IFERROR(VLOOKUP($A87,'0802'!$A:$D,4,0),0)</f>
        <v>2260</v>
      </c>
      <c r="E87" s="72">
        <f t="shared" si="7"/>
        <v>748</v>
      </c>
      <c r="F87" s="69"/>
      <c r="G87" s="60" t="s">
        <v>6131</v>
      </c>
      <c r="H87" s="82">
        <v>2000</v>
      </c>
      <c r="I87" s="60" t="s">
        <v>6078</v>
      </c>
      <c r="J87" s="60"/>
      <c r="L87" s="45">
        <v>4001227</v>
      </c>
      <c r="M87" s="46" t="s">
        <v>508</v>
      </c>
      <c r="N87" s="47">
        <f>SUMIF('LISTA TECNICA'!$I:$I,$L87,'LISTA TECNICA'!$P:$P)</f>
        <v>450.36</v>
      </c>
      <c r="O87" s="49">
        <f>IFERROR(VLOOKUP($L87,'0805'!$A:$D,4,0),0)</f>
        <v>741</v>
      </c>
      <c r="P87" s="49">
        <f>IFERROR(VLOOKUP($L87,'0806'!$A:$D,4,0),0)</f>
        <v>21</v>
      </c>
      <c r="Q87" s="59">
        <f t="shared" si="8"/>
        <v>762</v>
      </c>
      <c r="R87" s="72">
        <f t="shared" si="9"/>
        <v>311.64</v>
      </c>
      <c r="S87" s="69"/>
      <c r="T87" s="60" t="s">
        <v>6121</v>
      </c>
      <c r="U87" s="60">
        <v>34</v>
      </c>
      <c r="V87" s="60" t="s">
        <v>6106</v>
      </c>
      <c r="W87" s="60"/>
    </row>
    <row r="88" spans="1:23" ht="13.5" x14ac:dyDescent="0.25">
      <c r="A88" s="45">
        <v>4010863</v>
      </c>
      <c r="B88" s="46" t="s">
        <v>1307</v>
      </c>
      <c r="C88" s="47">
        <f>SUMIF('LISTA TECNICA'!$I:$I,$A88,'LISTA TECNICA'!$P:$P)</f>
        <v>0</v>
      </c>
      <c r="D88" s="66">
        <f>IFERROR(VLOOKUP($A88,'0802'!$A:$D,4,0),0)</f>
        <v>8511</v>
      </c>
      <c r="E88" s="72">
        <f t="shared" si="7"/>
        <v>8511</v>
      </c>
      <c r="F88" s="69"/>
      <c r="G88" s="60"/>
      <c r="H88" s="60"/>
      <c r="I88" s="60"/>
      <c r="J88" s="60"/>
      <c r="L88" s="45">
        <v>4001228</v>
      </c>
      <c r="M88" s="46" t="s">
        <v>536</v>
      </c>
      <c r="N88" s="47">
        <f>SUMIF('LISTA TECNICA'!$I:$I,$L88,'LISTA TECNICA'!$P:$P)</f>
        <v>0</v>
      </c>
      <c r="O88" s="49">
        <f>IFERROR(VLOOKUP($L88,'0805'!$A:$D,4,0),0)</f>
        <v>571</v>
      </c>
      <c r="P88" s="49">
        <f>IFERROR(VLOOKUP($L88,'0806'!$A:$D,4,0),0)</f>
        <v>0</v>
      </c>
      <c r="Q88" s="59">
        <f t="shared" si="8"/>
        <v>571</v>
      </c>
      <c r="R88" s="72">
        <f t="shared" si="9"/>
        <v>571</v>
      </c>
      <c r="S88" s="69"/>
      <c r="T88" s="60"/>
      <c r="U88" s="60"/>
      <c r="V88" s="60"/>
      <c r="W88" s="60"/>
    </row>
    <row r="89" spans="1:23" ht="13.5" x14ac:dyDescent="0.25">
      <c r="A89" s="45">
        <v>4010864</v>
      </c>
      <c r="B89" s="46" t="s">
        <v>1315</v>
      </c>
      <c r="C89" s="47">
        <f>SUMIF('LISTA TECNICA'!$I:$I,$A89,'LISTA TECNICA'!$P:$P)</f>
        <v>0</v>
      </c>
      <c r="D89" s="66">
        <f>IFERROR(VLOOKUP($A89,'0802'!$A:$D,4,0),0)</f>
        <v>9293</v>
      </c>
      <c r="E89" s="72">
        <f t="shared" si="7"/>
        <v>9293</v>
      </c>
      <c r="F89" s="69"/>
      <c r="G89" s="60"/>
      <c r="H89" s="60"/>
      <c r="I89" s="60"/>
      <c r="J89" s="60"/>
      <c r="L89" s="45">
        <v>4001229</v>
      </c>
      <c r="M89" s="46" t="s">
        <v>542</v>
      </c>
      <c r="N89" s="47">
        <f>SUMIF('LISTA TECNICA'!$I:$I,$L89,'LISTA TECNICA'!$P:$P)</f>
        <v>100.08</v>
      </c>
      <c r="O89" s="49">
        <f>IFERROR(VLOOKUP($L89,'0805'!$A:$D,4,0),0)</f>
        <v>499</v>
      </c>
      <c r="P89" s="49">
        <f>IFERROR(VLOOKUP($L89,'0806'!$A:$D,4,0),0)</f>
        <v>59</v>
      </c>
      <c r="Q89" s="59">
        <f t="shared" si="8"/>
        <v>558</v>
      </c>
      <c r="R89" s="72">
        <f t="shared" si="9"/>
        <v>457.92</v>
      </c>
      <c r="S89" s="69"/>
      <c r="T89" s="60"/>
      <c r="U89" s="60"/>
      <c r="V89" s="60"/>
      <c r="W89" s="60"/>
    </row>
    <row r="90" spans="1:23" ht="13.5" x14ac:dyDescent="0.25">
      <c r="A90" s="45">
        <v>4010865</v>
      </c>
      <c r="B90" s="46" t="s">
        <v>1319</v>
      </c>
      <c r="C90" s="47">
        <f>SUMIF('LISTA TECNICA'!$I:$I,$A90,'LISTA TECNICA'!$P:$P)</f>
        <v>0</v>
      </c>
      <c r="D90" s="66">
        <f>IFERROR(VLOOKUP($A90,'0802'!$A:$D,4,0),0)</f>
        <v>1579</v>
      </c>
      <c r="E90" s="72">
        <f t="shared" si="7"/>
        <v>1579</v>
      </c>
      <c r="F90" s="69"/>
      <c r="G90" s="60"/>
      <c r="H90" s="60"/>
      <c r="I90" s="60"/>
      <c r="J90" s="60"/>
      <c r="L90" s="45">
        <v>4001230</v>
      </c>
      <c r="M90" s="46" t="s">
        <v>548</v>
      </c>
      <c r="N90" s="47">
        <f>SUMIF('LISTA TECNICA'!$I:$I,$L90,'LISTA TECNICA'!$P:$P)</f>
        <v>200.1</v>
      </c>
      <c r="O90" s="49">
        <f>IFERROR(VLOOKUP($L90,'0805'!$A:$D,4,0),0)</f>
        <v>969</v>
      </c>
      <c r="P90" s="49">
        <f>IFERROR(VLOOKUP($L90,'0806'!$A:$D,4,0),0)</f>
        <v>0</v>
      </c>
      <c r="Q90" s="59">
        <f t="shared" si="8"/>
        <v>969</v>
      </c>
      <c r="R90" s="72">
        <f t="shared" si="9"/>
        <v>768.9</v>
      </c>
      <c r="S90" s="69"/>
      <c r="T90" s="60"/>
      <c r="U90" s="60"/>
      <c r="V90" s="60"/>
      <c r="W90" s="60"/>
    </row>
    <row r="91" spans="1:23" ht="13.5" x14ac:dyDescent="0.25">
      <c r="A91" s="45">
        <v>4010423</v>
      </c>
      <c r="B91" s="46" t="s">
        <v>1371</v>
      </c>
      <c r="C91" s="47">
        <f>SUMIF('LISTA TECNICA'!$I:$I,$A91,'LISTA TECNICA'!$P:$P)</f>
        <v>0</v>
      </c>
      <c r="D91" s="66">
        <f>IFERROR(VLOOKUP($A91,'0802'!$A:$D,4,0),0)</f>
        <v>0</v>
      </c>
      <c r="E91" s="72">
        <f t="shared" si="7"/>
        <v>0</v>
      </c>
      <c r="F91" s="69"/>
      <c r="G91" s="60"/>
      <c r="H91" s="60"/>
      <c r="I91" s="60"/>
      <c r="J91" s="60"/>
      <c r="L91" s="45">
        <v>4001232</v>
      </c>
      <c r="M91" s="46" t="s">
        <v>634</v>
      </c>
      <c r="N91" s="47">
        <f>SUMIF('LISTA TECNICA'!$I:$I,$L91,'LISTA TECNICA'!$P:$P)</f>
        <v>1100.8800000000001</v>
      </c>
      <c r="O91" s="49">
        <f>IFERROR(VLOOKUP($L91,'0805'!$A:$D,4,0),0)</f>
        <v>1469</v>
      </c>
      <c r="P91" s="49">
        <f>IFERROR(VLOOKUP($L91,'0806'!$A:$D,4,0),0)</f>
        <v>5</v>
      </c>
      <c r="Q91" s="59">
        <f t="shared" si="8"/>
        <v>1474</v>
      </c>
      <c r="R91" s="72">
        <f t="shared" si="9"/>
        <v>373.11999999999989</v>
      </c>
      <c r="S91" s="69"/>
      <c r="T91" s="60"/>
      <c r="U91" s="60"/>
      <c r="V91" s="60"/>
      <c r="W91" s="60"/>
    </row>
    <row r="92" spans="1:23" ht="13.5" x14ac:dyDescent="0.25">
      <c r="A92" s="45">
        <v>4010425</v>
      </c>
      <c r="B92" s="46" t="s">
        <v>1376</v>
      </c>
      <c r="C92" s="47">
        <f>SUMIF('LISTA TECNICA'!$I:$I,$A92,'LISTA TECNICA'!$P:$P)</f>
        <v>0</v>
      </c>
      <c r="D92" s="66">
        <f>IFERROR(VLOOKUP($A92,'0802'!$A:$D,4,0),0)</f>
        <v>0</v>
      </c>
      <c r="E92" s="72">
        <f t="shared" si="7"/>
        <v>0</v>
      </c>
      <c r="F92" s="69"/>
      <c r="G92" s="60"/>
      <c r="H92" s="60"/>
      <c r="I92" s="60"/>
      <c r="J92" s="60"/>
      <c r="L92" s="45">
        <v>4001233</v>
      </c>
      <c r="M92" s="46" t="s">
        <v>692</v>
      </c>
      <c r="N92" s="47">
        <f>SUMIF('LISTA TECNICA'!$I:$I,$L92,'LISTA TECNICA'!$P:$P)</f>
        <v>3830.3999999999996</v>
      </c>
      <c r="O92" s="49">
        <f>IFERROR(VLOOKUP($L92,'0805'!$A:$D,4,0),0)</f>
        <v>1806</v>
      </c>
      <c r="P92" s="49">
        <f>IFERROR(VLOOKUP($L92,'0806'!$A:$D,4,0),0)</f>
        <v>0</v>
      </c>
      <c r="Q92" s="59">
        <f t="shared" si="8"/>
        <v>1806</v>
      </c>
      <c r="R92" s="72">
        <f t="shared" si="9"/>
        <v>-2024.3999999999996</v>
      </c>
      <c r="S92" s="69"/>
      <c r="T92" s="60" t="s">
        <v>6122</v>
      </c>
      <c r="U92" s="82">
        <v>3000</v>
      </c>
      <c r="V92" s="60" t="s">
        <v>6104</v>
      </c>
      <c r="W92" s="60"/>
    </row>
    <row r="93" spans="1:23" ht="13.5" x14ac:dyDescent="0.25">
      <c r="A93" s="45">
        <v>4008664</v>
      </c>
      <c r="B93" s="46" t="s">
        <v>1440</v>
      </c>
      <c r="C93" s="47">
        <f>SUMIF('LISTA TECNICA'!$I:$I,$A93,'LISTA TECNICA'!$P:$P)</f>
        <v>1200</v>
      </c>
      <c r="D93" s="66">
        <f>IFERROR(VLOOKUP($A93,'0802'!$A:$D,4,0),0)</f>
        <v>12170</v>
      </c>
      <c r="E93" s="72">
        <f t="shared" si="7"/>
        <v>10970</v>
      </c>
      <c r="F93" s="69"/>
      <c r="G93" s="60"/>
      <c r="H93" s="60"/>
      <c r="I93" s="60"/>
      <c r="J93" s="60"/>
      <c r="L93" s="45">
        <v>4001244</v>
      </c>
      <c r="M93" s="46" t="s">
        <v>310</v>
      </c>
      <c r="N93" s="47">
        <f>SUMIF('LISTA TECNICA'!$I:$I,$L93,'LISTA TECNICA'!$P:$P)</f>
        <v>100</v>
      </c>
      <c r="O93" s="49">
        <f>IFERROR(VLOOKUP($L93,'0805'!$A:$D,4,0),0)</f>
        <v>477</v>
      </c>
      <c r="P93" s="49">
        <f>IFERROR(VLOOKUP($L93,'0806'!$A:$D,4,0),0)</f>
        <v>0</v>
      </c>
      <c r="Q93" s="59">
        <f t="shared" si="8"/>
        <v>477</v>
      </c>
      <c r="R93" s="72">
        <f t="shared" si="9"/>
        <v>377</v>
      </c>
      <c r="S93" s="69"/>
      <c r="T93" s="60"/>
      <c r="U93" s="60"/>
      <c r="V93" s="60"/>
      <c r="W93" s="60"/>
    </row>
    <row r="94" spans="1:23" ht="13.5" x14ac:dyDescent="0.25">
      <c r="A94" s="45">
        <v>4004924</v>
      </c>
      <c r="B94" s="46" t="s">
        <v>1758</v>
      </c>
      <c r="C94" s="47">
        <f>SUMIF('LISTA TECNICA'!$I:$I,$A94,'LISTA TECNICA'!$P:$P)</f>
        <v>0</v>
      </c>
      <c r="D94" s="66">
        <f>IFERROR(VLOOKUP($A94,'0802'!$A:$D,4,0),0)</f>
        <v>0</v>
      </c>
      <c r="E94" s="72">
        <f t="shared" si="7"/>
        <v>0</v>
      </c>
      <c r="F94" s="69"/>
      <c r="G94" s="60"/>
      <c r="H94" s="60"/>
      <c r="I94" s="60"/>
      <c r="J94" s="60"/>
      <c r="L94" s="45">
        <v>4001249</v>
      </c>
      <c r="M94" s="46" t="s">
        <v>155</v>
      </c>
      <c r="N94" s="47">
        <f>SUMIF('LISTA TECNICA'!$I:$I,$L94,'LISTA TECNICA'!$P:$P)</f>
        <v>200.16</v>
      </c>
      <c r="O94" s="49">
        <f>IFERROR(VLOOKUP($L94,'0805'!$A:$D,4,0),0)</f>
        <v>431</v>
      </c>
      <c r="P94" s="49">
        <f>IFERROR(VLOOKUP($L94,'0806'!$A:$D,4,0),0)</f>
        <v>0</v>
      </c>
      <c r="Q94" s="59">
        <f t="shared" si="8"/>
        <v>431</v>
      </c>
      <c r="R94" s="72">
        <f t="shared" si="9"/>
        <v>230.84</v>
      </c>
      <c r="S94" s="69"/>
      <c r="T94" s="60"/>
      <c r="U94" s="60"/>
      <c r="V94" s="60"/>
      <c r="W94" s="60"/>
    </row>
    <row r="95" spans="1:23" ht="13.5" x14ac:dyDescent="0.25">
      <c r="A95" s="45">
        <v>4004920</v>
      </c>
      <c r="B95" s="46" t="s">
        <v>1765</v>
      </c>
      <c r="C95" s="47">
        <f>SUMIF('LISTA TECNICA'!$I:$I,$A95,'LISTA TECNICA'!$P:$P)</f>
        <v>0</v>
      </c>
      <c r="D95" s="66">
        <f>IFERROR(VLOOKUP($A95,'0802'!$A:$D,4,0),0)</f>
        <v>3068</v>
      </c>
      <c r="E95" s="72">
        <f t="shared" si="7"/>
        <v>3068</v>
      </c>
      <c r="F95" s="69" t="s">
        <v>6132</v>
      </c>
      <c r="G95" s="60"/>
      <c r="H95" s="82">
        <v>5000</v>
      </c>
      <c r="I95" s="60" t="s">
        <v>6133</v>
      </c>
      <c r="J95" s="60"/>
      <c r="L95" s="45">
        <v>4010765</v>
      </c>
      <c r="M95" s="46" t="s">
        <v>1130</v>
      </c>
      <c r="N95" s="47">
        <f>SUMIF('LISTA TECNICA'!$I:$I,$L95,'LISTA TECNICA'!$P:$P)</f>
        <v>0</v>
      </c>
      <c r="O95" s="49">
        <f>IFERROR(VLOOKUP($L95,'0805'!$A:$D,4,0),0)</f>
        <v>0</v>
      </c>
      <c r="P95" s="49">
        <f>IFERROR(VLOOKUP($L95,'0806'!$A:$D,4,0),0)</f>
        <v>0</v>
      </c>
      <c r="Q95" s="59">
        <f t="shared" si="8"/>
        <v>0</v>
      </c>
      <c r="R95" s="72">
        <f t="shared" si="9"/>
        <v>0</v>
      </c>
      <c r="S95" s="69"/>
      <c r="T95" s="60"/>
      <c r="U95" s="60"/>
      <c r="V95" s="60"/>
      <c r="W95" s="60"/>
    </row>
    <row r="96" spans="1:23" ht="13.5" x14ac:dyDescent="0.25">
      <c r="A96" s="45">
        <v>4011454</v>
      </c>
      <c r="B96" s="46" t="s">
        <v>1802</v>
      </c>
      <c r="C96" s="47">
        <f>SUMIF('LISTA TECNICA'!$I:$I,$A96,'LISTA TECNICA'!$P:$P)</f>
        <v>0</v>
      </c>
      <c r="D96" s="66">
        <f>IFERROR(VLOOKUP($A96,'0802'!$A:$D,4,0),0)</f>
        <v>0</v>
      </c>
      <c r="E96" s="72">
        <f t="shared" si="7"/>
        <v>0</v>
      </c>
      <c r="F96" s="69"/>
      <c r="G96" s="60"/>
      <c r="H96" s="60"/>
      <c r="I96" s="60"/>
      <c r="J96" s="60"/>
      <c r="L96" s="45">
        <v>4001269</v>
      </c>
      <c r="M96" s="46" t="s">
        <v>1230</v>
      </c>
      <c r="N96" s="47">
        <f>SUMIF('LISTA TECNICA'!$I:$I,$L96,'LISTA TECNICA'!$P:$P)</f>
        <v>500.40000000000003</v>
      </c>
      <c r="O96" s="49">
        <f>IFERROR(VLOOKUP($L96,'0805'!$A:$D,4,0),0)</f>
        <v>1083</v>
      </c>
      <c r="P96" s="49">
        <f>IFERROR(VLOOKUP($L96,'0806'!$A:$D,4,0),0)</f>
        <v>7</v>
      </c>
      <c r="Q96" s="59">
        <f t="shared" si="8"/>
        <v>1090</v>
      </c>
      <c r="R96" s="72">
        <f t="shared" si="9"/>
        <v>589.59999999999991</v>
      </c>
      <c r="S96" s="69"/>
      <c r="T96" s="60"/>
      <c r="U96" s="60"/>
      <c r="V96" s="60"/>
      <c r="W96" s="60"/>
    </row>
    <row r="97" spans="1:23" ht="13.5" x14ac:dyDescent="0.25">
      <c r="A97" s="45">
        <v>4016290</v>
      </c>
      <c r="B97" s="46" t="s">
        <v>1448</v>
      </c>
      <c r="C97" s="47">
        <f>SUMIF('LISTA TECNICA'!$I:$I,$A97,'LISTA TECNICA'!$P:$P)</f>
        <v>6000</v>
      </c>
      <c r="D97" s="66">
        <f>IFERROR(VLOOKUP($A97,'0802'!$A:$D,4,0),0)</f>
        <v>35343</v>
      </c>
      <c r="E97" s="72">
        <f t="shared" si="7"/>
        <v>29343</v>
      </c>
      <c r="F97" s="69"/>
      <c r="G97" s="60"/>
      <c r="H97" s="60"/>
      <c r="I97" s="60"/>
      <c r="J97" s="60"/>
      <c r="L97" s="45">
        <v>4007345</v>
      </c>
      <c r="M97" s="46" t="s">
        <v>597</v>
      </c>
      <c r="N97" s="47">
        <f>SUMIF('LISTA TECNICA'!$I:$I,$L97,'LISTA TECNICA'!$P:$P)</f>
        <v>0</v>
      </c>
      <c r="O97" s="49">
        <f>IFERROR(VLOOKUP($L97,'0805'!$A:$D,4,0),0)</f>
        <v>78</v>
      </c>
      <c r="P97" s="49">
        <f>IFERROR(VLOOKUP($L97,'0806'!$A:$D,4,0),0)</f>
        <v>34</v>
      </c>
      <c r="Q97" s="59">
        <f t="shared" si="8"/>
        <v>112</v>
      </c>
      <c r="R97" s="72">
        <f t="shared" si="9"/>
        <v>112</v>
      </c>
      <c r="S97" s="69"/>
      <c r="T97" s="60"/>
      <c r="U97" s="60"/>
      <c r="V97" s="60"/>
      <c r="W97" s="60"/>
    </row>
    <row r="98" spans="1:23" ht="13.5" x14ac:dyDescent="0.25">
      <c r="A98" s="45">
        <v>4016640</v>
      </c>
      <c r="B98" s="46" t="s">
        <v>1453</v>
      </c>
      <c r="C98" s="47">
        <f>SUMIF('LISTA TECNICA'!$I:$I,$A98,'LISTA TECNICA'!$P:$P)</f>
        <v>0</v>
      </c>
      <c r="D98" s="66">
        <f>IFERROR(VLOOKUP($A98,'0802'!$A:$D,4,0),0)</f>
        <v>7000</v>
      </c>
      <c r="E98" s="72">
        <f t="shared" si="7"/>
        <v>7000</v>
      </c>
      <c r="F98" s="69"/>
      <c r="G98" s="60" t="s">
        <v>6134</v>
      </c>
      <c r="H98" s="82">
        <v>10000</v>
      </c>
      <c r="I98" s="60" t="s">
        <v>6135</v>
      </c>
      <c r="J98" s="60"/>
      <c r="L98" s="45">
        <v>4001271</v>
      </c>
      <c r="M98" s="46" t="s">
        <v>118</v>
      </c>
      <c r="N98" s="47">
        <f>SUMIF('LISTA TECNICA'!$I:$I,$L98,'LISTA TECNICA'!$P:$P)</f>
        <v>600.48</v>
      </c>
      <c r="O98" s="49">
        <f>IFERROR(VLOOKUP($L98,'0805'!$A:$D,4,0),0)</f>
        <v>350</v>
      </c>
      <c r="P98" s="49">
        <f>IFERROR(VLOOKUP($L98,'0806'!$A:$D,4,0),0)</f>
        <v>0</v>
      </c>
      <c r="Q98" s="59">
        <f t="shared" si="8"/>
        <v>350</v>
      </c>
      <c r="R98" s="72">
        <f t="shared" si="9"/>
        <v>-250.48000000000002</v>
      </c>
      <c r="S98" s="69"/>
      <c r="T98" s="60" t="s">
        <v>6231</v>
      </c>
      <c r="U98" s="60">
        <v>600</v>
      </c>
      <c r="V98" s="60" t="s">
        <v>6099</v>
      </c>
      <c r="W98" s="60"/>
    </row>
    <row r="99" spans="1:23" ht="15.75" thickBot="1" x14ac:dyDescent="0.3">
      <c r="L99" s="45">
        <v>4001273</v>
      </c>
      <c r="M99" s="46" t="s">
        <v>590</v>
      </c>
      <c r="N99" s="47">
        <f>SUMIF('LISTA TECNICA'!$I:$I,$L99,'LISTA TECNICA'!$P:$P)</f>
        <v>100.08</v>
      </c>
      <c r="O99" s="49">
        <f>IFERROR(VLOOKUP($L99,'0805'!$A:$D,4,0),0)</f>
        <v>462</v>
      </c>
      <c r="P99" s="49">
        <f>IFERROR(VLOOKUP($L99,'0806'!$A:$D,4,0),0)</f>
        <v>0</v>
      </c>
      <c r="Q99" s="59">
        <f t="shared" si="8"/>
        <v>462</v>
      </c>
      <c r="R99" s="72">
        <f t="shared" si="9"/>
        <v>361.92</v>
      </c>
      <c r="S99" s="69"/>
      <c r="T99" s="60"/>
      <c r="U99" s="60"/>
      <c r="V99" s="60"/>
      <c r="W99" s="60"/>
    </row>
    <row r="100" spans="1:23" ht="14.25" thickBot="1" x14ac:dyDescent="0.3">
      <c r="A100" s="86" t="s">
        <v>6084</v>
      </c>
      <c r="B100" s="87"/>
      <c r="C100" s="87"/>
      <c r="D100" s="87"/>
      <c r="E100" s="87"/>
      <c r="F100" s="87"/>
      <c r="G100" s="87"/>
      <c r="H100" s="87"/>
      <c r="I100" s="87"/>
      <c r="J100" s="88"/>
      <c r="L100" s="45">
        <v>4008709</v>
      </c>
      <c r="M100" s="46" t="s">
        <v>137</v>
      </c>
      <c r="N100" s="47">
        <f>SUMIF('LISTA TECNICA'!$I:$I,$L100,'LISTA TECNICA'!$P:$P)</f>
        <v>400.2</v>
      </c>
      <c r="O100" s="49">
        <f>IFERROR(VLOOKUP($L100,'0805'!$A:$D,4,0),0)</f>
        <v>645</v>
      </c>
      <c r="P100" s="49">
        <f>IFERROR(VLOOKUP($L100,'0806'!$A:$D,4,0),0)</f>
        <v>132</v>
      </c>
      <c r="Q100" s="59">
        <f t="shared" si="8"/>
        <v>777</v>
      </c>
      <c r="R100" s="72">
        <f t="shared" si="9"/>
        <v>376.8</v>
      </c>
      <c r="S100" s="69"/>
      <c r="T100" s="60"/>
      <c r="U100" s="60"/>
      <c r="V100" s="60"/>
      <c r="W100" s="60"/>
    </row>
    <row r="101" spans="1:23" ht="14.25" thickBot="1" x14ac:dyDescent="0.3">
      <c r="A101" s="53" t="s">
        <v>5</v>
      </c>
      <c r="B101" s="54" t="s">
        <v>2052</v>
      </c>
      <c r="C101" s="55" t="s">
        <v>2053</v>
      </c>
      <c r="D101" s="57">
        <v>802</v>
      </c>
      <c r="E101" s="70" t="s">
        <v>6069</v>
      </c>
      <c r="F101" s="67" t="s">
        <v>6072</v>
      </c>
      <c r="G101" s="63" t="s">
        <v>6073</v>
      </c>
      <c r="H101" s="63" t="s">
        <v>6136</v>
      </c>
      <c r="I101" s="63" t="s">
        <v>6076</v>
      </c>
      <c r="J101" s="64" t="s">
        <v>6074</v>
      </c>
      <c r="L101" s="45">
        <v>4001281</v>
      </c>
      <c r="M101" s="46" t="s">
        <v>159</v>
      </c>
      <c r="N101" s="47">
        <f>SUMIF('LISTA TECNICA'!$I:$I,$L101,'LISTA TECNICA'!$P:$P)</f>
        <v>200.04</v>
      </c>
      <c r="O101" s="49">
        <f>IFERROR(VLOOKUP($L101,'0805'!$A:$D,4,0),0)</f>
        <v>334</v>
      </c>
      <c r="P101" s="49">
        <f>IFERROR(VLOOKUP($L101,'0806'!$A:$D,4,0),0)</f>
        <v>0</v>
      </c>
      <c r="Q101" s="59">
        <f t="shared" si="8"/>
        <v>334</v>
      </c>
      <c r="R101" s="72">
        <f t="shared" si="9"/>
        <v>133.96</v>
      </c>
      <c r="S101" s="69"/>
      <c r="T101" s="60"/>
      <c r="U101" s="60"/>
      <c r="V101" s="60"/>
      <c r="W101" s="60"/>
    </row>
    <row r="102" spans="1:23" ht="13.5" x14ac:dyDescent="0.25">
      <c r="A102" s="45">
        <v>4015043</v>
      </c>
      <c r="B102" s="46" t="s">
        <v>870</v>
      </c>
      <c r="C102" s="47">
        <f>SUMIF('LISTA TECNICA'!$I:$I,$A102,'LISTA TECNICA'!$P:$P)</f>
        <v>0</v>
      </c>
      <c r="D102" s="66">
        <f>IFERROR(VLOOKUP($A102,'0802'!$A:$D,4,0),0)</f>
        <v>0</v>
      </c>
      <c r="E102" s="72">
        <f t="shared" ref="E102:E121" si="10">D102-C102</f>
        <v>0</v>
      </c>
      <c r="F102" s="69"/>
      <c r="G102" s="60"/>
      <c r="H102" s="60"/>
      <c r="I102" s="60"/>
      <c r="J102" s="60"/>
      <c r="L102" s="45">
        <v>4001283</v>
      </c>
      <c r="M102" s="46" t="s">
        <v>602</v>
      </c>
      <c r="N102" s="47">
        <f>SUMIF('LISTA TECNICA'!$I:$I,$L102,'LISTA TECNICA'!$P:$P)</f>
        <v>3602.88</v>
      </c>
      <c r="O102" s="49">
        <f>IFERROR(VLOOKUP($L102,'0805'!$A:$D,4,0),0)</f>
        <v>2573</v>
      </c>
      <c r="P102" s="49">
        <f>IFERROR(VLOOKUP($L102,'0806'!$A:$D,4,0),0)</f>
        <v>1096</v>
      </c>
      <c r="Q102" s="59">
        <f t="shared" si="8"/>
        <v>3669</v>
      </c>
      <c r="R102" s="72">
        <f t="shared" si="9"/>
        <v>66.119999999999891</v>
      </c>
      <c r="S102" s="69"/>
      <c r="T102" s="60" t="s">
        <v>6232</v>
      </c>
      <c r="U102" s="82">
        <v>1400</v>
      </c>
      <c r="V102" s="60" t="s">
        <v>6099</v>
      </c>
      <c r="W102" s="60"/>
    </row>
    <row r="103" spans="1:23" ht="13.5" x14ac:dyDescent="0.25">
      <c r="A103" s="45">
        <v>4015044</v>
      </c>
      <c r="B103" s="46" t="s">
        <v>875</v>
      </c>
      <c r="C103" s="47">
        <f>SUMIF('LISTA TECNICA'!$I:$I,$A103,'LISTA TECNICA'!$P:$P)</f>
        <v>0</v>
      </c>
      <c r="D103" s="66">
        <f>IFERROR(VLOOKUP($A103,'0802'!$A:$D,4,0),0)</f>
        <v>0</v>
      </c>
      <c r="E103" s="72">
        <f t="shared" si="10"/>
        <v>0</v>
      </c>
      <c r="F103" s="69"/>
      <c r="G103" s="60"/>
      <c r="H103" s="60"/>
      <c r="I103" s="60"/>
      <c r="J103" s="60"/>
      <c r="L103" s="45">
        <v>4001285</v>
      </c>
      <c r="M103" s="46" t="s">
        <v>84</v>
      </c>
      <c r="N103" s="47">
        <f>SUMIF('LISTA TECNICA'!$I:$I,$L103,'LISTA TECNICA'!$P:$P)</f>
        <v>250.20000000000002</v>
      </c>
      <c r="O103" s="49">
        <f>IFERROR(VLOOKUP($L103,'0805'!$A:$D,4,0),0)</f>
        <v>525</v>
      </c>
      <c r="P103" s="49">
        <f>IFERROR(VLOOKUP($L103,'0806'!$A:$D,4,0),0)</f>
        <v>2</v>
      </c>
      <c r="Q103" s="59">
        <f t="shared" si="8"/>
        <v>527</v>
      </c>
      <c r="R103" s="72">
        <f t="shared" si="9"/>
        <v>276.79999999999995</v>
      </c>
      <c r="S103" s="69"/>
      <c r="T103" s="60"/>
      <c r="U103" s="60"/>
      <c r="V103" s="60"/>
      <c r="W103" s="60"/>
    </row>
    <row r="104" spans="1:23" ht="13.5" x14ac:dyDescent="0.25">
      <c r="A104" s="45">
        <v>4015045</v>
      </c>
      <c r="B104" s="46" t="s">
        <v>879</v>
      </c>
      <c r="C104" s="47">
        <f>SUMIF('LISTA TECNICA'!$I:$I,$A104,'LISTA TECNICA'!$P:$P)</f>
        <v>0</v>
      </c>
      <c r="D104" s="66">
        <f>IFERROR(VLOOKUP($A104,'0802'!$A:$D,4,0),0)</f>
        <v>0</v>
      </c>
      <c r="E104" s="72">
        <f t="shared" si="10"/>
        <v>0</v>
      </c>
      <c r="F104" s="69"/>
      <c r="G104" s="60"/>
      <c r="H104" s="60"/>
      <c r="I104" s="60"/>
      <c r="J104" s="60"/>
      <c r="L104" s="45">
        <v>4001291</v>
      </c>
      <c r="M104" s="46" t="s">
        <v>173</v>
      </c>
      <c r="N104" s="47">
        <f>SUMIF('LISTA TECNICA'!$I:$I,$L104,'LISTA TECNICA'!$P:$P)</f>
        <v>500.09999999999997</v>
      </c>
      <c r="O104" s="49">
        <f>IFERROR(VLOOKUP($L104,'0805'!$A:$D,4,0),0)</f>
        <v>705</v>
      </c>
      <c r="P104" s="49">
        <f>IFERROR(VLOOKUP($L104,'0806'!$A:$D,4,0),0)</f>
        <v>206</v>
      </c>
      <c r="Q104" s="59">
        <f t="shared" si="8"/>
        <v>911</v>
      </c>
      <c r="R104" s="72">
        <f t="shared" si="9"/>
        <v>410.90000000000003</v>
      </c>
      <c r="S104" s="69"/>
      <c r="T104" s="60"/>
      <c r="U104" s="60"/>
      <c r="V104" s="60"/>
      <c r="W104" s="60"/>
    </row>
    <row r="105" spans="1:23" ht="13.5" x14ac:dyDescent="0.25">
      <c r="A105" s="45">
        <v>4015046</v>
      </c>
      <c r="B105" s="46" t="s">
        <v>883</v>
      </c>
      <c r="C105" s="47">
        <f>SUMIF('LISTA TECNICA'!$I:$I,$A105,'LISTA TECNICA'!$P:$P)</f>
        <v>0</v>
      </c>
      <c r="D105" s="66">
        <f>IFERROR(VLOOKUP($A105,'0802'!$A:$D,4,0),0)</f>
        <v>0</v>
      </c>
      <c r="E105" s="72">
        <f t="shared" si="10"/>
        <v>0</v>
      </c>
      <c r="F105" s="69"/>
      <c r="G105" s="60"/>
      <c r="H105" s="60"/>
      <c r="I105" s="60"/>
      <c r="J105" s="60"/>
      <c r="L105" s="45">
        <v>4001294</v>
      </c>
      <c r="M105" s="46" t="s">
        <v>300</v>
      </c>
      <c r="N105" s="47">
        <f>SUMIF('LISTA TECNICA'!$I:$I,$L105,'LISTA TECNICA'!$P:$P)</f>
        <v>200</v>
      </c>
      <c r="O105" s="49">
        <f>IFERROR(VLOOKUP($L105,'0805'!$A:$D,4,0),0)</f>
        <v>472</v>
      </c>
      <c r="P105" s="49">
        <f>IFERROR(VLOOKUP($L105,'0806'!$A:$D,4,0),0)</f>
        <v>33</v>
      </c>
      <c r="Q105" s="59">
        <f t="shared" si="8"/>
        <v>505</v>
      </c>
      <c r="R105" s="72">
        <f t="shared" si="9"/>
        <v>305</v>
      </c>
      <c r="S105" s="69"/>
      <c r="T105" s="60"/>
      <c r="U105" s="60"/>
      <c r="V105" s="60"/>
      <c r="W105" s="60"/>
    </row>
    <row r="106" spans="1:23" ht="13.5" x14ac:dyDescent="0.25">
      <c r="A106" s="45">
        <v>4012166</v>
      </c>
      <c r="B106" s="46" t="s">
        <v>912</v>
      </c>
      <c r="C106" s="47">
        <f>SUMIF('LISTA TECNICA'!$I:$I,$A106,'LISTA TECNICA'!$P:$P)</f>
        <v>400</v>
      </c>
      <c r="D106" s="66">
        <f>IFERROR(VLOOKUP($A106,'0802'!$A:$D,4,0),0)</f>
        <v>4357</v>
      </c>
      <c r="E106" s="72">
        <f t="shared" si="10"/>
        <v>3957</v>
      </c>
      <c r="F106" s="69"/>
      <c r="G106" s="60"/>
      <c r="H106" s="60"/>
      <c r="I106" s="60"/>
      <c r="J106" s="60"/>
      <c r="L106" s="45">
        <v>4001296</v>
      </c>
      <c r="M106" s="46" t="s">
        <v>305</v>
      </c>
      <c r="N106" s="47">
        <f>SUMIF('LISTA TECNICA'!$I:$I,$L106,'LISTA TECNICA'!$P:$P)</f>
        <v>700</v>
      </c>
      <c r="O106" s="49">
        <f>IFERROR(VLOOKUP($L106,'0805'!$A:$D,4,0),0)</f>
        <v>817</v>
      </c>
      <c r="P106" s="49">
        <f>IFERROR(VLOOKUP($L106,'0806'!$A:$D,4,0),0)</f>
        <v>0</v>
      </c>
      <c r="Q106" s="59">
        <f t="shared" si="8"/>
        <v>817</v>
      </c>
      <c r="R106" s="72">
        <f t="shared" si="9"/>
        <v>117</v>
      </c>
      <c r="S106" s="69"/>
      <c r="T106" s="60"/>
      <c r="U106" s="60"/>
      <c r="V106" s="60"/>
      <c r="W106" s="60"/>
    </row>
    <row r="107" spans="1:23" ht="13.5" x14ac:dyDescent="0.25">
      <c r="A107" s="45">
        <v>4012165</v>
      </c>
      <c r="B107" s="46" t="s">
        <v>918</v>
      </c>
      <c r="C107" s="47">
        <f>SUMIF('LISTA TECNICA'!$I:$I,$A107,'LISTA TECNICA'!$P:$P)</f>
        <v>0</v>
      </c>
      <c r="D107" s="66">
        <f>IFERROR(VLOOKUP($A107,'0802'!$A:$D,4,0),0)</f>
        <v>3972</v>
      </c>
      <c r="E107" s="72">
        <f t="shared" si="10"/>
        <v>3972</v>
      </c>
      <c r="F107" s="69"/>
      <c r="G107" s="60"/>
      <c r="H107" s="60"/>
      <c r="I107" s="60"/>
      <c r="J107" s="60"/>
      <c r="L107" s="45">
        <v>4005739</v>
      </c>
      <c r="M107" s="46" t="s">
        <v>1630</v>
      </c>
      <c r="N107" s="47">
        <f>SUMIF('LISTA TECNICA'!$I:$I,$L107,'LISTA TECNICA'!$P:$P)</f>
        <v>160</v>
      </c>
      <c r="O107" s="49">
        <f>IFERROR(VLOOKUP($L107,'0805'!$A:$D,4,0),0)</f>
        <v>763</v>
      </c>
      <c r="P107" s="49">
        <f>IFERROR(VLOOKUP($L107,'0806'!$A:$D,4,0),0)</f>
        <v>8</v>
      </c>
      <c r="Q107" s="59">
        <f t="shared" si="8"/>
        <v>771</v>
      </c>
      <c r="R107" s="72">
        <f t="shared" si="9"/>
        <v>611</v>
      </c>
      <c r="S107" s="69"/>
      <c r="T107" s="60"/>
      <c r="U107" s="60"/>
      <c r="V107" s="60"/>
      <c r="W107" s="60"/>
    </row>
    <row r="108" spans="1:23" ht="13.5" x14ac:dyDescent="0.25">
      <c r="A108" s="45">
        <v>4015039</v>
      </c>
      <c r="B108" s="46" t="s">
        <v>921</v>
      </c>
      <c r="C108" s="47">
        <f>SUMIF('LISTA TECNICA'!$I:$I,$A108,'LISTA TECNICA'!$P:$P)</f>
        <v>1000</v>
      </c>
      <c r="D108" s="66">
        <f>IFERROR(VLOOKUP($A108,'0802'!$A:$D,4,0),0)</f>
        <v>12859</v>
      </c>
      <c r="E108" s="72">
        <f t="shared" si="10"/>
        <v>11859</v>
      </c>
      <c r="F108" s="69"/>
      <c r="G108" s="60"/>
      <c r="H108" s="60"/>
      <c r="I108" s="60"/>
      <c r="J108" s="60"/>
      <c r="L108" s="45">
        <v>4008673</v>
      </c>
      <c r="M108" s="46" t="s">
        <v>1420</v>
      </c>
      <c r="N108" s="47">
        <f>SUMIF('LISTA TECNICA'!$I:$I,$L108,'LISTA TECNICA'!$P:$P)</f>
        <v>0</v>
      </c>
      <c r="O108" s="49">
        <f>IFERROR(VLOOKUP($L108,'0805'!$A:$D,4,0),0)</f>
        <v>561</v>
      </c>
      <c r="P108" s="49">
        <f>IFERROR(VLOOKUP($L108,'0806'!$A:$D,4,0),0)</f>
        <v>4</v>
      </c>
      <c r="Q108" s="59">
        <f t="shared" si="8"/>
        <v>565</v>
      </c>
      <c r="R108" s="72">
        <f t="shared" si="9"/>
        <v>565</v>
      </c>
      <c r="S108" s="69"/>
      <c r="T108" s="60"/>
      <c r="U108" s="60"/>
      <c r="V108" s="60"/>
      <c r="W108" s="60"/>
    </row>
    <row r="109" spans="1:23" ht="13.5" x14ac:dyDescent="0.25">
      <c r="A109" s="45">
        <v>4015040</v>
      </c>
      <c r="B109" s="46" t="s">
        <v>924</v>
      </c>
      <c r="C109" s="47">
        <f>SUMIF('LISTA TECNICA'!$I:$I,$A109,'LISTA TECNICA'!$P:$P)</f>
        <v>0</v>
      </c>
      <c r="D109" s="66">
        <f>IFERROR(VLOOKUP($A109,'0802'!$A:$D,4,0),0)</f>
        <v>7961</v>
      </c>
      <c r="E109" s="72">
        <f t="shared" si="10"/>
        <v>7961</v>
      </c>
      <c r="F109" s="69"/>
      <c r="G109" s="60"/>
      <c r="H109" s="60"/>
      <c r="I109" s="60"/>
      <c r="J109" s="60"/>
      <c r="L109" s="45">
        <v>4001304</v>
      </c>
      <c r="M109" s="46" t="s">
        <v>102</v>
      </c>
      <c r="N109" s="47">
        <f>SUMIF('LISTA TECNICA'!$I:$I,$L109,'LISTA TECNICA'!$P:$P)</f>
        <v>0</v>
      </c>
      <c r="O109" s="49">
        <f>IFERROR(VLOOKUP($L109,'0805'!$A:$D,4,0),0)</f>
        <v>200</v>
      </c>
      <c r="P109" s="49">
        <f>IFERROR(VLOOKUP($L109,'0806'!$A:$D,4,0),0)</f>
        <v>0</v>
      </c>
      <c r="Q109" s="59">
        <f t="shared" si="8"/>
        <v>200</v>
      </c>
      <c r="R109" s="72">
        <f t="shared" si="9"/>
        <v>200</v>
      </c>
      <c r="S109" s="69"/>
      <c r="T109" s="60"/>
      <c r="U109" s="60"/>
      <c r="V109" s="60"/>
      <c r="W109" s="60"/>
    </row>
    <row r="110" spans="1:23" ht="13.5" x14ac:dyDescent="0.25">
      <c r="A110" s="45">
        <v>4015041</v>
      </c>
      <c r="B110" s="46" t="s">
        <v>927</v>
      </c>
      <c r="C110" s="47">
        <f>SUMIF('LISTA TECNICA'!$I:$I,$A110,'LISTA TECNICA'!$P:$P)</f>
        <v>0</v>
      </c>
      <c r="D110" s="66">
        <f>IFERROR(VLOOKUP($A110,'0802'!$A:$D,4,0),0)</f>
        <v>708</v>
      </c>
      <c r="E110" s="72">
        <f t="shared" si="10"/>
        <v>708</v>
      </c>
      <c r="F110" s="69"/>
      <c r="G110" s="60"/>
      <c r="H110" s="60"/>
      <c r="I110" s="60"/>
      <c r="J110" s="60"/>
      <c r="L110" s="45">
        <v>4001306</v>
      </c>
      <c r="M110" s="46" t="s">
        <v>107</v>
      </c>
      <c r="N110" s="47">
        <f>SUMIF('LISTA TECNICA'!$I:$I,$L110,'LISTA TECNICA'!$P:$P)</f>
        <v>380.30400000000003</v>
      </c>
      <c r="O110" s="49">
        <f>IFERROR(VLOOKUP($L110,'0805'!$A:$D,4,0),0)</f>
        <v>632</v>
      </c>
      <c r="P110" s="49">
        <f>IFERROR(VLOOKUP($L110,'0806'!$A:$D,4,0),0)</f>
        <v>0</v>
      </c>
      <c r="Q110" s="59">
        <f t="shared" si="8"/>
        <v>632</v>
      </c>
      <c r="R110" s="72">
        <f t="shared" si="9"/>
        <v>251.69599999999997</v>
      </c>
      <c r="S110" s="69"/>
      <c r="T110" s="60"/>
      <c r="U110" s="60"/>
      <c r="V110" s="60"/>
      <c r="W110" s="60"/>
    </row>
    <row r="111" spans="1:23" ht="13.5" x14ac:dyDescent="0.25">
      <c r="A111" s="45">
        <v>4015042</v>
      </c>
      <c r="B111" s="46" t="s">
        <v>930</v>
      </c>
      <c r="C111" s="47">
        <f>SUMIF('LISTA TECNICA'!$I:$I,$A111,'LISTA TECNICA'!$P:$P)</f>
        <v>0</v>
      </c>
      <c r="D111" s="66">
        <f>IFERROR(VLOOKUP($A111,'0802'!$A:$D,4,0),0)</f>
        <v>7403</v>
      </c>
      <c r="E111" s="72">
        <f t="shared" si="10"/>
        <v>7403</v>
      </c>
      <c r="F111" s="69"/>
      <c r="G111" s="60"/>
      <c r="H111" s="60"/>
      <c r="I111" s="60"/>
      <c r="J111" s="60"/>
      <c r="L111" s="45">
        <v>4004113</v>
      </c>
      <c r="M111" s="46" t="s">
        <v>646</v>
      </c>
      <c r="N111" s="47">
        <f>SUMIF('LISTA TECNICA'!$I:$I,$L111,'LISTA TECNICA'!$P:$P)</f>
        <v>60.120000000000005</v>
      </c>
      <c r="O111" s="49">
        <f>IFERROR(VLOOKUP($L111,'0805'!$A:$D,4,0),0)</f>
        <v>0</v>
      </c>
      <c r="P111" s="49">
        <f>IFERROR(VLOOKUP($L111,'0806'!$A:$D,4,0),0)</f>
        <v>0</v>
      </c>
      <c r="Q111" s="59">
        <f t="shared" si="8"/>
        <v>0</v>
      </c>
      <c r="R111" s="72">
        <f t="shared" si="9"/>
        <v>-60.120000000000005</v>
      </c>
      <c r="S111" s="69"/>
      <c r="T111" s="60"/>
      <c r="U111" s="60"/>
      <c r="V111" s="60"/>
      <c r="W111" s="60"/>
    </row>
    <row r="112" spans="1:23" ht="13.5" x14ac:dyDescent="0.25">
      <c r="A112" s="45">
        <v>4015024</v>
      </c>
      <c r="B112" s="46" t="s">
        <v>933</v>
      </c>
      <c r="C112" s="47">
        <f>SUMIF('LISTA TECNICA'!$I:$I,$A112,'LISTA TECNICA'!$P:$P)</f>
        <v>1400</v>
      </c>
      <c r="D112" s="66">
        <f>IFERROR(VLOOKUP($A112,'0802'!$A:$D,4,0),0)</f>
        <v>12513</v>
      </c>
      <c r="E112" s="72">
        <f t="shared" si="10"/>
        <v>11113</v>
      </c>
      <c r="F112" s="69"/>
      <c r="G112" s="60"/>
      <c r="H112" s="60"/>
      <c r="I112" s="60"/>
      <c r="J112" s="60"/>
      <c r="L112" s="45">
        <v>4001313</v>
      </c>
      <c r="M112" s="46" t="s">
        <v>213</v>
      </c>
      <c r="N112" s="47">
        <f>SUMIF('LISTA TECNICA'!$I:$I,$L112,'LISTA TECNICA'!$P:$P)</f>
        <v>300</v>
      </c>
      <c r="O112" s="49">
        <f>IFERROR(VLOOKUP($L112,'0805'!$A:$D,4,0),0)</f>
        <v>321</v>
      </c>
      <c r="P112" s="49">
        <f>IFERROR(VLOOKUP($L112,'0806'!$A:$D,4,0),0)</f>
        <v>47</v>
      </c>
      <c r="Q112" s="59">
        <f t="shared" si="8"/>
        <v>368</v>
      </c>
      <c r="R112" s="72">
        <f t="shared" si="9"/>
        <v>68</v>
      </c>
      <c r="S112" s="69"/>
      <c r="T112" s="60" t="s">
        <v>6233</v>
      </c>
      <c r="U112" s="60">
        <v>600</v>
      </c>
      <c r="V112" s="60" t="s">
        <v>6097</v>
      </c>
      <c r="W112" s="60"/>
    </row>
    <row r="113" spans="1:23" ht="13.5" x14ac:dyDescent="0.25">
      <c r="A113" s="45">
        <v>4015036</v>
      </c>
      <c r="B113" s="46" t="s">
        <v>936</v>
      </c>
      <c r="C113" s="47">
        <f>SUMIF('LISTA TECNICA'!$I:$I,$A113,'LISTA TECNICA'!$P:$P)</f>
        <v>0</v>
      </c>
      <c r="D113" s="66">
        <f>IFERROR(VLOOKUP($A113,'0802'!$A:$D,4,0),0)</f>
        <v>2000</v>
      </c>
      <c r="E113" s="72">
        <f t="shared" si="10"/>
        <v>2000</v>
      </c>
      <c r="F113" s="69"/>
      <c r="G113" s="60"/>
      <c r="H113" s="60"/>
      <c r="I113" s="60"/>
      <c r="J113" s="60"/>
      <c r="L113" s="45">
        <v>4001315</v>
      </c>
      <c r="M113" s="46" t="s">
        <v>219</v>
      </c>
      <c r="N113" s="47">
        <f>SUMIF('LISTA TECNICA'!$I:$I,$L113,'LISTA TECNICA'!$P:$P)</f>
        <v>600</v>
      </c>
      <c r="O113" s="49">
        <f>IFERROR(VLOOKUP($L113,'0805'!$A:$D,4,0),0)</f>
        <v>400</v>
      </c>
      <c r="P113" s="49">
        <f>IFERROR(VLOOKUP($L113,'0806'!$A:$D,4,0),0)</f>
        <v>118</v>
      </c>
      <c r="Q113" s="59">
        <f t="shared" si="8"/>
        <v>518</v>
      </c>
      <c r="R113" s="72">
        <f t="shared" si="9"/>
        <v>-82</v>
      </c>
      <c r="S113" s="69"/>
      <c r="T113" s="60" t="s">
        <v>6234</v>
      </c>
      <c r="U113" s="60">
        <v>518</v>
      </c>
      <c r="V113" s="60" t="s">
        <v>6099</v>
      </c>
      <c r="W113" s="60"/>
    </row>
    <row r="114" spans="1:23" ht="13.5" x14ac:dyDescent="0.25">
      <c r="A114" s="45">
        <v>4015037</v>
      </c>
      <c r="B114" s="46" t="s">
        <v>939</v>
      </c>
      <c r="C114" s="47">
        <f>SUMIF('LISTA TECNICA'!$I:$I,$A114,'LISTA TECNICA'!$P:$P)</f>
        <v>0</v>
      </c>
      <c r="D114" s="66">
        <f>IFERROR(VLOOKUP($A114,'0802'!$A:$D,4,0),0)</f>
        <v>3877</v>
      </c>
      <c r="E114" s="72">
        <f t="shared" si="10"/>
        <v>3877</v>
      </c>
      <c r="F114" s="69"/>
      <c r="G114" s="60"/>
      <c r="H114" s="60"/>
      <c r="I114" s="60"/>
      <c r="J114" s="60"/>
      <c r="L114" s="45">
        <v>4001317</v>
      </c>
      <c r="M114" s="46" t="s">
        <v>224</v>
      </c>
      <c r="N114" s="47">
        <f>SUMIF('LISTA TECNICA'!$I:$I,$L114,'LISTA TECNICA'!$P:$P)</f>
        <v>250</v>
      </c>
      <c r="O114" s="49">
        <f>IFERROR(VLOOKUP($L114,'0805'!$A:$D,4,0),0)</f>
        <v>920</v>
      </c>
      <c r="P114" s="49">
        <f>IFERROR(VLOOKUP($L114,'0806'!$A:$D,4,0),0)</f>
        <v>84</v>
      </c>
      <c r="Q114" s="59">
        <f t="shared" ref="Q114:Q145" si="11">P114+O114</f>
        <v>1004</v>
      </c>
      <c r="R114" s="72">
        <f t="shared" ref="R114:R145" si="12">Q114-N114</f>
        <v>754</v>
      </c>
      <c r="S114" s="69"/>
      <c r="T114" s="60"/>
      <c r="U114" s="60"/>
      <c r="V114" s="60"/>
      <c r="W114" s="60"/>
    </row>
    <row r="115" spans="1:23" ht="13.5" x14ac:dyDescent="0.25">
      <c r="A115" s="45">
        <v>4015038</v>
      </c>
      <c r="B115" s="46" t="s">
        <v>942</v>
      </c>
      <c r="C115" s="47">
        <f>SUMIF('LISTA TECNICA'!$I:$I,$A115,'LISTA TECNICA'!$P:$P)</f>
        <v>0</v>
      </c>
      <c r="D115" s="66">
        <f>IFERROR(VLOOKUP($A115,'0802'!$A:$D,4,0),0)</f>
        <v>7042</v>
      </c>
      <c r="E115" s="72">
        <f t="shared" si="10"/>
        <v>7042</v>
      </c>
      <c r="F115" s="69"/>
      <c r="G115" s="60"/>
      <c r="H115" s="60"/>
      <c r="I115" s="60"/>
      <c r="J115" s="60"/>
      <c r="L115" s="45">
        <v>4001320</v>
      </c>
      <c r="M115" s="46" t="s">
        <v>229</v>
      </c>
      <c r="N115" s="47">
        <f>SUMIF('LISTA TECNICA'!$I:$I,$L115,'LISTA TECNICA'!$P:$P)</f>
        <v>300</v>
      </c>
      <c r="O115" s="49">
        <f>IFERROR(VLOOKUP($L115,'0805'!$A:$D,4,0),0)</f>
        <v>285</v>
      </c>
      <c r="P115" s="49">
        <f>IFERROR(VLOOKUP($L115,'0806'!$A:$D,4,0),0)</f>
        <v>22</v>
      </c>
      <c r="Q115" s="59">
        <f t="shared" si="11"/>
        <v>307</v>
      </c>
      <c r="R115" s="72">
        <f t="shared" si="12"/>
        <v>7</v>
      </c>
      <c r="S115" s="69"/>
      <c r="T115" s="60"/>
      <c r="U115" s="60"/>
      <c r="V115" s="60"/>
      <c r="W115" s="60"/>
    </row>
    <row r="116" spans="1:23" ht="13.5" x14ac:dyDescent="0.25">
      <c r="A116" s="45">
        <v>4012168</v>
      </c>
      <c r="B116" s="46" t="s">
        <v>957</v>
      </c>
      <c r="C116" s="47">
        <f>SUMIF('LISTA TECNICA'!$I:$I,$A116,'LISTA TECNICA'!$P:$P)</f>
        <v>1800</v>
      </c>
      <c r="D116" s="66">
        <f>IFERROR(VLOOKUP($A116,'0802'!$A:$D,4,0),0)</f>
        <v>10396</v>
      </c>
      <c r="E116" s="72">
        <f t="shared" si="10"/>
        <v>8596</v>
      </c>
      <c r="F116" s="69"/>
      <c r="G116" s="60"/>
      <c r="H116" s="60"/>
      <c r="I116" s="60"/>
      <c r="J116" s="60"/>
      <c r="L116" s="45">
        <v>4001325</v>
      </c>
      <c r="M116" s="46" t="s">
        <v>242</v>
      </c>
      <c r="N116" s="47">
        <f>SUMIF('LISTA TECNICA'!$I:$I,$L116,'LISTA TECNICA'!$P:$P)</f>
        <v>1209.5999999999999</v>
      </c>
      <c r="O116" s="49">
        <f>IFERROR(VLOOKUP($L116,'0805'!$A:$D,4,0),0)</f>
        <v>1117</v>
      </c>
      <c r="P116" s="49">
        <f>IFERROR(VLOOKUP($L116,'0806'!$A:$D,4,0),0)</f>
        <v>22</v>
      </c>
      <c r="Q116" s="59">
        <f t="shared" si="11"/>
        <v>1139</v>
      </c>
      <c r="R116" s="72">
        <f t="shared" si="12"/>
        <v>-70.599999999999909</v>
      </c>
      <c r="S116" s="69"/>
      <c r="T116" s="60" t="s">
        <v>6235</v>
      </c>
      <c r="U116" s="60">
        <v>600</v>
      </c>
      <c r="V116" s="60" t="s">
        <v>6099</v>
      </c>
      <c r="W116" s="60"/>
    </row>
    <row r="117" spans="1:23" ht="13.5" x14ac:dyDescent="0.25">
      <c r="A117" s="45">
        <v>4012141</v>
      </c>
      <c r="B117" s="46" t="s">
        <v>986</v>
      </c>
      <c r="C117" s="47">
        <f>SUMIF('LISTA TECNICA'!$I:$I,$A117,'LISTA TECNICA'!$P:$P)</f>
        <v>1000</v>
      </c>
      <c r="D117" s="66">
        <f>IFERROR(VLOOKUP($A117,'0802'!$A:$D,4,0),0)</f>
        <v>1297</v>
      </c>
      <c r="E117" s="72">
        <f t="shared" si="10"/>
        <v>297</v>
      </c>
      <c r="F117" s="69"/>
      <c r="G117" s="60"/>
      <c r="H117" s="60"/>
      <c r="I117" s="60"/>
      <c r="J117" s="60"/>
      <c r="L117" s="45">
        <v>4001329</v>
      </c>
      <c r="M117" s="46" t="s">
        <v>285</v>
      </c>
      <c r="N117" s="47">
        <f>SUMIF('LISTA TECNICA'!$I:$I,$L117,'LISTA TECNICA'!$P:$P)</f>
        <v>2200</v>
      </c>
      <c r="O117" s="49">
        <f>IFERROR(VLOOKUP($L117,'0805'!$A:$D,4,0),0)</f>
        <v>2670</v>
      </c>
      <c r="P117" s="49">
        <f>IFERROR(VLOOKUP($L117,'0806'!$A:$D,4,0),0)</f>
        <v>25</v>
      </c>
      <c r="Q117" s="59">
        <f t="shared" si="11"/>
        <v>2695</v>
      </c>
      <c r="R117" s="72">
        <f t="shared" si="12"/>
        <v>495</v>
      </c>
      <c r="S117" s="69"/>
      <c r="T117" s="60" t="s">
        <v>6236</v>
      </c>
      <c r="U117" s="60">
        <v>150</v>
      </c>
      <c r="V117" s="60" t="s">
        <v>6106</v>
      </c>
      <c r="W117" s="60"/>
    </row>
    <row r="118" spans="1:23" ht="13.5" x14ac:dyDescent="0.25">
      <c r="A118" s="45">
        <v>4012143</v>
      </c>
      <c r="B118" s="46" t="s">
        <v>989</v>
      </c>
      <c r="C118" s="47">
        <f>SUMIF('LISTA TECNICA'!$I:$I,$A118,'LISTA TECNICA'!$P:$P)</f>
        <v>400</v>
      </c>
      <c r="D118" s="66">
        <f>IFERROR(VLOOKUP($A118,'0802'!$A:$D,4,0),0)</f>
        <v>4000</v>
      </c>
      <c r="E118" s="72">
        <f t="shared" si="10"/>
        <v>3600</v>
      </c>
      <c r="F118" s="69"/>
      <c r="G118" s="60"/>
      <c r="H118" s="60"/>
      <c r="I118" s="60"/>
      <c r="J118" s="60"/>
      <c r="L118" s="45">
        <v>4012100</v>
      </c>
      <c r="M118" s="46" t="s">
        <v>1509</v>
      </c>
      <c r="N118" s="47">
        <f>SUMIF('LISTA TECNICA'!$I:$I,$L118,'LISTA TECNICA'!$P:$P)</f>
        <v>0</v>
      </c>
      <c r="O118" s="49">
        <f>IFERROR(VLOOKUP($L118,'0805'!$A:$D,4,0),0)</f>
        <v>950</v>
      </c>
      <c r="P118" s="49">
        <f>IFERROR(VLOOKUP($L118,'0806'!$A:$D,4,0),0)</f>
        <v>3</v>
      </c>
      <c r="Q118" s="59">
        <f t="shared" si="11"/>
        <v>953</v>
      </c>
      <c r="R118" s="72">
        <f t="shared" si="12"/>
        <v>953</v>
      </c>
      <c r="S118" s="69"/>
      <c r="T118" s="60"/>
      <c r="U118" s="60"/>
      <c r="V118" s="60"/>
      <c r="W118" s="60"/>
    </row>
    <row r="119" spans="1:23" ht="13.5" x14ac:dyDescent="0.25">
      <c r="A119" s="45">
        <v>4012144</v>
      </c>
      <c r="B119" s="46" t="s">
        <v>992</v>
      </c>
      <c r="C119" s="47">
        <f>SUMIF('LISTA TECNICA'!$I:$I,$A119,'LISTA TECNICA'!$P:$P)</f>
        <v>400</v>
      </c>
      <c r="D119" s="66">
        <f>IFERROR(VLOOKUP($A119,'0802'!$A:$D,4,0),0)</f>
        <v>3845</v>
      </c>
      <c r="E119" s="72">
        <f t="shared" si="10"/>
        <v>3445</v>
      </c>
      <c r="F119" s="69"/>
      <c r="G119" s="60"/>
      <c r="H119" s="60"/>
      <c r="I119" s="60"/>
      <c r="J119" s="60"/>
      <c r="L119" s="45">
        <v>4001340</v>
      </c>
      <c r="M119" s="46" t="s">
        <v>19</v>
      </c>
      <c r="N119" s="47">
        <f>SUMIF('LISTA TECNICA'!$I:$I,$L119,'LISTA TECNICA'!$P:$P)</f>
        <v>230.184</v>
      </c>
      <c r="O119" s="49">
        <f>IFERROR(VLOOKUP($L119,'0805'!$A:$D,4,0),0)</f>
        <v>611</v>
      </c>
      <c r="P119" s="49">
        <f>IFERROR(VLOOKUP($L119,'0806'!$A:$D,4,0),0)</f>
        <v>0</v>
      </c>
      <c r="Q119" s="59">
        <f t="shared" si="11"/>
        <v>611</v>
      </c>
      <c r="R119" s="72">
        <f t="shared" si="12"/>
        <v>380.81600000000003</v>
      </c>
      <c r="S119" s="69"/>
      <c r="T119" s="60"/>
      <c r="U119" s="60"/>
      <c r="V119" s="60"/>
      <c r="W119" s="60"/>
    </row>
    <row r="120" spans="1:23" ht="13.5" x14ac:dyDescent="0.25">
      <c r="A120" s="45">
        <v>4012145</v>
      </c>
      <c r="B120" s="46" t="s">
        <v>995</v>
      </c>
      <c r="C120" s="47">
        <f>SUMIF('LISTA TECNICA'!$I:$I,$A120,'LISTA TECNICA'!$P:$P)</f>
        <v>500</v>
      </c>
      <c r="D120" s="66">
        <f>IFERROR(VLOOKUP($A120,'0802'!$A:$D,4,0),0)</f>
        <v>3380</v>
      </c>
      <c r="E120" s="72">
        <f t="shared" si="10"/>
        <v>2880</v>
      </c>
      <c r="F120" s="69"/>
      <c r="G120" s="60"/>
      <c r="H120" s="60"/>
      <c r="I120" s="60"/>
      <c r="J120" s="60"/>
      <c r="L120" s="45">
        <v>4005407</v>
      </c>
      <c r="M120" s="46" t="s">
        <v>1514</v>
      </c>
      <c r="N120" s="47">
        <f>SUMIF('LISTA TECNICA'!$I:$I,$L120,'LISTA TECNICA'!$P:$P)</f>
        <v>50.4</v>
      </c>
      <c r="O120" s="49">
        <f>IFERROR(VLOOKUP($L120,'0805'!$A:$D,4,0),0)</f>
        <v>294</v>
      </c>
      <c r="P120" s="49">
        <f>IFERROR(VLOOKUP($L120,'0806'!$A:$D,4,0),0)</f>
        <v>53</v>
      </c>
      <c r="Q120" s="59">
        <f t="shared" si="11"/>
        <v>347</v>
      </c>
      <c r="R120" s="72">
        <f t="shared" si="12"/>
        <v>296.60000000000002</v>
      </c>
      <c r="S120" s="69"/>
      <c r="T120" s="60"/>
      <c r="U120" s="60"/>
      <c r="V120" s="60"/>
      <c r="W120" s="60"/>
    </row>
    <row r="121" spans="1:23" ht="13.5" x14ac:dyDescent="0.25">
      <c r="A121" s="45">
        <v>4016933</v>
      </c>
      <c r="B121" s="46" t="s">
        <v>889</v>
      </c>
      <c r="C121" s="47">
        <f>SUMIF('LISTA TECNICA'!$I:$I,$A121,'LISTA TECNICA'!$P:$P)</f>
        <v>0</v>
      </c>
      <c r="D121" s="66">
        <f>IFERROR(VLOOKUP($A121,'0802'!$A:$D,4,0),0)</f>
        <v>10000</v>
      </c>
      <c r="E121" s="72">
        <f t="shared" si="10"/>
        <v>10000</v>
      </c>
      <c r="F121" s="69"/>
      <c r="G121" s="60"/>
      <c r="H121" s="60"/>
      <c r="I121" s="60"/>
      <c r="J121" s="60"/>
      <c r="L121" s="45">
        <v>4005945</v>
      </c>
      <c r="M121" s="46" t="s">
        <v>1544</v>
      </c>
      <c r="N121" s="47">
        <f>SUMIF('LISTA TECNICA'!$I:$I,$L121,'LISTA TECNICA'!$P:$P)</f>
        <v>1814.3999999999999</v>
      </c>
      <c r="O121" s="49">
        <f>IFERROR(VLOOKUP($L121,'0805'!$A:$D,4,0),0)</f>
        <v>1798</v>
      </c>
      <c r="P121" s="49">
        <f>IFERROR(VLOOKUP($L121,'0806'!$A:$D,4,0),0)</f>
        <v>0</v>
      </c>
      <c r="Q121" s="59">
        <f t="shared" si="11"/>
        <v>1798</v>
      </c>
      <c r="R121" s="72">
        <f t="shared" si="12"/>
        <v>-16.399999999999864</v>
      </c>
      <c r="S121" s="69"/>
      <c r="T121" s="60"/>
      <c r="U121" s="60"/>
      <c r="V121" s="60"/>
      <c r="W121" s="60"/>
    </row>
    <row r="122" spans="1:23" ht="15.75" thickBot="1" x14ac:dyDescent="0.3">
      <c r="L122" s="45">
        <v>4010849</v>
      </c>
      <c r="M122" s="46" t="s">
        <v>1602</v>
      </c>
      <c r="N122" s="47">
        <f>SUMIF('LISTA TECNICA'!$I:$I,$L122,'LISTA TECNICA'!$P:$P)</f>
        <v>51</v>
      </c>
      <c r="O122" s="49">
        <f>IFERROR(VLOOKUP($L122,'0805'!$A:$D,4,0),0)</f>
        <v>274</v>
      </c>
      <c r="P122" s="49">
        <f>IFERROR(VLOOKUP($L122,'0806'!$A:$D,4,0),0)</f>
        <v>0</v>
      </c>
      <c r="Q122" s="59">
        <f t="shared" si="11"/>
        <v>274</v>
      </c>
      <c r="R122" s="72">
        <f t="shared" si="12"/>
        <v>223</v>
      </c>
      <c r="S122" s="69"/>
      <c r="T122" s="60"/>
      <c r="U122" s="60"/>
      <c r="V122" s="60"/>
      <c r="W122" s="60"/>
    </row>
    <row r="123" spans="1:23" ht="14.25" thickBot="1" x14ac:dyDescent="0.3">
      <c r="A123" s="86" t="s">
        <v>6085</v>
      </c>
      <c r="B123" s="87"/>
      <c r="C123" s="87"/>
      <c r="D123" s="87"/>
      <c r="E123" s="87"/>
      <c r="F123" s="87"/>
      <c r="G123" s="87"/>
      <c r="H123" s="87"/>
      <c r="I123" s="87"/>
      <c r="J123" s="88"/>
      <c r="L123" s="45">
        <v>4001391</v>
      </c>
      <c r="M123" s="46" t="s">
        <v>315</v>
      </c>
      <c r="N123" s="47">
        <f>SUMIF('LISTA TECNICA'!$I:$I,$L123,'LISTA TECNICA'!$P:$P)</f>
        <v>0</v>
      </c>
      <c r="O123" s="49">
        <f>IFERROR(VLOOKUP($L123,'0805'!$A:$D,4,0),0)</f>
        <v>896</v>
      </c>
      <c r="P123" s="49">
        <f>IFERROR(VLOOKUP($L123,'0806'!$A:$D,4,0),0)</f>
        <v>6</v>
      </c>
      <c r="Q123" s="59">
        <f t="shared" si="11"/>
        <v>902</v>
      </c>
      <c r="R123" s="72">
        <f t="shared" si="12"/>
        <v>902</v>
      </c>
      <c r="S123" s="69"/>
      <c r="T123" s="60"/>
      <c r="U123" s="60"/>
      <c r="V123" s="60"/>
      <c r="W123" s="60"/>
    </row>
    <row r="124" spans="1:23" ht="14.25" thickBot="1" x14ac:dyDescent="0.3">
      <c r="A124" s="53" t="s">
        <v>5</v>
      </c>
      <c r="B124" s="54" t="s">
        <v>2052</v>
      </c>
      <c r="C124" s="55" t="s">
        <v>2053</v>
      </c>
      <c r="D124" s="57">
        <v>802</v>
      </c>
      <c r="E124" s="70" t="s">
        <v>6069</v>
      </c>
      <c r="F124" s="67" t="s">
        <v>6072</v>
      </c>
      <c r="G124" s="63" t="s">
        <v>6073</v>
      </c>
      <c r="H124" s="63" t="s">
        <v>6136</v>
      </c>
      <c r="I124" s="63" t="s">
        <v>6076</v>
      </c>
      <c r="J124" s="64" t="s">
        <v>6074</v>
      </c>
      <c r="L124" s="45">
        <v>4001358</v>
      </c>
      <c r="M124" s="46" t="s">
        <v>320</v>
      </c>
      <c r="N124" s="47">
        <f>SUMIF('LISTA TECNICA'!$I:$I,$L124,'LISTA TECNICA'!$P:$P)</f>
        <v>3100</v>
      </c>
      <c r="O124" s="49">
        <f>IFERROR(VLOOKUP($L124,'0805'!$A:$D,4,0),0)</f>
        <v>3822</v>
      </c>
      <c r="P124" s="49">
        <f>IFERROR(VLOOKUP($L124,'0806'!$A:$D,4,0),0)</f>
        <v>291</v>
      </c>
      <c r="Q124" s="59">
        <f t="shared" si="11"/>
        <v>4113</v>
      </c>
      <c r="R124" s="72">
        <f t="shared" si="12"/>
        <v>1013</v>
      </c>
      <c r="S124" s="69"/>
      <c r="T124" s="60"/>
      <c r="U124" s="60"/>
      <c r="V124" s="60"/>
      <c r="W124" s="60"/>
    </row>
    <row r="125" spans="1:23" ht="13.5" x14ac:dyDescent="0.25">
      <c r="A125" s="45">
        <v>4016810</v>
      </c>
      <c r="B125" s="46" t="s">
        <v>1454</v>
      </c>
      <c r="C125" s="47">
        <f>SUMIF('LISTA TECNICA'!$I:$I,$A125,'LISTA TECNICA'!$P:$P)</f>
        <v>200.16</v>
      </c>
      <c r="D125" s="66">
        <f>IFERROR(VLOOKUP($A125,'0802'!$A:$D,4,0),0)</f>
        <v>1555</v>
      </c>
      <c r="E125" s="72">
        <f t="shared" ref="E125:E139" si="13">D125-C125</f>
        <v>1354.84</v>
      </c>
      <c r="F125" s="69"/>
      <c r="G125" s="60" t="s">
        <v>6138</v>
      </c>
      <c r="H125" s="82">
        <v>5000</v>
      </c>
      <c r="I125" s="60" t="s">
        <v>6139</v>
      </c>
      <c r="J125" s="60"/>
      <c r="L125" s="45">
        <v>4009139</v>
      </c>
      <c r="M125" s="46" t="s">
        <v>1686</v>
      </c>
      <c r="N125" s="47">
        <f>SUMIF('LISTA TECNICA'!$I:$I,$L125,'LISTA TECNICA'!$P:$P)</f>
        <v>1310.3999999999999</v>
      </c>
      <c r="O125" s="49">
        <f>IFERROR(VLOOKUP($L125,'0805'!$A:$D,4,0),0)</f>
        <v>595</v>
      </c>
      <c r="P125" s="49">
        <f>IFERROR(VLOOKUP($L125,'0806'!$A:$D,4,0),0)</f>
        <v>0</v>
      </c>
      <c r="Q125" s="59">
        <f t="shared" si="11"/>
        <v>595</v>
      </c>
      <c r="R125" s="72">
        <f t="shared" si="12"/>
        <v>-715.39999999999986</v>
      </c>
      <c r="S125" s="69"/>
      <c r="T125" s="60" t="s">
        <v>6237</v>
      </c>
      <c r="U125" s="60">
        <v>1000</v>
      </c>
      <c r="V125" s="60" t="s">
        <v>6097</v>
      </c>
      <c r="W125" s="60"/>
    </row>
    <row r="126" spans="1:23" ht="13.5" x14ac:dyDescent="0.25">
      <c r="A126" s="45">
        <v>4016792</v>
      </c>
      <c r="B126" s="46" t="s">
        <v>1474</v>
      </c>
      <c r="C126" s="47">
        <f>SUMIF('LISTA TECNICA'!$I:$I,$A126,'LISTA TECNICA'!$P:$P)</f>
        <v>25</v>
      </c>
      <c r="D126" s="66">
        <f>IFERROR(VLOOKUP($A126,'0802'!$A:$D,4,0),0)</f>
        <v>0</v>
      </c>
      <c r="E126" s="72">
        <f t="shared" si="13"/>
        <v>-25</v>
      </c>
      <c r="F126" s="69"/>
      <c r="G126" s="60"/>
      <c r="H126" s="60"/>
      <c r="I126" s="60"/>
      <c r="J126" s="60"/>
      <c r="L126" s="45">
        <v>4001362</v>
      </c>
      <c r="M126" s="46" t="s">
        <v>90</v>
      </c>
      <c r="N126" s="47">
        <f>SUMIF('LISTA TECNICA'!$I:$I,$L126,'LISTA TECNICA'!$P:$P)</f>
        <v>964.77120000000002</v>
      </c>
      <c r="O126" s="49">
        <f>IFERROR(VLOOKUP($L126,'0805'!$A:$D,4,0),0)</f>
        <v>2437</v>
      </c>
      <c r="P126" s="49">
        <f>IFERROR(VLOOKUP($L126,'0806'!$A:$D,4,0),0)</f>
        <v>93</v>
      </c>
      <c r="Q126" s="59">
        <f t="shared" si="11"/>
        <v>2530</v>
      </c>
      <c r="R126" s="72">
        <f t="shared" si="12"/>
        <v>1565.2287999999999</v>
      </c>
      <c r="S126" s="69"/>
      <c r="T126" s="60"/>
      <c r="U126" s="60"/>
      <c r="V126" s="60"/>
      <c r="W126" s="60"/>
    </row>
    <row r="127" spans="1:23" ht="13.5" x14ac:dyDescent="0.25">
      <c r="A127" s="45">
        <v>4003583</v>
      </c>
      <c r="B127" s="46" t="s">
        <v>39</v>
      </c>
      <c r="C127" s="47">
        <f>SUMIF('LISTA TECNICA'!$I:$I,$A127,'LISTA TECNICA'!$P:$P)</f>
        <v>0</v>
      </c>
      <c r="D127" s="66">
        <f>IFERROR(VLOOKUP($A127,'0802'!$A:$D,4,0),0)</f>
        <v>297</v>
      </c>
      <c r="E127" s="72">
        <f t="shared" si="13"/>
        <v>297</v>
      </c>
      <c r="F127" s="69"/>
      <c r="G127" s="60"/>
      <c r="H127" s="60"/>
      <c r="I127" s="60"/>
      <c r="J127" s="60"/>
      <c r="L127" s="45">
        <v>4001367</v>
      </c>
      <c r="M127" s="46" t="s">
        <v>290</v>
      </c>
      <c r="N127" s="47">
        <f>SUMIF('LISTA TECNICA'!$I:$I,$L127,'LISTA TECNICA'!$P:$P)</f>
        <v>0</v>
      </c>
      <c r="O127" s="49">
        <f>IFERROR(VLOOKUP($L127,'0805'!$A:$D,4,0),0)</f>
        <v>393</v>
      </c>
      <c r="P127" s="49">
        <f>IFERROR(VLOOKUP($L127,'0806'!$A:$D,4,0),0)</f>
        <v>2</v>
      </c>
      <c r="Q127" s="59">
        <f t="shared" si="11"/>
        <v>395</v>
      </c>
      <c r="R127" s="72">
        <f t="shared" si="12"/>
        <v>395</v>
      </c>
      <c r="S127" s="69"/>
      <c r="T127" s="60" t="s">
        <v>6238</v>
      </c>
      <c r="U127" s="60">
        <v>398</v>
      </c>
      <c r="V127" s="60" t="s">
        <v>6101</v>
      </c>
      <c r="W127" s="60"/>
    </row>
    <row r="128" spans="1:23" ht="13.5" x14ac:dyDescent="0.25">
      <c r="A128" s="45">
        <v>4003594</v>
      </c>
      <c r="B128" s="46" t="s">
        <v>472</v>
      </c>
      <c r="C128" s="47">
        <f>SUMIF('LISTA TECNICA'!$I:$I,$A128,'LISTA TECNICA'!$P:$P)</f>
        <v>200.04</v>
      </c>
      <c r="D128" s="66">
        <f>IFERROR(VLOOKUP($A128,'0802'!$A:$D,4,0),0)</f>
        <v>2070</v>
      </c>
      <c r="E128" s="72">
        <f t="shared" si="13"/>
        <v>1869.96</v>
      </c>
      <c r="F128" s="69"/>
      <c r="G128" s="60"/>
      <c r="H128" s="60"/>
      <c r="I128" s="60"/>
      <c r="J128" s="60"/>
      <c r="L128" s="45">
        <v>4001368</v>
      </c>
      <c r="M128" s="46" t="s">
        <v>295</v>
      </c>
      <c r="N128" s="47">
        <f>SUMIF('LISTA TECNICA'!$I:$I,$L128,'LISTA TECNICA'!$P:$P)</f>
        <v>6500</v>
      </c>
      <c r="O128" s="49">
        <f>IFERROR(VLOOKUP($L128,'0805'!$A:$D,4,0),0)</f>
        <v>5873</v>
      </c>
      <c r="P128" s="49">
        <f>IFERROR(VLOOKUP($L128,'0806'!$A:$D,4,0),0)</f>
        <v>34</v>
      </c>
      <c r="Q128" s="59">
        <f t="shared" si="11"/>
        <v>5907</v>
      </c>
      <c r="R128" s="72">
        <f t="shared" si="12"/>
        <v>-593</v>
      </c>
      <c r="S128" s="69"/>
      <c r="T128" s="60"/>
      <c r="U128" s="60"/>
      <c r="V128" s="60"/>
      <c r="W128" s="60"/>
    </row>
    <row r="129" spans="1:23" ht="13.5" x14ac:dyDescent="0.25">
      <c r="A129" s="45">
        <v>4013310</v>
      </c>
      <c r="B129" s="46" t="s">
        <v>909</v>
      </c>
      <c r="C129" s="47">
        <f>SUMIF('LISTA TECNICA'!$I:$I,$A129,'LISTA TECNICA'!$P:$P)</f>
        <v>10700.24</v>
      </c>
      <c r="D129" s="66">
        <f>IFERROR(VLOOKUP($A129,'0802'!$A:$D,4,0),0)</f>
        <v>44047</v>
      </c>
      <c r="E129" s="72">
        <f t="shared" si="13"/>
        <v>33346.76</v>
      </c>
      <c r="F129" s="69"/>
      <c r="G129" s="60"/>
      <c r="H129" s="60"/>
      <c r="I129" s="60"/>
      <c r="J129" s="60"/>
      <c r="L129" s="45">
        <v>4005737</v>
      </c>
      <c r="M129" s="46" t="s">
        <v>1610</v>
      </c>
      <c r="N129" s="47">
        <f>SUMIF('LISTA TECNICA'!$I:$I,$L129,'LISTA TECNICA'!$P:$P)</f>
        <v>100</v>
      </c>
      <c r="O129" s="49">
        <f>IFERROR(VLOOKUP($L129,'0805'!$A:$D,4,0),0)</f>
        <v>188</v>
      </c>
      <c r="P129" s="49">
        <f>IFERROR(VLOOKUP($L129,'0806'!$A:$D,4,0),0)</f>
        <v>0</v>
      </c>
      <c r="Q129" s="59">
        <f t="shared" si="11"/>
        <v>188</v>
      </c>
      <c r="R129" s="72">
        <f t="shared" si="12"/>
        <v>88</v>
      </c>
      <c r="S129" s="69"/>
      <c r="T129" s="60"/>
      <c r="U129" s="60"/>
      <c r="V129" s="60"/>
      <c r="W129" s="60"/>
    </row>
    <row r="130" spans="1:23" ht="13.5" x14ac:dyDescent="0.25">
      <c r="A130" s="45">
        <v>4009781</v>
      </c>
      <c r="B130" s="46" t="s">
        <v>368</v>
      </c>
      <c r="C130" s="47">
        <f>SUMIF('LISTA TECNICA'!$I:$I,$A130,'LISTA TECNICA'!$P:$P)</f>
        <v>3162</v>
      </c>
      <c r="D130" s="66">
        <f>IFERROR(VLOOKUP($A130,'0802'!$A:$D,4,0),0)</f>
        <v>32420</v>
      </c>
      <c r="E130" s="72">
        <f t="shared" si="13"/>
        <v>29258</v>
      </c>
      <c r="F130" s="69"/>
      <c r="G130" s="60"/>
      <c r="H130" s="60"/>
      <c r="I130" s="60"/>
      <c r="J130" s="60"/>
      <c r="L130" s="45">
        <v>4001369</v>
      </c>
      <c r="M130" s="46" t="s">
        <v>113</v>
      </c>
      <c r="N130" s="47">
        <f>SUMIF('LISTA TECNICA'!$I:$I,$L130,'LISTA TECNICA'!$P:$P)</f>
        <v>1200.96</v>
      </c>
      <c r="O130" s="49">
        <f>IFERROR(VLOOKUP($L130,'0805'!$A:$D,4,0),0)</f>
        <v>1285</v>
      </c>
      <c r="P130" s="49">
        <f>IFERROR(VLOOKUP($L130,'0806'!$A:$D,4,0),0)</f>
        <v>5</v>
      </c>
      <c r="Q130" s="59">
        <f t="shared" si="11"/>
        <v>1290</v>
      </c>
      <c r="R130" s="72">
        <f t="shared" si="12"/>
        <v>89.039999999999964</v>
      </c>
      <c r="S130" s="69"/>
      <c r="T130" s="60"/>
      <c r="U130" s="60"/>
      <c r="V130" s="60"/>
      <c r="W130" s="60"/>
    </row>
    <row r="131" spans="1:23" ht="13.5" x14ac:dyDescent="0.25">
      <c r="A131" s="45">
        <v>4009779</v>
      </c>
      <c r="B131" s="46" t="s">
        <v>375</v>
      </c>
      <c r="C131" s="47">
        <f>SUMIF('LISTA TECNICA'!$I:$I,$A131,'LISTA TECNICA'!$P:$P)</f>
        <v>3600</v>
      </c>
      <c r="D131" s="66">
        <f>IFERROR(VLOOKUP($A131,'0802'!$A:$D,4,0),0)</f>
        <v>7480</v>
      </c>
      <c r="E131" s="72">
        <f t="shared" si="13"/>
        <v>3880</v>
      </c>
      <c r="F131" s="69"/>
      <c r="G131" s="60"/>
      <c r="H131" s="60"/>
      <c r="I131" s="60"/>
      <c r="J131" s="60"/>
      <c r="L131" s="45">
        <v>4001379</v>
      </c>
      <c r="M131" s="46" t="s">
        <v>280</v>
      </c>
      <c r="N131" s="47">
        <f>SUMIF('LISTA TECNICA'!$I:$I,$L131,'LISTA TECNICA'!$P:$P)</f>
        <v>3100</v>
      </c>
      <c r="O131" s="49">
        <f>IFERROR(VLOOKUP($L131,'0805'!$A:$D,4,0),0)</f>
        <v>3104</v>
      </c>
      <c r="P131" s="49">
        <f>IFERROR(VLOOKUP($L131,'0806'!$A:$D,4,0),0)</f>
        <v>875</v>
      </c>
      <c r="Q131" s="59">
        <f t="shared" si="11"/>
        <v>3979</v>
      </c>
      <c r="R131" s="72">
        <f t="shared" si="12"/>
        <v>879</v>
      </c>
      <c r="S131" s="69"/>
      <c r="T131" s="60"/>
      <c r="U131" s="60"/>
      <c r="V131" s="60"/>
      <c r="W131" s="60"/>
    </row>
    <row r="132" spans="1:23" ht="13.5" x14ac:dyDescent="0.25">
      <c r="A132" s="45">
        <v>4009783</v>
      </c>
      <c r="B132" s="46" t="s">
        <v>386</v>
      </c>
      <c r="C132" s="47">
        <f>SUMIF('LISTA TECNICA'!$I:$I,$A132,'LISTA TECNICA'!$P:$P)</f>
        <v>3612</v>
      </c>
      <c r="D132" s="66">
        <f>IFERROR(VLOOKUP($A132,'0802'!$A:$D,4,0),0)</f>
        <v>12474</v>
      </c>
      <c r="E132" s="72">
        <f t="shared" si="13"/>
        <v>8862</v>
      </c>
      <c r="F132" s="69"/>
      <c r="G132" s="60"/>
      <c r="H132" s="60"/>
      <c r="I132" s="60"/>
      <c r="J132" s="60"/>
      <c r="L132" s="45">
        <v>4005791</v>
      </c>
      <c r="M132" s="46" t="s">
        <v>1582</v>
      </c>
      <c r="N132" s="47">
        <f>SUMIF('LISTA TECNICA'!$I:$I,$L132,'LISTA TECNICA'!$P:$P)</f>
        <v>0</v>
      </c>
      <c r="O132" s="49">
        <f>IFERROR(VLOOKUP($L132,'0805'!$A:$D,4,0),0)</f>
        <v>320</v>
      </c>
      <c r="P132" s="49">
        <f>IFERROR(VLOOKUP($L132,'0806'!$A:$D,4,0),0)</f>
        <v>115</v>
      </c>
      <c r="Q132" s="59">
        <f t="shared" si="11"/>
        <v>435</v>
      </c>
      <c r="R132" s="72">
        <f t="shared" si="12"/>
        <v>435</v>
      </c>
      <c r="S132" s="69"/>
      <c r="T132" s="60" t="s">
        <v>6239</v>
      </c>
      <c r="U132" s="60">
        <v>600</v>
      </c>
      <c r="V132" s="60" t="s">
        <v>6106</v>
      </c>
      <c r="W132" s="60"/>
    </row>
    <row r="133" spans="1:23" ht="13.5" x14ac:dyDescent="0.25">
      <c r="A133" s="45">
        <v>4003642</v>
      </c>
      <c r="B133" s="46" t="s">
        <v>751</v>
      </c>
      <c r="C133" s="47">
        <f>SUMIF('LISTA TECNICA'!$I:$I,$A133,'LISTA TECNICA'!$P:$P)</f>
        <v>983.2</v>
      </c>
      <c r="D133" s="66">
        <f>IFERROR(VLOOKUP($A133,'0802'!$A:$D,4,0),0)</f>
        <v>2818</v>
      </c>
      <c r="E133" s="72">
        <f t="shared" si="13"/>
        <v>1834.8</v>
      </c>
      <c r="F133" s="69"/>
      <c r="G133" s="60"/>
      <c r="H133" s="60"/>
      <c r="I133" s="60"/>
      <c r="J133" s="60"/>
      <c r="L133" s="45">
        <v>4006399</v>
      </c>
      <c r="M133" s="46" t="s">
        <v>1709</v>
      </c>
      <c r="N133" s="47">
        <f>SUMIF('LISTA TECNICA'!$I:$I,$L133,'LISTA TECNICA'!$P:$P)</f>
        <v>940.75199999999995</v>
      </c>
      <c r="O133" s="49">
        <f>IFERROR(VLOOKUP($L133,'0805'!$A:$D,4,0),0)</f>
        <v>266</v>
      </c>
      <c r="P133" s="49">
        <f>IFERROR(VLOOKUP($L133,'0806'!$A:$D,4,0),0)</f>
        <v>106</v>
      </c>
      <c r="Q133" s="59">
        <f t="shared" si="11"/>
        <v>372</v>
      </c>
      <c r="R133" s="72">
        <f t="shared" si="12"/>
        <v>-568.75199999999995</v>
      </c>
      <c r="S133" s="69"/>
      <c r="T133" s="60" t="s">
        <v>6240</v>
      </c>
      <c r="U133" s="60">
        <v>700</v>
      </c>
      <c r="V133" s="60" t="s">
        <v>6097</v>
      </c>
      <c r="W133" s="60"/>
    </row>
    <row r="134" spans="1:23" ht="13.5" x14ac:dyDescent="0.25">
      <c r="A134" s="45">
        <v>4009780</v>
      </c>
      <c r="B134" s="46" t="s">
        <v>1760</v>
      </c>
      <c r="C134" s="47">
        <f>SUMIF('LISTA TECNICA'!$I:$I,$A134,'LISTA TECNICA'!$P:$P)</f>
        <v>0</v>
      </c>
      <c r="D134" s="66">
        <f>IFERROR(VLOOKUP($A134,'0802'!$A:$D,4,0),0)</f>
        <v>3000</v>
      </c>
      <c r="E134" s="72">
        <f t="shared" si="13"/>
        <v>3000</v>
      </c>
      <c r="F134" s="69"/>
      <c r="G134" s="60" t="s">
        <v>6140</v>
      </c>
      <c r="H134" s="82">
        <v>1000</v>
      </c>
      <c r="I134" s="60" t="s">
        <v>6141</v>
      </c>
      <c r="J134" s="60"/>
      <c r="L134" s="45">
        <v>4014452</v>
      </c>
      <c r="M134" s="46" t="s">
        <v>1732</v>
      </c>
      <c r="N134" s="47">
        <f>SUMIF('LISTA TECNICA'!$I:$I,$L134,'LISTA TECNICA'!$P:$P)</f>
        <v>0</v>
      </c>
      <c r="O134" s="49">
        <f>IFERROR(VLOOKUP($L134,'0805'!$A:$D,4,0),0)</f>
        <v>229</v>
      </c>
      <c r="P134" s="49">
        <f>IFERROR(VLOOKUP($L134,'0806'!$A:$D,4,0),0)</f>
        <v>0</v>
      </c>
      <c r="Q134" s="59">
        <f t="shared" si="11"/>
        <v>229</v>
      </c>
      <c r="R134" s="72">
        <f t="shared" si="12"/>
        <v>229</v>
      </c>
      <c r="S134" s="69"/>
      <c r="T134" s="60"/>
      <c r="U134" s="60"/>
      <c r="V134" s="60"/>
      <c r="W134" s="60"/>
    </row>
    <row r="135" spans="1:23" ht="13.5" x14ac:dyDescent="0.25">
      <c r="A135" s="45">
        <v>4003568</v>
      </c>
      <c r="B135" s="46" t="s">
        <v>656</v>
      </c>
      <c r="C135" s="47">
        <f>SUMIF('LISTA TECNICA'!$I:$I,$A135,'LISTA TECNICA'!$P:$P)</f>
        <v>72</v>
      </c>
      <c r="D135" s="66">
        <f>IFERROR(VLOOKUP($A135,'0802'!$A:$D,4,0),0)</f>
        <v>1734</v>
      </c>
      <c r="E135" s="72">
        <f t="shared" si="13"/>
        <v>1662</v>
      </c>
      <c r="F135" s="69"/>
      <c r="G135" s="60"/>
      <c r="H135" s="60"/>
      <c r="I135" s="60"/>
      <c r="J135" s="60"/>
      <c r="L135" s="45">
        <v>4001382</v>
      </c>
      <c r="M135" s="46" t="s">
        <v>330</v>
      </c>
      <c r="N135" s="47">
        <f>SUMIF('LISTA TECNICA'!$I:$I,$L135,'LISTA TECNICA'!$P:$P)</f>
        <v>35</v>
      </c>
      <c r="O135" s="49">
        <f>IFERROR(VLOOKUP($L135,'0805'!$A:$D,4,0),0)</f>
        <v>599</v>
      </c>
      <c r="P135" s="49">
        <f>IFERROR(VLOOKUP($L135,'0806'!$A:$D,4,0),0)</f>
        <v>35</v>
      </c>
      <c r="Q135" s="59">
        <f t="shared" si="11"/>
        <v>634</v>
      </c>
      <c r="R135" s="72">
        <f t="shared" si="12"/>
        <v>599</v>
      </c>
      <c r="S135" s="69"/>
      <c r="T135" s="60"/>
      <c r="U135" s="60"/>
      <c r="V135" s="60"/>
      <c r="W135" s="60"/>
    </row>
    <row r="136" spans="1:23" ht="13.5" x14ac:dyDescent="0.25">
      <c r="A136" s="45">
        <v>4003568</v>
      </c>
      <c r="B136" s="46" t="s">
        <v>656</v>
      </c>
      <c r="C136" s="47">
        <f>SUMIF('LISTA TECNICA'!$I:$I,$A136,'LISTA TECNICA'!$P:$P)</f>
        <v>72</v>
      </c>
      <c r="D136" s="66">
        <f>IFERROR(VLOOKUP($A136,'0802'!$A:$D,4,0),0)</f>
        <v>1734</v>
      </c>
      <c r="E136" s="72">
        <f t="shared" si="13"/>
        <v>1662</v>
      </c>
      <c r="F136" s="69"/>
      <c r="G136" s="60"/>
      <c r="H136" s="60"/>
      <c r="I136" s="60"/>
      <c r="J136" s="60"/>
      <c r="L136" s="45">
        <v>4001383</v>
      </c>
      <c r="M136" s="46" t="s">
        <v>334</v>
      </c>
      <c r="N136" s="47">
        <f>SUMIF('LISTA TECNICA'!$I:$I,$L136,'LISTA TECNICA'!$P:$P)</f>
        <v>950</v>
      </c>
      <c r="O136" s="49">
        <f>IFERROR(VLOOKUP($L136,'0805'!$A:$D,4,0),0)</f>
        <v>611</v>
      </c>
      <c r="P136" s="49">
        <f>IFERROR(VLOOKUP($L136,'0806'!$A:$D,4,0),0)</f>
        <v>25</v>
      </c>
      <c r="Q136" s="59">
        <f t="shared" si="11"/>
        <v>636</v>
      </c>
      <c r="R136" s="72">
        <f t="shared" si="12"/>
        <v>-314</v>
      </c>
      <c r="S136" s="69"/>
      <c r="T136" s="60" t="s">
        <v>6241</v>
      </c>
      <c r="U136" s="60">
        <v>750</v>
      </c>
      <c r="V136" s="60" t="s">
        <v>6099</v>
      </c>
      <c r="W136" s="60"/>
    </row>
    <row r="137" spans="1:23" ht="13.5" x14ac:dyDescent="0.25">
      <c r="A137" s="45">
        <v>4011413</v>
      </c>
      <c r="B137" s="46" t="s">
        <v>1800</v>
      </c>
      <c r="C137" s="47">
        <f>SUMIF('LISTA TECNICA'!$I:$I,$A137,'LISTA TECNICA'!$P:$P)</f>
        <v>0</v>
      </c>
      <c r="D137" s="66">
        <f>IFERROR(VLOOKUP($A137,'0802'!$A:$D,4,0),0)</f>
        <v>0</v>
      </c>
      <c r="E137" s="72">
        <f t="shared" si="13"/>
        <v>0</v>
      </c>
      <c r="F137" s="69"/>
      <c r="G137" s="60"/>
      <c r="H137" s="60"/>
      <c r="I137" s="60"/>
      <c r="J137" s="60"/>
      <c r="L137" s="45">
        <v>4001384</v>
      </c>
      <c r="M137" s="46" t="s">
        <v>338</v>
      </c>
      <c r="N137" s="47">
        <f>SUMIF('LISTA TECNICA'!$I:$I,$L137,'LISTA TECNICA'!$P:$P)</f>
        <v>1045</v>
      </c>
      <c r="O137" s="49">
        <f>IFERROR(VLOOKUP($L137,'0805'!$A:$D,4,0),0)</f>
        <v>1045</v>
      </c>
      <c r="P137" s="49">
        <f>IFERROR(VLOOKUP($L137,'0806'!$A:$D,4,0),0)</f>
        <v>82</v>
      </c>
      <c r="Q137" s="59">
        <f t="shared" si="11"/>
        <v>1127</v>
      </c>
      <c r="R137" s="72">
        <f t="shared" si="12"/>
        <v>82</v>
      </c>
      <c r="S137" s="69"/>
      <c r="T137" s="60" t="s">
        <v>6242</v>
      </c>
      <c r="U137" s="60">
        <v>92</v>
      </c>
      <c r="V137" s="60" t="s">
        <v>6106</v>
      </c>
      <c r="W137" s="60"/>
    </row>
    <row r="138" spans="1:23" ht="13.5" x14ac:dyDescent="0.25">
      <c r="A138" s="45">
        <v>4004710</v>
      </c>
      <c r="B138" s="46" t="s">
        <v>180</v>
      </c>
      <c r="C138" s="47">
        <f>SUMIF('LISTA TECNICA'!$I:$I,$A138,'LISTA TECNICA'!$P:$P)</f>
        <v>650.88000000000011</v>
      </c>
      <c r="D138" s="66">
        <f>IFERROR(VLOOKUP($A138,'0802'!$A:$D,4,0),0)</f>
        <v>6731</v>
      </c>
      <c r="E138" s="72">
        <f t="shared" si="13"/>
        <v>6080.12</v>
      </c>
      <c r="F138" s="69"/>
      <c r="G138" s="60" t="s">
        <v>6142</v>
      </c>
      <c r="H138" s="82">
        <v>10000</v>
      </c>
      <c r="I138" s="60" t="s">
        <v>6143</v>
      </c>
      <c r="J138" s="60"/>
      <c r="L138" s="45">
        <v>4001385</v>
      </c>
      <c r="M138" s="46" t="s">
        <v>345</v>
      </c>
      <c r="N138" s="47">
        <f>SUMIF('LISTA TECNICA'!$I:$I,$L138,'LISTA TECNICA'!$P:$P)</f>
        <v>820</v>
      </c>
      <c r="O138" s="49">
        <f>IFERROR(VLOOKUP($L138,'0805'!$A:$D,4,0),0)</f>
        <v>431</v>
      </c>
      <c r="P138" s="49">
        <f>IFERROR(VLOOKUP($L138,'0806'!$A:$D,4,0),0)</f>
        <v>18</v>
      </c>
      <c r="Q138" s="59">
        <f t="shared" si="11"/>
        <v>449</v>
      </c>
      <c r="R138" s="72">
        <f t="shared" si="12"/>
        <v>-371</v>
      </c>
      <c r="S138" s="69"/>
      <c r="T138" s="60" t="s">
        <v>6243</v>
      </c>
      <c r="U138" s="60">
        <v>750</v>
      </c>
      <c r="V138" s="60" t="s">
        <v>6099</v>
      </c>
      <c r="W138" s="60"/>
    </row>
    <row r="139" spans="1:23" ht="13.5" x14ac:dyDescent="0.25">
      <c r="A139" s="45">
        <v>4016809</v>
      </c>
      <c r="B139" s="46" t="s">
        <v>1158</v>
      </c>
      <c r="C139" s="47">
        <f>SUMIF('LISTA TECNICA'!$I:$I,$A139,'LISTA TECNICA'!$P:$P)</f>
        <v>0</v>
      </c>
      <c r="D139" s="66">
        <f>IFERROR(VLOOKUP($A139,'0802'!$A:$D,4,0),0)</f>
        <v>0</v>
      </c>
      <c r="E139" s="72">
        <f t="shared" si="13"/>
        <v>0</v>
      </c>
      <c r="F139" s="69"/>
      <c r="G139" s="60"/>
      <c r="H139" s="60"/>
      <c r="I139" s="60"/>
      <c r="J139" s="60"/>
      <c r="L139" s="45">
        <v>4001386</v>
      </c>
      <c r="M139" s="46" t="s">
        <v>349</v>
      </c>
      <c r="N139" s="47">
        <f>SUMIF('LISTA TECNICA'!$I:$I,$L139,'LISTA TECNICA'!$P:$P)</f>
        <v>1590</v>
      </c>
      <c r="O139" s="49">
        <f>IFERROR(VLOOKUP($L139,'0805'!$A:$D,4,0),0)</f>
        <v>868</v>
      </c>
      <c r="P139" s="49">
        <f>IFERROR(VLOOKUP($L139,'0806'!$A:$D,4,0),0)</f>
        <v>9</v>
      </c>
      <c r="Q139" s="59">
        <f t="shared" si="11"/>
        <v>877</v>
      </c>
      <c r="R139" s="72">
        <f t="shared" si="12"/>
        <v>-713</v>
      </c>
      <c r="S139" s="69"/>
      <c r="T139" s="60" t="s">
        <v>6244</v>
      </c>
      <c r="U139" s="60">
        <v>1250</v>
      </c>
      <c r="V139" s="60" t="s">
        <v>6104</v>
      </c>
      <c r="W139" s="60"/>
    </row>
    <row r="140" spans="1:23" ht="15.75" thickBot="1" x14ac:dyDescent="0.3">
      <c r="L140" s="45">
        <v>4001389</v>
      </c>
      <c r="M140" s="46" t="s">
        <v>275</v>
      </c>
      <c r="N140" s="47">
        <f>SUMIF('LISTA TECNICA'!$I:$I,$L140,'LISTA TECNICA'!$P:$P)</f>
        <v>1000</v>
      </c>
      <c r="O140" s="49">
        <f>IFERROR(VLOOKUP($L140,'0805'!$A:$D,4,0),0)</f>
        <v>5825</v>
      </c>
      <c r="P140" s="49">
        <f>IFERROR(VLOOKUP($L140,'0806'!$A:$D,4,0),0)</f>
        <v>66</v>
      </c>
      <c r="Q140" s="59">
        <f t="shared" si="11"/>
        <v>5891</v>
      </c>
      <c r="R140" s="72">
        <f t="shared" si="12"/>
        <v>4891</v>
      </c>
      <c r="S140" s="69"/>
      <c r="T140" s="60" t="s">
        <v>6245</v>
      </c>
      <c r="U140" s="60">
        <v>450</v>
      </c>
      <c r="V140" s="60" t="s">
        <v>6246</v>
      </c>
      <c r="W140" s="60"/>
    </row>
    <row r="141" spans="1:23" ht="14.25" thickBot="1" x14ac:dyDescent="0.3">
      <c r="A141" s="86" t="s">
        <v>6089</v>
      </c>
      <c r="B141" s="87"/>
      <c r="C141" s="87"/>
      <c r="D141" s="87"/>
      <c r="E141" s="87"/>
      <c r="F141" s="87"/>
      <c r="G141" s="87"/>
      <c r="H141" s="87"/>
      <c r="I141" s="87"/>
      <c r="J141" s="88"/>
      <c r="L141" s="45">
        <v>4005790</v>
      </c>
      <c r="M141" s="46" t="s">
        <v>1560</v>
      </c>
      <c r="N141" s="47">
        <f>SUMIF('LISTA TECNICA'!$I:$I,$L141,'LISTA TECNICA'!$P:$P)</f>
        <v>208</v>
      </c>
      <c r="O141" s="49">
        <f>IFERROR(VLOOKUP($L141,'0805'!$A:$D,4,0),0)</f>
        <v>733</v>
      </c>
      <c r="P141" s="49">
        <f>IFERROR(VLOOKUP($L141,'0806'!$A:$D,4,0),0)</f>
        <v>0</v>
      </c>
      <c r="Q141" s="59">
        <f t="shared" si="11"/>
        <v>733</v>
      </c>
      <c r="R141" s="72">
        <f t="shared" si="12"/>
        <v>525</v>
      </c>
      <c r="S141" s="69"/>
      <c r="T141" s="60"/>
      <c r="U141" s="60"/>
      <c r="V141" s="60"/>
      <c r="W141" s="60"/>
    </row>
    <row r="142" spans="1:23" ht="14.25" thickBot="1" x14ac:dyDescent="0.3">
      <c r="A142" s="53" t="s">
        <v>5</v>
      </c>
      <c r="B142" s="54" t="s">
        <v>2052</v>
      </c>
      <c r="C142" s="55" t="s">
        <v>2053</v>
      </c>
      <c r="D142" s="57">
        <v>802</v>
      </c>
      <c r="E142" s="70" t="s">
        <v>6069</v>
      </c>
      <c r="F142" s="67" t="s">
        <v>6072</v>
      </c>
      <c r="G142" s="63" t="s">
        <v>6073</v>
      </c>
      <c r="H142" s="63" t="s">
        <v>6136</v>
      </c>
      <c r="I142" s="63" t="s">
        <v>6076</v>
      </c>
      <c r="J142" s="64" t="s">
        <v>6074</v>
      </c>
      <c r="L142" s="45">
        <v>4001392</v>
      </c>
      <c r="M142" s="46" t="s">
        <v>355</v>
      </c>
      <c r="N142" s="47">
        <f>SUMIF('LISTA TECNICA'!$I:$I,$L142,'LISTA TECNICA'!$P:$P)</f>
        <v>0</v>
      </c>
      <c r="O142" s="49">
        <f>IFERROR(VLOOKUP($L142,'0805'!$A:$D,4,0),0)</f>
        <v>104</v>
      </c>
      <c r="P142" s="49">
        <f>IFERROR(VLOOKUP($L142,'0806'!$A:$D,4,0),0)</f>
        <v>0</v>
      </c>
      <c r="Q142" s="59">
        <f t="shared" si="11"/>
        <v>104</v>
      </c>
      <c r="R142" s="72">
        <f t="shared" si="12"/>
        <v>104</v>
      </c>
      <c r="S142" s="69"/>
      <c r="T142" s="60"/>
      <c r="U142" s="60"/>
      <c r="V142" s="60"/>
      <c r="W142" s="60"/>
    </row>
    <row r="143" spans="1:23" ht="13.5" x14ac:dyDescent="0.25">
      <c r="A143" s="45">
        <v>3001750</v>
      </c>
      <c r="B143" s="46" t="s">
        <v>1763</v>
      </c>
      <c r="C143" s="47">
        <f>SUMIF('LISTA TECNICA'!$I:$I,$A143,'LISTA TECNICA'!$P:$P)</f>
        <v>0</v>
      </c>
      <c r="D143" s="66">
        <f>IFERROR(VLOOKUP($A143,'0802'!$A:$D,4,0),0)</f>
        <v>255</v>
      </c>
      <c r="E143" s="72">
        <f t="shared" ref="E143:E150" si="14">D143-C143</f>
        <v>255</v>
      </c>
      <c r="F143" s="69"/>
      <c r="G143" s="60"/>
      <c r="H143" s="60"/>
      <c r="I143" s="60"/>
      <c r="J143" s="60"/>
      <c r="L143" s="45">
        <v>4001400</v>
      </c>
      <c r="M143" s="46" t="s">
        <v>234</v>
      </c>
      <c r="N143" s="47">
        <f>SUMIF('LISTA TECNICA'!$I:$I,$L143,'LISTA TECNICA'!$P:$P)</f>
        <v>100</v>
      </c>
      <c r="O143" s="49">
        <f>IFERROR(VLOOKUP($L143,'0805'!$A:$D,4,0),0)</f>
        <v>35</v>
      </c>
      <c r="P143" s="49">
        <f>IFERROR(VLOOKUP($L143,'0806'!$A:$D,4,0),0)</f>
        <v>204</v>
      </c>
      <c r="Q143" s="59">
        <f t="shared" si="11"/>
        <v>239</v>
      </c>
      <c r="R143" s="72">
        <f t="shared" si="12"/>
        <v>139</v>
      </c>
      <c r="S143" s="69"/>
      <c r="T143" s="60"/>
      <c r="U143" s="60"/>
      <c r="V143" s="60"/>
      <c r="W143" s="60"/>
    </row>
    <row r="144" spans="1:23" ht="13.5" x14ac:dyDescent="0.25">
      <c r="A144" s="45">
        <v>3006085</v>
      </c>
      <c r="B144" s="46" t="s">
        <v>1451</v>
      </c>
      <c r="C144" s="47">
        <f>SUMIF('LISTA TECNICA'!$I:$I,$A144,'LISTA TECNICA'!$P:$P)</f>
        <v>0</v>
      </c>
      <c r="D144" s="66">
        <f>IFERROR(VLOOKUP($A144,'0802'!$A:$D,4,0),0)</f>
        <v>20616</v>
      </c>
      <c r="E144" s="72">
        <f t="shared" si="14"/>
        <v>20616</v>
      </c>
      <c r="F144" s="69"/>
      <c r="G144" s="60"/>
      <c r="H144" s="60"/>
      <c r="I144" s="60"/>
      <c r="J144" s="60"/>
      <c r="L144" s="45">
        <v>4010773</v>
      </c>
      <c r="M144" s="46" t="s">
        <v>779</v>
      </c>
      <c r="N144" s="47">
        <f>SUMIF('LISTA TECNICA'!$I:$I,$L144,'LISTA TECNICA'!$P:$P)</f>
        <v>3</v>
      </c>
      <c r="O144" s="49">
        <f>IFERROR(VLOOKUP($L144,'0805'!$A:$D,4,0),0)</f>
        <v>251</v>
      </c>
      <c r="P144" s="49">
        <f>IFERROR(VLOOKUP($L144,'0806'!$A:$D,4,0),0)</f>
        <v>0</v>
      </c>
      <c r="Q144" s="59">
        <f t="shared" si="11"/>
        <v>251</v>
      </c>
      <c r="R144" s="72">
        <f t="shared" si="12"/>
        <v>248</v>
      </c>
      <c r="S144" s="69"/>
      <c r="T144" s="60"/>
      <c r="U144" s="60"/>
      <c r="V144" s="60"/>
      <c r="W144" s="60"/>
    </row>
    <row r="145" spans="1:23" ht="13.5" x14ac:dyDescent="0.25">
      <c r="A145" s="45">
        <v>3001722</v>
      </c>
      <c r="B145" s="46" t="s">
        <v>1768</v>
      </c>
      <c r="C145" s="47">
        <f>SUMIF('LISTA TECNICA'!$I:$I,$A145,'LISTA TECNICA'!$P:$P)</f>
        <v>0</v>
      </c>
      <c r="D145" s="66">
        <f>IFERROR(VLOOKUP($A145,'0802'!$A:$D,4,0),0)</f>
        <v>0</v>
      </c>
      <c r="E145" s="72">
        <f t="shared" si="14"/>
        <v>0</v>
      </c>
      <c r="F145" s="69"/>
      <c r="G145" s="60"/>
      <c r="H145" s="60"/>
      <c r="I145" s="60"/>
      <c r="J145" s="60"/>
      <c r="L145" s="45">
        <v>4005408</v>
      </c>
      <c r="M145" s="46" t="s">
        <v>1463</v>
      </c>
      <c r="N145" s="47">
        <f>SUMIF('LISTA TECNICA'!$I:$I,$L145,'LISTA TECNICA'!$P:$P)</f>
        <v>0</v>
      </c>
      <c r="O145" s="49">
        <f>IFERROR(VLOOKUP($L145,'0805'!$A:$D,4,0),0)</f>
        <v>0</v>
      </c>
      <c r="P145" s="49">
        <f>IFERROR(VLOOKUP($L145,'0806'!$A:$D,4,0),0)</f>
        <v>0</v>
      </c>
      <c r="Q145" s="59">
        <f t="shared" si="11"/>
        <v>0</v>
      </c>
      <c r="R145" s="72">
        <f t="shared" si="12"/>
        <v>0</v>
      </c>
      <c r="S145" s="69"/>
      <c r="T145" s="60"/>
      <c r="U145" s="60"/>
      <c r="V145" s="60"/>
      <c r="W145" s="60"/>
    </row>
    <row r="146" spans="1:23" ht="13.5" x14ac:dyDescent="0.25">
      <c r="A146" s="45">
        <v>3001710</v>
      </c>
      <c r="B146" s="46" t="s">
        <v>1437</v>
      </c>
      <c r="C146" s="47">
        <f>SUMIF('LISTA TECNICA'!$I:$I,$A146,'LISTA TECNICA'!$P:$P)</f>
        <v>7200</v>
      </c>
      <c r="D146" s="66">
        <f>IFERROR(VLOOKUP($A146,'0802'!$A:$D,4,0),0)</f>
        <v>93632</v>
      </c>
      <c r="E146" s="72">
        <f t="shared" si="14"/>
        <v>86432</v>
      </c>
      <c r="F146" s="60" t="s">
        <v>6144</v>
      </c>
      <c r="G146" s="60"/>
      <c r="H146" s="82">
        <v>50000</v>
      </c>
      <c r="I146" s="60" t="s">
        <v>6145</v>
      </c>
      <c r="J146" s="60"/>
      <c r="L146" s="45">
        <v>4004598</v>
      </c>
      <c r="M146" s="46" t="s">
        <v>1136</v>
      </c>
      <c r="N146" s="47">
        <f>SUMIF('LISTA TECNICA'!$I:$I,$L146,'LISTA TECNICA'!$P:$P)</f>
        <v>0</v>
      </c>
      <c r="O146" s="49">
        <f>IFERROR(VLOOKUP($L146,'0805'!$A:$D,4,0),0)</f>
        <v>0</v>
      </c>
      <c r="P146" s="49">
        <f>IFERROR(VLOOKUP($L146,'0806'!$A:$D,4,0),0)</f>
        <v>0</v>
      </c>
      <c r="Q146" s="59">
        <f t="shared" ref="Q146:Q157" si="15">P146+O146</f>
        <v>0</v>
      </c>
      <c r="R146" s="72">
        <f t="shared" ref="R146:R157" si="16">Q146-N146</f>
        <v>0</v>
      </c>
      <c r="S146" s="69"/>
      <c r="T146" s="60"/>
      <c r="U146" s="60"/>
      <c r="V146" s="60"/>
      <c r="W146" s="60"/>
    </row>
    <row r="147" spans="1:23" ht="13.5" x14ac:dyDescent="0.25">
      <c r="A147" s="45">
        <v>3006091</v>
      </c>
      <c r="B147" s="46" t="s">
        <v>1458</v>
      </c>
      <c r="C147" s="47">
        <f>SUMIF('LISTA TECNICA'!$I:$I,$A147,'LISTA TECNICA'!$P:$P)</f>
        <v>2400</v>
      </c>
      <c r="D147" s="66">
        <f>IFERROR(VLOOKUP($A147,'0802'!$A:$D,4,0),0)</f>
        <v>21036</v>
      </c>
      <c r="E147" s="72">
        <f t="shared" si="14"/>
        <v>18636</v>
      </c>
      <c r="F147" s="69"/>
      <c r="G147" s="60"/>
      <c r="H147" s="60"/>
      <c r="I147" s="60"/>
      <c r="J147" s="60"/>
      <c r="L147" s="45">
        <v>4005951</v>
      </c>
      <c r="M147" s="46" t="s">
        <v>1266</v>
      </c>
      <c r="N147" s="47">
        <f>SUMIF('LISTA TECNICA'!$I:$I,$L147,'LISTA TECNICA'!$P:$P)</f>
        <v>300.24</v>
      </c>
      <c r="O147" s="49">
        <f>IFERROR(VLOOKUP($L147,'0805'!$A:$D,4,0),0)</f>
        <v>773</v>
      </c>
      <c r="P147" s="49">
        <f>IFERROR(VLOOKUP($L147,'0806'!$A:$D,4,0),0)</f>
        <v>0</v>
      </c>
      <c r="Q147" s="59">
        <f t="shared" si="15"/>
        <v>773</v>
      </c>
      <c r="R147" s="72">
        <f t="shared" si="16"/>
        <v>472.76</v>
      </c>
      <c r="S147" s="69"/>
      <c r="T147" s="60"/>
      <c r="U147" s="60"/>
      <c r="V147" s="60"/>
      <c r="W147" s="60"/>
    </row>
    <row r="148" spans="1:23" ht="13.5" x14ac:dyDescent="0.25">
      <c r="A148" s="45">
        <v>3003980</v>
      </c>
      <c r="B148" s="46" t="s">
        <v>1783</v>
      </c>
      <c r="C148" s="47">
        <f>SUMIF('LISTA TECNICA'!$I:$I,$A148,'LISTA TECNICA'!$P:$P)</f>
        <v>0</v>
      </c>
      <c r="D148" s="66">
        <f>IFERROR(VLOOKUP($A148,'0802'!$A:$D,4,0),0)</f>
        <v>0</v>
      </c>
      <c r="E148" s="72">
        <f t="shared" si="14"/>
        <v>0</v>
      </c>
      <c r="F148" s="69"/>
      <c r="G148" s="60"/>
      <c r="H148" s="60"/>
      <c r="I148" s="60"/>
      <c r="J148" s="60"/>
      <c r="L148" s="45">
        <v>4010021</v>
      </c>
      <c r="M148" s="46" t="s">
        <v>1500</v>
      </c>
      <c r="N148" s="47">
        <f>SUMIF('LISTA TECNICA'!$I:$I,$L148,'LISTA TECNICA'!$P:$P)</f>
        <v>0</v>
      </c>
      <c r="O148" s="49">
        <f>IFERROR(VLOOKUP($L148,'0805'!$A:$D,4,0),0)</f>
        <v>0</v>
      </c>
      <c r="P148" s="49">
        <f>IFERROR(VLOOKUP($L148,'0806'!$A:$D,4,0),0)</f>
        <v>0</v>
      </c>
      <c r="Q148" s="59">
        <f t="shared" si="15"/>
        <v>0</v>
      </c>
      <c r="R148" s="72">
        <f t="shared" si="16"/>
        <v>0</v>
      </c>
      <c r="S148" s="69"/>
      <c r="T148" s="60"/>
      <c r="U148" s="60"/>
      <c r="V148" s="60"/>
      <c r="W148" s="60"/>
    </row>
    <row r="149" spans="1:23" ht="13.5" x14ac:dyDescent="0.25">
      <c r="A149" s="45">
        <v>3003869</v>
      </c>
      <c r="B149" s="46" t="s">
        <v>1273</v>
      </c>
      <c r="C149" s="47">
        <f>SUMIF('LISTA TECNICA'!$I:$I,$A149,'LISTA TECNICA'!$P:$P)</f>
        <v>4549</v>
      </c>
      <c r="D149" s="66">
        <f>IFERROR(VLOOKUP($A149,'0802'!$A:$D,4,0),0)</f>
        <v>9572</v>
      </c>
      <c r="E149" s="72">
        <f t="shared" si="14"/>
        <v>5023</v>
      </c>
      <c r="F149" s="69"/>
      <c r="G149" s="60" t="s">
        <v>6146</v>
      </c>
      <c r="H149" s="82">
        <v>5000</v>
      </c>
      <c r="I149" s="60" t="s">
        <v>6147</v>
      </c>
      <c r="J149" s="82">
        <v>5000</v>
      </c>
      <c r="L149" s="45">
        <v>4010040</v>
      </c>
      <c r="M149" s="46" t="s">
        <v>1504</v>
      </c>
      <c r="N149" s="47">
        <f>SUMIF('LISTA TECNICA'!$I:$I,$L149,'LISTA TECNICA'!$P:$P)</f>
        <v>200</v>
      </c>
      <c r="O149" s="49">
        <f>IFERROR(VLOOKUP($L149,'0805'!$A:$D,4,0),0)</f>
        <v>23</v>
      </c>
      <c r="P149" s="49">
        <f>IFERROR(VLOOKUP($L149,'0806'!$A:$D,4,0),0)</f>
        <v>2</v>
      </c>
      <c r="Q149" s="59">
        <f t="shared" si="15"/>
        <v>25</v>
      </c>
      <c r="R149" s="72">
        <f t="shared" si="16"/>
        <v>-175</v>
      </c>
      <c r="S149" s="69"/>
      <c r="T149" s="60" t="s">
        <v>6247</v>
      </c>
      <c r="U149" s="60">
        <v>400</v>
      </c>
      <c r="V149" s="60" t="s">
        <v>6099</v>
      </c>
      <c r="W149" s="60"/>
    </row>
    <row r="150" spans="1:23" ht="14.25" thickBot="1" x14ac:dyDescent="0.3">
      <c r="A150" s="45">
        <v>3003891</v>
      </c>
      <c r="B150" s="46" t="s">
        <v>1300</v>
      </c>
      <c r="C150" s="47">
        <f>SUMIF('LISTA TECNICA'!$I:$I,$A150,'LISTA TECNICA'!$P:$P)</f>
        <v>3024</v>
      </c>
      <c r="D150" s="66">
        <f>IFERROR(VLOOKUP($A150,'0802'!$A:$D,4,0),0)</f>
        <v>3114</v>
      </c>
      <c r="E150" s="73">
        <f t="shared" si="14"/>
        <v>90</v>
      </c>
      <c r="F150" s="69" t="s">
        <v>6149</v>
      </c>
      <c r="G150" s="60" t="s">
        <v>6148</v>
      </c>
      <c r="H150" s="82">
        <v>5000</v>
      </c>
      <c r="I150" s="60" t="s">
        <v>6147</v>
      </c>
      <c r="J150" s="60"/>
      <c r="L150" s="45">
        <v>4011639</v>
      </c>
      <c r="M150" s="46" t="s">
        <v>1519</v>
      </c>
      <c r="N150" s="47">
        <f>SUMIF('LISTA TECNICA'!$I:$I,$L150,'LISTA TECNICA'!$P:$P)</f>
        <v>200</v>
      </c>
      <c r="O150" s="49">
        <f>IFERROR(VLOOKUP($L150,'0805'!$A:$D,4,0),0)</f>
        <v>996</v>
      </c>
      <c r="P150" s="49">
        <f>IFERROR(VLOOKUP($L150,'0806'!$A:$D,4,0),0)</f>
        <v>8</v>
      </c>
      <c r="Q150" s="59">
        <f t="shared" si="15"/>
        <v>1004</v>
      </c>
      <c r="R150" s="72">
        <f t="shared" si="16"/>
        <v>804</v>
      </c>
      <c r="S150" s="69"/>
      <c r="T150" s="60"/>
      <c r="U150" s="60"/>
      <c r="V150" s="60"/>
      <c r="W150" s="60"/>
    </row>
    <row r="151" spans="1:23" ht="15.75" thickBot="1" x14ac:dyDescent="0.3">
      <c r="L151" s="45">
        <v>4010024</v>
      </c>
      <c r="M151" s="46" t="s">
        <v>1565</v>
      </c>
      <c r="N151" s="47">
        <f>SUMIF('LISTA TECNICA'!$I:$I,$L151,'LISTA TECNICA'!$P:$P)</f>
        <v>99</v>
      </c>
      <c r="O151" s="49">
        <f>IFERROR(VLOOKUP($L151,'0805'!$A:$D,4,0),0)</f>
        <v>73</v>
      </c>
      <c r="P151" s="49">
        <f>IFERROR(VLOOKUP($L151,'0806'!$A:$D,4,0),0)</f>
        <v>25</v>
      </c>
      <c r="Q151" s="59">
        <f t="shared" si="15"/>
        <v>98</v>
      </c>
      <c r="R151" s="72">
        <f t="shared" si="16"/>
        <v>-1</v>
      </c>
      <c r="S151" s="69"/>
      <c r="T151" s="60" t="s">
        <v>6248</v>
      </c>
      <c r="U151" s="60">
        <v>400</v>
      </c>
      <c r="V151" s="60" t="s">
        <v>6099</v>
      </c>
      <c r="W151" s="60"/>
    </row>
    <row r="152" spans="1:23" ht="14.25" thickBot="1" x14ac:dyDescent="0.3">
      <c r="A152" s="86" t="s">
        <v>6090</v>
      </c>
      <c r="B152" s="87"/>
      <c r="C152" s="87"/>
      <c r="D152" s="87"/>
      <c r="E152" s="87"/>
      <c r="F152" s="87"/>
      <c r="G152" s="87"/>
      <c r="H152" s="87"/>
      <c r="I152" s="87"/>
      <c r="J152" s="88"/>
      <c r="L152" s="45">
        <v>4010023</v>
      </c>
      <c r="M152" s="46" t="s">
        <v>1575</v>
      </c>
      <c r="N152" s="47">
        <f>SUMIF('LISTA TECNICA'!$I:$I,$L152,'LISTA TECNICA'!$P:$P)</f>
        <v>345</v>
      </c>
      <c r="O152" s="49">
        <f>IFERROR(VLOOKUP($L152,'0805'!$A:$D,4,0),0)</f>
        <v>12</v>
      </c>
      <c r="P152" s="49">
        <f>IFERROR(VLOOKUP($L152,'0806'!$A:$D,4,0),0)</f>
        <v>25</v>
      </c>
      <c r="Q152" s="59">
        <f t="shared" si="15"/>
        <v>37</v>
      </c>
      <c r="R152" s="72">
        <f t="shared" si="16"/>
        <v>-308</v>
      </c>
      <c r="S152" s="69"/>
      <c r="T152" s="60" t="s">
        <v>6249</v>
      </c>
      <c r="U152" s="60">
        <v>400</v>
      </c>
      <c r="V152" s="60" t="s">
        <v>6250</v>
      </c>
      <c r="W152" s="60"/>
    </row>
    <row r="153" spans="1:23" ht="14.25" thickBot="1" x14ac:dyDescent="0.3">
      <c r="A153" s="53" t="s">
        <v>5</v>
      </c>
      <c r="B153" s="54" t="s">
        <v>2052</v>
      </c>
      <c r="C153" s="55" t="s">
        <v>2053</v>
      </c>
      <c r="D153" s="57">
        <v>802</v>
      </c>
      <c r="E153" s="70" t="s">
        <v>6069</v>
      </c>
      <c r="F153" s="67" t="s">
        <v>6072</v>
      </c>
      <c r="G153" s="63" t="s">
        <v>6073</v>
      </c>
      <c r="H153" s="63" t="s">
        <v>6136</v>
      </c>
      <c r="I153" s="63" t="s">
        <v>6076</v>
      </c>
      <c r="J153" s="64" t="s">
        <v>6074</v>
      </c>
      <c r="L153" s="45">
        <v>4010020</v>
      </c>
      <c r="M153" s="46" t="s">
        <v>1622</v>
      </c>
      <c r="N153" s="47">
        <f>SUMIF('LISTA TECNICA'!$I:$I,$L153,'LISTA TECNICA'!$P:$P)</f>
        <v>90</v>
      </c>
      <c r="O153" s="49">
        <f>IFERROR(VLOOKUP($L153,'0805'!$A:$D,4,0),0)</f>
        <v>270</v>
      </c>
      <c r="P153" s="49">
        <f>IFERROR(VLOOKUP($L153,'0806'!$A:$D,4,0),0)</f>
        <v>0</v>
      </c>
      <c r="Q153" s="59">
        <f t="shared" si="15"/>
        <v>270</v>
      </c>
      <c r="R153" s="72">
        <f t="shared" si="16"/>
        <v>180</v>
      </c>
      <c r="S153" s="69"/>
      <c r="T153" s="60"/>
      <c r="U153" s="60"/>
      <c r="V153" s="60"/>
      <c r="W153" s="60"/>
    </row>
    <row r="154" spans="1:23" ht="13.5" x14ac:dyDescent="0.25">
      <c r="A154" s="45">
        <v>3006048</v>
      </c>
      <c r="B154" s="46" t="s">
        <v>1142</v>
      </c>
      <c r="C154" s="47">
        <f>SUMIF('LISTA TECNICA'!$I:$I,$A154,'LISTA TECNICA'!$P:$P)</f>
        <v>0</v>
      </c>
      <c r="D154" s="66">
        <f>IFERROR(VLOOKUP($A154,'0802'!$A:$D,4,0),0)</f>
        <v>0</v>
      </c>
      <c r="E154" s="72">
        <f t="shared" ref="E154:E178" si="17">D154-C154</f>
        <v>0</v>
      </c>
      <c r="F154" s="69"/>
      <c r="G154" s="60"/>
      <c r="H154" s="60"/>
      <c r="I154" s="60"/>
      <c r="J154" s="60"/>
      <c r="L154" s="45">
        <v>4010022</v>
      </c>
      <c r="M154" s="46" t="s">
        <v>711</v>
      </c>
      <c r="N154" s="47">
        <f>SUMIF('LISTA TECNICA'!$I:$I,$L154,'LISTA TECNICA'!$P:$P)</f>
        <v>39.311999999999998</v>
      </c>
      <c r="O154" s="49">
        <f>IFERROR(VLOOKUP($L154,'0805'!$A:$D,4,0),0)</f>
        <v>304</v>
      </c>
      <c r="P154" s="49">
        <f>IFERROR(VLOOKUP($L154,'0806'!$A:$D,4,0),0)</f>
        <v>0</v>
      </c>
      <c r="Q154" s="59">
        <f t="shared" si="15"/>
        <v>304</v>
      </c>
      <c r="R154" s="72">
        <f t="shared" si="16"/>
        <v>264.68799999999999</v>
      </c>
      <c r="S154" s="69"/>
      <c r="T154" s="60"/>
      <c r="U154" s="60"/>
      <c r="V154" s="60"/>
      <c r="W154" s="60"/>
    </row>
    <row r="155" spans="1:23" ht="13.5" x14ac:dyDescent="0.25">
      <c r="A155" s="45">
        <v>3004182</v>
      </c>
      <c r="B155" s="46" t="s">
        <v>1279</v>
      </c>
      <c r="C155" s="47">
        <f>SUMIF('LISTA TECNICA'!$I:$I,$A155,'LISTA TECNICA'!$P:$P)</f>
        <v>1218</v>
      </c>
      <c r="D155" s="66">
        <f>IFERROR(VLOOKUP($A155,'0802'!$A:$D,4,0),0)</f>
        <v>756</v>
      </c>
      <c r="E155" s="72">
        <f t="shared" si="17"/>
        <v>-462</v>
      </c>
      <c r="F155" s="69"/>
      <c r="G155" s="60"/>
      <c r="H155" s="60"/>
      <c r="I155" s="60"/>
      <c r="J155" s="60"/>
      <c r="L155" s="45">
        <v>4009947</v>
      </c>
      <c r="M155" s="46" t="s">
        <v>1693</v>
      </c>
      <c r="N155" s="47">
        <f>SUMIF('LISTA TECNICA'!$I:$I,$L155,'LISTA TECNICA'!$P:$P)</f>
        <v>200</v>
      </c>
      <c r="O155" s="49">
        <f>IFERROR(VLOOKUP($L155,'0805'!$A:$D,4,0),0)</f>
        <v>585</v>
      </c>
      <c r="P155" s="49">
        <f>IFERROR(VLOOKUP($L155,'0806'!$A:$D,4,0),0)</f>
        <v>23</v>
      </c>
      <c r="Q155" s="59">
        <f t="shared" si="15"/>
        <v>608</v>
      </c>
      <c r="R155" s="72">
        <f t="shared" si="16"/>
        <v>408</v>
      </c>
      <c r="S155" s="69"/>
      <c r="T155" s="60"/>
      <c r="U155" s="60"/>
      <c r="V155" s="60"/>
      <c r="W155" s="60"/>
    </row>
    <row r="156" spans="1:23" ht="13.5" x14ac:dyDescent="0.25">
      <c r="A156" s="45">
        <v>3003864</v>
      </c>
      <c r="B156" s="46" t="s">
        <v>1272</v>
      </c>
      <c r="C156" s="47">
        <f>SUMIF('LISTA TECNICA'!$I:$I,$A156,'LISTA TECNICA'!$P:$P)</f>
        <v>1826</v>
      </c>
      <c r="D156" s="66">
        <f>IFERROR(VLOOKUP($A156,'0802'!$A:$D,4,0),0)</f>
        <v>0</v>
      </c>
      <c r="E156" s="72">
        <f t="shared" si="17"/>
        <v>-1826</v>
      </c>
      <c r="F156" s="69"/>
      <c r="G156" s="60"/>
      <c r="H156" s="60"/>
      <c r="I156" s="60"/>
      <c r="J156" s="60"/>
      <c r="L156" s="45">
        <v>4010025</v>
      </c>
      <c r="M156" s="46" t="s">
        <v>775</v>
      </c>
      <c r="N156" s="47">
        <f>SUMIF('LISTA TECNICA'!$I:$I,$L156,'LISTA TECNICA'!$P:$P)</f>
        <v>6</v>
      </c>
      <c r="O156" s="49">
        <f>IFERROR(VLOOKUP($L156,'0805'!$A:$D,4,0),0)</f>
        <v>127</v>
      </c>
      <c r="P156" s="49">
        <f>IFERROR(VLOOKUP($L156,'0806'!$A:$D,4,0),0)</f>
        <v>4</v>
      </c>
      <c r="Q156" s="59">
        <f t="shared" si="15"/>
        <v>131</v>
      </c>
      <c r="R156" s="72">
        <f t="shared" si="16"/>
        <v>125</v>
      </c>
      <c r="S156" s="69"/>
      <c r="T156" s="60"/>
      <c r="U156" s="60"/>
      <c r="V156" s="60"/>
      <c r="W156" s="60"/>
    </row>
    <row r="157" spans="1:23" ht="13.5" x14ac:dyDescent="0.25">
      <c r="A157" s="45">
        <v>3004181</v>
      </c>
      <c r="B157" s="46" t="s">
        <v>1289</v>
      </c>
      <c r="C157" s="47">
        <f>SUMIF('LISTA TECNICA'!$I:$I,$A157,'LISTA TECNICA'!$P:$P)</f>
        <v>0</v>
      </c>
      <c r="D157" s="66">
        <f>IFERROR(VLOOKUP($A157,'0802'!$A:$D,4,0),0)</f>
        <v>0</v>
      </c>
      <c r="E157" s="72">
        <f t="shared" si="17"/>
        <v>0</v>
      </c>
      <c r="F157" s="69"/>
      <c r="G157" s="60"/>
      <c r="H157" s="60"/>
      <c r="I157" s="60"/>
      <c r="J157" s="60"/>
      <c r="L157" s="45">
        <v>4008350</v>
      </c>
      <c r="M157" s="46" t="s">
        <v>1753</v>
      </c>
      <c r="N157" s="47">
        <f>SUMIF('LISTA TECNICA'!$I:$I,$L157,'LISTA TECNICA'!$P:$P)</f>
        <v>0</v>
      </c>
      <c r="O157" s="49">
        <f>IFERROR(VLOOKUP($L157,'0805'!$A:$D,4,0),0)</f>
        <v>0</v>
      </c>
      <c r="P157" s="49">
        <f>IFERROR(VLOOKUP($L157,'0806'!$A:$D,4,0),0)</f>
        <v>0</v>
      </c>
      <c r="Q157" s="59">
        <f t="shared" si="15"/>
        <v>0</v>
      </c>
      <c r="R157" s="72">
        <f t="shared" si="16"/>
        <v>0</v>
      </c>
      <c r="S157" s="69"/>
      <c r="T157" s="60"/>
      <c r="U157" s="60"/>
      <c r="V157" s="60"/>
      <c r="W157" s="60"/>
    </row>
    <row r="158" spans="1:23" x14ac:dyDescent="0.25">
      <c r="A158" s="45">
        <v>3004183</v>
      </c>
      <c r="B158" s="46" t="s">
        <v>1294</v>
      </c>
      <c r="C158" s="47">
        <f>SUMIF('LISTA TECNICA'!$I:$I,$A158,'LISTA TECNICA'!$P:$P)</f>
        <v>0</v>
      </c>
      <c r="D158" s="66">
        <f>IFERROR(VLOOKUP($A158,'0802'!$A:$D,4,0),0)</f>
        <v>0</v>
      </c>
      <c r="E158" s="72">
        <f t="shared" si="17"/>
        <v>0</v>
      </c>
      <c r="F158" s="69"/>
      <c r="G158" s="60"/>
      <c r="H158" s="60"/>
      <c r="I158" s="60"/>
      <c r="J158" s="60"/>
      <c r="L158"/>
      <c r="M158"/>
      <c r="N158"/>
      <c r="O158"/>
      <c r="P158"/>
      <c r="Q158"/>
      <c r="R158"/>
      <c r="S158"/>
      <c r="T158"/>
      <c r="U158"/>
      <c r="V158"/>
      <c r="W158"/>
    </row>
    <row r="159" spans="1:23" ht="15.75" thickBot="1" x14ac:dyDescent="0.3">
      <c r="A159" s="45">
        <v>3004184</v>
      </c>
      <c r="B159" s="46" t="s">
        <v>1306</v>
      </c>
      <c r="C159" s="47">
        <f>SUMIF('LISTA TECNICA'!$I:$I,$A159,'LISTA TECNICA'!$P:$P)</f>
        <v>0</v>
      </c>
      <c r="D159" s="66">
        <f>IFERROR(VLOOKUP($A159,'0802'!$A:$D,4,0),0)</f>
        <v>0</v>
      </c>
      <c r="E159" s="72">
        <f t="shared" si="17"/>
        <v>0</v>
      </c>
      <c r="F159" s="69"/>
      <c r="G159" s="60"/>
      <c r="H159" s="60"/>
      <c r="I159" s="60"/>
      <c r="J159" s="60"/>
      <c r="L159"/>
      <c r="M159"/>
      <c r="N159"/>
      <c r="O159"/>
      <c r="P159"/>
      <c r="Q159"/>
      <c r="R159"/>
      <c r="S159"/>
      <c r="T159"/>
      <c r="U159"/>
      <c r="V159"/>
      <c r="W159"/>
    </row>
    <row r="160" spans="1:23" ht="14.25" thickBot="1" x14ac:dyDescent="0.3">
      <c r="A160" s="45">
        <v>3003862</v>
      </c>
      <c r="B160" s="46" t="s">
        <v>1299</v>
      </c>
      <c r="C160" s="47">
        <f>SUMIF('LISTA TECNICA'!$I:$I,$A160,'LISTA TECNICA'!$P:$P)</f>
        <v>1512</v>
      </c>
      <c r="D160" s="66">
        <f>IFERROR(VLOOKUP($A160,'0802'!$A:$D,4,0),0)</f>
        <v>0</v>
      </c>
      <c r="E160" s="72">
        <f t="shared" si="17"/>
        <v>-1512</v>
      </c>
      <c r="F160" s="69"/>
      <c r="G160" s="60"/>
      <c r="H160" s="60"/>
      <c r="I160" s="60"/>
      <c r="J160" s="60"/>
      <c r="L160" s="86" t="s">
        <v>6082</v>
      </c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8"/>
    </row>
    <row r="161" spans="1:23" ht="14.25" thickBot="1" x14ac:dyDescent="0.3">
      <c r="A161" s="45">
        <v>3004185</v>
      </c>
      <c r="B161" s="46" t="s">
        <v>1314</v>
      </c>
      <c r="C161" s="47">
        <f>SUMIF('LISTA TECNICA'!$I:$I,$A161,'LISTA TECNICA'!$P:$P)</f>
        <v>0</v>
      </c>
      <c r="D161" s="66">
        <f>IFERROR(VLOOKUP($A161,'0802'!$A:$D,4,0),0)</f>
        <v>0</v>
      </c>
      <c r="E161" s="72">
        <f t="shared" si="17"/>
        <v>0</v>
      </c>
      <c r="F161" s="69"/>
      <c r="G161" s="60"/>
      <c r="H161" s="60"/>
      <c r="I161" s="60"/>
      <c r="J161" s="60"/>
      <c r="L161" s="53" t="s">
        <v>5</v>
      </c>
      <c r="M161" s="54" t="s">
        <v>2052</v>
      </c>
      <c r="N161" s="55" t="s">
        <v>2053</v>
      </c>
      <c r="O161" s="54">
        <v>805</v>
      </c>
      <c r="P161" s="54">
        <v>806</v>
      </c>
      <c r="Q161" s="57" t="s">
        <v>6068</v>
      </c>
      <c r="R161" s="70" t="s">
        <v>6069</v>
      </c>
      <c r="S161" s="67" t="s">
        <v>6072</v>
      </c>
      <c r="T161" s="63" t="s">
        <v>6073</v>
      </c>
      <c r="U161" s="63" t="s">
        <v>6136</v>
      </c>
      <c r="V161" s="63" t="s">
        <v>6076</v>
      </c>
      <c r="W161" s="64" t="s">
        <v>6074</v>
      </c>
    </row>
    <row r="162" spans="1:23" ht="13.5" x14ac:dyDescent="0.25">
      <c r="A162" s="45">
        <v>3004186</v>
      </c>
      <c r="B162" s="46" t="s">
        <v>1318</v>
      </c>
      <c r="C162" s="47">
        <f>SUMIF('LISTA TECNICA'!$I:$I,$A162,'LISTA TECNICA'!$P:$P)</f>
        <v>0</v>
      </c>
      <c r="D162" s="66">
        <f>IFERROR(VLOOKUP($A162,'0802'!$A:$D,4,0),0)</f>
        <v>0</v>
      </c>
      <c r="E162" s="72">
        <f t="shared" si="17"/>
        <v>0</v>
      </c>
      <c r="F162" s="69"/>
      <c r="G162" s="60"/>
      <c r="H162" s="60"/>
      <c r="I162" s="60"/>
      <c r="J162" s="60"/>
      <c r="L162" s="45">
        <v>4002347</v>
      </c>
      <c r="M162" s="46" t="s">
        <v>488</v>
      </c>
      <c r="N162" s="47">
        <f>SUMIF('LISTA TECNICA'!$I:$I,$L162,'LISTA TECNICA'!$P:$P)</f>
        <v>10500</v>
      </c>
      <c r="O162" s="49">
        <f>IFERROR(VLOOKUP($L162,'0805'!$A:$D,4,0),0)</f>
        <v>29134</v>
      </c>
      <c r="P162" s="49">
        <f>IFERROR(VLOOKUP($L162,'0806'!$A:$D,4,0),0)</f>
        <v>6460</v>
      </c>
      <c r="Q162" s="59">
        <f t="shared" ref="Q162:Q193" si="18">P162+O162</f>
        <v>35594</v>
      </c>
      <c r="R162" s="72">
        <f t="shared" ref="R162:R193" si="19">Q162-N162</f>
        <v>25094</v>
      </c>
      <c r="S162" s="69"/>
      <c r="T162" s="60"/>
      <c r="U162" s="60"/>
      <c r="V162" s="60"/>
      <c r="W162" s="60"/>
    </row>
    <row r="163" spans="1:23" ht="13.5" x14ac:dyDescent="0.25">
      <c r="A163" s="45">
        <v>3003935</v>
      </c>
      <c r="B163" s="46" t="s">
        <v>1284</v>
      </c>
      <c r="C163" s="47">
        <f>SUMIF('LISTA TECNICA'!$I:$I,$A163,'LISTA TECNICA'!$P:$P)</f>
        <v>1505</v>
      </c>
      <c r="D163" s="66">
        <f>IFERROR(VLOOKUP($A163,'0802'!$A:$D,4,0),0)</f>
        <v>1156</v>
      </c>
      <c r="E163" s="72">
        <f t="shared" si="17"/>
        <v>-349</v>
      </c>
      <c r="F163" s="69"/>
      <c r="G163" s="60"/>
      <c r="H163" s="60"/>
      <c r="I163" s="60"/>
      <c r="J163" s="60"/>
      <c r="L163" s="45">
        <v>4002348</v>
      </c>
      <c r="M163" s="46" t="s">
        <v>494</v>
      </c>
      <c r="N163" s="47">
        <f>SUMIF('LISTA TECNICA'!$I:$I,$L163,'LISTA TECNICA'!$P:$P)</f>
        <v>5400</v>
      </c>
      <c r="O163" s="49">
        <f>IFERROR(VLOOKUP($L163,'0805'!$A:$D,4,0),0)</f>
        <v>7674</v>
      </c>
      <c r="P163" s="49">
        <f>IFERROR(VLOOKUP($L163,'0806'!$A:$D,4,0),0)</f>
        <v>8602</v>
      </c>
      <c r="Q163" s="59">
        <f t="shared" si="18"/>
        <v>16276</v>
      </c>
      <c r="R163" s="72">
        <f t="shared" si="19"/>
        <v>10876</v>
      </c>
      <c r="S163" s="69"/>
      <c r="T163" s="60"/>
      <c r="U163" s="60"/>
      <c r="V163" s="60"/>
      <c r="W163" s="60"/>
    </row>
    <row r="164" spans="1:23" ht="13.5" x14ac:dyDescent="0.25">
      <c r="A164" s="45">
        <v>3003936</v>
      </c>
      <c r="B164" s="46" t="s">
        <v>1310</v>
      </c>
      <c r="C164" s="47">
        <f>SUMIF('LISTA TECNICA'!$I:$I,$A164,'LISTA TECNICA'!$P:$P)</f>
        <v>1512</v>
      </c>
      <c r="D164" s="66">
        <f>IFERROR(VLOOKUP($A164,'0802'!$A:$D,4,0),0)</f>
        <v>1134</v>
      </c>
      <c r="E164" s="72">
        <f t="shared" si="17"/>
        <v>-378</v>
      </c>
      <c r="F164" s="69"/>
      <c r="G164" s="60"/>
      <c r="H164" s="60"/>
      <c r="I164" s="60"/>
      <c r="J164" s="60"/>
      <c r="L164" s="45">
        <v>4002349</v>
      </c>
      <c r="M164" s="46" t="s">
        <v>503</v>
      </c>
      <c r="N164" s="47">
        <f>SUMIF('LISTA TECNICA'!$I:$I,$L164,'LISTA TECNICA'!$P:$P)</f>
        <v>7800</v>
      </c>
      <c r="O164" s="49">
        <f>IFERROR(VLOOKUP($L164,'0805'!$A:$D,4,0),0)</f>
        <v>1425</v>
      </c>
      <c r="P164" s="49">
        <f>IFERROR(VLOOKUP($L164,'0806'!$A:$D,4,0),0)</f>
        <v>14477</v>
      </c>
      <c r="Q164" s="59">
        <f t="shared" si="18"/>
        <v>15902</v>
      </c>
      <c r="R164" s="72">
        <f t="shared" si="19"/>
        <v>8102</v>
      </c>
      <c r="S164" s="69"/>
      <c r="T164" s="60"/>
      <c r="U164" s="60"/>
      <c r="V164" s="60"/>
      <c r="W164" s="60"/>
    </row>
    <row r="165" spans="1:23" ht="13.5" x14ac:dyDescent="0.25">
      <c r="A165" s="45">
        <v>3002941</v>
      </c>
      <c r="B165" s="46" t="s">
        <v>1065</v>
      </c>
      <c r="C165" s="47">
        <f>SUMIF('LISTA TECNICA'!$I:$I,$A165,'LISTA TECNICA'!$P:$P)</f>
        <v>60</v>
      </c>
      <c r="D165" s="66">
        <f>IFERROR(VLOOKUP($A165,'0802'!$A:$D,4,0),0)</f>
        <v>268</v>
      </c>
      <c r="E165" s="72">
        <f t="shared" si="17"/>
        <v>208</v>
      </c>
      <c r="F165" s="69"/>
      <c r="G165" s="60"/>
      <c r="H165" s="60"/>
      <c r="I165" s="60"/>
      <c r="J165" s="60"/>
      <c r="L165" s="45">
        <v>4002353</v>
      </c>
      <c r="M165" s="46" t="s">
        <v>509</v>
      </c>
      <c r="N165" s="47">
        <f>SUMIF('LISTA TECNICA'!$I:$I,$L165,'LISTA TECNICA'!$P:$P)</f>
        <v>5400</v>
      </c>
      <c r="O165" s="49">
        <f>IFERROR(VLOOKUP($L165,'0805'!$A:$D,4,0),0)</f>
        <v>22848</v>
      </c>
      <c r="P165" s="49">
        <f>IFERROR(VLOOKUP($L165,'0806'!$A:$D,4,0),0)</f>
        <v>4692</v>
      </c>
      <c r="Q165" s="59">
        <f t="shared" si="18"/>
        <v>27540</v>
      </c>
      <c r="R165" s="72">
        <f t="shared" si="19"/>
        <v>22140</v>
      </c>
      <c r="S165" s="69"/>
      <c r="T165" s="60"/>
      <c r="U165" s="60"/>
      <c r="V165" s="60"/>
      <c r="W165" s="60"/>
    </row>
    <row r="166" spans="1:23" ht="13.5" x14ac:dyDescent="0.25">
      <c r="A166" s="45">
        <v>3002955</v>
      </c>
      <c r="B166" s="46" t="s">
        <v>1068</v>
      </c>
      <c r="C166" s="47">
        <f>SUMIF('LISTA TECNICA'!$I:$I,$A166,'LISTA TECNICA'!$P:$P)</f>
        <v>60</v>
      </c>
      <c r="D166" s="66">
        <f>IFERROR(VLOOKUP($A166,'0802'!$A:$D,4,0),0)</f>
        <v>312</v>
      </c>
      <c r="E166" s="72">
        <f t="shared" si="17"/>
        <v>252</v>
      </c>
      <c r="F166" s="69"/>
      <c r="G166" s="60"/>
      <c r="H166" s="60"/>
      <c r="I166" s="60"/>
      <c r="J166" s="60"/>
      <c r="L166" s="45">
        <v>4002358</v>
      </c>
      <c r="M166" s="46" t="s">
        <v>517</v>
      </c>
      <c r="N166" s="47">
        <f>SUMIF('LISTA TECNICA'!$I:$I,$L166,'LISTA TECNICA'!$P:$P)</f>
        <v>4800</v>
      </c>
      <c r="O166" s="49">
        <f>IFERROR(VLOOKUP($L166,'0805'!$A:$D,4,0),0)</f>
        <v>11053</v>
      </c>
      <c r="P166" s="49">
        <f>IFERROR(VLOOKUP($L166,'0806'!$A:$D,4,0),0)</f>
        <v>0</v>
      </c>
      <c r="Q166" s="59">
        <f t="shared" si="18"/>
        <v>11053</v>
      </c>
      <c r="R166" s="72">
        <f t="shared" si="19"/>
        <v>6253</v>
      </c>
      <c r="S166" s="69"/>
      <c r="T166" s="60"/>
      <c r="U166" s="60"/>
      <c r="V166" s="60"/>
      <c r="W166" s="60"/>
    </row>
    <row r="167" spans="1:23" ht="13.5" x14ac:dyDescent="0.25">
      <c r="A167" s="45">
        <v>3002943</v>
      </c>
      <c r="B167" s="46" t="s">
        <v>1072</v>
      </c>
      <c r="C167" s="47">
        <f>SUMIF('LISTA TECNICA'!$I:$I,$A167,'LISTA TECNICA'!$P:$P)</f>
        <v>60</v>
      </c>
      <c r="D167" s="66">
        <f>IFERROR(VLOOKUP($A167,'0802'!$A:$D,4,0),0)</f>
        <v>138</v>
      </c>
      <c r="E167" s="72">
        <f t="shared" si="17"/>
        <v>78</v>
      </c>
      <c r="F167" s="69"/>
      <c r="G167" s="60"/>
      <c r="H167" s="60"/>
      <c r="I167" s="60"/>
      <c r="J167" s="60"/>
      <c r="L167" s="45">
        <v>4002360</v>
      </c>
      <c r="M167" s="46" t="s">
        <v>20</v>
      </c>
      <c r="N167" s="47">
        <f>SUMIF('LISTA TECNICA'!$I:$I,$L167,'LISTA TECNICA'!$P:$P)</f>
        <v>2760</v>
      </c>
      <c r="O167" s="49">
        <f>IFERROR(VLOOKUP($L167,'0805'!$A:$D,4,0),0)</f>
        <v>6036</v>
      </c>
      <c r="P167" s="49">
        <f>IFERROR(VLOOKUP($L167,'0806'!$A:$D,4,0),0)</f>
        <v>1648</v>
      </c>
      <c r="Q167" s="59">
        <f t="shared" si="18"/>
        <v>7684</v>
      </c>
      <c r="R167" s="72">
        <f t="shared" si="19"/>
        <v>4924</v>
      </c>
      <c r="S167" s="69"/>
      <c r="T167" s="60"/>
      <c r="U167" s="60"/>
      <c r="V167" s="60"/>
      <c r="W167" s="60"/>
    </row>
    <row r="168" spans="1:23" ht="13.5" x14ac:dyDescent="0.25">
      <c r="A168" s="45">
        <v>3002956</v>
      </c>
      <c r="B168" s="46" t="s">
        <v>1073</v>
      </c>
      <c r="C168" s="47">
        <f>SUMIF('LISTA TECNICA'!$I:$I,$A168,'LISTA TECNICA'!$P:$P)</f>
        <v>32</v>
      </c>
      <c r="D168" s="66">
        <f>IFERROR(VLOOKUP($A168,'0802'!$A:$D,4,0),0)</f>
        <v>32</v>
      </c>
      <c r="E168" s="72">
        <f t="shared" si="17"/>
        <v>0</v>
      </c>
      <c r="F168" s="69"/>
      <c r="G168" s="60"/>
      <c r="H168" s="60"/>
      <c r="I168" s="60"/>
      <c r="J168" s="60"/>
      <c r="L168" s="45">
        <v>4002364</v>
      </c>
      <c r="M168" s="46" t="s">
        <v>524</v>
      </c>
      <c r="N168" s="47">
        <f>SUMIF('LISTA TECNICA'!$I:$I,$L168,'LISTA TECNICA'!$P:$P)</f>
        <v>1200</v>
      </c>
      <c r="O168" s="49">
        <f>IFERROR(VLOOKUP($L168,'0805'!$A:$D,4,0),0)</f>
        <v>0</v>
      </c>
      <c r="P168" s="49">
        <f>IFERROR(VLOOKUP($L168,'0806'!$A:$D,4,0),0)</f>
        <v>2910</v>
      </c>
      <c r="Q168" s="59">
        <f t="shared" si="18"/>
        <v>2910</v>
      </c>
      <c r="R168" s="72">
        <f t="shared" si="19"/>
        <v>1710</v>
      </c>
      <c r="S168" s="69"/>
      <c r="T168" s="60"/>
      <c r="U168" s="60"/>
      <c r="V168" s="60"/>
      <c r="W168" s="60"/>
    </row>
    <row r="169" spans="1:23" ht="13.5" x14ac:dyDescent="0.25">
      <c r="A169" s="45">
        <v>3002942</v>
      </c>
      <c r="B169" s="46" t="s">
        <v>1071</v>
      </c>
      <c r="C169" s="47">
        <f>SUMIF('LISTA TECNICA'!$I:$I,$A169,'LISTA TECNICA'!$P:$P)</f>
        <v>60</v>
      </c>
      <c r="D169" s="66">
        <f>IFERROR(VLOOKUP($A169,'0802'!$A:$D,4,0),0)</f>
        <v>170</v>
      </c>
      <c r="E169" s="72">
        <f t="shared" si="17"/>
        <v>110</v>
      </c>
      <c r="F169" s="69"/>
      <c r="G169" s="60"/>
      <c r="H169" s="60"/>
      <c r="I169" s="60"/>
      <c r="J169" s="60"/>
      <c r="L169" s="45">
        <v>4002366</v>
      </c>
      <c r="M169" s="46" t="s">
        <v>26</v>
      </c>
      <c r="N169" s="47">
        <f>SUMIF('LISTA TECNICA'!$I:$I,$L169,'LISTA TECNICA'!$P:$P)</f>
        <v>14400</v>
      </c>
      <c r="O169" s="49">
        <f>IFERROR(VLOOKUP($L169,'0805'!$A:$D,4,0),0)</f>
        <v>36908</v>
      </c>
      <c r="P169" s="49">
        <f>IFERROR(VLOOKUP($L169,'0806'!$A:$D,4,0),0)</f>
        <v>7121</v>
      </c>
      <c r="Q169" s="59">
        <f t="shared" si="18"/>
        <v>44029</v>
      </c>
      <c r="R169" s="72">
        <f t="shared" si="19"/>
        <v>29629</v>
      </c>
      <c r="S169" s="69"/>
      <c r="T169" s="60"/>
      <c r="U169" s="60"/>
      <c r="V169" s="60"/>
      <c r="W169" s="60"/>
    </row>
    <row r="170" spans="1:23" ht="13.5" x14ac:dyDescent="0.25">
      <c r="A170" s="45">
        <v>3004362</v>
      </c>
      <c r="B170" s="46" t="s">
        <v>172</v>
      </c>
      <c r="C170" s="47">
        <f>SUMIF('LISTA TECNICA'!$I:$I,$A170,'LISTA TECNICA'!$P:$P)</f>
        <v>3600</v>
      </c>
      <c r="D170" s="66">
        <f>IFERROR(VLOOKUP($A170,'0802'!$A:$D,4,0),0)</f>
        <v>284</v>
      </c>
      <c r="E170" s="72">
        <f t="shared" si="17"/>
        <v>-3316</v>
      </c>
      <c r="F170" s="69"/>
      <c r="G170" s="60"/>
      <c r="H170" s="60"/>
      <c r="I170" s="60"/>
      <c r="J170" s="60"/>
      <c r="L170" s="45">
        <v>4002368</v>
      </c>
      <c r="M170" s="46" t="s">
        <v>31</v>
      </c>
      <c r="N170" s="47">
        <f>SUMIF('LISTA TECNICA'!$I:$I,$L170,'LISTA TECNICA'!$P:$P)</f>
        <v>1200</v>
      </c>
      <c r="O170" s="49">
        <f>IFERROR(VLOOKUP($L170,'0805'!$A:$D,4,0),0)</f>
        <v>0</v>
      </c>
      <c r="P170" s="49">
        <f>IFERROR(VLOOKUP($L170,'0806'!$A:$D,4,0),0)</f>
        <v>11299</v>
      </c>
      <c r="Q170" s="59">
        <f t="shared" si="18"/>
        <v>11299</v>
      </c>
      <c r="R170" s="72">
        <f t="shared" si="19"/>
        <v>10099</v>
      </c>
      <c r="S170" s="69"/>
      <c r="T170" s="60"/>
      <c r="U170" s="60"/>
      <c r="V170" s="60"/>
      <c r="W170" s="60"/>
    </row>
    <row r="171" spans="1:23" ht="13.5" x14ac:dyDescent="0.25">
      <c r="A171" s="45">
        <v>3002111</v>
      </c>
      <c r="B171" s="46" t="s">
        <v>202</v>
      </c>
      <c r="C171" s="47">
        <f>SUMIF('LISTA TECNICA'!$I:$I,$A171,'LISTA TECNICA'!$P:$P)</f>
        <v>0</v>
      </c>
      <c r="D171" s="66">
        <f>IFERROR(VLOOKUP($A171,'0802'!$A:$D,4,0),0)</f>
        <v>162</v>
      </c>
      <c r="E171" s="72">
        <f t="shared" si="17"/>
        <v>162</v>
      </c>
      <c r="F171" s="69"/>
      <c r="G171" s="60"/>
      <c r="H171" s="60"/>
      <c r="I171" s="60"/>
      <c r="J171" s="60"/>
      <c r="L171" s="45">
        <v>4002371</v>
      </c>
      <c r="M171" s="46" t="s">
        <v>42</v>
      </c>
      <c r="N171" s="47">
        <f>SUMIF('LISTA TECNICA'!$I:$I,$L171,'LISTA TECNICA'!$P:$P)</f>
        <v>3600</v>
      </c>
      <c r="O171" s="49">
        <f>IFERROR(VLOOKUP($L171,'0805'!$A:$D,4,0),0)</f>
        <v>4819</v>
      </c>
      <c r="P171" s="49">
        <f>IFERROR(VLOOKUP($L171,'0806'!$A:$D,4,0),0)</f>
        <v>5005</v>
      </c>
      <c r="Q171" s="59">
        <f t="shared" si="18"/>
        <v>9824</v>
      </c>
      <c r="R171" s="72">
        <f t="shared" si="19"/>
        <v>6224</v>
      </c>
      <c r="S171" s="69"/>
      <c r="T171" s="60"/>
      <c r="U171" s="60"/>
      <c r="V171" s="60"/>
      <c r="W171" s="60"/>
    </row>
    <row r="172" spans="1:23" ht="13.5" x14ac:dyDescent="0.25">
      <c r="A172" s="45">
        <v>3002387</v>
      </c>
      <c r="B172" s="46" t="s">
        <v>187</v>
      </c>
      <c r="C172" s="47">
        <f>SUMIF('LISTA TECNICA'!$I:$I,$A172,'LISTA TECNICA'!$P:$P)</f>
        <v>60</v>
      </c>
      <c r="D172" s="66">
        <f>IFERROR(VLOOKUP($A172,'0802'!$A:$D,4,0),0)</f>
        <v>196</v>
      </c>
      <c r="E172" s="72">
        <f t="shared" si="17"/>
        <v>136</v>
      </c>
      <c r="F172" s="69"/>
      <c r="G172" s="60"/>
      <c r="H172" s="60"/>
      <c r="I172" s="60"/>
      <c r="J172" s="60"/>
      <c r="L172" s="45">
        <v>4008404</v>
      </c>
      <c r="M172" s="46" t="s">
        <v>1104</v>
      </c>
      <c r="N172" s="47">
        <f>SUMIF('LISTA TECNICA'!$I:$I,$L172,'LISTA TECNICA'!$P:$P)</f>
        <v>2160</v>
      </c>
      <c r="O172" s="49">
        <f>IFERROR(VLOOKUP($L172,'0805'!$A:$D,4,0),0)</f>
        <v>6916</v>
      </c>
      <c r="P172" s="49">
        <f>IFERROR(VLOOKUP($L172,'0806'!$A:$D,4,0),0)</f>
        <v>3802</v>
      </c>
      <c r="Q172" s="59">
        <f t="shared" si="18"/>
        <v>10718</v>
      </c>
      <c r="R172" s="72">
        <f t="shared" si="19"/>
        <v>8558</v>
      </c>
      <c r="S172" s="69"/>
      <c r="T172" s="60"/>
      <c r="U172" s="60"/>
      <c r="V172" s="60"/>
      <c r="W172" s="60"/>
    </row>
    <row r="173" spans="1:23" ht="13.5" x14ac:dyDescent="0.25">
      <c r="A173" s="45">
        <v>3002110</v>
      </c>
      <c r="B173" s="46" t="s">
        <v>184</v>
      </c>
      <c r="C173" s="47">
        <f>SUMIF('LISTA TECNICA'!$I:$I,$A173,'LISTA TECNICA'!$P:$P)</f>
        <v>0</v>
      </c>
      <c r="D173" s="66">
        <f>IFERROR(VLOOKUP($A173,'0802'!$A:$D,4,0),0)</f>
        <v>0</v>
      </c>
      <c r="E173" s="72">
        <f t="shared" si="17"/>
        <v>0</v>
      </c>
      <c r="F173" s="69"/>
      <c r="G173" s="60"/>
      <c r="H173" s="60"/>
      <c r="I173" s="60"/>
      <c r="J173" s="60"/>
      <c r="L173" s="45">
        <v>4008406</v>
      </c>
      <c r="M173" s="46" t="s">
        <v>1112</v>
      </c>
      <c r="N173" s="47">
        <f>SUMIF('LISTA TECNICA'!$I:$I,$L173,'LISTA TECNICA'!$P:$P)</f>
        <v>1200</v>
      </c>
      <c r="O173" s="49">
        <f>IFERROR(VLOOKUP($L173,'0805'!$A:$D,4,0),0)</f>
        <v>11876</v>
      </c>
      <c r="P173" s="49">
        <f>IFERROR(VLOOKUP($L173,'0806'!$A:$D,4,0),0)</f>
        <v>0</v>
      </c>
      <c r="Q173" s="59">
        <f t="shared" si="18"/>
        <v>11876</v>
      </c>
      <c r="R173" s="72">
        <f t="shared" si="19"/>
        <v>10676</v>
      </c>
      <c r="S173" s="69"/>
      <c r="T173" s="60"/>
      <c r="U173" s="60"/>
      <c r="V173" s="60"/>
      <c r="W173" s="60"/>
    </row>
    <row r="174" spans="1:23" ht="13.5" x14ac:dyDescent="0.25">
      <c r="A174" s="45">
        <v>3002120</v>
      </c>
      <c r="B174" s="46" t="s">
        <v>182</v>
      </c>
      <c r="C174" s="47">
        <f>SUMIF('LISTA TECNICA'!$I:$I,$A174,'LISTA TECNICA'!$P:$P)</f>
        <v>0</v>
      </c>
      <c r="D174" s="66">
        <f>IFERROR(VLOOKUP($A174,'0802'!$A:$D,4,0),0)</f>
        <v>0</v>
      </c>
      <c r="E174" s="72">
        <f t="shared" si="17"/>
        <v>0</v>
      </c>
      <c r="F174" s="69"/>
      <c r="G174" s="60"/>
      <c r="H174" s="60"/>
      <c r="I174" s="60"/>
      <c r="J174" s="60"/>
      <c r="L174" s="45">
        <v>4008407</v>
      </c>
      <c r="M174" s="46" t="s">
        <v>1117</v>
      </c>
      <c r="N174" s="47">
        <f>SUMIF('LISTA TECNICA'!$I:$I,$L174,'LISTA TECNICA'!$P:$P)</f>
        <v>0</v>
      </c>
      <c r="O174" s="49">
        <f>IFERROR(VLOOKUP($L174,'0805'!$A:$D,4,0),0)</f>
        <v>628</v>
      </c>
      <c r="P174" s="49">
        <f>IFERROR(VLOOKUP($L174,'0806'!$A:$D,4,0),0)</f>
        <v>7995</v>
      </c>
      <c r="Q174" s="59">
        <f t="shared" si="18"/>
        <v>8623</v>
      </c>
      <c r="R174" s="72">
        <f t="shared" si="19"/>
        <v>8623</v>
      </c>
      <c r="S174" s="69"/>
      <c r="T174" s="60"/>
      <c r="U174" s="60"/>
      <c r="V174" s="60"/>
      <c r="W174" s="60"/>
    </row>
    <row r="175" spans="1:23" ht="13.5" x14ac:dyDescent="0.25">
      <c r="A175" s="45">
        <v>3002117</v>
      </c>
      <c r="B175" s="46" t="s">
        <v>204</v>
      </c>
      <c r="C175" s="47">
        <f>SUMIF('LISTA TECNICA'!$I:$I,$A175,'LISTA TECNICA'!$P:$P)</f>
        <v>180</v>
      </c>
      <c r="D175" s="66">
        <f>IFERROR(VLOOKUP($A175,'0802'!$A:$D,4,0),0)</f>
        <v>0</v>
      </c>
      <c r="E175" s="72">
        <f t="shared" si="17"/>
        <v>-180</v>
      </c>
      <c r="F175" s="69"/>
      <c r="G175" s="60"/>
      <c r="H175" s="60"/>
      <c r="I175" s="60"/>
      <c r="J175" s="60"/>
      <c r="L175" s="45">
        <v>4002374</v>
      </c>
      <c r="M175" s="46" t="s">
        <v>531</v>
      </c>
      <c r="N175" s="47">
        <f>SUMIF('LISTA TECNICA'!$I:$I,$L175,'LISTA TECNICA'!$P:$P)</f>
        <v>0</v>
      </c>
      <c r="O175" s="49">
        <f>IFERROR(VLOOKUP($L175,'0805'!$A:$D,4,0),0)</f>
        <v>3541</v>
      </c>
      <c r="P175" s="49">
        <f>IFERROR(VLOOKUP($L175,'0806'!$A:$D,4,0),0)</f>
        <v>0</v>
      </c>
      <c r="Q175" s="59">
        <f t="shared" si="18"/>
        <v>3541</v>
      </c>
      <c r="R175" s="72">
        <f t="shared" si="19"/>
        <v>3541</v>
      </c>
      <c r="S175" s="69"/>
      <c r="T175" s="60"/>
      <c r="U175" s="60"/>
      <c r="V175" s="60"/>
      <c r="W175" s="60"/>
    </row>
    <row r="176" spans="1:23" ht="13.5" x14ac:dyDescent="0.25">
      <c r="A176" s="45">
        <v>3002112</v>
      </c>
      <c r="B176" s="46" t="s">
        <v>206</v>
      </c>
      <c r="C176" s="47">
        <f>SUMIF('LISTA TECNICA'!$I:$I,$A176,'LISTA TECNICA'!$P:$P)</f>
        <v>60</v>
      </c>
      <c r="D176" s="66">
        <f>IFERROR(VLOOKUP($A176,'0802'!$A:$D,4,0),0)</f>
        <v>0</v>
      </c>
      <c r="E176" s="72">
        <f t="shared" si="17"/>
        <v>-60</v>
      </c>
      <c r="F176" s="69"/>
      <c r="G176" s="60"/>
      <c r="H176" s="60"/>
      <c r="I176" s="60"/>
      <c r="J176" s="60"/>
      <c r="L176" s="45">
        <v>4002378</v>
      </c>
      <c r="M176" s="46" t="s">
        <v>51</v>
      </c>
      <c r="N176" s="47">
        <f>SUMIF('LISTA TECNICA'!$I:$I,$L176,'LISTA TECNICA'!$P:$P)</f>
        <v>2400</v>
      </c>
      <c r="O176" s="49">
        <f>IFERROR(VLOOKUP($L176,'0805'!$A:$D,4,0),0)</f>
        <v>12913</v>
      </c>
      <c r="P176" s="49">
        <f>IFERROR(VLOOKUP($L176,'0806'!$A:$D,4,0),0)</f>
        <v>2491</v>
      </c>
      <c r="Q176" s="59">
        <f t="shared" si="18"/>
        <v>15404</v>
      </c>
      <c r="R176" s="72">
        <f t="shared" si="19"/>
        <v>13004</v>
      </c>
      <c r="S176" s="69"/>
      <c r="T176" s="60"/>
      <c r="U176" s="60"/>
      <c r="V176" s="60"/>
      <c r="W176" s="60"/>
    </row>
    <row r="177" spans="1:23" ht="13.5" x14ac:dyDescent="0.25">
      <c r="A177" s="45">
        <v>3002118</v>
      </c>
      <c r="B177" s="46" t="s">
        <v>649</v>
      </c>
      <c r="C177" s="47">
        <f>SUMIF('LISTA TECNICA'!$I:$I,$A177,'LISTA TECNICA'!$P:$P)</f>
        <v>0</v>
      </c>
      <c r="D177" s="66">
        <f>IFERROR(VLOOKUP($A177,'0802'!$A:$D,4,0),0)</f>
        <v>0</v>
      </c>
      <c r="E177" s="72">
        <f t="shared" si="17"/>
        <v>0</v>
      </c>
      <c r="F177" s="69"/>
      <c r="G177" s="60"/>
      <c r="H177" s="60"/>
      <c r="I177" s="60"/>
      <c r="J177" s="60"/>
      <c r="L177" s="45">
        <v>4002379</v>
      </c>
      <c r="M177" s="46" t="s">
        <v>56</v>
      </c>
      <c r="N177" s="47">
        <f>SUMIF('LISTA TECNICA'!$I:$I,$L177,'LISTA TECNICA'!$P:$P)</f>
        <v>3600</v>
      </c>
      <c r="O177" s="49">
        <f>IFERROR(VLOOKUP($L177,'0805'!$A:$D,4,0),0)</f>
        <v>0</v>
      </c>
      <c r="P177" s="49">
        <f>IFERROR(VLOOKUP($L177,'0806'!$A:$D,4,0),0)</f>
        <v>6587</v>
      </c>
      <c r="Q177" s="59">
        <f t="shared" si="18"/>
        <v>6587</v>
      </c>
      <c r="R177" s="72">
        <f t="shared" si="19"/>
        <v>2987</v>
      </c>
      <c r="S177" s="69"/>
      <c r="T177" s="60"/>
      <c r="U177" s="60"/>
      <c r="V177" s="60"/>
      <c r="W177" s="60"/>
    </row>
    <row r="178" spans="1:23" ht="13.5" x14ac:dyDescent="0.25">
      <c r="A178" s="45">
        <v>3002119</v>
      </c>
      <c r="B178" s="46" t="s">
        <v>652</v>
      </c>
      <c r="C178" s="47">
        <f>SUMIF('LISTA TECNICA'!$I:$I,$A178,'LISTA TECNICA'!$P:$P)</f>
        <v>0</v>
      </c>
      <c r="D178" s="66">
        <f>IFERROR(VLOOKUP($A178,'0802'!$A:$D,4,0),0)</f>
        <v>0</v>
      </c>
      <c r="E178" s="72">
        <f t="shared" si="17"/>
        <v>0</v>
      </c>
      <c r="F178" s="69"/>
      <c r="G178" s="60"/>
      <c r="H178" s="60"/>
      <c r="I178" s="60"/>
      <c r="J178" s="60"/>
      <c r="L178" s="45">
        <v>4002381</v>
      </c>
      <c r="M178" s="46" t="s">
        <v>537</v>
      </c>
      <c r="N178" s="47">
        <f>SUMIF('LISTA TECNICA'!$I:$I,$L178,'LISTA TECNICA'!$P:$P)</f>
        <v>0</v>
      </c>
      <c r="O178" s="49">
        <f>IFERROR(VLOOKUP($L178,'0805'!$A:$D,4,0),0)</f>
        <v>0</v>
      </c>
      <c r="P178" s="49">
        <f>IFERROR(VLOOKUP($L178,'0806'!$A:$D,4,0),0)</f>
        <v>8273</v>
      </c>
      <c r="Q178" s="59">
        <f t="shared" si="18"/>
        <v>8273</v>
      </c>
      <c r="R178" s="72">
        <f t="shared" si="19"/>
        <v>8273</v>
      </c>
      <c r="S178" s="69"/>
      <c r="T178" s="60"/>
      <c r="U178" s="60"/>
      <c r="V178" s="60"/>
      <c r="W178" s="60"/>
    </row>
    <row r="179" spans="1:23" ht="14.25" thickBot="1" x14ac:dyDescent="0.3">
      <c r="A179" s="78"/>
      <c r="B179" s="75"/>
      <c r="C179" s="76"/>
      <c r="D179" s="76"/>
      <c r="E179" s="77"/>
      <c r="F179" s="12"/>
      <c r="G179" s="12"/>
      <c r="H179" s="12"/>
      <c r="I179" s="12"/>
      <c r="J179" s="12"/>
      <c r="L179" s="45">
        <v>4002382</v>
      </c>
      <c r="M179" s="46" t="s">
        <v>543</v>
      </c>
      <c r="N179" s="47">
        <f>SUMIF('LISTA TECNICA'!$I:$I,$L179,'LISTA TECNICA'!$P:$P)</f>
        <v>1200</v>
      </c>
      <c r="O179" s="49">
        <f>IFERROR(VLOOKUP($L179,'0805'!$A:$D,4,0),0)</f>
        <v>0</v>
      </c>
      <c r="P179" s="49">
        <f>IFERROR(VLOOKUP($L179,'0806'!$A:$D,4,0),0)</f>
        <v>4836</v>
      </c>
      <c r="Q179" s="59">
        <f t="shared" si="18"/>
        <v>4836</v>
      </c>
      <c r="R179" s="72">
        <f t="shared" si="19"/>
        <v>3636</v>
      </c>
      <c r="S179" s="69"/>
      <c r="T179" s="60"/>
      <c r="U179" s="60"/>
      <c r="V179" s="60"/>
      <c r="W179" s="60"/>
    </row>
    <row r="180" spans="1:23" ht="14.25" thickBot="1" x14ac:dyDescent="0.3">
      <c r="A180" s="86" t="s">
        <v>6091</v>
      </c>
      <c r="B180" s="87"/>
      <c r="C180" s="87"/>
      <c r="D180" s="87"/>
      <c r="E180" s="87"/>
      <c r="F180" s="87"/>
      <c r="G180" s="87"/>
      <c r="H180" s="87"/>
      <c r="I180" s="87"/>
      <c r="J180" s="88"/>
      <c r="L180" s="45">
        <v>4002383</v>
      </c>
      <c r="M180" s="46" t="s">
        <v>549</v>
      </c>
      <c r="N180" s="47">
        <f>SUMIF('LISTA TECNICA'!$I:$I,$L180,'LISTA TECNICA'!$P:$P)</f>
        <v>3000</v>
      </c>
      <c r="O180" s="49">
        <f>IFERROR(VLOOKUP($L180,'0805'!$A:$D,4,0),0)</f>
        <v>11553</v>
      </c>
      <c r="P180" s="49">
        <f>IFERROR(VLOOKUP($L180,'0806'!$A:$D,4,0),0)</f>
        <v>2114</v>
      </c>
      <c r="Q180" s="59">
        <f t="shared" si="18"/>
        <v>13667</v>
      </c>
      <c r="R180" s="72">
        <f t="shared" si="19"/>
        <v>10667</v>
      </c>
      <c r="S180" s="69"/>
      <c r="T180" s="60"/>
      <c r="U180" s="60"/>
      <c r="V180" s="60"/>
      <c r="W180" s="60"/>
    </row>
    <row r="181" spans="1:23" ht="14.25" thickBot="1" x14ac:dyDescent="0.3">
      <c r="A181" s="53" t="s">
        <v>5</v>
      </c>
      <c r="B181" s="54" t="s">
        <v>2052</v>
      </c>
      <c r="C181" s="55" t="s">
        <v>2053</v>
      </c>
      <c r="D181" s="57">
        <v>802</v>
      </c>
      <c r="E181" s="70" t="s">
        <v>6069</v>
      </c>
      <c r="F181" s="67" t="s">
        <v>6072</v>
      </c>
      <c r="G181" s="63" t="s">
        <v>6073</v>
      </c>
      <c r="H181" s="63" t="s">
        <v>6136</v>
      </c>
      <c r="I181" s="63" t="s">
        <v>6076</v>
      </c>
      <c r="J181" s="64" t="s">
        <v>6074</v>
      </c>
      <c r="L181" s="45">
        <v>4002384</v>
      </c>
      <c r="M181" s="46" t="s">
        <v>556</v>
      </c>
      <c r="N181" s="47">
        <f>SUMIF('LISTA TECNICA'!$I:$I,$L181,'LISTA TECNICA'!$P:$P)</f>
        <v>6000</v>
      </c>
      <c r="O181" s="49">
        <f>IFERROR(VLOOKUP($L181,'0805'!$A:$D,4,0),0)</f>
        <v>6</v>
      </c>
      <c r="P181" s="49">
        <f>IFERROR(VLOOKUP($L181,'0806'!$A:$D,4,0),0)</f>
        <v>1620</v>
      </c>
      <c r="Q181" s="59">
        <f t="shared" si="18"/>
        <v>1626</v>
      </c>
      <c r="R181" s="72">
        <f t="shared" si="19"/>
        <v>-4374</v>
      </c>
      <c r="S181" s="69"/>
      <c r="T181" s="60"/>
      <c r="U181" s="60"/>
      <c r="V181" s="60"/>
      <c r="W181" s="60"/>
    </row>
    <row r="182" spans="1:23" ht="13.5" x14ac:dyDescent="0.25">
      <c r="A182" s="79">
        <v>3001155</v>
      </c>
      <c r="B182" s="50" t="s">
        <v>1146</v>
      </c>
      <c r="C182" s="47">
        <f>SUMIF('LISTA TECNICA'!$I:$I,$A182,'LISTA TECNICA'!$P:$P)</f>
        <v>0</v>
      </c>
      <c r="D182" s="65">
        <f>IFERROR(VLOOKUP($A182,'0802'!$A:$D,4,0),0)</f>
        <v>0</v>
      </c>
      <c r="E182" s="71">
        <f t="shared" ref="E182:E200" si="20">D182-C182</f>
        <v>0</v>
      </c>
      <c r="F182" s="68"/>
      <c r="G182" s="62"/>
      <c r="H182" s="62"/>
      <c r="I182" s="62"/>
      <c r="J182" s="62"/>
      <c r="L182" s="45">
        <v>4002388</v>
      </c>
      <c r="M182" s="46" t="s">
        <v>562</v>
      </c>
      <c r="N182" s="47">
        <f>SUMIF('LISTA TECNICA'!$I:$I,$L182,'LISTA TECNICA'!$P:$P)</f>
        <v>3600</v>
      </c>
      <c r="O182" s="49">
        <f>IFERROR(VLOOKUP($L182,'0805'!$A:$D,4,0),0)</f>
        <v>0</v>
      </c>
      <c r="P182" s="49">
        <f>IFERROR(VLOOKUP($L182,'0806'!$A:$D,4,0),0)</f>
        <v>9686</v>
      </c>
      <c r="Q182" s="59">
        <f t="shared" si="18"/>
        <v>9686</v>
      </c>
      <c r="R182" s="72">
        <f t="shared" si="19"/>
        <v>6086</v>
      </c>
      <c r="S182" s="69"/>
      <c r="T182" s="60"/>
      <c r="U182" s="60"/>
      <c r="V182" s="60"/>
      <c r="W182" s="60"/>
    </row>
    <row r="183" spans="1:23" ht="13.5" x14ac:dyDescent="0.25">
      <c r="A183" s="45">
        <v>3005702</v>
      </c>
      <c r="B183" s="46" t="s">
        <v>66</v>
      </c>
      <c r="C183" s="47">
        <f>SUMIF('LISTA TECNICA'!$I:$I,$A183,'LISTA TECNICA'!$P:$P)</f>
        <v>7800</v>
      </c>
      <c r="D183" s="66">
        <f>IFERROR(VLOOKUP($A183,'0802'!$A:$D,4,0),0)</f>
        <v>862</v>
      </c>
      <c r="E183" s="72">
        <f t="shared" si="20"/>
        <v>-6938</v>
      </c>
      <c r="F183" s="69"/>
      <c r="G183" s="60"/>
      <c r="H183" s="60"/>
      <c r="I183" s="60"/>
      <c r="J183" s="60"/>
      <c r="L183" s="45">
        <v>4002389</v>
      </c>
      <c r="M183" s="46" t="s">
        <v>569</v>
      </c>
      <c r="N183" s="47">
        <f>SUMIF('LISTA TECNICA'!$I:$I,$L183,'LISTA TECNICA'!$P:$P)</f>
        <v>7800</v>
      </c>
      <c r="O183" s="49">
        <f>IFERROR(VLOOKUP($L183,'0805'!$A:$D,4,0),0)</f>
        <v>20221</v>
      </c>
      <c r="P183" s="49">
        <f>IFERROR(VLOOKUP($L183,'0806'!$A:$D,4,0),0)</f>
        <v>3562</v>
      </c>
      <c r="Q183" s="59">
        <f t="shared" si="18"/>
        <v>23783</v>
      </c>
      <c r="R183" s="72">
        <f t="shared" si="19"/>
        <v>15983</v>
      </c>
      <c r="S183" s="69"/>
      <c r="T183" s="60"/>
      <c r="U183" s="60"/>
      <c r="V183" s="60"/>
      <c r="W183" s="60"/>
    </row>
    <row r="184" spans="1:23" ht="13.5" x14ac:dyDescent="0.25">
      <c r="A184" s="45">
        <v>3005674</v>
      </c>
      <c r="B184" s="46" t="s">
        <v>1354</v>
      </c>
      <c r="C184" s="47">
        <f>SUMIF('LISTA TECNICA'!$I:$I,$A184,'LISTA TECNICA'!$P:$P)</f>
        <v>0</v>
      </c>
      <c r="D184" s="66">
        <f>IFERROR(VLOOKUP($A184,'0802'!$A:$D,4,0),0)</f>
        <v>1644</v>
      </c>
      <c r="E184" s="72">
        <f t="shared" si="20"/>
        <v>1644</v>
      </c>
      <c r="F184" s="69"/>
      <c r="G184" s="60"/>
      <c r="H184" s="60"/>
      <c r="I184" s="60"/>
      <c r="J184" s="60"/>
      <c r="L184" s="45">
        <v>4002391</v>
      </c>
      <c r="M184" s="46" t="s">
        <v>575</v>
      </c>
      <c r="N184" s="47">
        <f>SUMIF('LISTA TECNICA'!$I:$I,$L184,'LISTA TECNICA'!$P:$P)</f>
        <v>0</v>
      </c>
      <c r="O184" s="49">
        <f>IFERROR(VLOOKUP($L184,'0805'!$A:$D,4,0),0)</f>
        <v>6543</v>
      </c>
      <c r="P184" s="49">
        <f>IFERROR(VLOOKUP($L184,'0806'!$A:$D,4,0),0)</f>
        <v>0</v>
      </c>
      <c r="Q184" s="59">
        <f t="shared" si="18"/>
        <v>6543</v>
      </c>
      <c r="R184" s="72">
        <f t="shared" si="19"/>
        <v>6543</v>
      </c>
      <c r="S184" s="69"/>
      <c r="T184" s="60"/>
      <c r="U184" s="60"/>
      <c r="V184" s="60"/>
      <c r="W184" s="60"/>
    </row>
    <row r="185" spans="1:23" ht="13.5" x14ac:dyDescent="0.25">
      <c r="A185" s="45">
        <v>3005673</v>
      </c>
      <c r="B185" s="46" t="s">
        <v>1358</v>
      </c>
      <c r="C185" s="47">
        <f>SUMIF('LISTA TECNICA'!$I:$I,$A185,'LISTA TECNICA'!$P:$P)</f>
        <v>0</v>
      </c>
      <c r="D185" s="66">
        <f>IFERROR(VLOOKUP($A185,'0802'!$A:$D,4,0),0)</f>
        <v>2000</v>
      </c>
      <c r="E185" s="72">
        <f t="shared" si="20"/>
        <v>2000</v>
      </c>
      <c r="F185" s="69"/>
      <c r="G185" s="60"/>
      <c r="H185" s="60"/>
      <c r="I185" s="60"/>
      <c r="J185" s="60"/>
      <c r="L185" s="45">
        <v>4002405</v>
      </c>
      <c r="M185" s="46" t="s">
        <v>609</v>
      </c>
      <c r="N185" s="47">
        <f>SUMIF('LISTA TECNICA'!$I:$I,$L185,'LISTA TECNICA'!$P:$P)</f>
        <v>3600</v>
      </c>
      <c r="O185" s="49">
        <f>IFERROR(VLOOKUP($L185,'0805'!$A:$D,4,0),0)</f>
        <v>3986</v>
      </c>
      <c r="P185" s="49">
        <f>IFERROR(VLOOKUP($L185,'0806'!$A:$D,4,0),0)</f>
        <v>7006</v>
      </c>
      <c r="Q185" s="59">
        <f t="shared" si="18"/>
        <v>10992</v>
      </c>
      <c r="R185" s="72">
        <f t="shared" si="19"/>
        <v>7392</v>
      </c>
      <c r="S185" s="69"/>
      <c r="T185" s="60"/>
      <c r="U185" s="60"/>
      <c r="V185" s="60"/>
      <c r="W185" s="60"/>
    </row>
    <row r="186" spans="1:23" ht="13.5" x14ac:dyDescent="0.25">
      <c r="A186" s="45">
        <v>3005671</v>
      </c>
      <c r="B186" s="46" t="s">
        <v>165</v>
      </c>
      <c r="C186" s="47">
        <f>SUMIF('LISTA TECNICA'!$I:$I,$A186,'LISTA TECNICA'!$P:$P)</f>
        <v>0</v>
      </c>
      <c r="D186" s="66">
        <f>IFERROR(VLOOKUP($A186,'0802'!$A:$D,4,0),0)</f>
        <v>3072</v>
      </c>
      <c r="E186" s="72">
        <f t="shared" si="20"/>
        <v>3072</v>
      </c>
      <c r="F186" s="69"/>
      <c r="G186" s="60"/>
      <c r="H186" s="60"/>
      <c r="I186" s="60"/>
      <c r="J186" s="60"/>
      <c r="L186" s="45">
        <v>4002406</v>
      </c>
      <c r="M186" s="46" t="s">
        <v>615</v>
      </c>
      <c r="N186" s="47">
        <f>SUMIF('LISTA TECNICA'!$I:$I,$L186,'LISTA TECNICA'!$P:$P)</f>
        <v>7200</v>
      </c>
      <c r="O186" s="49">
        <f>IFERROR(VLOOKUP($L186,'0805'!$A:$D,4,0),0)</f>
        <v>33293</v>
      </c>
      <c r="P186" s="49">
        <f>IFERROR(VLOOKUP($L186,'0806'!$A:$D,4,0),0)</f>
        <v>2800</v>
      </c>
      <c r="Q186" s="59">
        <f t="shared" si="18"/>
        <v>36093</v>
      </c>
      <c r="R186" s="72">
        <f t="shared" si="19"/>
        <v>28893</v>
      </c>
      <c r="S186" s="69"/>
      <c r="T186" s="60"/>
      <c r="U186" s="60"/>
      <c r="V186" s="60"/>
      <c r="W186" s="60"/>
    </row>
    <row r="187" spans="1:23" ht="13.5" x14ac:dyDescent="0.25">
      <c r="A187" s="45">
        <v>3005672</v>
      </c>
      <c r="B187" s="46" t="s">
        <v>1362</v>
      </c>
      <c r="C187" s="47">
        <f>SUMIF('LISTA TECNICA'!$I:$I,$A187,'LISTA TECNICA'!$P:$P)</f>
        <v>0</v>
      </c>
      <c r="D187" s="66">
        <f>IFERROR(VLOOKUP($A187,'0802'!$A:$D,4,0),0)</f>
        <v>900</v>
      </c>
      <c r="E187" s="72">
        <f t="shared" si="20"/>
        <v>900</v>
      </c>
      <c r="F187" s="69"/>
      <c r="G187" s="60"/>
      <c r="H187" s="60"/>
      <c r="I187" s="60"/>
      <c r="J187" s="60"/>
      <c r="L187" s="45">
        <v>4002407</v>
      </c>
      <c r="M187" s="46" t="s">
        <v>91</v>
      </c>
      <c r="N187" s="47">
        <f>SUMIF('LISTA TECNICA'!$I:$I,$L187,'LISTA TECNICA'!$P:$P)</f>
        <v>9600</v>
      </c>
      <c r="O187" s="49">
        <f>IFERROR(VLOOKUP($L187,'0805'!$A:$D,4,0),0)</f>
        <v>18599</v>
      </c>
      <c r="P187" s="49">
        <f>IFERROR(VLOOKUP($L187,'0806'!$A:$D,4,0),0)</f>
        <v>12304</v>
      </c>
      <c r="Q187" s="59">
        <f t="shared" si="18"/>
        <v>30903</v>
      </c>
      <c r="R187" s="72">
        <f t="shared" si="19"/>
        <v>21303</v>
      </c>
      <c r="S187" s="69"/>
      <c r="T187" s="60"/>
      <c r="U187" s="60"/>
      <c r="V187" s="60"/>
      <c r="W187" s="60"/>
    </row>
    <row r="188" spans="1:23" ht="13.5" x14ac:dyDescent="0.25">
      <c r="A188" s="45">
        <v>3005675</v>
      </c>
      <c r="B188" s="46" t="s">
        <v>1366</v>
      </c>
      <c r="C188" s="47">
        <f>SUMIF('LISTA TECNICA'!$I:$I,$A188,'LISTA TECNICA'!$P:$P)</f>
        <v>0</v>
      </c>
      <c r="D188" s="66">
        <f>IFERROR(VLOOKUP($A188,'0802'!$A:$D,4,0),0)</f>
        <v>0</v>
      </c>
      <c r="E188" s="72">
        <f t="shared" si="20"/>
        <v>0</v>
      </c>
      <c r="F188" s="69"/>
      <c r="G188" s="60"/>
      <c r="H188" s="60"/>
      <c r="I188" s="60"/>
      <c r="J188" s="60"/>
      <c r="L188" s="45">
        <v>4014911</v>
      </c>
      <c r="M188" s="46" t="s">
        <v>1209</v>
      </c>
      <c r="N188" s="47">
        <f>SUMIF('LISTA TECNICA'!$I:$I,$L188,'LISTA TECNICA'!$P:$P)</f>
        <v>1440</v>
      </c>
      <c r="O188" s="49">
        <f>IFERROR(VLOOKUP($L188,'0805'!$A:$D,4,0),0)</f>
        <v>1500</v>
      </c>
      <c r="P188" s="49">
        <f>IFERROR(VLOOKUP($L188,'0806'!$A:$D,4,0),0)</f>
        <v>0</v>
      </c>
      <c r="Q188" s="59">
        <f t="shared" si="18"/>
        <v>1500</v>
      </c>
      <c r="R188" s="72">
        <f t="shared" si="19"/>
        <v>60</v>
      </c>
      <c r="S188" s="69"/>
      <c r="T188" s="60" t="s">
        <v>6251</v>
      </c>
      <c r="U188" s="60">
        <v>5000</v>
      </c>
      <c r="V188" s="60" t="s">
        <v>6252</v>
      </c>
      <c r="W188" s="60"/>
    </row>
    <row r="189" spans="1:23" ht="13.5" x14ac:dyDescent="0.25">
      <c r="A189" s="45">
        <v>3005676</v>
      </c>
      <c r="B189" s="46" t="s">
        <v>166</v>
      </c>
      <c r="C189" s="47">
        <f>SUMIF('LISTA TECNICA'!$I:$I,$A189,'LISTA TECNICA'!$P:$P)</f>
        <v>0</v>
      </c>
      <c r="D189" s="66">
        <f>IFERROR(VLOOKUP($A189,'0802'!$A:$D,4,0),0)</f>
        <v>21550</v>
      </c>
      <c r="E189" s="72">
        <f t="shared" si="20"/>
        <v>21550</v>
      </c>
      <c r="F189" s="69"/>
      <c r="G189" s="60"/>
      <c r="H189" s="60"/>
      <c r="I189" s="60"/>
      <c r="J189" s="60"/>
      <c r="L189" s="45">
        <v>4014910</v>
      </c>
      <c r="M189" s="46" t="s">
        <v>1214</v>
      </c>
      <c r="N189" s="47">
        <f>SUMIF('LISTA TECNICA'!$I:$I,$L189,'LISTA TECNICA'!$P:$P)</f>
        <v>0</v>
      </c>
      <c r="O189" s="49">
        <f>IFERROR(VLOOKUP($L189,'0805'!$A:$D,4,0),0)</f>
        <v>0</v>
      </c>
      <c r="P189" s="49">
        <f>IFERROR(VLOOKUP($L189,'0806'!$A:$D,4,0),0)</f>
        <v>3058</v>
      </c>
      <c r="Q189" s="59">
        <f t="shared" si="18"/>
        <v>3058</v>
      </c>
      <c r="R189" s="72">
        <f t="shared" si="19"/>
        <v>3058</v>
      </c>
      <c r="S189" s="69"/>
      <c r="T189" s="60"/>
      <c r="U189" s="60"/>
      <c r="V189" s="60"/>
      <c r="W189" s="60"/>
    </row>
    <row r="190" spans="1:23" ht="13.5" x14ac:dyDescent="0.25">
      <c r="A190" s="45">
        <v>3001950</v>
      </c>
      <c r="B190" s="46" t="s">
        <v>380</v>
      </c>
      <c r="C190" s="47">
        <f>SUMIF('LISTA TECNICA'!$I:$I,$A190,'LISTA TECNICA'!$P:$P)</f>
        <v>18.601800000000001</v>
      </c>
      <c r="D190" s="66">
        <f>IFERROR(VLOOKUP($A190,'0802'!$A:$D,4,0),0)</f>
        <v>175</v>
      </c>
      <c r="E190" s="72">
        <f t="shared" si="20"/>
        <v>156.3982</v>
      </c>
      <c r="F190" s="69"/>
      <c r="G190" s="60"/>
      <c r="H190" s="60"/>
      <c r="I190" s="60"/>
      <c r="J190" s="60"/>
      <c r="L190" s="45">
        <v>4014913</v>
      </c>
      <c r="M190" s="46" t="s">
        <v>1219</v>
      </c>
      <c r="N190" s="47">
        <f>SUMIF('LISTA TECNICA'!$I:$I,$L190,'LISTA TECNICA'!$P:$P)</f>
        <v>528</v>
      </c>
      <c r="O190" s="49">
        <f>IFERROR(VLOOKUP($L190,'0805'!$A:$D,4,0),0)</f>
        <v>2588</v>
      </c>
      <c r="P190" s="49">
        <f>IFERROR(VLOOKUP($L190,'0806'!$A:$D,4,0),0)</f>
        <v>0</v>
      </c>
      <c r="Q190" s="59">
        <f t="shared" si="18"/>
        <v>2588</v>
      </c>
      <c r="R190" s="72">
        <f t="shared" si="19"/>
        <v>2060</v>
      </c>
      <c r="S190" s="69"/>
      <c r="T190" s="60"/>
      <c r="U190" s="60"/>
      <c r="V190" s="60"/>
      <c r="W190" s="60"/>
    </row>
    <row r="191" spans="1:23" ht="13.5" x14ac:dyDescent="0.25">
      <c r="A191" s="45">
        <v>3005681</v>
      </c>
      <c r="B191" s="46" t="s">
        <v>48</v>
      </c>
      <c r="C191" s="47">
        <f>SUMIF('LISTA TECNICA'!$I:$I,$A191,'LISTA TECNICA'!$P:$P)</f>
        <v>0</v>
      </c>
      <c r="D191" s="66">
        <f>IFERROR(VLOOKUP($A191,'0802'!$A:$D,4,0),0)</f>
        <v>3972</v>
      </c>
      <c r="E191" s="72">
        <f t="shared" si="20"/>
        <v>3972</v>
      </c>
      <c r="F191" s="69"/>
      <c r="G191" s="60"/>
      <c r="H191" s="60"/>
      <c r="I191" s="60"/>
      <c r="J191" s="60"/>
      <c r="L191" s="45">
        <v>4014912</v>
      </c>
      <c r="M191" s="46" t="s">
        <v>1224</v>
      </c>
      <c r="N191" s="47">
        <f>SUMIF('LISTA TECNICA'!$I:$I,$L191,'LISTA TECNICA'!$P:$P)</f>
        <v>0</v>
      </c>
      <c r="O191" s="49">
        <f>IFERROR(VLOOKUP($L191,'0805'!$A:$D,4,0),0)</f>
        <v>3300</v>
      </c>
      <c r="P191" s="49">
        <f>IFERROR(VLOOKUP($L191,'0806'!$A:$D,4,0),0)</f>
        <v>0</v>
      </c>
      <c r="Q191" s="59">
        <f t="shared" si="18"/>
        <v>3300</v>
      </c>
      <c r="R191" s="72">
        <f t="shared" si="19"/>
        <v>3300</v>
      </c>
      <c r="S191" s="69"/>
      <c r="T191" s="60"/>
      <c r="U191" s="60"/>
      <c r="V191" s="60"/>
      <c r="W191" s="60"/>
    </row>
    <row r="192" spans="1:23" ht="13.5" x14ac:dyDescent="0.25">
      <c r="A192" s="45">
        <v>3003937</v>
      </c>
      <c r="B192" s="46" t="s">
        <v>1285</v>
      </c>
      <c r="C192" s="47">
        <f>SUMIF('LISTA TECNICA'!$I:$I,$A192,'LISTA TECNICA'!$P:$P)</f>
        <v>3017</v>
      </c>
      <c r="D192" s="66">
        <f>IFERROR(VLOOKUP($A192,'0802'!$A:$D,4,0),0)</f>
        <v>14084</v>
      </c>
      <c r="E192" s="72">
        <f t="shared" si="20"/>
        <v>11067</v>
      </c>
      <c r="F192" s="69"/>
      <c r="G192" s="60"/>
      <c r="H192" s="60"/>
      <c r="I192" s="60"/>
      <c r="J192" s="60"/>
      <c r="L192" s="45">
        <v>4002408</v>
      </c>
      <c r="M192" s="46" t="s">
        <v>96</v>
      </c>
      <c r="N192" s="47">
        <f>SUMIF('LISTA TECNICA'!$I:$I,$L192,'LISTA TECNICA'!$P:$P)</f>
        <v>3600</v>
      </c>
      <c r="O192" s="49">
        <f>IFERROR(VLOOKUP($L192,'0805'!$A:$D,4,0),0)</f>
        <v>10760</v>
      </c>
      <c r="P192" s="49">
        <f>IFERROR(VLOOKUP($L192,'0806'!$A:$D,4,0),0)</f>
        <v>4210</v>
      </c>
      <c r="Q192" s="59">
        <f t="shared" si="18"/>
        <v>14970</v>
      </c>
      <c r="R192" s="72">
        <f t="shared" si="19"/>
        <v>11370</v>
      </c>
      <c r="S192" s="69"/>
      <c r="T192" s="60"/>
      <c r="U192" s="60"/>
      <c r="V192" s="60"/>
      <c r="W192" s="60"/>
    </row>
    <row r="193" spans="1:23" ht="13.5" x14ac:dyDescent="0.25">
      <c r="A193" s="45">
        <v>3003893</v>
      </c>
      <c r="B193" s="46" t="s">
        <v>164</v>
      </c>
      <c r="C193" s="47">
        <f>SUMIF('LISTA TECNICA'!$I:$I,$A193,'LISTA TECNICA'!$P:$P)</f>
        <v>3338</v>
      </c>
      <c r="D193" s="66">
        <f>IFERROR(VLOOKUP($A193,'0802'!$A:$D,4,0),0)</f>
        <v>2980</v>
      </c>
      <c r="E193" s="72">
        <f t="shared" si="20"/>
        <v>-358</v>
      </c>
      <c r="F193" s="69"/>
      <c r="G193" s="60"/>
      <c r="H193" s="60"/>
      <c r="I193" s="60"/>
      <c r="J193" s="60"/>
      <c r="L193" s="45">
        <v>4002409</v>
      </c>
      <c r="M193" s="46" t="s">
        <v>103</v>
      </c>
      <c r="N193" s="47">
        <f>SUMIF('LISTA TECNICA'!$I:$I,$L193,'LISTA TECNICA'!$P:$P)</f>
        <v>0</v>
      </c>
      <c r="O193" s="49">
        <f>IFERROR(VLOOKUP($L193,'0805'!$A:$D,4,0),0)</f>
        <v>7372</v>
      </c>
      <c r="P193" s="49">
        <f>IFERROR(VLOOKUP($L193,'0806'!$A:$D,4,0),0)</f>
        <v>3000</v>
      </c>
      <c r="Q193" s="59">
        <f t="shared" si="18"/>
        <v>10372</v>
      </c>
      <c r="R193" s="72">
        <f t="shared" si="19"/>
        <v>10372</v>
      </c>
      <c r="S193" s="69"/>
      <c r="T193" s="60"/>
      <c r="U193" s="60"/>
      <c r="V193" s="60"/>
      <c r="W193" s="60"/>
    </row>
    <row r="194" spans="1:23" ht="13.5" x14ac:dyDescent="0.25">
      <c r="A194" s="45">
        <v>3004187</v>
      </c>
      <c r="B194" s="46" t="s">
        <v>1280</v>
      </c>
      <c r="C194" s="47">
        <f>SUMIF('LISTA TECNICA'!$I:$I,$A194,'LISTA TECNICA'!$P:$P)</f>
        <v>1218</v>
      </c>
      <c r="D194" s="66">
        <f>IFERROR(VLOOKUP($A194,'0802'!$A:$D,4,0),0)</f>
        <v>15150</v>
      </c>
      <c r="E194" s="72">
        <f t="shared" si="20"/>
        <v>13932</v>
      </c>
      <c r="F194" s="69"/>
      <c r="G194" s="60"/>
      <c r="H194" s="60"/>
      <c r="I194" s="60"/>
      <c r="J194" s="60"/>
      <c r="L194" s="45">
        <v>4002410</v>
      </c>
      <c r="M194" s="46" t="s">
        <v>108</v>
      </c>
      <c r="N194" s="47">
        <f>SUMIF('LISTA TECNICA'!$I:$I,$L194,'LISTA TECNICA'!$P:$P)</f>
        <v>4560</v>
      </c>
      <c r="O194" s="49">
        <f>IFERROR(VLOOKUP($L194,'0805'!$A:$D,4,0),0)</f>
        <v>9615</v>
      </c>
      <c r="P194" s="49">
        <f>IFERROR(VLOOKUP($L194,'0806'!$A:$D,4,0),0)</f>
        <v>0</v>
      </c>
      <c r="Q194" s="59">
        <f t="shared" ref="Q194:Q225" si="21">P194+O194</f>
        <v>9615</v>
      </c>
      <c r="R194" s="72">
        <f t="shared" ref="R194:R225" si="22">Q194-N194</f>
        <v>5055</v>
      </c>
      <c r="S194" s="69"/>
      <c r="T194" s="60"/>
      <c r="U194" s="60"/>
      <c r="V194" s="60"/>
      <c r="W194" s="60"/>
    </row>
    <row r="195" spans="1:23" ht="13.5" x14ac:dyDescent="0.25">
      <c r="A195" s="45">
        <v>3004188</v>
      </c>
      <c r="B195" s="46" t="s">
        <v>1290</v>
      </c>
      <c r="C195" s="47">
        <f>SUMIF('LISTA TECNICA'!$I:$I,$A195,'LISTA TECNICA'!$P:$P)</f>
        <v>0</v>
      </c>
      <c r="D195" s="66">
        <f>IFERROR(VLOOKUP($A195,'0802'!$A:$D,4,0),0)</f>
        <v>11372</v>
      </c>
      <c r="E195" s="72">
        <f t="shared" si="20"/>
        <v>11372</v>
      </c>
      <c r="F195" s="69"/>
      <c r="G195" s="60"/>
      <c r="H195" s="60"/>
      <c r="I195" s="60"/>
      <c r="J195" s="60"/>
      <c r="L195" s="45">
        <v>4002411</v>
      </c>
      <c r="M195" s="46" t="s">
        <v>114</v>
      </c>
      <c r="N195" s="47">
        <f>SUMIF('LISTA TECNICA'!$I:$I,$L195,'LISTA TECNICA'!$P:$P)</f>
        <v>14400</v>
      </c>
      <c r="O195" s="49">
        <f>IFERROR(VLOOKUP($L195,'0805'!$A:$D,4,0),0)</f>
        <v>21407</v>
      </c>
      <c r="P195" s="49">
        <f>IFERROR(VLOOKUP($L195,'0806'!$A:$D,4,0),0)</f>
        <v>7364</v>
      </c>
      <c r="Q195" s="59">
        <f t="shared" si="21"/>
        <v>28771</v>
      </c>
      <c r="R195" s="72">
        <f t="shared" si="22"/>
        <v>14371</v>
      </c>
      <c r="S195" s="69"/>
      <c r="T195" s="60"/>
      <c r="U195" s="60"/>
      <c r="V195" s="60"/>
      <c r="W195" s="60"/>
    </row>
    <row r="196" spans="1:23" ht="13.5" x14ac:dyDescent="0.25">
      <c r="A196" s="45">
        <v>3004189</v>
      </c>
      <c r="B196" s="46" t="s">
        <v>1295</v>
      </c>
      <c r="C196" s="47">
        <f>SUMIF('LISTA TECNICA'!$I:$I,$A196,'LISTA TECNICA'!$P:$P)</f>
        <v>0</v>
      </c>
      <c r="D196" s="66">
        <f>IFERROR(VLOOKUP($A196,'0802'!$A:$D,4,0),0)</f>
        <v>14700</v>
      </c>
      <c r="E196" s="72">
        <f t="shared" si="20"/>
        <v>14700</v>
      </c>
      <c r="F196" s="69"/>
      <c r="G196" s="60"/>
      <c r="H196" s="60"/>
      <c r="I196" s="60"/>
      <c r="J196" s="60"/>
      <c r="L196" s="45">
        <v>4002412</v>
      </c>
      <c r="M196" s="46" t="s">
        <v>119</v>
      </c>
      <c r="N196" s="47">
        <f>SUMIF('LISTA TECNICA'!$I:$I,$L196,'LISTA TECNICA'!$P:$P)</f>
        <v>7200</v>
      </c>
      <c r="O196" s="49">
        <f>IFERROR(VLOOKUP($L196,'0805'!$A:$D,4,0),0)</f>
        <v>5522</v>
      </c>
      <c r="P196" s="49">
        <f>IFERROR(VLOOKUP($L196,'0806'!$A:$D,4,0),0)</f>
        <v>8400</v>
      </c>
      <c r="Q196" s="59">
        <f t="shared" si="21"/>
        <v>13922</v>
      </c>
      <c r="R196" s="72">
        <f t="shared" si="22"/>
        <v>6722</v>
      </c>
      <c r="S196" s="69"/>
      <c r="T196" s="60"/>
      <c r="U196" s="60"/>
      <c r="V196" s="60"/>
      <c r="W196" s="60"/>
    </row>
    <row r="197" spans="1:23" ht="13.5" x14ac:dyDescent="0.25">
      <c r="A197" s="45">
        <v>3005680</v>
      </c>
      <c r="B197" s="46" t="s">
        <v>47</v>
      </c>
      <c r="C197" s="47">
        <f>SUMIF('LISTA TECNICA'!$I:$I,$A197,'LISTA TECNICA'!$P:$P)</f>
        <v>0</v>
      </c>
      <c r="D197" s="66">
        <f>IFERROR(VLOOKUP($A197,'0802'!$A:$D,4,0),0)</f>
        <v>14406</v>
      </c>
      <c r="E197" s="72">
        <f t="shared" si="20"/>
        <v>14406</v>
      </c>
      <c r="F197" s="69"/>
      <c r="G197" s="60"/>
      <c r="H197" s="60"/>
      <c r="I197" s="60"/>
      <c r="J197" s="60"/>
      <c r="L197" s="45">
        <v>4002413</v>
      </c>
      <c r="M197" s="46" t="s">
        <v>1231</v>
      </c>
      <c r="N197" s="47">
        <f>SUMIF('LISTA TECNICA'!$I:$I,$L197,'LISTA TECNICA'!$P:$P)</f>
        <v>6000</v>
      </c>
      <c r="O197" s="49">
        <f>IFERROR(VLOOKUP($L197,'0805'!$A:$D,4,0),0)</f>
        <v>20773</v>
      </c>
      <c r="P197" s="49">
        <f>IFERROR(VLOOKUP($L197,'0806'!$A:$D,4,0),0)</f>
        <v>772</v>
      </c>
      <c r="Q197" s="59">
        <f t="shared" si="21"/>
        <v>21545</v>
      </c>
      <c r="R197" s="72">
        <f t="shared" si="22"/>
        <v>15545</v>
      </c>
      <c r="S197" s="69"/>
      <c r="T197" s="60"/>
      <c r="U197" s="60"/>
      <c r="V197" s="60"/>
      <c r="W197" s="60"/>
    </row>
    <row r="198" spans="1:23" ht="13.5" x14ac:dyDescent="0.25">
      <c r="A198" s="45">
        <v>3005679</v>
      </c>
      <c r="B198" s="46" t="s">
        <v>37</v>
      </c>
      <c r="C198" s="47">
        <f>SUMIF('LISTA TECNICA'!$I:$I,$A198,'LISTA TECNICA'!$P:$P)</f>
        <v>0</v>
      </c>
      <c r="D198" s="66">
        <f>IFERROR(VLOOKUP($A198,'0802'!$A:$D,4,0),0)</f>
        <v>9885</v>
      </c>
      <c r="E198" s="72">
        <f t="shared" si="20"/>
        <v>9885</v>
      </c>
      <c r="F198" s="69"/>
      <c r="G198" s="60"/>
      <c r="H198" s="60"/>
      <c r="I198" s="60"/>
      <c r="J198" s="60"/>
      <c r="L198" s="45">
        <v>4002414</v>
      </c>
      <c r="M198" s="46" t="s">
        <v>125</v>
      </c>
      <c r="N198" s="47">
        <f>SUMIF('LISTA TECNICA'!$I:$I,$L198,'LISTA TECNICA'!$P:$P)</f>
        <v>0</v>
      </c>
      <c r="O198" s="49">
        <f>IFERROR(VLOOKUP($L198,'0805'!$A:$D,4,0),0)</f>
        <v>11274</v>
      </c>
      <c r="P198" s="49">
        <f>IFERROR(VLOOKUP($L198,'0806'!$A:$D,4,0),0)</f>
        <v>0</v>
      </c>
      <c r="Q198" s="59">
        <f t="shared" si="21"/>
        <v>11274</v>
      </c>
      <c r="R198" s="72">
        <f t="shared" si="22"/>
        <v>11274</v>
      </c>
      <c r="S198" s="69"/>
      <c r="T198" s="60"/>
      <c r="U198" s="60"/>
      <c r="V198" s="60"/>
      <c r="W198" s="60"/>
    </row>
    <row r="199" spans="1:23" ht="13.5" x14ac:dyDescent="0.25">
      <c r="A199" s="45">
        <v>3005677</v>
      </c>
      <c r="B199" s="46" t="s">
        <v>167</v>
      </c>
      <c r="C199" s="47">
        <f>SUMIF('LISTA TECNICA'!$I:$I,$A199,'LISTA TECNICA'!$P:$P)</f>
        <v>0</v>
      </c>
      <c r="D199" s="66">
        <f>IFERROR(VLOOKUP($A199,'0802'!$A:$D,4,0),0)</f>
        <v>25750</v>
      </c>
      <c r="E199" s="72">
        <f t="shared" si="20"/>
        <v>25750</v>
      </c>
      <c r="F199" s="69"/>
      <c r="G199" s="60"/>
      <c r="H199" s="60"/>
      <c r="I199" s="60"/>
      <c r="J199" s="60"/>
      <c r="L199" s="45">
        <v>4003958</v>
      </c>
      <c r="M199" s="46" t="s">
        <v>1245</v>
      </c>
      <c r="N199" s="47">
        <f>SUMIF('LISTA TECNICA'!$I:$I,$L199,'LISTA TECNICA'!$P:$P)</f>
        <v>1200</v>
      </c>
      <c r="O199" s="49">
        <f>IFERROR(VLOOKUP($L199,'0805'!$A:$D,4,0),0)</f>
        <v>9009</v>
      </c>
      <c r="P199" s="49">
        <f>IFERROR(VLOOKUP($L199,'0806'!$A:$D,4,0),0)</f>
        <v>0</v>
      </c>
      <c r="Q199" s="59">
        <f t="shared" si="21"/>
        <v>9009</v>
      </c>
      <c r="R199" s="72">
        <f t="shared" si="22"/>
        <v>7809</v>
      </c>
      <c r="S199" s="69"/>
      <c r="T199" s="60"/>
      <c r="U199" s="60"/>
      <c r="V199" s="60"/>
      <c r="W199" s="60"/>
    </row>
    <row r="200" spans="1:23" ht="13.5" x14ac:dyDescent="0.25">
      <c r="A200" s="45">
        <v>3005678</v>
      </c>
      <c r="B200" s="46" t="s">
        <v>168</v>
      </c>
      <c r="C200" s="47">
        <f>SUMIF('LISTA TECNICA'!$I:$I,$A200,'LISTA TECNICA'!$P:$P)</f>
        <v>0</v>
      </c>
      <c r="D200" s="66">
        <f>IFERROR(VLOOKUP($A200,'0802'!$A:$D,4,0),0)</f>
        <v>22150</v>
      </c>
      <c r="E200" s="72">
        <f t="shared" si="20"/>
        <v>22150</v>
      </c>
      <c r="F200" s="69"/>
      <c r="G200" s="60"/>
      <c r="H200" s="60"/>
      <c r="I200" s="60"/>
      <c r="J200" s="60"/>
      <c r="L200" s="45">
        <v>4014908</v>
      </c>
      <c r="M200" s="46" t="s">
        <v>1250</v>
      </c>
      <c r="N200" s="47">
        <f>SUMIF('LISTA TECNICA'!$I:$I,$L200,'LISTA TECNICA'!$P:$P)</f>
        <v>0</v>
      </c>
      <c r="O200" s="49">
        <f>IFERROR(VLOOKUP($L200,'0805'!$A:$D,4,0),0)</f>
        <v>1497</v>
      </c>
      <c r="P200" s="49">
        <f>IFERROR(VLOOKUP($L200,'0806'!$A:$D,4,0),0)</f>
        <v>0</v>
      </c>
      <c r="Q200" s="59">
        <f t="shared" si="21"/>
        <v>1497</v>
      </c>
      <c r="R200" s="72">
        <f t="shared" si="22"/>
        <v>1497</v>
      </c>
      <c r="S200" s="69"/>
      <c r="T200" s="60"/>
      <c r="U200" s="60"/>
      <c r="V200" s="60"/>
      <c r="W200" s="60"/>
    </row>
    <row r="201" spans="1:23" ht="14.25" thickBot="1" x14ac:dyDescent="0.3">
      <c r="A201" s="78"/>
      <c r="B201" s="75"/>
      <c r="C201" s="76"/>
      <c r="D201" s="76"/>
      <c r="E201" s="77"/>
      <c r="F201" s="12"/>
      <c r="G201" s="12"/>
      <c r="H201" s="12"/>
      <c r="I201" s="12"/>
      <c r="J201" s="12"/>
      <c r="L201" s="45">
        <v>4014907</v>
      </c>
      <c r="M201" s="46" t="s">
        <v>1255</v>
      </c>
      <c r="N201" s="47">
        <f>SUMIF('LISTA TECNICA'!$I:$I,$L201,'LISTA TECNICA'!$P:$P)</f>
        <v>0</v>
      </c>
      <c r="O201" s="49">
        <f>IFERROR(VLOOKUP($L201,'0805'!$A:$D,4,0),0)</f>
        <v>946</v>
      </c>
      <c r="P201" s="49">
        <f>IFERROR(VLOOKUP($L201,'0806'!$A:$D,4,0),0)</f>
        <v>0</v>
      </c>
      <c r="Q201" s="59">
        <f t="shared" si="21"/>
        <v>946</v>
      </c>
      <c r="R201" s="72">
        <f t="shared" si="22"/>
        <v>946</v>
      </c>
      <c r="S201" s="69"/>
      <c r="T201" s="60"/>
      <c r="U201" s="60"/>
      <c r="V201" s="60"/>
      <c r="W201" s="60"/>
    </row>
    <row r="202" spans="1:23" ht="14.25" thickBot="1" x14ac:dyDescent="0.3">
      <c r="A202" s="86" t="s">
        <v>6086</v>
      </c>
      <c r="B202" s="87"/>
      <c r="C202" s="87"/>
      <c r="D202" s="87"/>
      <c r="E202" s="87"/>
      <c r="F202" s="87"/>
      <c r="G202" s="87"/>
      <c r="H202" s="87"/>
      <c r="I202" s="87"/>
      <c r="J202" s="88"/>
      <c r="L202" s="45">
        <v>4014909</v>
      </c>
      <c r="M202" s="46" t="s">
        <v>1260</v>
      </c>
      <c r="N202" s="47">
        <f>SUMIF('LISTA TECNICA'!$I:$I,$L202,'LISTA TECNICA'!$P:$P)</f>
        <v>0</v>
      </c>
      <c r="O202" s="49">
        <f>IFERROR(VLOOKUP($L202,'0805'!$A:$D,4,0),0)</f>
        <v>1636</v>
      </c>
      <c r="P202" s="49">
        <f>IFERROR(VLOOKUP($L202,'0806'!$A:$D,4,0),0)</f>
        <v>0</v>
      </c>
      <c r="Q202" s="59">
        <f t="shared" si="21"/>
        <v>1636</v>
      </c>
      <c r="R202" s="72">
        <f t="shared" si="22"/>
        <v>1636</v>
      </c>
      <c r="S202" s="69"/>
      <c r="T202" s="60"/>
      <c r="U202" s="60"/>
      <c r="V202" s="60"/>
      <c r="W202" s="60"/>
    </row>
    <row r="203" spans="1:23" ht="14.25" thickBot="1" x14ac:dyDescent="0.3">
      <c r="A203" s="53" t="s">
        <v>5</v>
      </c>
      <c r="B203" s="54" t="s">
        <v>2052</v>
      </c>
      <c r="C203" s="55" t="s">
        <v>2053</v>
      </c>
      <c r="D203" s="57">
        <v>802</v>
      </c>
      <c r="E203" s="70" t="s">
        <v>6069</v>
      </c>
      <c r="F203" s="67" t="s">
        <v>6072</v>
      </c>
      <c r="G203" s="63" t="s">
        <v>6073</v>
      </c>
      <c r="H203" s="63" t="s">
        <v>6136</v>
      </c>
      <c r="I203" s="63" t="s">
        <v>6076</v>
      </c>
      <c r="J203" s="64" t="s">
        <v>6074</v>
      </c>
      <c r="L203" s="45">
        <v>4002417</v>
      </c>
      <c r="M203" s="46" t="s">
        <v>132</v>
      </c>
      <c r="N203" s="47">
        <f>SUMIF('LISTA TECNICA'!$I:$I,$L203,'LISTA TECNICA'!$P:$P)</f>
        <v>1200</v>
      </c>
      <c r="O203" s="49">
        <f>IFERROR(VLOOKUP($L203,'0805'!$A:$D,4,0),0)</f>
        <v>0</v>
      </c>
      <c r="P203" s="49">
        <f>IFERROR(VLOOKUP($L203,'0806'!$A:$D,4,0),0)</f>
        <v>1618</v>
      </c>
      <c r="Q203" s="59">
        <f t="shared" si="21"/>
        <v>1618</v>
      </c>
      <c r="R203" s="72">
        <f t="shared" si="22"/>
        <v>418</v>
      </c>
      <c r="S203" s="69"/>
      <c r="T203" s="60"/>
      <c r="U203" s="60"/>
      <c r="V203" s="60"/>
      <c r="W203" s="60"/>
    </row>
    <row r="204" spans="1:23" ht="27" x14ac:dyDescent="0.25">
      <c r="A204" s="45">
        <v>3001910</v>
      </c>
      <c r="B204" s="46" t="s">
        <v>379</v>
      </c>
      <c r="C204" s="47">
        <f>SUMIF('LISTA TECNICA'!$I:$I,$A204,'LISTA TECNICA'!$P:$P)</f>
        <v>3612</v>
      </c>
      <c r="D204" s="66">
        <f>IFERROR(VLOOKUP($A204,'0802'!$A:$D,4,0),0)</f>
        <v>0</v>
      </c>
      <c r="E204" s="72">
        <f t="shared" ref="E204:E243" si="23">D204-C204</f>
        <v>-3612</v>
      </c>
      <c r="F204" s="69"/>
      <c r="G204" s="81" t="s">
        <v>6150</v>
      </c>
      <c r="H204" s="81" t="s">
        <v>6151</v>
      </c>
      <c r="I204" s="81" t="s">
        <v>6152</v>
      </c>
      <c r="J204" s="60"/>
      <c r="L204" s="45">
        <v>4002418</v>
      </c>
      <c r="M204" s="46" t="s">
        <v>136</v>
      </c>
      <c r="N204" s="47">
        <f>SUMIF('LISTA TECNICA'!$I:$I,$L204,'LISTA TECNICA'!$P:$P)</f>
        <v>0</v>
      </c>
      <c r="O204" s="49">
        <f>IFERROR(VLOOKUP($L204,'0805'!$A:$D,4,0),0)</f>
        <v>27036</v>
      </c>
      <c r="P204" s="49">
        <f>IFERROR(VLOOKUP($L204,'0806'!$A:$D,4,0),0)</f>
        <v>3980</v>
      </c>
      <c r="Q204" s="59">
        <f t="shared" si="21"/>
        <v>31016</v>
      </c>
      <c r="R204" s="72">
        <f t="shared" si="22"/>
        <v>31016</v>
      </c>
      <c r="S204" s="69"/>
      <c r="T204" s="60"/>
      <c r="U204" s="60"/>
      <c r="V204" s="60"/>
      <c r="W204" s="60"/>
    </row>
    <row r="205" spans="1:23" ht="13.5" x14ac:dyDescent="0.25">
      <c r="A205" s="45">
        <v>3003830</v>
      </c>
      <c r="B205" s="46" t="s">
        <v>1370</v>
      </c>
      <c r="C205" s="47">
        <f>SUMIF('LISTA TECNICA'!$I:$I,$A205,'LISTA TECNICA'!$P:$P)</f>
        <v>0</v>
      </c>
      <c r="D205" s="66">
        <f>IFERROR(VLOOKUP($A205,'0802'!$A:$D,4,0),0)</f>
        <v>434</v>
      </c>
      <c r="E205" s="72">
        <f t="shared" si="23"/>
        <v>434</v>
      </c>
      <c r="F205" s="69"/>
      <c r="G205" s="60"/>
      <c r="H205" s="60"/>
      <c r="I205" s="60"/>
      <c r="J205" s="60"/>
      <c r="L205" s="45">
        <v>4002433</v>
      </c>
      <c r="M205" s="46" t="s">
        <v>160</v>
      </c>
      <c r="N205" s="47">
        <f>SUMIF('LISTA TECNICA'!$I:$I,$L205,'LISTA TECNICA'!$P:$P)</f>
        <v>1200</v>
      </c>
      <c r="O205" s="49">
        <f>IFERROR(VLOOKUP($L205,'0805'!$A:$D,4,0),0)</f>
        <v>6182</v>
      </c>
      <c r="P205" s="49">
        <f>IFERROR(VLOOKUP($L205,'0806'!$A:$D,4,0),0)</f>
        <v>257</v>
      </c>
      <c r="Q205" s="59">
        <f t="shared" si="21"/>
        <v>6439</v>
      </c>
      <c r="R205" s="72">
        <f t="shared" si="22"/>
        <v>5239</v>
      </c>
      <c r="S205" s="69"/>
      <c r="T205" s="60"/>
      <c r="U205" s="60"/>
      <c r="V205" s="60"/>
      <c r="W205" s="60"/>
    </row>
    <row r="206" spans="1:23" ht="13.5" x14ac:dyDescent="0.25">
      <c r="A206" s="45">
        <v>3001643</v>
      </c>
      <c r="B206" s="46" t="s">
        <v>378</v>
      </c>
      <c r="C206" s="47">
        <f>SUMIF('LISTA TECNICA'!$I:$I,$A206,'LISTA TECNICA'!$P:$P)</f>
        <v>3612</v>
      </c>
      <c r="D206" s="66">
        <f>IFERROR(VLOOKUP($A206,'0802'!$A:$D,4,0),0)</f>
        <v>3113</v>
      </c>
      <c r="E206" s="72">
        <f t="shared" si="23"/>
        <v>-499</v>
      </c>
      <c r="F206" s="69"/>
      <c r="G206" s="60" t="s">
        <v>6153</v>
      </c>
      <c r="H206" s="82">
        <v>50000</v>
      </c>
      <c r="I206" s="60" t="s">
        <v>6154</v>
      </c>
      <c r="J206" s="60"/>
      <c r="L206" s="45">
        <v>4002436</v>
      </c>
      <c r="M206" s="46" t="s">
        <v>174</v>
      </c>
      <c r="N206" s="47">
        <f>SUMIF('LISTA TECNICA'!$I:$I,$L206,'LISTA TECNICA'!$P:$P)</f>
        <v>3000</v>
      </c>
      <c r="O206" s="49">
        <f>IFERROR(VLOOKUP($L206,'0805'!$A:$D,4,0),0)</f>
        <v>7371</v>
      </c>
      <c r="P206" s="49">
        <f>IFERROR(VLOOKUP($L206,'0806'!$A:$D,4,0),0)</f>
        <v>4841</v>
      </c>
      <c r="Q206" s="59">
        <f t="shared" si="21"/>
        <v>12212</v>
      </c>
      <c r="R206" s="72">
        <f t="shared" si="22"/>
        <v>9212</v>
      </c>
      <c r="S206" s="69"/>
      <c r="T206" s="60"/>
      <c r="U206" s="60"/>
      <c r="V206" s="60"/>
      <c r="W206" s="60"/>
    </row>
    <row r="207" spans="1:23" ht="13.5" x14ac:dyDescent="0.25">
      <c r="A207" s="45">
        <v>3000086</v>
      </c>
      <c r="B207" s="46" t="s">
        <v>1434</v>
      </c>
      <c r="C207" s="47">
        <f>SUMIF('LISTA TECNICA'!$I:$I,$A207,'LISTA TECNICA'!$P:$P)</f>
        <v>360</v>
      </c>
      <c r="D207" s="66">
        <f>IFERROR(VLOOKUP($A207,'0802'!$A:$D,4,0),0)</f>
        <v>0</v>
      </c>
      <c r="E207" s="72">
        <f t="shared" si="23"/>
        <v>-360</v>
      </c>
      <c r="F207" s="69"/>
      <c r="G207" s="60"/>
      <c r="H207" s="60"/>
      <c r="I207" s="60"/>
      <c r="J207" s="60"/>
      <c r="L207" s="45">
        <v>4002441</v>
      </c>
      <c r="M207" s="46" t="s">
        <v>635</v>
      </c>
      <c r="N207" s="47">
        <f>SUMIF('LISTA TECNICA'!$I:$I,$L207,'LISTA TECNICA'!$P:$P)</f>
        <v>13200</v>
      </c>
      <c r="O207" s="49">
        <f>IFERROR(VLOOKUP($L207,'0805'!$A:$D,4,0),0)</f>
        <v>0</v>
      </c>
      <c r="P207" s="49">
        <f>IFERROR(VLOOKUP($L207,'0806'!$A:$D,4,0),0)</f>
        <v>24953</v>
      </c>
      <c r="Q207" s="59">
        <f t="shared" si="21"/>
        <v>24953</v>
      </c>
      <c r="R207" s="72">
        <f t="shared" si="22"/>
        <v>11753</v>
      </c>
      <c r="S207" s="69"/>
      <c r="T207" s="60"/>
      <c r="U207" s="60"/>
      <c r="V207" s="60"/>
      <c r="W207" s="60"/>
    </row>
    <row r="208" spans="1:23" ht="13.5" x14ac:dyDescent="0.25">
      <c r="A208" s="45">
        <v>3001360</v>
      </c>
      <c r="B208" s="46" t="s">
        <v>82</v>
      </c>
      <c r="C208" s="47">
        <f>SUMIF('LISTA TECNICA'!$I:$I,$A208,'LISTA TECNICA'!$P:$P)</f>
        <v>326</v>
      </c>
      <c r="D208" s="66">
        <f>IFERROR(VLOOKUP($A208,'0802'!$A:$D,4,0),0)</f>
        <v>0</v>
      </c>
      <c r="E208" s="72">
        <f t="shared" si="23"/>
        <v>-326</v>
      </c>
      <c r="F208" s="69"/>
      <c r="G208" s="60" t="s">
        <v>6155</v>
      </c>
      <c r="H208" s="60">
        <v>1</v>
      </c>
      <c r="I208" s="60" t="s">
        <v>6156</v>
      </c>
      <c r="J208" s="60"/>
      <c r="L208" s="45">
        <v>4014892</v>
      </c>
      <c r="M208" s="46" t="s">
        <v>1380</v>
      </c>
      <c r="N208" s="47">
        <f>SUMIF('LISTA TECNICA'!$I:$I,$L208,'LISTA TECNICA'!$P:$P)</f>
        <v>0</v>
      </c>
      <c r="O208" s="49">
        <f>IFERROR(VLOOKUP($L208,'0805'!$A:$D,4,0),0)</f>
        <v>14288</v>
      </c>
      <c r="P208" s="49">
        <f>IFERROR(VLOOKUP($L208,'0806'!$A:$D,4,0),0)</f>
        <v>0</v>
      </c>
      <c r="Q208" s="59">
        <f t="shared" si="21"/>
        <v>14288</v>
      </c>
      <c r="R208" s="72">
        <f t="shared" si="22"/>
        <v>14288</v>
      </c>
      <c r="S208" s="69"/>
      <c r="T208" s="60"/>
      <c r="U208" s="60"/>
      <c r="V208" s="60"/>
      <c r="W208" s="60"/>
    </row>
    <row r="209" spans="1:23" ht="13.5" x14ac:dyDescent="0.25">
      <c r="A209" s="45">
        <v>14000760</v>
      </c>
      <c r="B209" s="46" t="s">
        <v>370</v>
      </c>
      <c r="C209" s="47">
        <f>SUMIF('LISTA TECNICA'!$I:$I,$A209,'LISTA TECNICA'!$P:$P)</f>
        <v>10374</v>
      </c>
      <c r="D209" s="66">
        <f>IFERROR(VLOOKUP($A209,'0802'!$A:$D,4,0),0)</f>
        <v>36813</v>
      </c>
      <c r="E209" s="72">
        <f t="shared" si="23"/>
        <v>26439</v>
      </c>
      <c r="F209" s="69"/>
      <c r="G209" s="60"/>
      <c r="H209" s="60"/>
      <c r="I209" s="60"/>
      <c r="J209" s="60"/>
      <c r="L209" s="45">
        <v>4014880</v>
      </c>
      <c r="M209" s="46" t="s">
        <v>1385</v>
      </c>
      <c r="N209" s="47">
        <f>SUMIF('LISTA TECNICA'!$I:$I,$L209,'LISTA TECNICA'!$P:$P)</f>
        <v>0</v>
      </c>
      <c r="O209" s="49">
        <f>IFERROR(VLOOKUP($L209,'0805'!$A:$D,4,0),0)</f>
        <v>12679</v>
      </c>
      <c r="P209" s="49">
        <f>IFERROR(VLOOKUP($L209,'0806'!$A:$D,4,0),0)</f>
        <v>0</v>
      </c>
      <c r="Q209" s="59">
        <f t="shared" si="21"/>
        <v>12679</v>
      </c>
      <c r="R209" s="72">
        <f t="shared" si="22"/>
        <v>12679</v>
      </c>
      <c r="S209" s="69"/>
      <c r="T209" s="60"/>
      <c r="U209" s="60"/>
      <c r="V209" s="60"/>
      <c r="W209" s="60"/>
    </row>
    <row r="210" spans="1:23" ht="13.5" x14ac:dyDescent="0.25">
      <c r="A210" s="45">
        <v>3003181</v>
      </c>
      <c r="B210" s="46" t="s">
        <v>1139</v>
      </c>
      <c r="C210" s="47">
        <f>SUMIF('LISTA TECNICA'!$I:$I,$A210,'LISTA TECNICA'!$P:$P)</f>
        <v>0</v>
      </c>
      <c r="D210" s="66">
        <f>IFERROR(VLOOKUP($A210,'0802'!$A:$D,4,0),0)</f>
        <v>0</v>
      </c>
      <c r="E210" s="72">
        <f t="shared" si="23"/>
        <v>0</v>
      </c>
      <c r="F210" s="69"/>
      <c r="G210" s="60"/>
      <c r="H210" s="60"/>
      <c r="I210" s="60"/>
      <c r="J210" s="60"/>
      <c r="L210" s="45">
        <v>4014894</v>
      </c>
      <c r="M210" s="46" t="s">
        <v>1390</v>
      </c>
      <c r="N210" s="47">
        <f>SUMIF('LISTA TECNICA'!$I:$I,$L210,'LISTA TECNICA'!$P:$P)</f>
        <v>0</v>
      </c>
      <c r="O210" s="49">
        <f>IFERROR(VLOOKUP($L210,'0805'!$A:$D,4,0),0)</f>
        <v>21599</v>
      </c>
      <c r="P210" s="49">
        <f>IFERROR(VLOOKUP($L210,'0806'!$A:$D,4,0),0)</f>
        <v>0</v>
      </c>
      <c r="Q210" s="59">
        <f t="shared" si="21"/>
        <v>21599</v>
      </c>
      <c r="R210" s="72">
        <f t="shared" si="22"/>
        <v>21599</v>
      </c>
      <c r="S210" s="69"/>
      <c r="T210" s="60"/>
      <c r="U210" s="60"/>
      <c r="V210" s="60"/>
      <c r="W210" s="60"/>
    </row>
    <row r="211" spans="1:23" ht="27" x14ac:dyDescent="0.25">
      <c r="A211" s="45">
        <v>3003831</v>
      </c>
      <c r="B211" s="46" t="s">
        <v>1375</v>
      </c>
      <c r="C211" s="47">
        <f>SUMIF('LISTA TECNICA'!$I:$I,$A211,'LISTA TECNICA'!$P:$P)</f>
        <v>0</v>
      </c>
      <c r="D211" s="66">
        <f>IFERROR(VLOOKUP($A211,'0802'!$A:$D,4,0),0)</f>
        <v>0</v>
      </c>
      <c r="E211" s="72">
        <f t="shared" si="23"/>
        <v>0</v>
      </c>
      <c r="F211" s="69"/>
      <c r="G211" s="81" t="s">
        <v>6157</v>
      </c>
      <c r="H211" s="81" t="s">
        <v>6158</v>
      </c>
      <c r="I211" s="81" t="s">
        <v>6159</v>
      </c>
      <c r="J211" s="60"/>
      <c r="L211" s="45">
        <v>4014893</v>
      </c>
      <c r="M211" s="46" t="s">
        <v>1395</v>
      </c>
      <c r="N211" s="47">
        <f>SUMIF('LISTA TECNICA'!$I:$I,$L211,'LISTA TECNICA'!$P:$P)</f>
        <v>0</v>
      </c>
      <c r="O211" s="49">
        <f>IFERROR(VLOOKUP($L211,'0805'!$A:$D,4,0),0)</f>
        <v>11754</v>
      </c>
      <c r="P211" s="49">
        <f>IFERROR(VLOOKUP($L211,'0806'!$A:$D,4,0),0)</f>
        <v>0</v>
      </c>
      <c r="Q211" s="59">
        <f t="shared" si="21"/>
        <v>11754</v>
      </c>
      <c r="R211" s="72">
        <f t="shared" si="22"/>
        <v>11754</v>
      </c>
      <c r="S211" s="69"/>
      <c r="T211" s="60"/>
      <c r="U211" s="60"/>
      <c r="V211" s="60"/>
      <c r="W211" s="60"/>
    </row>
    <row r="212" spans="1:23" ht="13.5" x14ac:dyDescent="0.25">
      <c r="A212" s="45">
        <v>3005991</v>
      </c>
      <c r="B212" s="46" t="s">
        <v>1428</v>
      </c>
      <c r="C212" s="47">
        <f>SUMIF('LISTA TECNICA'!$I:$I,$A212,'LISTA TECNICA'!$P:$P)</f>
        <v>12</v>
      </c>
      <c r="D212" s="66">
        <f>IFERROR(VLOOKUP($A212,'0802'!$A:$D,4,0),0)</f>
        <v>301</v>
      </c>
      <c r="E212" s="72">
        <f t="shared" si="23"/>
        <v>289</v>
      </c>
      <c r="F212" s="69"/>
      <c r="G212" s="60"/>
      <c r="H212" s="60"/>
      <c r="I212" s="60"/>
      <c r="J212" s="60"/>
      <c r="L212" s="45">
        <v>4002443</v>
      </c>
      <c r="M212" s="46" t="s">
        <v>641</v>
      </c>
      <c r="N212" s="47">
        <f>SUMIF('LISTA TECNICA'!$I:$I,$L212,'LISTA TECNICA'!$P:$P)</f>
        <v>1200</v>
      </c>
      <c r="O212" s="49">
        <f>IFERROR(VLOOKUP($L212,'0805'!$A:$D,4,0),0)</f>
        <v>225</v>
      </c>
      <c r="P212" s="49">
        <f>IFERROR(VLOOKUP($L212,'0806'!$A:$D,4,0),0)</f>
        <v>2178</v>
      </c>
      <c r="Q212" s="59">
        <f t="shared" si="21"/>
        <v>2403</v>
      </c>
      <c r="R212" s="72">
        <f t="shared" si="22"/>
        <v>1203</v>
      </c>
      <c r="S212" s="69"/>
      <c r="T212" s="60"/>
      <c r="U212" s="60"/>
      <c r="V212" s="60"/>
      <c r="W212" s="60"/>
    </row>
    <row r="213" spans="1:23" ht="13.5" x14ac:dyDescent="0.25">
      <c r="A213" s="45">
        <v>3005992</v>
      </c>
      <c r="B213" s="46" t="s">
        <v>1431</v>
      </c>
      <c r="C213" s="47">
        <f>SUMIF('LISTA TECNICA'!$I:$I,$A213,'LISTA TECNICA'!$P:$P)</f>
        <v>36</v>
      </c>
      <c r="D213" s="66">
        <f>IFERROR(VLOOKUP($A213,'0802'!$A:$D,4,0),0)</f>
        <v>297</v>
      </c>
      <c r="E213" s="72">
        <f t="shared" si="23"/>
        <v>261</v>
      </c>
      <c r="F213" s="69"/>
      <c r="G213" s="60"/>
      <c r="H213" s="60"/>
      <c r="I213" s="60"/>
      <c r="J213" s="60"/>
      <c r="L213" s="45">
        <v>4002449</v>
      </c>
      <c r="M213" s="46" t="s">
        <v>190</v>
      </c>
      <c r="N213" s="47">
        <f>SUMIF('LISTA TECNICA'!$I:$I,$L213,'LISTA TECNICA'!$P:$P)</f>
        <v>14400</v>
      </c>
      <c r="O213" s="49">
        <f>IFERROR(VLOOKUP($L213,'0805'!$A:$D,4,0),0)</f>
        <v>0</v>
      </c>
      <c r="P213" s="49">
        <f>IFERROR(VLOOKUP($L213,'0806'!$A:$D,4,0),0)</f>
        <v>14447</v>
      </c>
      <c r="Q213" s="59">
        <f t="shared" si="21"/>
        <v>14447</v>
      </c>
      <c r="R213" s="72">
        <f t="shared" si="22"/>
        <v>47</v>
      </c>
      <c r="S213" s="69"/>
      <c r="T213" s="60"/>
      <c r="U213" s="60"/>
      <c r="V213" s="60"/>
      <c r="W213" s="60"/>
    </row>
    <row r="214" spans="1:23" ht="13.5" x14ac:dyDescent="0.25">
      <c r="A214" s="45">
        <v>3005990</v>
      </c>
      <c r="B214" s="46" t="s">
        <v>1498</v>
      </c>
      <c r="C214" s="47">
        <f>SUMIF('LISTA TECNICA'!$I:$I,$A214,'LISTA TECNICA'!$P:$P)</f>
        <v>24</v>
      </c>
      <c r="D214" s="66">
        <f>IFERROR(VLOOKUP($A214,'0802'!$A:$D,4,0),0)</f>
        <v>345</v>
      </c>
      <c r="E214" s="72">
        <f t="shared" si="23"/>
        <v>321</v>
      </c>
      <c r="F214" s="69"/>
      <c r="G214" s="60"/>
      <c r="H214" s="60"/>
      <c r="I214" s="60"/>
      <c r="J214" s="60"/>
      <c r="L214" s="45">
        <v>4014896</v>
      </c>
      <c r="M214" s="46" t="s">
        <v>1400</v>
      </c>
      <c r="N214" s="47">
        <f>SUMIF('LISTA TECNICA'!$I:$I,$L214,'LISTA TECNICA'!$P:$P)</f>
        <v>0</v>
      </c>
      <c r="O214" s="49">
        <f>IFERROR(VLOOKUP($L214,'0805'!$A:$D,4,0),0)</f>
        <v>0</v>
      </c>
      <c r="P214" s="49">
        <f>IFERROR(VLOOKUP($L214,'0806'!$A:$D,4,0),0)</f>
        <v>0</v>
      </c>
      <c r="Q214" s="59">
        <f t="shared" si="21"/>
        <v>0</v>
      </c>
      <c r="R214" s="72">
        <f t="shared" si="22"/>
        <v>0</v>
      </c>
      <c r="S214" s="69"/>
      <c r="T214" s="60"/>
      <c r="U214" s="60"/>
      <c r="V214" s="60"/>
      <c r="W214" s="60"/>
    </row>
    <row r="215" spans="1:23" ht="13.5" x14ac:dyDescent="0.25">
      <c r="A215" s="45">
        <v>3001960</v>
      </c>
      <c r="B215" s="46" t="s">
        <v>1462</v>
      </c>
      <c r="C215" s="47">
        <f>SUMIF('LISTA TECNICA'!$I:$I,$A215,'LISTA TECNICA'!$P:$P)</f>
        <v>0</v>
      </c>
      <c r="D215" s="66">
        <f>IFERROR(VLOOKUP($A215,'0802'!$A:$D,4,0),0)</f>
        <v>430</v>
      </c>
      <c r="E215" s="72">
        <f t="shared" si="23"/>
        <v>430</v>
      </c>
      <c r="F215" s="69"/>
      <c r="G215" s="60"/>
      <c r="H215" s="60"/>
      <c r="I215" s="60"/>
      <c r="J215" s="60"/>
      <c r="L215" s="45">
        <v>4014895</v>
      </c>
      <c r="M215" s="46" t="s">
        <v>1405</v>
      </c>
      <c r="N215" s="47">
        <f>SUMIF('LISTA TECNICA'!$I:$I,$L215,'LISTA TECNICA'!$P:$P)</f>
        <v>0</v>
      </c>
      <c r="O215" s="49">
        <f>IFERROR(VLOOKUP($L215,'0805'!$A:$D,4,0),0)</f>
        <v>3436</v>
      </c>
      <c r="P215" s="49">
        <f>IFERROR(VLOOKUP($L215,'0806'!$A:$D,4,0),0)</f>
        <v>0</v>
      </c>
      <c r="Q215" s="59">
        <f t="shared" si="21"/>
        <v>3436</v>
      </c>
      <c r="R215" s="72">
        <f t="shared" si="22"/>
        <v>3436</v>
      </c>
      <c r="S215" s="69"/>
      <c r="T215" s="60"/>
      <c r="U215" s="60"/>
      <c r="V215" s="60"/>
      <c r="W215" s="60"/>
    </row>
    <row r="216" spans="1:23" ht="13.5" x14ac:dyDescent="0.25">
      <c r="A216" s="45">
        <v>3001733</v>
      </c>
      <c r="B216" s="46" t="s">
        <v>1467</v>
      </c>
      <c r="C216" s="80">
        <f>SUMIF('LISTA TECNICA'!$I:$I,$A216,'LISTA TECNICA'!$P:$P)</f>
        <v>0</v>
      </c>
      <c r="D216" s="59">
        <f>IFERROR(VLOOKUP($A216,'0802'!$A:$D,4,0),0)</f>
        <v>123</v>
      </c>
      <c r="E216" s="72">
        <f t="shared" si="23"/>
        <v>123</v>
      </c>
      <c r="F216" s="69"/>
      <c r="G216" s="60"/>
      <c r="H216" s="60"/>
      <c r="I216" s="60"/>
      <c r="J216" s="60"/>
      <c r="L216" s="45">
        <v>4014898</v>
      </c>
      <c r="M216" s="46" t="s">
        <v>1410</v>
      </c>
      <c r="N216" s="47">
        <f>SUMIF('LISTA TECNICA'!$I:$I,$L216,'LISTA TECNICA'!$P:$P)</f>
        <v>0</v>
      </c>
      <c r="O216" s="49">
        <f>IFERROR(VLOOKUP($L216,'0805'!$A:$D,4,0),0)</f>
        <v>4904</v>
      </c>
      <c r="P216" s="49">
        <f>IFERROR(VLOOKUP($L216,'0806'!$A:$D,4,0),0)</f>
        <v>0</v>
      </c>
      <c r="Q216" s="59">
        <f t="shared" si="21"/>
        <v>4904</v>
      </c>
      <c r="R216" s="72">
        <f t="shared" si="22"/>
        <v>4904</v>
      </c>
      <c r="S216" s="69"/>
      <c r="T216" s="60"/>
      <c r="U216" s="60"/>
      <c r="V216" s="60"/>
      <c r="W216" s="60"/>
    </row>
    <row r="217" spans="1:23" ht="13.5" x14ac:dyDescent="0.25">
      <c r="A217" s="45">
        <v>3001732</v>
      </c>
      <c r="B217" s="46" t="s">
        <v>1470</v>
      </c>
      <c r="C217" s="80">
        <f>SUMIF('LISTA TECNICA'!$I:$I,$A217,'LISTA TECNICA'!$P:$P)</f>
        <v>0</v>
      </c>
      <c r="D217" s="59">
        <f>IFERROR(VLOOKUP($A217,'0802'!$A:$D,4,0),0)</f>
        <v>113</v>
      </c>
      <c r="E217" s="72">
        <f t="shared" si="23"/>
        <v>113</v>
      </c>
      <c r="F217" s="69" t="s">
        <v>6160</v>
      </c>
      <c r="G217" s="60"/>
      <c r="H217" s="60">
        <v>30</v>
      </c>
      <c r="I217" s="60" t="s">
        <v>6161</v>
      </c>
      <c r="J217" s="60"/>
      <c r="L217" s="45">
        <v>4014897</v>
      </c>
      <c r="M217" s="46" t="s">
        <v>1415</v>
      </c>
      <c r="N217" s="47">
        <f>SUMIF('LISTA TECNICA'!$I:$I,$L217,'LISTA TECNICA'!$P:$P)</f>
        <v>0</v>
      </c>
      <c r="O217" s="49">
        <f>IFERROR(VLOOKUP($L217,'0805'!$A:$D,4,0),0)</f>
        <v>6774</v>
      </c>
      <c r="P217" s="49">
        <f>IFERROR(VLOOKUP($L217,'0806'!$A:$D,4,0),0)</f>
        <v>0</v>
      </c>
      <c r="Q217" s="59">
        <f t="shared" si="21"/>
        <v>6774</v>
      </c>
      <c r="R217" s="72">
        <f t="shared" si="22"/>
        <v>6774</v>
      </c>
      <c r="S217" s="69"/>
      <c r="T217" s="60"/>
      <c r="U217" s="60"/>
      <c r="V217" s="60"/>
      <c r="W217" s="60"/>
    </row>
    <row r="218" spans="1:23" ht="13.5" x14ac:dyDescent="0.25">
      <c r="A218" s="45">
        <v>3005988</v>
      </c>
      <c r="B218" s="46" t="s">
        <v>1473</v>
      </c>
      <c r="C218" s="80">
        <f>SUMIF('LISTA TECNICA'!$I:$I,$A218,'LISTA TECNICA'!$P:$P)</f>
        <v>0</v>
      </c>
      <c r="D218" s="59">
        <f>IFERROR(VLOOKUP($A218,'0802'!$A:$D,4,0),0)</f>
        <v>0</v>
      </c>
      <c r="E218" s="72">
        <f t="shared" si="23"/>
        <v>0</v>
      </c>
      <c r="F218" s="69" t="s">
        <v>6162</v>
      </c>
      <c r="G218" s="60"/>
      <c r="H218" s="60">
        <v>150</v>
      </c>
      <c r="I218" s="60" t="s">
        <v>6163</v>
      </c>
      <c r="J218" s="60"/>
      <c r="L218" s="45">
        <v>4002450</v>
      </c>
      <c r="M218" s="46" t="s">
        <v>198</v>
      </c>
      <c r="N218" s="47">
        <f>SUMIF('LISTA TECNICA'!$I:$I,$L218,'LISTA TECNICA'!$P:$P)</f>
        <v>0</v>
      </c>
      <c r="O218" s="49">
        <f>IFERROR(VLOOKUP($L218,'0805'!$A:$D,4,0),0)</f>
        <v>0</v>
      </c>
      <c r="P218" s="49">
        <f>IFERROR(VLOOKUP($L218,'0806'!$A:$D,4,0),0)</f>
        <v>1276</v>
      </c>
      <c r="Q218" s="59">
        <f t="shared" si="21"/>
        <v>1276</v>
      </c>
      <c r="R218" s="72">
        <f t="shared" si="22"/>
        <v>1276</v>
      </c>
      <c r="S218" s="69"/>
      <c r="T218" s="60"/>
      <c r="U218" s="60"/>
      <c r="V218" s="60"/>
      <c r="W218" s="60"/>
    </row>
    <row r="219" spans="1:23" ht="13.5" x14ac:dyDescent="0.25">
      <c r="A219" s="45">
        <v>3005989</v>
      </c>
      <c r="B219" s="46" t="s">
        <v>1477</v>
      </c>
      <c r="C219" s="80">
        <f>SUMIF('LISTA TECNICA'!$I:$I,$A219,'LISTA TECNICA'!$P:$P)</f>
        <v>0</v>
      </c>
      <c r="D219" s="59">
        <f>IFERROR(VLOOKUP($A219,'0802'!$A:$D,4,0),0)</f>
        <v>0</v>
      </c>
      <c r="E219" s="72">
        <f t="shared" si="23"/>
        <v>0</v>
      </c>
      <c r="F219" s="69" t="s">
        <v>6164</v>
      </c>
      <c r="G219" s="60"/>
      <c r="H219" s="60">
        <v>150</v>
      </c>
      <c r="I219" s="60" t="s">
        <v>6163</v>
      </c>
      <c r="J219" s="60"/>
      <c r="L219" s="45">
        <v>4003059</v>
      </c>
      <c r="M219" s="46" t="s">
        <v>225</v>
      </c>
      <c r="N219" s="47">
        <f>SUMIF('LISTA TECNICA'!$I:$I,$L219,'LISTA TECNICA'!$P:$P)</f>
        <v>2500</v>
      </c>
      <c r="O219" s="49">
        <f>IFERROR(VLOOKUP($L219,'0805'!$A:$D,4,0),0)</f>
        <v>13000</v>
      </c>
      <c r="P219" s="49">
        <f>IFERROR(VLOOKUP($L219,'0806'!$A:$D,4,0),0)</f>
        <v>2697</v>
      </c>
      <c r="Q219" s="59">
        <f t="shared" si="21"/>
        <v>15697</v>
      </c>
      <c r="R219" s="72">
        <f t="shared" si="22"/>
        <v>13197</v>
      </c>
      <c r="S219" s="69"/>
      <c r="T219" s="60"/>
      <c r="U219" s="60"/>
      <c r="V219" s="60"/>
      <c r="W219" s="60"/>
    </row>
    <row r="220" spans="1:23" ht="13.5" x14ac:dyDescent="0.25">
      <c r="A220" s="45">
        <v>3005981</v>
      </c>
      <c r="B220" s="46" t="s">
        <v>1483</v>
      </c>
      <c r="C220" s="80">
        <f>SUMIF('LISTA TECNICA'!$I:$I,$A220,'LISTA TECNICA'!$P:$P)</f>
        <v>4</v>
      </c>
      <c r="D220" s="59">
        <f>IFERROR(VLOOKUP($A220,'0802'!$A:$D,4,0),0)</f>
        <v>4</v>
      </c>
      <c r="E220" s="72">
        <f t="shared" si="23"/>
        <v>0</v>
      </c>
      <c r="F220" s="69" t="s">
        <v>6165</v>
      </c>
      <c r="G220" s="60"/>
      <c r="H220" s="60">
        <v>150</v>
      </c>
      <c r="I220" s="60" t="s">
        <v>6163</v>
      </c>
      <c r="J220" s="60"/>
      <c r="L220" s="45">
        <v>4002463</v>
      </c>
      <c r="M220" s="46" t="s">
        <v>693</v>
      </c>
      <c r="N220" s="47">
        <f>SUMIF('LISTA TECNICA'!$I:$I,$L220,'LISTA TECNICA'!$P:$P)</f>
        <v>45600</v>
      </c>
      <c r="O220" s="49">
        <f>IFERROR(VLOOKUP($L220,'0805'!$A:$D,4,0),0)</f>
        <v>10915</v>
      </c>
      <c r="P220" s="49">
        <f>IFERROR(VLOOKUP($L220,'0806'!$A:$D,4,0),0)</f>
        <v>10455</v>
      </c>
      <c r="Q220" s="59">
        <f t="shared" si="21"/>
        <v>21370</v>
      </c>
      <c r="R220" s="72">
        <f t="shared" si="22"/>
        <v>-24230</v>
      </c>
      <c r="S220" s="69"/>
      <c r="T220" s="60" t="s">
        <v>6253</v>
      </c>
      <c r="U220" s="60">
        <v>4000</v>
      </c>
      <c r="V220" s="60" t="s">
        <v>6104</v>
      </c>
      <c r="W220" s="60"/>
    </row>
    <row r="221" spans="1:23" ht="13.5" x14ac:dyDescent="0.25">
      <c r="A221" s="45">
        <v>3005982</v>
      </c>
      <c r="B221" s="46" t="s">
        <v>1486</v>
      </c>
      <c r="C221" s="80">
        <f>SUMIF('LISTA TECNICA'!$I:$I,$A221,'LISTA TECNICA'!$P:$P)</f>
        <v>0</v>
      </c>
      <c r="D221" s="59">
        <f>IFERROR(VLOOKUP($A221,'0802'!$A:$D,4,0),0)</f>
        <v>0</v>
      </c>
      <c r="E221" s="72">
        <f t="shared" si="23"/>
        <v>0</v>
      </c>
      <c r="F221" s="69" t="s">
        <v>6166</v>
      </c>
      <c r="G221" s="60"/>
      <c r="H221" s="60">
        <v>150</v>
      </c>
      <c r="I221" s="60" t="s">
        <v>6163</v>
      </c>
      <c r="J221" s="60"/>
      <c r="L221" s="45">
        <v>4002467</v>
      </c>
      <c r="M221" s="46" t="s">
        <v>316</v>
      </c>
      <c r="N221" s="47">
        <f>SUMIF('LISTA TECNICA'!$I:$I,$L221,'LISTA TECNICA'!$P:$P)</f>
        <v>0</v>
      </c>
      <c r="O221" s="49">
        <f>IFERROR(VLOOKUP($L221,'0805'!$A:$D,4,0),0)</f>
        <v>11365</v>
      </c>
      <c r="P221" s="49">
        <f>IFERROR(VLOOKUP($L221,'0806'!$A:$D,4,0),0)</f>
        <v>2060</v>
      </c>
      <c r="Q221" s="59">
        <f t="shared" si="21"/>
        <v>13425</v>
      </c>
      <c r="R221" s="72">
        <f t="shared" si="22"/>
        <v>13425</v>
      </c>
      <c r="S221" s="69"/>
      <c r="T221" s="60"/>
      <c r="U221" s="60"/>
      <c r="V221" s="60"/>
      <c r="W221" s="60"/>
    </row>
    <row r="222" spans="1:23" ht="13.5" x14ac:dyDescent="0.25">
      <c r="A222" s="45">
        <v>3005983</v>
      </c>
      <c r="B222" s="46" t="s">
        <v>1489</v>
      </c>
      <c r="C222" s="80">
        <f>SUMIF('LISTA TECNICA'!$I:$I,$A222,'LISTA TECNICA'!$P:$P)</f>
        <v>0</v>
      </c>
      <c r="D222" s="59">
        <f>IFERROR(VLOOKUP($A222,'0802'!$A:$D,4,0),0)</f>
        <v>0</v>
      </c>
      <c r="E222" s="72">
        <f t="shared" si="23"/>
        <v>0</v>
      </c>
      <c r="F222" s="69" t="s">
        <v>6167</v>
      </c>
      <c r="G222" s="60"/>
      <c r="H222" s="60">
        <v>150</v>
      </c>
      <c r="I222" s="60" t="s">
        <v>6163</v>
      </c>
      <c r="J222" s="60"/>
      <c r="L222" s="45">
        <v>4002468</v>
      </c>
      <c r="M222" s="46" t="s">
        <v>321</v>
      </c>
      <c r="N222" s="47">
        <f>SUMIF('LISTA TECNICA'!$I:$I,$L222,'LISTA TECNICA'!$P:$P)</f>
        <v>30000</v>
      </c>
      <c r="O222" s="49">
        <f>IFERROR(VLOOKUP($L222,'0805'!$A:$D,4,0),0)</f>
        <v>41224</v>
      </c>
      <c r="P222" s="49">
        <f>IFERROR(VLOOKUP($L222,'0806'!$A:$D,4,0),0)</f>
        <v>5572</v>
      </c>
      <c r="Q222" s="59">
        <f t="shared" si="21"/>
        <v>46796</v>
      </c>
      <c r="R222" s="72">
        <f t="shared" si="22"/>
        <v>16796</v>
      </c>
      <c r="S222" s="69"/>
      <c r="T222" s="60"/>
      <c r="U222" s="60"/>
      <c r="V222" s="60"/>
      <c r="W222" s="60"/>
    </row>
    <row r="223" spans="1:23" ht="13.5" x14ac:dyDescent="0.25">
      <c r="A223" s="45">
        <v>3005984</v>
      </c>
      <c r="B223" s="46" t="s">
        <v>1492</v>
      </c>
      <c r="C223" s="80">
        <f>SUMIF('LISTA TECNICA'!$I:$I,$A223,'LISTA TECNICA'!$P:$P)</f>
        <v>36</v>
      </c>
      <c r="D223" s="59">
        <f>IFERROR(VLOOKUP($A223,'0802'!$A:$D,4,0),0)</f>
        <v>124</v>
      </c>
      <c r="E223" s="72">
        <f t="shared" si="23"/>
        <v>88</v>
      </c>
      <c r="F223" s="69" t="s">
        <v>6168</v>
      </c>
      <c r="G223" s="60"/>
      <c r="H223" s="60">
        <v>150</v>
      </c>
      <c r="I223" s="60" t="s">
        <v>6163</v>
      </c>
      <c r="J223" s="60"/>
      <c r="L223" s="45">
        <v>4014904</v>
      </c>
      <c r="M223" s="46" t="s">
        <v>1644</v>
      </c>
      <c r="N223" s="47">
        <f>SUMIF('LISTA TECNICA'!$I:$I,$L223,'LISTA TECNICA'!$P:$P)</f>
        <v>0</v>
      </c>
      <c r="O223" s="49">
        <f>IFERROR(VLOOKUP($L223,'0805'!$A:$D,4,0),0)</f>
        <v>0</v>
      </c>
      <c r="P223" s="49">
        <f>IFERROR(VLOOKUP($L223,'0806'!$A:$D,4,0),0)</f>
        <v>0</v>
      </c>
      <c r="Q223" s="59">
        <f t="shared" si="21"/>
        <v>0</v>
      </c>
      <c r="R223" s="72">
        <f t="shared" si="22"/>
        <v>0</v>
      </c>
      <c r="S223" s="69"/>
      <c r="T223" s="60"/>
      <c r="U223" s="60"/>
      <c r="V223" s="60"/>
      <c r="W223" s="60"/>
    </row>
    <row r="224" spans="1:23" ht="13.5" x14ac:dyDescent="0.25">
      <c r="A224" s="45">
        <v>3005986</v>
      </c>
      <c r="B224" s="46" t="s">
        <v>1495</v>
      </c>
      <c r="C224" s="80">
        <f>SUMIF('LISTA TECNICA'!$I:$I,$A224,'LISTA TECNICA'!$P:$P)</f>
        <v>60</v>
      </c>
      <c r="D224" s="59">
        <f>IFERROR(VLOOKUP($A224,'0802'!$A:$D,4,0),0)</f>
        <v>124</v>
      </c>
      <c r="E224" s="72">
        <f t="shared" si="23"/>
        <v>64</v>
      </c>
      <c r="F224" s="69" t="s">
        <v>6169</v>
      </c>
      <c r="G224" s="60"/>
      <c r="H224" s="60">
        <v>150</v>
      </c>
      <c r="I224" s="60" t="s">
        <v>6163</v>
      </c>
      <c r="J224" s="60"/>
      <c r="L224" s="45">
        <v>4014903</v>
      </c>
      <c r="M224" s="46" t="s">
        <v>1649</v>
      </c>
      <c r="N224" s="47">
        <f>SUMIF('LISTA TECNICA'!$I:$I,$L224,'LISTA TECNICA'!$P:$P)</f>
        <v>0</v>
      </c>
      <c r="O224" s="49">
        <f>IFERROR(VLOOKUP($L224,'0805'!$A:$D,4,0),0)</f>
        <v>5389</v>
      </c>
      <c r="P224" s="49">
        <f>IFERROR(VLOOKUP($L224,'0806'!$A:$D,4,0),0)</f>
        <v>0</v>
      </c>
      <c r="Q224" s="59">
        <f t="shared" si="21"/>
        <v>5389</v>
      </c>
      <c r="R224" s="72">
        <f t="shared" si="22"/>
        <v>5389</v>
      </c>
      <c r="S224" s="69"/>
      <c r="T224" s="60"/>
      <c r="U224" s="60"/>
      <c r="V224" s="60"/>
      <c r="W224" s="60"/>
    </row>
    <row r="225" spans="1:23" ht="13.5" x14ac:dyDescent="0.25">
      <c r="A225" s="45">
        <v>3005980</v>
      </c>
      <c r="B225" s="46" t="s">
        <v>1480</v>
      </c>
      <c r="C225" s="80">
        <f>SUMIF('LISTA TECNICA'!$I:$I,$A225,'LISTA TECNICA'!$P:$P)</f>
        <v>0</v>
      </c>
      <c r="D225" s="59">
        <f>IFERROR(VLOOKUP($A225,'0802'!$A:$D,4,0),0)</f>
        <v>0</v>
      </c>
      <c r="E225" s="72">
        <f t="shared" si="23"/>
        <v>0</v>
      </c>
      <c r="F225" s="69" t="s">
        <v>6170</v>
      </c>
      <c r="G225" s="60"/>
      <c r="H225" s="60">
        <v>150</v>
      </c>
      <c r="I225" s="60" t="s">
        <v>6163</v>
      </c>
      <c r="J225" s="60"/>
      <c r="L225" s="45">
        <v>4014906</v>
      </c>
      <c r="M225" s="46" t="s">
        <v>1654</v>
      </c>
      <c r="N225" s="47">
        <f>SUMIF('LISTA TECNICA'!$I:$I,$L225,'LISTA TECNICA'!$P:$P)</f>
        <v>0</v>
      </c>
      <c r="O225" s="49">
        <f>IFERROR(VLOOKUP($L225,'0805'!$A:$D,4,0),0)</f>
        <v>5401</v>
      </c>
      <c r="P225" s="49">
        <f>IFERROR(VLOOKUP($L225,'0806'!$A:$D,4,0),0)</f>
        <v>0</v>
      </c>
      <c r="Q225" s="59">
        <f t="shared" si="21"/>
        <v>5401</v>
      </c>
      <c r="R225" s="72">
        <f t="shared" si="22"/>
        <v>5401</v>
      </c>
      <c r="S225" s="69"/>
      <c r="T225" s="60"/>
      <c r="U225" s="60"/>
      <c r="V225" s="60"/>
      <c r="W225" s="60"/>
    </row>
    <row r="226" spans="1:23" ht="13.5" x14ac:dyDescent="0.25">
      <c r="A226" s="45">
        <v>3005081</v>
      </c>
      <c r="B226" s="46" t="s">
        <v>1019</v>
      </c>
      <c r="C226" s="47">
        <f>SUMIF('LISTA TECNICA'!$I:$I,$A226,'LISTA TECNICA'!$P:$P)</f>
        <v>0</v>
      </c>
      <c r="D226" s="66">
        <f>IFERROR(VLOOKUP($A226,'0802'!$A:$D,4,0),0)</f>
        <v>0</v>
      </c>
      <c r="E226" s="72">
        <f t="shared" si="23"/>
        <v>0</v>
      </c>
      <c r="F226" s="69"/>
      <c r="G226" s="60"/>
      <c r="H226" s="60"/>
      <c r="I226" s="60"/>
      <c r="J226" s="60"/>
      <c r="L226" s="45">
        <v>4014905</v>
      </c>
      <c r="M226" s="46" t="s">
        <v>1659</v>
      </c>
      <c r="N226" s="47">
        <f>SUMIF('LISTA TECNICA'!$I:$I,$L226,'LISTA TECNICA'!$P:$P)</f>
        <v>0</v>
      </c>
      <c r="O226" s="49">
        <f>IFERROR(VLOOKUP($L226,'0805'!$A:$D,4,0),0)</f>
        <v>0</v>
      </c>
      <c r="P226" s="49">
        <f>IFERROR(VLOOKUP($L226,'0806'!$A:$D,4,0),0)</f>
        <v>0</v>
      </c>
      <c r="Q226" s="59">
        <f t="shared" ref="Q226:Q249" si="24">P226+O226</f>
        <v>0</v>
      </c>
      <c r="R226" s="72">
        <f t="shared" ref="R226:R249" si="25">Q226-N226</f>
        <v>0</v>
      </c>
      <c r="S226" s="69"/>
      <c r="T226" s="60"/>
      <c r="U226" s="60"/>
      <c r="V226" s="60"/>
      <c r="W226" s="60"/>
    </row>
    <row r="227" spans="1:23" ht="13.5" x14ac:dyDescent="0.25">
      <c r="A227" s="45" t="s">
        <v>1151</v>
      </c>
      <c r="B227" s="46" t="s">
        <v>1152</v>
      </c>
      <c r="C227" s="47">
        <f>SUMIF('LISTA TECNICA'!$I:$I,$A227,'LISTA TECNICA'!$P:$P)</f>
        <v>0</v>
      </c>
      <c r="D227" s="66">
        <f>IFERROR(VLOOKUP($A227,'0802'!$A:$D,4,0),0)</f>
        <v>2788</v>
      </c>
      <c r="E227" s="72">
        <f t="shared" si="23"/>
        <v>2788</v>
      </c>
      <c r="F227" s="69"/>
      <c r="G227" s="60"/>
      <c r="H227" s="60"/>
      <c r="I227" s="60"/>
      <c r="J227" s="60"/>
      <c r="L227" s="45">
        <v>4007021</v>
      </c>
      <c r="M227" s="46" t="s">
        <v>717</v>
      </c>
      <c r="N227" s="47">
        <f>SUMIF('LISTA TECNICA'!$I:$I,$L227,'LISTA TECNICA'!$P:$P)</f>
        <v>10500</v>
      </c>
      <c r="O227" s="49">
        <f>IFERROR(VLOOKUP($L227,'0805'!$A:$D,4,0),0)</f>
        <v>0</v>
      </c>
      <c r="P227" s="49">
        <f>IFERROR(VLOOKUP($L227,'0806'!$A:$D,4,0),0)</f>
        <v>8477</v>
      </c>
      <c r="Q227" s="59">
        <f t="shared" si="24"/>
        <v>8477</v>
      </c>
      <c r="R227" s="72">
        <f t="shared" si="25"/>
        <v>-2023</v>
      </c>
      <c r="S227" s="69"/>
      <c r="T227" s="60" t="s">
        <v>6254</v>
      </c>
      <c r="U227" s="60">
        <v>20000</v>
      </c>
      <c r="V227" s="60" t="s">
        <v>6104</v>
      </c>
      <c r="W227" s="60"/>
    </row>
    <row r="228" spans="1:23" ht="13.5" x14ac:dyDescent="0.25">
      <c r="A228" s="45">
        <v>4013835</v>
      </c>
      <c r="B228" s="46" t="s">
        <v>1021</v>
      </c>
      <c r="C228" s="47">
        <f>SUMIF('LISTA TECNICA'!$I:$I,$A228,'LISTA TECNICA'!$P:$P)</f>
        <v>0</v>
      </c>
      <c r="D228" s="66">
        <f>IFERROR(VLOOKUP($A228,'0802'!$A:$D,4,0),0)</f>
        <v>0</v>
      </c>
      <c r="E228" s="72">
        <f t="shared" si="23"/>
        <v>0</v>
      </c>
      <c r="F228" s="69"/>
      <c r="G228" s="60"/>
      <c r="H228" s="60"/>
      <c r="I228" s="60"/>
      <c r="J228" s="60"/>
      <c r="L228" s="45">
        <v>4007022</v>
      </c>
      <c r="M228" s="46" t="s">
        <v>723</v>
      </c>
      <c r="N228" s="47">
        <f>SUMIF('LISTA TECNICA'!$I:$I,$L228,'LISTA TECNICA'!$P:$P)</f>
        <v>32200</v>
      </c>
      <c r="O228" s="49">
        <f>IFERROR(VLOOKUP($L228,'0805'!$A:$D,4,0),0)</f>
        <v>14252</v>
      </c>
      <c r="P228" s="49">
        <f>IFERROR(VLOOKUP($L228,'0806'!$A:$D,4,0),0)</f>
        <v>20640</v>
      </c>
      <c r="Q228" s="59">
        <f t="shared" si="24"/>
        <v>34892</v>
      </c>
      <c r="R228" s="72">
        <f t="shared" si="25"/>
        <v>2692</v>
      </c>
      <c r="S228" s="69"/>
      <c r="T228" s="60"/>
      <c r="U228" s="60"/>
      <c r="V228" s="60"/>
      <c r="W228" s="60"/>
    </row>
    <row r="229" spans="1:23" ht="13.5" x14ac:dyDescent="0.25">
      <c r="A229" s="45">
        <v>3005650</v>
      </c>
      <c r="B229" s="46" t="s">
        <v>1148</v>
      </c>
      <c r="C229" s="47">
        <f>SUMIF('LISTA TECNICA'!$I:$I,$A229,'LISTA TECNICA'!$P:$P)</f>
        <v>0</v>
      </c>
      <c r="D229" s="66">
        <f>IFERROR(VLOOKUP($A229,'0802'!$A:$D,4,0),0)</f>
        <v>0</v>
      </c>
      <c r="E229" s="72">
        <f t="shared" si="23"/>
        <v>0</v>
      </c>
      <c r="F229" s="69"/>
      <c r="G229" s="60"/>
      <c r="H229" s="60"/>
      <c r="I229" s="60"/>
      <c r="J229" s="60"/>
      <c r="L229" s="45">
        <v>4007023</v>
      </c>
      <c r="M229" s="46" t="s">
        <v>728</v>
      </c>
      <c r="N229" s="47">
        <f>SUMIF('LISTA TECNICA'!$I:$I,$L229,'LISTA TECNICA'!$P:$P)</f>
        <v>21000</v>
      </c>
      <c r="O229" s="49">
        <f>IFERROR(VLOOKUP($L229,'0805'!$A:$D,4,0),0)</f>
        <v>13660</v>
      </c>
      <c r="P229" s="49">
        <f>IFERROR(VLOOKUP($L229,'0806'!$A:$D,4,0),0)</f>
        <v>7399</v>
      </c>
      <c r="Q229" s="59">
        <f t="shared" si="24"/>
        <v>21059</v>
      </c>
      <c r="R229" s="72">
        <f t="shared" si="25"/>
        <v>59</v>
      </c>
      <c r="S229" s="69"/>
      <c r="T229" s="60"/>
      <c r="U229" s="60"/>
      <c r="V229" s="60"/>
      <c r="W229" s="60"/>
    </row>
    <row r="230" spans="1:23" ht="13.5" x14ac:dyDescent="0.25">
      <c r="A230" s="45">
        <v>3001852</v>
      </c>
      <c r="B230" s="46" t="s">
        <v>1757</v>
      </c>
      <c r="C230" s="47">
        <f>SUMIF('LISTA TECNICA'!$I:$I,$A230,'LISTA TECNICA'!$P:$P)</f>
        <v>0</v>
      </c>
      <c r="D230" s="66">
        <f>IFERROR(VLOOKUP($A230,'0802'!$A:$D,4,0),0)</f>
        <v>0</v>
      </c>
      <c r="E230" s="72">
        <f t="shared" si="23"/>
        <v>0</v>
      </c>
      <c r="F230" s="69"/>
      <c r="G230" s="60"/>
      <c r="H230" s="60"/>
      <c r="I230" s="60"/>
      <c r="J230" s="60"/>
      <c r="L230" s="45">
        <v>4007020</v>
      </c>
      <c r="M230" s="46" t="s">
        <v>733</v>
      </c>
      <c r="N230" s="47">
        <f>SUMIF('LISTA TECNICA'!$I:$I,$L230,'LISTA TECNICA'!$P:$P)</f>
        <v>19600</v>
      </c>
      <c r="O230" s="49">
        <f>IFERROR(VLOOKUP($L230,'0805'!$A:$D,4,0),0)</f>
        <v>2122</v>
      </c>
      <c r="P230" s="49">
        <f>IFERROR(VLOOKUP($L230,'0806'!$A:$D,4,0),0)</f>
        <v>11794</v>
      </c>
      <c r="Q230" s="59">
        <f t="shared" si="24"/>
        <v>13916</v>
      </c>
      <c r="R230" s="72">
        <f t="shared" si="25"/>
        <v>-5684</v>
      </c>
      <c r="S230" s="69"/>
      <c r="T230" s="60" t="s">
        <v>6255</v>
      </c>
      <c r="U230" s="60">
        <v>20000</v>
      </c>
      <c r="V230" s="60" t="s">
        <v>6104</v>
      </c>
      <c r="W230" s="60"/>
    </row>
    <row r="231" spans="1:23" ht="40.5" x14ac:dyDescent="0.25">
      <c r="A231" s="45">
        <v>3001056</v>
      </c>
      <c r="B231" s="46" t="s">
        <v>1186</v>
      </c>
      <c r="C231" s="47">
        <f>SUMIF('LISTA TECNICA'!$I:$I,$A231,'LISTA TECNICA'!$P:$P)</f>
        <v>0</v>
      </c>
      <c r="D231" s="66">
        <f>IFERROR(VLOOKUP($A231,'0802'!$A:$D,4,0),0)</f>
        <v>6564</v>
      </c>
      <c r="E231" s="72">
        <f t="shared" si="23"/>
        <v>6564</v>
      </c>
      <c r="F231" s="69" t="s">
        <v>6172</v>
      </c>
      <c r="G231" s="81" t="s">
        <v>6171</v>
      </c>
      <c r="H231" s="81" t="s">
        <v>6177</v>
      </c>
      <c r="I231" s="81" t="s">
        <v>6173</v>
      </c>
      <c r="J231" s="60"/>
      <c r="L231" s="45">
        <v>4014469</v>
      </c>
      <c r="M231" s="46" t="s">
        <v>1733</v>
      </c>
      <c r="N231" s="47">
        <f>SUMIF('LISTA TECNICA'!$I:$I,$L231,'LISTA TECNICA'!$P:$P)</f>
        <v>0</v>
      </c>
      <c r="O231" s="49">
        <f>IFERROR(VLOOKUP($L231,'0805'!$A:$D,4,0),0)</f>
        <v>4370</v>
      </c>
      <c r="P231" s="49">
        <f>IFERROR(VLOOKUP($L231,'0806'!$A:$D,4,0),0)</f>
        <v>0</v>
      </c>
      <c r="Q231" s="59">
        <f t="shared" si="24"/>
        <v>4370</v>
      </c>
      <c r="R231" s="72">
        <f t="shared" si="25"/>
        <v>4370</v>
      </c>
      <c r="S231" s="69"/>
      <c r="T231" s="60"/>
      <c r="U231" s="60"/>
      <c r="V231" s="60"/>
      <c r="W231" s="60"/>
    </row>
    <row r="232" spans="1:23" ht="40.5" x14ac:dyDescent="0.25">
      <c r="A232" s="45">
        <v>3001057</v>
      </c>
      <c r="B232" s="46" t="s">
        <v>1189</v>
      </c>
      <c r="C232" s="47">
        <f>SUMIF('LISTA TECNICA'!$I:$I,$A232,'LISTA TECNICA'!$P:$P)</f>
        <v>2304</v>
      </c>
      <c r="D232" s="66">
        <f>IFERROR(VLOOKUP($A232,'0802'!$A:$D,4,0),0)</f>
        <v>4644</v>
      </c>
      <c r="E232" s="72">
        <f t="shared" si="23"/>
        <v>2340</v>
      </c>
      <c r="F232" s="83" t="s">
        <v>6175</v>
      </c>
      <c r="G232" s="60" t="s">
        <v>6174</v>
      </c>
      <c r="H232" s="84" t="s">
        <v>6176</v>
      </c>
      <c r="I232" s="81" t="s">
        <v>6178</v>
      </c>
      <c r="J232" s="60"/>
      <c r="L232" s="45">
        <v>4014467</v>
      </c>
      <c r="M232" s="46" t="s">
        <v>1738</v>
      </c>
      <c r="N232" s="47">
        <f>SUMIF('LISTA TECNICA'!$I:$I,$L232,'LISTA TECNICA'!$P:$P)</f>
        <v>0</v>
      </c>
      <c r="O232" s="49">
        <f>IFERROR(VLOOKUP($L232,'0805'!$A:$D,4,0),0)</f>
        <v>4987</v>
      </c>
      <c r="P232" s="49">
        <f>IFERROR(VLOOKUP($L232,'0806'!$A:$D,4,0),0)</f>
        <v>0</v>
      </c>
      <c r="Q232" s="59">
        <f t="shared" si="24"/>
        <v>4987</v>
      </c>
      <c r="R232" s="72">
        <f t="shared" si="25"/>
        <v>4987</v>
      </c>
      <c r="S232" s="69"/>
      <c r="T232" s="60"/>
      <c r="U232" s="60"/>
      <c r="V232" s="60"/>
      <c r="W232" s="60"/>
    </row>
    <row r="233" spans="1:23" ht="13.5" x14ac:dyDescent="0.25">
      <c r="A233" s="45">
        <v>3000909</v>
      </c>
      <c r="B233" s="46" t="s">
        <v>1775</v>
      </c>
      <c r="C233" s="47">
        <f>SUMIF('LISTA TECNICA'!$I:$I,$A233,'LISTA TECNICA'!$P:$P)</f>
        <v>0</v>
      </c>
      <c r="D233" s="66">
        <f>IFERROR(VLOOKUP($A233,'0802'!$A:$D,4,0),0)</f>
        <v>0</v>
      </c>
      <c r="E233" s="72">
        <f t="shared" si="23"/>
        <v>0</v>
      </c>
      <c r="F233" s="69"/>
      <c r="G233" s="60"/>
      <c r="H233" s="60"/>
      <c r="I233" s="60"/>
      <c r="J233" s="60"/>
      <c r="L233" s="45">
        <v>4014466</v>
      </c>
      <c r="M233" s="46" t="s">
        <v>1743</v>
      </c>
      <c r="N233" s="47">
        <f>SUMIF('LISTA TECNICA'!$I:$I,$L233,'LISTA TECNICA'!$P:$P)</f>
        <v>0</v>
      </c>
      <c r="O233" s="49">
        <f>IFERROR(VLOOKUP($L233,'0805'!$A:$D,4,0),0)</f>
        <v>3207</v>
      </c>
      <c r="P233" s="49">
        <f>IFERROR(VLOOKUP($L233,'0806'!$A:$D,4,0),0)</f>
        <v>0</v>
      </c>
      <c r="Q233" s="59">
        <f t="shared" si="24"/>
        <v>3207</v>
      </c>
      <c r="R233" s="72">
        <f t="shared" si="25"/>
        <v>3207</v>
      </c>
      <c r="S233" s="69"/>
      <c r="T233" s="60"/>
      <c r="U233" s="60"/>
      <c r="V233" s="60"/>
      <c r="W233" s="60"/>
    </row>
    <row r="234" spans="1:23" ht="13.5" x14ac:dyDescent="0.25">
      <c r="A234" s="45">
        <v>3000992</v>
      </c>
      <c r="B234" s="46" t="s">
        <v>64</v>
      </c>
      <c r="C234" s="47">
        <f>SUMIF('LISTA TECNICA'!$I:$I,$A234,'LISTA TECNICA'!$P:$P)</f>
        <v>15600</v>
      </c>
      <c r="D234" s="66">
        <f>IFERROR(VLOOKUP($A234,'0802'!$A:$D,4,0),0)</f>
        <v>35406</v>
      </c>
      <c r="E234" s="72">
        <f t="shared" si="23"/>
        <v>19806</v>
      </c>
      <c r="F234" s="69"/>
      <c r="G234" s="60"/>
      <c r="H234" s="60"/>
      <c r="I234" s="60"/>
      <c r="J234" s="60"/>
      <c r="L234" s="45">
        <v>4014468</v>
      </c>
      <c r="M234" s="46" t="s">
        <v>1748</v>
      </c>
      <c r="N234" s="47">
        <f>SUMIF('LISTA TECNICA'!$I:$I,$L234,'LISTA TECNICA'!$P:$P)</f>
        <v>0</v>
      </c>
      <c r="O234" s="49">
        <f>IFERROR(VLOOKUP($L234,'0805'!$A:$D,4,0),0)</f>
        <v>1004</v>
      </c>
      <c r="P234" s="49">
        <f>IFERROR(VLOOKUP($L234,'0806'!$A:$D,4,0),0)</f>
        <v>0</v>
      </c>
      <c r="Q234" s="59">
        <f t="shared" si="24"/>
        <v>1004</v>
      </c>
      <c r="R234" s="72">
        <f t="shared" si="25"/>
        <v>1004</v>
      </c>
      <c r="S234" s="69"/>
      <c r="T234" s="60"/>
      <c r="U234" s="60"/>
      <c r="V234" s="60"/>
      <c r="W234" s="60"/>
    </row>
    <row r="235" spans="1:23" ht="13.5" x14ac:dyDescent="0.25">
      <c r="A235" s="45">
        <v>3001451</v>
      </c>
      <c r="B235" s="46" t="s">
        <v>1135</v>
      </c>
      <c r="C235" s="47">
        <f>SUMIF('LISTA TECNICA'!$I:$I,$A235,'LISTA TECNICA'!$P:$P)</f>
        <v>0</v>
      </c>
      <c r="D235" s="66">
        <f>IFERROR(VLOOKUP($A235,'0802'!$A:$D,4,0),0)</f>
        <v>0</v>
      </c>
      <c r="E235" s="72">
        <f t="shared" si="23"/>
        <v>0</v>
      </c>
      <c r="F235" s="69"/>
      <c r="G235" s="60"/>
      <c r="H235" s="60"/>
      <c r="I235" s="60"/>
      <c r="J235" s="60"/>
      <c r="L235" s="45">
        <v>4002472</v>
      </c>
      <c r="M235" s="46" t="s">
        <v>356</v>
      </c>
      <c r="N235" s="47">
        <f>SUMIF('LISTA TECNICA'!$I:$I,$L235,'LISTA TECNICA'!$P:$P)</f>
        <v>0</v>
      </c>
      <c r="O235" s="49">
        <f>IFERROR(VLOOKUP($L235,'0805'!$A:$D,4,0),0)</f>
        <v>16147</v>
      </c>
      <c r="P235" s="49">
        <f>IFERROR(VLOOKUP($L235,'0806'!$A:$D,4,0),0)</f>
        <v>0</v>
      </c>
      <c r="Q235" s="59">
        <f t="shared" si="24"/>
        <v>16147</v>
      </c>
      <c r="R235" s="72">
        <f t="shared" si="25"/>
        <v>16147</v>
      </c>
      <c r="S235" s="69"/>
      <c r="T235" s="60"/>
      <c r="U235" s="60"/>
      <c r="V235" s="60"/>
      <c r="W235" s="60"/>
    </row>
    <row r="236" spans="1:23" ht="13.5" x14ac:dyDescent="0.25">
      <c r="A236" s="45">
        <v>3004630</v>
      </c>
      <c r="B236" s="46" t="s">
        <v>382</v>
      </c>
      <c r="C236" s="47">
        <f>SUMIF('LISTA TECNICA'!$I:$I,$A236,'LISTA TECNICA'!$P:$P)</f>
        <v>3612</v>
      </c>
      <c r="D236" s="66">
        <f>IFERROR(VLOOKUP($A236,'0802'!$A:$D,4,0),0)</f>
        <v>4075</v>
      </c>
      <c r="E236" s="72">
        <f t="shared" si="23"/>
        <v>463</v>
      </c>
      <c r="F236" s="69"/>
      <c r="G236" s="60"/>
      <c r="H236" s="60"/>
      <c r="I236" s="60"/>
      <c r="J236" s="60"/>
      <c r="L236" s="45">
        <v>4010777</v>
      </c>
      <c r="M236" s="46" t="s">
        <v>1099</v>
      </c>
      <c r="N236" s="47">
        <f>SUMIF('LISTA TECNICA'!$I:$I,$L236,'LISTA TECNICA'!$P:$P)</f>
        <v>1200</v>
      </c>
      <c r="O236" s="49">
        <f>IFERROR(VLOOKUP($L236,'0805'!$A:$D,4,0),0)</f>
        <v>757</v>
      </c>
      <c r="P236" s="49">
        <f>IFERROR(VLOOKUP($L236,'0806'!$A:$D,4,0),0)</f>
        <v>5865</v>
      </c>
      <c r="Q236" s="59">
        <f t="shared" si="24"/>
        <v>6622</v>
      </c>
      <c r="R236" s="72">
        <f t="shared" si="25"/>
        <v>5422</v>
      </c>
      <c r="S236" s="69"/>
      <c r="T236" s="60"/>
      <c r="U236" s="60"/>
      <c r="V236" s="60"/>
      <c r="W236" s="60"/>
    </row>
    <row r="237" spans="1:23" ht="13.5" x14ac:dyDescent="0.25">
      <c r="A237" s="45">
        <v>4004820</v>
      </c>
      <c r="B237" s="46" t="s">
        <v>867</v>
      </c>
      <c r="C237" s="47">
        <f>SUMIF('LISTA TECNICA'!$I:$I,$A237,'LISTA TECNICA'!$P:$P)</f>
        <v>10.410000000000002</v>
      </c>
      <c r="D237" s="66">
        <f>IFERROR(VLOOKUP($A237,'0802'!$A:$D,4,0),0)</f>
        <v>82</v>
      </c>
      <c r="E237" s="72">
        <f t="shared" si="23"/>
        <v>71.59</v>
      </c>
      <c r="F237" s="69"/>
      <c r="G237" s="60"/>
      <c r="H237" s="60"/>
      <c r="I237" s="60"/>
      <c r="J237" s="60"/>
      <c r="L237" s="45">
        <v>4010520</v>
      </c>
      <c r="M237" s="46" t="s">
        <v>1109</v>
      </c>
      <c r="N237" s="47">
        <f>SUMIF('LISTA TECNICA'!$I:$I,$L237,'LISTA TECNICA'!$P:$P)</f>
        <v>5400</v>
      </c>
      <c r="O237" s="49">
        <f>IFERROR(VLOOKUP($L237,'0805'!$A:$D,4,0),0)</f>
        <v>1440</v>
      </c>
      <c r="P237" s="49">
        <f>IFERROR(VLOOKUP($L237,'0806'!$A:$D,4,0),0)</f>
        <v>9356</v>
      </c>
      <c r="Q237" s="59">
        <f t="shared" si="24"/>
        <v>10796</v>
      </c>
      <c r="R237" s="72">
        <f t="shared" si="25"/>
        <v>5396</v>
      </c>
      <c r="S237" s="69"/>
      <c r="T237" s="60"/>
      <c r="U237" s="60"/>
      <c r="V237" s="60"/>
      <c r="W237" s="60"/>
    </row>
    <row r="238" spans="1:23" ht="13.5" x14ac:dyDescent="0.25">
      <c r="A238" s="45">
        <v>3005132</v>
      </c>
      <c r="B238" s="46" t="s">
        <v>1197</v>
      </c>
      <c r="C238" s="47">
        <f>SUMIF('LISTA TECNICA'!$I:$I,$A238,'LISTA TECNICA'!$P:$P)</f>
        <v>0</v>
      </c>
      <c r="D238" s="66">
        <f>IFERROR(VLOOKUP($A238,'0802'!$A:$D,4,0),0)</f>
        <v>0</v>
      </c>
      <c r="E238" s="72">
        <f t="shared" si="23"/>
        <v>0</v>
      </c>
      <c r="F238" s="69"/>
      <c r="G238" s="60"/>
      <c r="H238" s="60"/>
      <c r="I238" s="60"/>
      <c r="J238" s="60"/>
      <c r="L238" s="45">
        <v>4010766</v>
      </c>
      <c r="M238" s="46" t="s">
        <v>1131</v>
      </c>
      <c r="N238" s="47">
        <f>SUMIF('LISTA TECNICA'!$I:$I,$L238,'LISTA TECNICA'!$P:$P)</f>
        <v>0</v>
      </c>
      <c r="O238" s="49">
        <f>IFERROR(VLOOKUP($L238,'0805'!$A:$D,4,0),0)</f>
        <v>321</v>
      </c>
      <c r="P238" s="49">
        <f>IFERROR(VLOOKUP($L238,'0806'!$A:$D,4,0),0)</f>
        <v>0</v>
      </c>
      <c r="Q238" s="59">
        <f t="shared" si="24"/>
        <v>321</v>
      </c>
      <c r="R238" s="72">
        <f t="shared" si="25"/>
        <v>321</v>
      </c>
      <c r="S238" s="69"/>
      <c r="T238" s="60"/>
      <c r="U238" s="60"/>
      <c r="V238" s="60"/>
      <c r="W238" s="60"/>
    </row>
    <row r="239" spans="1:23" ht="13.5" x14ac:dyDescent="0.25">
      <c r="A239" s="45">
        <v>3005114</v>
      </c>
      <c r="B239" s="46" t="s">
        <v>1203</v>
      </c>
      <c r="C239" s="47">
        <f>SUMIF('LISTA TECNICA'!$I:$I,$A239,'LISTA TECNICA'!$P:$P)</f>
        <v>446.4</v>
      </c>
      <c r="D239" s="66">
        <f>IFERROR(VLOOKUP($A239,'0802'!$A:$D,4,0),0)</f>
        <v>5892.3280000000004</v>
      </c>
      <c r="E239" s="72">
        <f t="shared" si="23"/>
        <v>5445.9280000000008</v>
      </c>
      <c r="F239" s="69" t="s">
        <v>6179</v>
      </c>
      <c r="G239" s="82"/>
      <c r="H239" s="82">
        <v>5000</v>
      </c>
      <c r="I239" s="60" t="s">
        <v>6180</v>
      </c>
      <c r="J239" s="60"/>
      <c r="L239" s="45">
        <v>4005950</v>
      </c>
      <c r="M239" s="46" t="s">
        <v>1265</v>
      </c>
      <c r="N239" s="47">
        <f>SUMIF('LISTA TECNICA'!$I:$I,$L239,'LISTA TECNICA'!$P:$P)</f>
        <v>3600</v>
      </c>
      <c r="O239" s="49">
        <f>IFERROR(VLOOKUP($L239,'0805'!$A:$D,4,0),0)</f>
        <v>17382</v>
      </c>
      <c r="P239" s="49">
        <f>IFERROR(VLOOKUP($L239,'0806'!$A:$D,4,0),0)</f>
        <v>0</v>
      </c>
      <c r="Q239" s="59">
        <f t="shared" si="24"/>
        <v>17382</v>
      </c>
      <c r="R239" s="72">
        <f t="shared" si="25"/>
        <v>13782</v>
      </c>
      <c r="S239" s="69"/>
      <c r="T239" s="60" t="s">
        <v>6256</v>
      </c>
      <c r="U239" s="60">
        <v>545</v>
      </c>
      <c r="V239" s="60" t="s">
        <v>6257</v>
      </c>
      <c r="W239" s="60"/>
    </row>
    <row r="240" spans="1:23" ht="13.5" x14ac:dyDescent="0.25">
      <c r="A240" s="45">
        <v>3006194</v>
      </c>
      <c r="B240" s="46" t="s">
        <v>1157</v>
      </c>
      <c r="C240" s="47">
        <f>SUMIF('LISTA TECNICA'!$I:$I,$A240,'LISTA TECNICA'!$P:$P)</f>
        <v>0</v>
      </c>
      <c r="D240" s="66">
        <f>IFERROR(VLOOKUP($A240,'0802'!$A:$D,4,0),0)</f>
        <v>0</v>
      </c>
      <c r="E240" s="72">
        <f t="shared" si="23"/>
        <v>0</v>
      </c>
      <c r="F240" s="69"/>
      <c r="G240" s="60"/>
      <c r="H240" s="60"/>
      <c r="I240" s="60"/>
      <c r="J240" s="60"/>
      <c r="L240" s="45">
        <v>4008677</v>
      </c>
      <c r="M240" s="46" t="s">
        <v>1423</v>
      </c>
      <c r="N240" s="47">
        <f>SUMIF('LISTA TECNICA'!$I:$I,$L240,'LISTA TECNICA'!$P:$P)</f>
        <v>0</v>
      </c>
      <c r="O240" s="49">
        <f>IFERROR(VLOOKUP($L240,'0805'!$A:$D,4,0),0)</f>
        <v>6496</v>
      </c>
      <c r="P240" s="49">
        <f>IFERROR(VLOOKUP($L240,'0806'!$A:$D,4,0),0)</f>
        <v>1839</v>
      </c>
      <c r="Q240" s="59">
        <f t="shared" si="24"/>
        <v>8335</v>
      </c>
      <c r="R240" s="72">
        <f t="shared" si="25"/>
        <v>8335</v>
      </c>
      <c r="S240" s="69"/>
      <c r="T240" s="60"/>
      <c r="U240" s="60"/>
      <c r="V240" s="60"/>
      <c r="W240" s="60"/>
    </row>
    <row r="241" spans="1:23" ht="13.5" x14ac:dyDescent="0.25">
      <c r="A241" s="45">
        <v>4004780</v>
      </c>
      <c r="B241" s="46" t="s">
        <v>384</v>
      </c>
      <c r="C241" s="47">
        <f>SUMIF('LISTA TECNICA'!$I:$I,$A241,'LISTA TECNICA'!$P:$P)</f>
        <v>3612</v>
      </c>
      <c r="D241" s="66">
        <f>IFERROR(VLOOKUP($A241,'0802'!$A:$D,4,0),0)</f>
        <v>27286</v>
      </c>
      <c r="E241" s="72">
        <f t="shared" si="23"/>
        <v>23674</v>
      </c>
      <c r="F241" s="69"/>
      <c r="G241" s="60"/>
      <c r="H241" s="60"/>
      <c r="I241" s="60"/>
      <c r="J241" s="60"/>
      <c r="L241" s="45">
        <v>4004401</v>
      </c>
      <c r="M241" s="46" t="s">
        <v>1664</v>
      </c>
      <c r="N241" s="47">
        <f>SUMIF('LISTA TECNICA'!$I:$I,$L241,'LISTA TECNICA'!$P:$P)</f>
        <v>1000</v>
      </c>
      <c r="O241" s="49">
        <f>IFERROR(VLOOKUP($L241,'0805'!$A:$D,4,0),0)</f>
        <v>0</v>
      </c>
      <c r="P241" s="49">
        <f>IFERROR(VLOOKUP($L241,'0806'!$A:$D,4,0),0)</f>
        <v>1150</v>
      </c>
      <c r="Q241" s="59">
        <f t="shared" si="24"/>
        <v>1150</v>
      </c>
      <c r="R241" s="72">
        <f t="shared" si="25"/>
        <v>150</v>
      </c>
      <c r="S241" s="69"/>
      <c r="T241" s="60"/>
      <c r="U241" s="60"/>
      <c r="V241" s="60"/>
      <c r="W241" s="60"/>
    </row>
    <row r="242" spans="1:23" ht="13.5" x14ac:dyDescent="0.25">
      <c r="A242" s="45">
        <v>3005652</v>
      </c>
      <c r="B242" s="46" t="s">
        <v>36</v>
      </c>
      <c r="C242" s="47">
        <f>SUMIF('LISTA TECNICA'!$I:$I,$A242,'LISTA TECNICA'!$P:$P)</f>
        <v>0</v>
      </c>
      <c r="D242" s="66">
        <f>IFERROR(VLOOKUP($A242,'0802'!$A:$D,4,0),0)</f>
        <v>7100</v>
      </c>
      <c r="E242" s="72">
        <f t="shared" si="23"/>
        <v>7100</v>
      </c>
      <c r="F242" s="69"/>
      <c r="G242" s="60"/>
      <c r="H242" s="60"/>
      <c r="I242" s="60"/>
      <c r="J242" s="60"/>
      <c r="L242" s="45">
        <v>4010764</v>
      </c>
      <c r="M242" s="46" t="s">
        <v>1710</v>
      </c>
      <c r="N242" s="47">
        <f>SUMIF('LISTA TECNICA'!$I:$I,$L242,'LISTA TECNICA'!$P:$P)</f>
        <v>1200</v>
      </c>
      <c r="O242" s="49">
        <f>IFERROR(VLOOKUP($L242,'0805'!$A:$D,4,0),0)</f>
        <v>0</v>
      </c>
      <c r="P242" s="49">
        <f>IFERROR(VLOOKUP($L242,'0806'!$A:$D,4,0),0)</f>
        <v>2481</v>
      </c>
      <c r="Q242" s="59">
        <f t="shared" si="24"/>
        <v>2481</v>
      </c>
      <c r="R242" s="72">
        <f t="shared" si="25"/>
        <v>1281</v>
      </c>
      <c r="S242" s="69"/>
      <c r="T242" s="60"/>
      <c r="U242" s="60"/>
      <c r="V242" s="60"/>
      <c r="W242" s="60"/>
    </row>
    <row r="243" spans="1:23" ht="13.5" x14ac:dyDescent="0.25">
      <c r="A243" s="45">
        <v>3005651</v>
      </c>
      <c r="B243" s="46" t="s">
        <v>46</v>
      </c>
      <c r="C243" s="47">
        <f>SUMIF('LISTA TECNICA'!$I:$I,$A243,'LISTA TECNICA'!$P:$P)</f>
        <v>0</v>
      </c>
      <c r="D243" s="66">
        <f>IFERROR(VLOOKUP($A243,'0802'!$A:$D,4,0),0)</f>
        <v>17100</v>
      </c>
      <c r="E243" s="72">
        <f t="shared" si="23"/>
        <v>17100</v>
      </c>
      <c r="F243" s="69"/>
      <c r="G243" s="60"/>
      <c r="H243" s="60"/>
      <c r="I243" s="60"/>
      <c r="J243" s="60"/>
      <c r="L243" s="45">
        <v>4006397</v>
      </c>
      <c r="M243" s="46" t="s">
        <v>1715</v>
      </c>
      <c r="N243" s="47">
        <f>SUMIF('LISTA TECNICA'!$I:$I,$L243,'LISTA TECNICA'!$P:$P)</f>
        <v>4800</v>
      </c>
      <c r="O243" s="49">
        <f>IFERROR(VLOOKUP($L243,'0805'!$A:$D,4,0),0)</f>
        <v>416</v>
      </c>
      <c r="P243" s="49">
        <f>IFERROR(VLOOKUP($L243,'0806'!$A:$D,4,0),0)</f>
        <v>13116</v>
      </c>
      <c r="Q243" s="59">
        <f t="shared" si="24"/>
        <v>13532</v>
      </c>
      <c r="R243" s="72">
        <f t="shared" si="25"/>
        <v>8732</v>
      </c>
      <c r="S243" s="69"/>
      <c r="T243" s="60"/>
      <c r="U243" s="60"/>
      <c r="V243" s="60"/>
      <c r="W243" s="60"/>
    </row>
    <row r="244" spans="1:23" ht="15.75" thickBot="1" x14ac:dyDescent="0.3">
      <c r="L244" s="45">
        <v>4006395</v>
      </c>
      <c r="M244" s="46" t="s">
        <v>1720</v>
      </c>
      <c r="N244" s="47">
        <f>SUMIF('LISTA TECNICA'!$I:$I,$L244,'LISTA TECNICA'!$P:$P)</f>
        <v>3840</v>
      </c>
      <c r="O244" s="49">
        <f>IFERROR(VLOOKUP($L244,'0805'!$A:$D,4,0),0)</f>
        <v>4742</v>
      </c>
      <c r="P244" s="49">
        <f>IFERROR(VLOOKUP($L244,'0806'!$A:$D,4,0),0)</f>
        <v>3152</v>
      </c>
      <c r="Q244" s="59">
        <f t="shared" si="24"/>
        <v>7894</v>
      </c>
      <c r="R244" s="72">
        <f t="shared" si="25"/>
        <v>4054</v>
      </c>
      <c r="S244" s="69"/>
      <c r="T244" s="60"/>
      <c r="U244" s="60"/>
      <c r="V244" s="60"/>
      <c r="W244" s="60"/>
    </row>
    <row r="245" spans="1:23" ht="14.25" thickBot="1" x14ac:dyDescent="0.3">
      <c r="A245" s="86" t="s">
        <v>6092</v>
      </c>
      <c r="B245" s="87"/>
      <c r="C245" s="87"/>
      <c r="D245" s="87"/>
      <c r="E245" s="87"/>
      <c r="F245" s="87"/>
      <c r="G245" s="87"/>
      <c r="H245" s="87"/>
      <c r="I245" s="87"/>
      <c r="J245" s="88"/>
      <c r="L245" s="45">
        <v>4006396</v>
      </c>
      <c r="M245" s="46" t="s">
        <v>1725</v>
      </c>
      <c r="N245" s="47">
        <f>SUMIF('LISTA TECNICA'!$I:$I,$L245,'LISTA TECNICA'!$P:$P)</f>
        <v>1440</v>
      </c>
      <c r="O245" s="49">
        <f>IFERROR(VLOOKUP($L245,'0805'!$A:$D,4,0),0)</f>
        <v>5386</v>
      </c>
      <c r="P245" s="49">
        <f>IFERROR(VLOOKUP($L245,'0806'!$A:$D,4,0),0)</f>
        <v>905</v>
      </c>
      <c r="Q245" s="59">
        <f t="shared" si="24"/>
        <v>6291</v>
      </c>
      <c r="R245" s="72">
        <f t="shared" si="25"/>
        <v>4851</v>
      </c>
      <c r="S245" s="69"/>
      <c r="T245" s="60"/>
      <c r="U245" s="60"/>
      <c r="V245" s="60"/>
      <c r="W245" s="60"/>
    </row>
    <row r="246" spans="1:23" ht="14.25" thickBot="1" x14ac:dyDescent="0.3">
      <c r="A246" s="53" t="s">
        <v>5</v>
      </c>
      <c r="B246" s="54" t="s">
        <v>2052</v>
      </c>
      <c r="C246" s="55" t="s">
        <v>2053</v>
      </c>
      <c r="D246" s="57">
        <v>802</v>
      </c>
      <c r="E246" s="70" t="s">
        <v>6069</v>
      </c>
      <c r="F246" s="67" t="s">
        <v>6072</v>
      </c>
      <c r="G246" s="63" t="s">
        <v>6073</v>
      </c>
      <c r="H246" s="63" t="s">
        <v>6136</v>
      </c>
      <c r="I246" s="63" t="s">
        <v>6076</v>
      </c>
      <c r="J246" s="64" t="s">
        <v>6074</v>
      </c>
      <c r="L246" s="45">
        <v>4016568</v>
      </c>
      <c r="M246" s="46" t="s">
        <v>1094</v>
      </c>
      <c r="N246" s="47">
        <f>SUMIF('LISTA TECNICA'!$I:$I,$L246,'LISTA TECNICA'!$P:$P)</f>
        <v>0</v>
      </c>
      <c r="O246" s="49">
        <f>IFERROR(VLOOKUP($L246,'0805'!$A:$D,4,0),0)</f>
        <v>1477</v>
      </c>
      <c r="P246" s="49">
        <f>IFERROR(VLOOKUP($L246,'0806'!$A:$D,4,0),0)</f>
        <v>1121</v>
      </c>
      <c r="Q246" s="59">
        <f t="shared" si="24"/>
        <v>2598</v>
      </c>
      <c r="R246" s="72">
        <f t="shared" si="25"/>
        <v>2598</v>
      </c>
      <c r="S246" s="69"/>
      <c r="T246" s="60"/>
      <c r="U246" s="60"/>
      <c r="V246" s="60"/>
      <c r="W246" s="60"/>
    </row>
    <row r="247" spans="1:23" ht="13.5" x14ac:dyDescent="0.25">
      <c r="A247" s="45">
        <v>3006100</v>
      </c>
      <c r="B247" s="46" t="s">
        <v>1452</v>
      </c>
      <c r="C247" s="47">
        <f>SUMIF('LISTA TECNICA'!$I:$I,$A247,'LISTA TECNICA'!$P:$P)</f>
        <v>2400</v>
      </c>
      <c r="D247" s="66">
        <f>IFERROR(VLOOKUP($A247,'0802'!$A:$D,4,0),0)</f>
        <v>11422</v>
      </c>
      <c r="E247" s="72">
        <f t="shared" ref="E247:E253" si="26">D247-C247</f>
        <v>9022</v>
      </c>
      <c r="F247" s="69"/>
      <c r="G247" s="60" t="s">
        <v>6181</v>
      </c>
      <c r="H247" s="60">
        <v>250</v>
      </c>
      <c r="I247" s="60" t="s">
        <v>6182</v>
      </c>
      <c r="J247" s="60"/>
      <c r="L247" s="45">
        <v>4013371</v>
      </c>
      <c r="M247" s="46" t="s">
        <v>1237</v>
      </c>
      <c r="N247" s="47">
        <f>SUMIF('LISTA TECNICA'!$I:$I,$L247,'LISTA TECNICA'!$P:$P)</f>
        <v>0</v>
      </c>
      <c r="O247" s="49">
        <f>IFERROR(VLOOKUP($L247,'0805'!$A:$D,4,0),0)</f>
        <v>5333</v>
      </c>
      <c r="P247" s="49">
        <f>IFERROR(VLOOKUP($L247,'0806'!$A:$D,4,0),0)</f>
        <v>0</v>
      </c>
      <c r="Q247" s="59">
        <f t="shared" si="24"/>
        <v>5333</v>
      </c>
      <c r="R247" s="72">
        <f t="shared" si="25"/>
        <v>5333</v>
      </c>
      <c r="S247" s="69"/>
      <c r="T247" s="60"/>
      <c r="U247" s="60"/>
      <c r="V247" s="60"/>
      <c r="W247" s="60"/>
    </row>
    <row r="248" spans="1:23" ht="27" x14ac:dyDescent="0.25">
      <c r="A248" s="45">
        <v>3006030</v>
      </c>
      <c r="B248" s="46" t="s">
        <v>1447</v>
      </c>
      <c r="C248" s="47">
        <f>SUMIF('LISTA TECNICA'!$I:$I,$A248,'LISTA TECNICA'!$P:$P)</f>
        <v>6000</v>
      </c>
      <c r="D248" s="66">
        <f>IFERROR(VLOOKUP($A248,'0802'!$A:$D,4,0),0)</f>
        <v>16620</v>
      </c>
      <c r="E248" s="72">
        <f t="shared" si="26"/>
        <v>10620</v>
      </c>
      <c r="F248" s="69"/>
      <c r="G248" s="60"/>
      <c r="H248" s="60"/>
      <c r="I248" s="60"/>
      <c r="J248" s="60"/>
      <c r="L248" s="45">
        <v>4016390</v>
      </c>
      <c r="M248" s="46" t="s">
        <v>1122</v>
      </c>
      <c r="N248" s="47">
        <f>SUMIF('LISTA TECNICA'!$I:$I,$L248,'LISTA TECNICA'!$P:$P)</f>
        <v>2160</v>
      </c>
      <c r="O248" s="49">
        <f>IFERROR(VLOOKUP($L248,'0805'!$A:$D,4,0),0)</f>
        <v>0</v>
      </c>
      <c r="P248" s="49">
        <f>IFERROR(VLOOKUP($L248,'0806'!$A:$D,4,0),0)</f>
        <v>5250</v>
      </c>
      <c r="Q248" s="59">
        <f t="shared" si="24"/>
        <v>5250</v>
      </c>
      <c r="R248" s="72">
        <f t="shared" si="25"/>
        <v>3090</v>
      </c>
      <c r="S248" s="69"/>
      <c r="T248" s="81" t="s">
        <v>6258</v>
      </c>
      <c r="U248" s="81" t="s">
        <v>6259</v>
      </c>
      <c r="V248" s="81" t="s">
        <v>6260</v>
      </c>
      <c r="W248" s="60"/>
    </row>
    <row r="249" spans="1:23" ht="27" x14ac:dyDescent="0.25">
      <c r="A249" s="45">
        <v>3001770</v>
      </c>
      <c r="B249" s="46" t="s">
        <v>1764</v>
      </c>
      <c r="C249" s="47">
        <f>SUMIF('LISTA TECNICA'!$I:$I,$A249,'LISTA TECNICA'!$P:$P)</f>
        <v>0</v>
      </c>
      <c r="D249" s="66">
        <f>IFERROR(VLOOKUP($A249,'0802'!$A:$D,4,0),0)</f>
        <v>0</v>
      </c>
      <c r="E249" s="72">
        <f t="shared" si="26"/>
        <v>0</v>
      </c>
      <c r="F249" s="69"/>
      <c r="G249" s="60"/>
      <c r="H249" s="60"/>
      <c r="I249" s="60"/>
      <c r="J249" s="60"/>
      <c r="L249" s="45">
        <v>4016622</v>
      </c>
      <c r="M249" s="46" t="s">
        <v>1459</v>
      </c>
      <c r="N249" s="47">
        <f>SUMIF('LISTA TECNICA'!$I:$I,$L249,'LISTA TECNICA'!$P:$P)</f>
        <v>2400</v>
      </c>
      <c r="O249" s="49">
        <f>IFERROR(VLOOKUP($L249,'0805'!$A:$D,4,0),0)</f>
        <v>0</v>
      </c>
      <c r="P249" s="49">
        <f>IFERROR(VLOOKUP($L249,'0806'!$A:$D,4,0),0)</f>
        <v>0</v>
      </c>
      <c r="Q249" s="59">
        <f t="shared" si="24"/>
        <v>0</v>
      </c>
      <c r="R249" s="72">
        <f t="shared" si="25"/>
        <v>-2400</v>
      </c>
      <c r="S249" s="69"/>
      <c r="T249" s="81" t="s">
        <v>6261</v>
      </c>
      <c r="U249" s="81" t="s">
        <v>6262</v>
      </c>
      <c r="V249" s="81" t="s">
        <v>6263</v>
      </c>
      <c r="W249" s="60"/>
    </row>
    <row r="250" spans="1:23" x14ac:dyDescent="0.25">
      <c r="A250" s="45">
        <v>3001711</v>
      </c>
      <c r="B250" s="46" t="s">
        <v>1443</v>
      </c>
      <c r="C250" s="47">
        <f>SUMIF('LISTA TECNICA'!$I:$I,$A250,'LISTA TECNICA'!$P:$P)</f>
        <v>0</v>
      </c>
      <c r="D250" s="66">
        <f>IFERROR(VLOOKUP($A250,'0802'!$A:$D,4,0),0)</f>
        <v>2236</v>
      </c>
      <c r="E250" s="72">
        <f t="shared" si="26"/>
        <v>2236</v>
      </c>
      <c r="F250" s="69"/>
      <c r="G250" s="60"/>
      <c r="H250" s="60"/>
      <c r="I250" s="60"/>
      <c r="J250" s="60"/>
      <c r="L250"/>
      <c r="M250"/>
      <c r="N250"/>
      <c r="O250"/>
      <c r="P250"/>
      <c r="Q250"/>
      <c r="R250"/>
      <c r="S250"/>
      <c r="T250"/>
      <c r="U250"/>
      <c r="V250"/>
      <c r="W250"/>
    </row>
    <row r="251" spans="1:23" ht="15.75" thickBot="1" x14ac:dyDescent="0.3">
      <c r="A251" s="45">
        <v>3003211</v>
      </c>
      <c r="B251" s="46" t="s">
        <v>1438</v>
      </c>
      <c r="C251" s="47">
        <f>SUMIF('LISTA TECNICA'!$I:$I,$A251,'LISTA TECNICA'!$P:$P)</f>
        <v>1200</v>
      </c>
      <c r="D251" s="66">
        <f>IFERROR(VLOOKUP($A251,'0802'!$A:$D,4,0),0)</f>
        <v>4218</v>
      </c>
      <c r="E251" s="72">
        <f t="shared" si="26"/>
        <v>3018</v>
      </c>
      <c r="F251" s="69"/>
      <c r="G251" s="60"/>
      <c r="H251" s="60"/>
      <c r="I251" s="60"/>
      <c r="J251" s="60"/>
      <c r="L251"/>
      <c r="M251"/>
      <c r="N251"/>
      <c r="O251"/>
      <c r="P251"/>
      <c r="Q251"/>
      <c r="R251"/>
      <c r="S251"/>
      <c r="T251"/>
      <c r="U251"/>
      <c r="V251"/>
      <c r="W251"/>
    </row>
    <row r="252" spans="1:23" ht="14.25" thickBot="1" x14ac:dyDescent="0.3">
      <c r="A252" s="45">
        <v>4005086</v>
      </c>
      <c r="B252" s="46" t="s">
        <v>1769</v>
      </c>
      <c r="C252" s="47">
        <f>SUMIF('LISTA TECNICA'!$I:$I,$A252,'LISTA TECNICA'!$P:$P)</f>
        <v>0</v>
      </c>
      <c r="D252" s="66">
        <f>IFERROR(VLOOKUP($A252,'0802'!$A:$D,4,0),0)</f>
        <v>0</v>
      </c>
      <c r="E252" s="72">
        <f t="shared" si="26"/>
        <v>0</v>
      </c>
      <c r="F252" s="69"/>
      <c r="G252" s="60"/>
      <c r="H252" s="60"/>
      <c r="I252" s="60"/>
      <c r="J252" s="60"/>
      <c r="L252" s="86" t="s">
        <v>6083</v>
      </c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8"/>
    </row>
    <row r="253" spans="1:23" ht="14.25" thickBot="1" x14ac:dyDescent="0.3">
      <c r="A253" s="45">
        <v>4011777</v>
      </c>
      <c r="B253" s="46" t="s">
        <v>1786</v>
      </c>
      <c r="C253" s="47">
        <f>SUMIF('LISTA TECNICA'!$I:$I,$A253,'LISTA TECNICA'!$P:$P)</f>
        <v>0</v>
      </c>
      <c r="D253" s="66">
        <f>IFERROR(VLOOKUP($A263,'0802'!$A:$D,4,0),0)</f>
        <v>8713.7999999999993</v>
      </c>
      <c r="E253" s="72">
        <f t="shared" si="26"/>
        <v>8713.7999999999993</v>
      </c>
      <c r="F253" s="69"/>
      <c r="G253" s="60"/>
      <c r="H253" s="60"/>
      <c r="I253" s="60"/>
      <c r="J253" s="60"/>
      <c r="L253" s="53" t="s">
        <v>5</v>
      </c>
      <c r="M253" s="54" t="s">
        <v>2052</v>
      </c>
      <c r="N253" s="55" t="s">
        <v>2053</v>
      </c>
      <c r="O253" s="54">
        <v>805</v>
      </c>
      <c r="P253" s="54">
        <v>806</v>
      </c>
      <c r="Q253" s="57" t="s">
        <v>6068</v>
      </c>
      <c r="R253" s="70" t="s">
        <v>6069</v>
      </c>
      <c r="S253" s="67" t="s">
        <v>6072</v>
      </c>
      <c r="T253" s="63" t="s">
        <v>6073</v>
      </c>
      <c r="U253" s="63" t="s">
        <v>6136</v>
      </c>
      <c r="V253" s="63" t="s">
        <v>6076</v>
      </c>
      <c r="W253" s="64" t="s">
        <v>6074</v>
      </c>
    </row>
    <row r="254" spans="1:23" ht="15.75" thickBot="1" x14ac:dyDescent="0.3">
      <c r="L254" s="45">
        <v>4012151</v>
      </c>
      <c r="M254" s="46" t="s">
        <v>209</v>
      </c>
      <c r="N254" s="47">
        <f>SUMIF('LISTA TECNICA'!$I:$I,$L254,'LISTA TECNICA'!$P:$P)</f>
        <v>129.6</v>
      </c>
      <c r="O254" s="49">
        <f>IFERROR(VLOOKUP($L254,'0805'!$A:$D,4,0),0)</f>
        <v>396.38400000000001</v>
      </c>
      <c r="P254" s="49">
        <f>IFERROR(VLOOKUP($L254,'0806'!$A:$D,4,0),0)</f>
        <v>0</v>
      </c>
      <c r="Q254" s="59">
        <f t="shared" ref="Q254:Q270" si="27">P254+O254</f>
        <v>396.38400000000001</v>
      </c>
      <c r="R254" s="72">
        <f t="shared" ref="R254:R270" si="28">Q254-N254</f>
        <v>266.78399999999999</v>
      </c>
      <c r="S254" s="69"/>
      <c r="T254" s="60"/>
      <c r="U254" s="60"/>
      <c r="V254" s="60"/>
      <c r="W254" s="60"/>
    </row>
    <row r="255" spans="1:23" ht="14.25" thickBot="1" x14ac:dyDescent="0.3">
      <c r="A255" s="86" t="s">
        <v>6093</v>
      </c>
      <c r="B255" s="87"/>
      <c r="C255" s="87"/>
      <c r="D255" s="87"/>
      <c r="E255" s="87"/>
      <c r="F255" s="87"/>
      <c r="G255" s="87"/>
      <c r="H255" s="87"/>
      <c r="I255" s="87"/>
      <c r="J255" s="88"/>
      <c r="L255" s="45">
        <v>4012150</v>
      </c>
      <c r="M255" s="46" t="s">
        <v>220</v>
      </c>
      <c r="N255" s="47">
        <f>SUMIF('LISTA TECNICA'!$I:$I,$L255,'LISTA TECNICA'!$P:$P)</f>
        <v>46.8</v>
      </c>
      <c r="O255" s="49">
        <f>IFERROR(VLOOKUP($L255,'0805'!$A:$D,4,0),0)</f>
        <v>426.56200000000001</v>
      </c>
      <c r="P255" s="49">
        <f>IFERROR(VLOOKUP($L255,'0806'!$A:$D,4,0),0)</f>
        <v>17.013999999999999</v>
      </c>
      <c r="Q255" s="59">
        <f t="shared" si="27"/>
        <v>443.57600000000002</v>
      </c>
      <c r="R255" s="72">
        <f t="shared" si="28"/>
        <v>396.77600000000001</v>
      </c>
      <c r="S255" s="69"/>
      <c r="T255" s="60"/>
      <c r="U255" s="60"/>
      <c r="V255" s="60"/>
      <c r="W255" s="60"/>
    </row>
    <row r="256" spans="1:23" ht="14.25" thickBot="1" x14ac:dyDescent="0.3">
      <c r="A256" s="53" t="s">
        <v>5</v>
      </c>
      <c r="B256" s="54" t="s">
        <v>2052</v>
      </c>
      <c r="C256" s="55" t="s">
        <v>2053</v>
      </c>
      <c r="D256" s="57">
        <v>802</v>
      </c>
      <c r="E256" s="70" t="s">
        <v>6069</v>
      </c>
      <c r="F256" s="67" t="s">
        <v>6072</v>
      </c>
      <c r="G256" s="63" t="s">
        <v>6073</v>
      </c>
      <c r="H256" s="63" t="s">
        <v>6136</v>
      </c>
      <c r="I256" s="63" t="s">
        <v>6076</v>
      </c>
      <c r="J256" s="64" t="s">
        <v>6074</v>
      </c>
      <c r="L256" s="45">
        <v>4002731</v>
      </c>
      <c r="M256" s="46" t="s">
        <v>694</v>
      </c>
      <c r="N256" s="47">
        <f>SUMIF('LISTA TECNICA'!$I:$I,$L256,'LISTA TECNICA'!$P:$P)</f>
        <v>287.28000000000003</v>
      </c>
      <c r="O256" s="49">
        <f>IFERROR(VLOOKUP($L256,'0805'!$A:$D,4,0),0)</f>
        <v>793.31</v>
      </c>
      <c r="P256" s="49">
        <f>IFERROR(VLOOKUP($L256,'0806'!$A:$D,4,0),0)</f>
        <v>0</v>
      </c>
      <c r="Q256" s="59">
        <f t="shared" si="27"/>
        <v>793.31</v>
      </c>
      <c r="R256" s="72">
        <f t="shared" si="28"/>
        <v>506.02999999999992</v>
      </c>
      <c r="S256" s="69"/>
      <c r="T256" s="60"/>
      <c r="U256" s="60"/>
      <c r="V256" s="60"/>
      <c r="W256" s="60"/>
    </row>
    <row r="257" spans="1:23" ht="115.5" customHeight="1" x14ac:dyDescent="0.25">
      <c r="A257" s="45">
        <v>3001930</v>
      </c>
      <c r="B257" s="46" t="s">
        <v>866</v>
      </c>
      <c r="C257" s="47">
        <f>SUMIF('LISTA TECNICA'!$I:$I,$A257,'LISTA TECNICA'!$P:$P)</f>
        <v>6490</v>
      </c>
      <c r="D257" s="66">
        <f>IFERROR(VLOOKUP($A257,'0802'!$A:$D,4,0),0)</f>
        <v>7053.1639999999998</v>
      </c>
      <c r="E257" s="72">
        <f t="shared" ref="E257:E272" si="29">D257-C257</f>
        <v>563.16399999999976</v>
      </c>
      <c r="F257" s="69"/>
      <c r="G257" s="81" t="s">
        <v>6183</v>
      </c>
      <c r="H257" s="81" t="s">
        <v>6184</v>
      </c>
      <c r="I257" s="81" t="s">
        <v>6185</v>
      </c>
      <c r="J257" s="60"/>
      <c r="L257" s="45">
        <v>4012152</v>
      </c>
      <c r="M257" s="46" t="s">
        <v>252</v>
      </c>
      <c r="N257" s="47">
        <f>SUMIF('LISTA TECNICA'!$I:$I,$L257,'LISTA TECNICA'!$P:$P)</f>
        <v>74.099999999999994</v>
      </c>
      <c r="O257" s="49">
        <f>IFERROR(VLOOKUP($L257,'0805'!$A:$D,4,0),0)</f>
        <v>487.12599999999998</v>
      </c>
      <c r="P257" s="49">
        <f>IFERROR(VLOOKUP($L257,'0806'!$A:$D,4,0),0)</f>
        <v>0</v>
      </c>
      <c r="Q257" s="59">
        <f t="shared" si="27"/>
        <v>487.12599999999998</v>
      </c>
      <c r="R257" s="72">
        <f t="shared" si="28"/>
        <v>413.02599999999995</v>
      </c>
      <c r="S257" s="69"/>
      <c r="T257" s="60"/>
      <c r="U257" s="60"/>
      <c r="V257" s="60"/>
      <c r="W257" s="60"/>
    </row>
    <row r="258" spans="1:23" ht="134.25" customHeight="1" x14ac:dyDescent="0.25">
      <c r="A258" s="45">
        <v>3005124</v>
      </c>
      <c r="B258" s="46" t="s">
        <v>887</v>
      </c>
      <c r="C258" s="47">
        <f>SUMIF('LISTA TECNICA'!$I:$I,$A258,'LISTA TECNICA'!$P:$P)</f>
        <v>6785</v>
      </c>
      <c r="D258" s="66">
        <f>IFERROR(VLOOKUP($A258,'0802'!$A:$D,4,0),0)</f>
        <v>21049.419000000002</v>
      </c>
      <c r="E258" s="72">
        <f t="shared" si="29"/>
        <v>14264.419000000002</v>
      </c>
      <c r="F258" s="69"/>
      <c r="G258" s="81" t="s">
        <v>6186</v>
      </c>
      <c r="H258" s="81" t="s">
        <v>6187</v>
      </c>
      <c r="I258" s="81" t="s">
        <v>6188</v>
      </c>
      <c r="J258" s="60"/>
      <c r="L258" s="45">
        <v>4002734</v>
      </c>
      <c r="M258" s="46" t="s">
        <v>257</v>
      </c>
      <c r="N258" s="47">
        <f>SUMIF('LISTA TECNICA'!$I:$I,$L258,'LISTA TECNICA'!$P:$P)</f>
        <v>24.959999999999997</v>
      </c>
      <c r="O258" s="49">
        <f>IFERROR(VLOOKUP($L258,'0805'!$A:$D,4,0),0)</f>
        <v>275.86</v>
      </c>
      <c r="P258" s="49">
        <f>IFERROR(VLOOKUP($L258,'0806'!$A:$D,4,0),0)</f>
        <v>131.04400000000001</v>
      </c>
      <c r="Q258" s="59">
        <f t="shared" si="27"/>
        <v>406.904</v>
      </c>
      <c r="R258" s="72">
        <f t="shared" si="28"/>
        <v>381.94400000000002</v>
      </c>
      <c r="S258" s="69"/>
      <c r="T258" s="60"/>
      <c r="U258" s="60"/>
      <c r="V258" s="60"/>
      <c r="W258" s="60"/>
    </row>
    <row r="259" spans="1:23" ht="40.5" x14ac:dyDescent="0.25">
      <c r="A259" s="45">
        <v>3001476</v>
      </c>
      <c r="B259" s="46" t="s">
        <v>969</v>
      </c>
      <c r="C259" s="47">
        <f>SUMIF('LISTA TECNICA'!$I:$I,$A259,'LISTA TECNICA'!$P:$P)</f>
        <v>4248</v>
      </c>
      <c r="D259" s="66">
        <f>IFERROR(VLOOKUP($A259,'0802'!$A:$D,4,0),0)</f>
        <v>0</v>
      </c>
      <c r="E259" s="72">
        <f t="shared" si="29"/>
        <v>-4248</v>
      </c>
      <c r="F259" s="69"/>
      <c r="G259" s="81" t="s">
        <v>6189</v>
      </c>
      <c r="H259" s="81" t="s">
        <v>6190</v>
      </c>
      <c r="I259" s="81" t="s">
        <v>6191</v>
      </c>
      <c r="J259" s="60"/>
      <c r="L259" s="45">
        <v>4015222</v>
      </c>
      <c r="M259" s="46" t="s">
        <v>1550</v>
      </c>
      <c r="N259" s="47">
        <f>SUMIF('LISTA TECNICA'!$I:$I,$L259,'LISTA TECNICA'!$P:$P)</f>
        <v>139.86000000000001</v>
      </c>
      <c r="O259" s="49">
        <f>IFERROR(VLOOKUP($L259,'0805'!$A:$D,4,0),0)</f>
        <v>1063.5</v>
      </c>
      <c r="P259" s="49">
        <f>IFERROR(VLOOKUP($L259,'0806'!$A:$D,4,0),0)</f>
        <v>14.17</v>
      </c>
      <c r="Q259" s="59">
        <f t="shared" si="27"/>
        <v>1077.67</v>
      </c>
      <c r="R259" s="72">
        <f t="shared" si="28"/>
        <v>937.81000000000006</v>
      </c>
      <c r="S259" s="69"/>
      <c r="T259" s="60"/>
      <c r="U259" s="60"/>
      <c r="V259" s="60"/>
      <c r="W259" s="60"/>
    </row>
    <row r="260" spans="1:23" ht="13.5" x14ac:dyDescent="0.25">
      <c r="A260" s="45">
        <v>3004961</v>
      </c>
      <c r="B260" s="46" t="s">
        <v>1061</v>
      </c>
      <c r="C260" s="47">
        <f>SUMIF('LISTA TECNICA'!$I:$I,$A260,'LISTA TECNICA'!$P:$P)</f>
        <v>1240</v>
      </c>
      <c r="D260" s="66">
        <f>IFERROR(VLOOKUP($A260,'0802'!$A:$D,4,0),0)</f>
        <v>4746.1000000000004</v>
      </c>
      <c r="E260" s="72">
        <f t="shared" si="29"/>
        <v>3506.1000000000004</v>
      </c>
      <c r="F260" s="69"/>
      <c r="G260" s="60"/>
      <c r="H260" s="60"/>
      <c r="I260" s="60"/>
      <c r="J260" s="60"/>
      <c r="L260" s="45">
        <v>4002733</v>
      </c>
      <c r="M260" s="46" t="s">
        <v>243</v>
      </c>
      <c r="N260" s="47">
        <f>SUMIF('LISTA TECNICA'!$I:$I,$L260,'LISTA TECNICA'!$P:$P)</f>
        <v>213.12</v>
      </c>
      <c r="O260" s="49">
        <f>IFERROR(VLOOKUP($L260,'0805'!$A:$D,4,0),0)</f>
        <v>997.45600000000002</v>
      </c>
      <c r="P260" s="49">
        <f>IFERROR(VLOOKUP($L260,'0806'!$A:$D,4,0),0)</f>
        <v>57.889000000000003</v>
      </c>
      <c r="Q260" s="59">
        <f t="shared" si="27"/>
        <v>1055.345</v>
      </c>
      <c r="R260" s="72">
        <f t="shared" si="28"/>
        <v>842.22500000000002</v>
      </c>
      <c r="S260" s="69"/>
      <c r="T260" s="60"/>
      <c r="U260" s="60"/>
      <c r="V260" s="60"/>
      <c r="W260" s="60"/>
    </row>
    <row r="261" spans="1:23" ht="54.75" customHeight="1" x14ac:dyDescent="0.25">
      <c r="A261" s="45">
        <v>3001933</v>
      </c>
      <c r="B261" s="46" t="s">
        <v>874</v>
      </c>
      <c r="C261" s="47">
        <f>SUMIF('LISTA TECNICA'!$I:$I,$A261,'LISTA TECNICA'!$P:$P)</f>
        <v>0</v>
      </c>
      <c r="D261" s="66">
        <f>IFERROR(VLOOKUP($A261,'0802'!$A:$D,4,0),0)</f>
        <v>3225.96</v>
      </c>
      <c r="E261" s="72">
        <f t="shared" si="29"/>
        <v>3225.96</v>
      </c>
      <c r="F261" s="69" t="s">
        <v>6192</v>
      </c>
      <c r="G261" s="81" t="s">
        <v>6193</v>
      </c>
      <c r="H261" s="81" t="s">
        <v>6194</v>
      </c>
      <c r="I261" s="81" t="s">
        <v>6195</v>
      </c>
      <c r="J261" s="60"/>
      <c r="L261" s="45">
        <v>4002735</v>
      </c>
      <c r="M261" s="46" t="s">
        <v>262</v>
      </c>
      <c r="N261" s="47">
        <f>SUMIF('LISTA TECNICA'!$I:$I,$L261,'LISTA TECNICA'!$P:$P)</f>
        <v>9.1</v>
      </c>
      <c r="O261" s="49">
        <f>IFERROR(VLOOKUP($L261,'0805'!$A:$D,4,0),0)</f>
        <v>163.18</v>
      </c>
      <c r="P261" s="49">
        <f>IFERROR(VLOOKUP($L261,'0806'!$A:$D,4,0),0)</f>
        <v>34</v>
      </c>
      <c r="Q261" s="59">
        <f t="shared" si="27"/>
        <v>197.18</v>
      </c>
      <c r="R261" s="72">
        <f t="shared" si="28"/>
        <v>188.08</v>
      </c>
      <c r="S261" s="69"/>
      <c r="T261" s="60"/>
      <c r="U261" s="60"/>
      <c r="V261" s="60"/>
      <c r="W261" s="60"/>
    </row>
    <row r="262" spans="1:23" ht="94.5" x14ac:dyDescent="0.25">
      <c r="A262" s="45">
        <v>3005125</v>
      </c>
      <c r="B262" s="46" t="s">
        <v>896</v>
      </c>
      <c r="C262" s="47">
        <f>SUMIF('LISTA TECNICA'!$I:$I,$A262,'LISTA TECNICA'!$P:$P)</f>
        <v>3599</v>
      </c>
      <c r="D262" s="66">
        <f>IFERROR(VLOOKUP($A262,'0802'!$A:$D,4,0),0)</f>
        <v>33949.444000000003</v>
      </c>
      <c r="E262" s="72">
        <f t="shared" si="29"/>
        <v>30350.444000000003</v>
      </c>
      <c r="F262" s="69"/>
      <c r="G262" s="81" t="s">
        <v>6196</v>
      </c>
      <c r="H262" s="81" t="s">
        <v>6197</v>
      </c>
      <c r="I262" s="81" t="s">
        <v>6198</v>
      </c>
      <c r="J262" s="60"/>
      <c r="L262" s="45">
        <v>4002736</v>
      </c>
      <c r="M262" s="46" t="s">
        <v>271</v>
      </c>
      <c r="N262" s="47">
        <f>SUMIF('LISTA TECNICA'!$I:$I,$L262,'LISTA TECNICA'!$P:$P)</f>
        <v>0</v>
      </c>
      <c r="O262" s="49">
        <f>IFERROR(VLOOKUP($L262,'0805'!$A:$D,4,0),0)</f>
        <v>315.74</v>
      </c>
      <c r="P262" s="49">
        <f>IFERROR(VLOOKUP($L262,'0806'!$A:$D,4,0),0)</f>
        <v>0</v>
      </c>
      <c r="Q262" s="59">
        <f t="shared" si="27"/>
        <v>315.74</v>
      </c>
      <c r="R262" s="72">
        <f t="shared" si="28"/>
        <v>315.74</v>
      </c>
      <c r="S262" s="69"/>
      <c r="T262" s="60"/>
      <c r="U262" s="60"/>
      <c r="V262" s="60"/>
      <c r="W262" s="60"/>
    </row>
    <row r="263" spans="1:23" ht="13.5" x14ac:dyDescent="0.25">
      <c r="A263" s="45">
        <v>3001479</v>
      </c>
      <c r="B263" s="46" t="s">
        <v>974</v>
      </c>
      <c r="C263" s="47">
        <f>SUMIF('LISTA TECNICA'!$I:$I,$A263,'LISTA TECNICA'!$P:$P)</f>
        <v>1516.8</v>
      </c>
      <c r="D263" s="66">
        <f>IFERROR(VLOOKUP($A263,'0802'!$A:$D,4,0),0)</f>
        <v>8713.7999999999993</v>
      </c>
      <c r="E263" s="72">
        <f t="shared" si="29"/>
        <v>7196.9999999999991</v>
      </c>
      <c r="F263" s="69"/>
      <c r="G263" s="60" t="s">
        <v>6199</v>
      </c>
      <c r="H263" s="82">
        <v>1823</v>
      </c>
      <c r="I263" s="60" t="s">
        <v>6200</v>
      </c>
      <c r="J263" s="60"/>
      <c r="L263" s="45">
        <v>4005783</v>
      </c>
      <c r="M263" s="46" t="s">
        <v>1559</v>
      </c>
      <c r="N263" s="47">
        <f>SUMIF('LISTA TECNICA'!$I:$I,$L263,'LISTA TECNICA'!$P:$P)</f>
        <v>28.48</v>
      </c>
      <c r="O263" s="49">
        <f>IFERROR(VLOOKUP($L263,'0805'!$A:$D,4,0),0)</f>
        <v>215.18</v>
      </c>
      <c r="P263" s="49">
        <f>IFERROR(VLOOKUP($L263,'0806'!$A:$D,4,0),0)</f>
        <v>0</v>
      </c>
      <c r="Q263" s="59">
        <f t="shared" si="27"/>
        <v>215.18</v>
      </c>
      <c r="R263" s="72">
        <f t="shared" si="28"/>
        <v>186.70000000000002</v>
      </c>
      <c r="S263" s="69"/>
      <c r="T263" s="60"/>
      <c r="U263" s="60"/>
      <c r="V263" s="60"/>
      <c r="W263" s="60"/>
    </row>
    <row r="264" spans="1:23" ht="81" x14ac:dyDescent="0.25">
      <c r="A264" s="45">
        <v>3001932</v>
      </c>
      <c r="B264" s="46" t="s">
        <v>878</v>
      </c>
      <c r="C264" s="47">
        <f>SUMIF('LISTA TECNICA'!$I:$I,$A264,'LISTA TECNICA'!$P:$P)</f>
        <v>0</v>
      </c>
      <c r="D264" s="66">
        <f>IFERROR(VLOOKUP($A264,'0802'!$A:$D,4,0),0)</f>
        <v>1976.37</v>
      </c>
      <c r="E264" s="72">
        <f t="shared" si="29"/>
        <v>1976.37</v>
      </c>
      <c r="F264" s="69" t="s">
        <v>6202</v>
      </c>
      <c r="G264" s="81" t="s">
        <v>6201</v>
      </c>
      <c r="H264" s="81" t="s">
        <v>6203</v>
      </c>
      <c r="I264" s="81" t="s">
        <v>6204</v>
      </c>
      <c r="J264" s="60"/>
      <c r="L264" s="45">
        <v>4005778</v>
      </c>
      <c r="M264" s="46" t="s">
        <v>1611</v>
      </c>
      <c r="N264" s="47">
        <f>SUMIF('LISTA TECNICA'!$I:$I,$L264,'LISTA TECNICA'!$P:$P)</f>
        <v>14.950000000000001</v>
      </c>
      <c r="O264" s="49">
        <f>IFERROR(VLOOKUP($L264,'0805'!$A:$D,4,0),0)</f>
        <v>282.25</v>
      </c>
      <c r="P264" s="49">
        <f>IFERROR(VLOOKUP($L264,'0806'!$A:$D,4,0),0)</f>
        <v>0</v>
      </c>
      <c r="Q264" s="59">
        <f t="shared" si="27"/>
        <v>282.25</v>
      </c>
      <c r="R264" s="72">
        <f t="shared" si="28"/>
        <v>267.3</v>
      </c>
      <c r="S264" s="69"/>
      <c r="T264" s="60"/>
      <c r="U264" s="60"/>
      <c r="V264" s="60"/>
      <c r="W264" s="60"/>
    </row>
    <row r="265" spans="1:23" ht="54" x14ac:dyDescent="0.25">
      <c r="A265" s="45">
        <v>3005123</v>
      </c>
      <c r="B265" s="46" t="s">
        <v>900</v>
      </c>
      <c r="C265" s="47">
        <f>SUMIF('LISTA TECNICA'!$I:$I,$A265,'LISTA TECNICA'!$P:$P)</f>
        <v>4336.5</v>
      </c>
      <c r="D265" s="66">
        <f>IFERROR(VLOOKUP($A265,'0802'!$A:$D,4,0),0)</f>
        <v>15579</v>
      </c>
      <c r="E265" s="72">
        <f t="shared" si="29"/>
        <v>11242.5</v>
      </c>
      <c r="F265" s="69"/>
      <c r="G265" s="81" t="s">
        <v>6205</v>
      </c>
      <c r="H265" s="81" t="s">
        <v>6206</v>
      </c>
      <c r="I265" s="81" t="s">
        <v>6207</v>
      </c>
      <c r="J265" s="60"/>
      <c r="L265" s="45">
        <v>4005782</v>
      </c>
      <c r="M265" s="46" t="s">
        <v>1581</v>
      </c>
      <c r="N265" s="47">
        <f>SUMIF('LISTA TECNICA'!$I:$I,$L265,'LISTA TECNICA'!$P:$P)</f>
        <v>0</v>
      </c>
      <c r="O265" s="49">
        <f>IFERROR(VLOOKUP($L265,'0805'!$A:$D,4,0),0)</f>
        <v>296.63299999999998</v>
      </c>
      <c r="P265" s="49">
        <f>IFERROR(VLOOKUP($L265,'0806'!$A:$D,4,0),0)</f>
        <v>10</v>
      </c>
      <c r="Q265" s="59">
        <f t="shared" si="27"/>
        <v>306.63299999999998</v>
      </c>
      <c r="R265" s="72">
        <f t="shared" si="28"/>
        <v>306.63299999999998</v>
      </c>
      <c r="S265" s="69"/>
      <c r="T265" s="60"/>
      <c r="U265" s="60"/>
      <c r="V265" s="60"/>
      <c r="W265" s="60"/>
    </row>
    <row r="266" spans="1:23" ht="13.5" x14ac:dyDescent="0.25">
      <c r="A266" s="45">
        <v>3001475</v>
      </c>
      <c r="B266" s="46" t="s">
        <v>978</v>
      </c>
      <c r="C266" s="47">
        <f>SUMIF('LISTA TECNICA'!$I:$I,$A266,'LISTA TECNICA'!$P:$P)</f>
        <v>1516.8</v>
      </c>
      <c r="D266" s="66">
        <f>IFERROR(VLOOKUP($A266,'0802'!$A:$D,4,0),0)</f>
        <v>1715.4079999999999</v>
      </c>
      <c r="E266" s="72">
        <f t="shared" si="29"/>
        <v>198.60799999999995</v>
      </c>
      <c r="F266" s="69"/>
      <c r="G266" s="81"/>
      <c r="H266" s="81"/>
      <c r="I266" s="81"/>
      <c r="J266" s="60"/>
      <c r="L266" s="45">
        <v>4005780</v>
      </c>
      <c r="M266" s="46" t="s">
        <v>1631</v>
      </c>
      <c r="N266" s="47">
        <f>SUMIF('LISTA TECNICA'!$I:$I,$L266,'LISTA TECNICA'!$P:$P)</f>
        <v>17.28</v>
      </c>
      <c r="O266" s="49">
        <f>IFERROR(VLOOKUP($L266,'0805'!$A:$D,4,0),0)</f>
        <v>7</v>
      </c>
      <c r="P266" s="49">
        <f>IFERROR(VLOOKUP($L266,'0806'!$A:$D,4,0),0)</f>
        <v>71.355999999999995</v>
      </c>
      <c r="Q266" s="59">
        <f t="shared" si="27"/>
        <v>78.355999999999995</v>
      </c>
      <c r="R266" s="72">
        <f t="shared" si="28"/>
        <v>61.075999999999993</v>
      </c>
      <c r="S266" s="69"/>
      <c r="T266" s="60" t="s">
        <v>6264</v>
      </c>
      <c r="U266" s="60">
        <v>250</v>
      </c>
      <c r="V266" s="60" t="s">
        <v>6265</v>
      </c>
      <c r="W266" s="60"/>
    </row>
    <row r="267" spans="1:23" ht="54" x14ac:dyDescent="0.25">
      <c r="A267" s="45">
        <v>3001931</v>
      </c>
      <c r="B267" s="46" t="s">
        <v>882</v>
      </c>
      <c r="C267" s="47">
        <f>SUMIF('LISTA TECNICA'!$I:$I,$A267,'LISTA TECNICA'!$P:$P)</f>
        <v>0</v>
      </c>
      <c r="D267" s="66">
        <f>IFERROR(VLOOKUP($A267,'0802'!$A:$D,4,0),0)</f>
        <v>11703.03</v>
      </c>
      <c r="E267" s="72">
        <f t="shared" si="29"/>
        <v>11703.03</v>
      </c>
      <c r="F267" s="69" t="s">
        <v>6209</v>
      </c>
      <c r="G267" s="81" t="s">
        <v>6208</v>
      </c>
      <c r="H267" s="81" t="s">
        <v>6210</v>
      </c>
      <c r="I267" s="81" t="s">
        <v>6211</v>
      </c>
      <c r="J267" s="60"/>
      <c r="L267" s="45">
        <v>4005405</v>
      </c>
      <c r="M267" s="46" t="s">
        <v>215</v>
      </c>
      <c r="N267" s="47">
        <f>SUMIF('LISTA TECNICA'!$I:$I,$L267,'LISTA TECNICA'!$P:$P)</f>
        <v>22.5</v>
      </c>
      <c r="O267" s="49">
        <f>IFERROR(VLOOKUP($L267,'0805'!$A:$D,4,0),0)</f>
        <v>273.27999999999997</v>
      </c>
      <c r="P267" s="49">
        <f>IFERROR(VLOOKUP($L267,'0806'!$A:$D,4,0),0)</f>
        <v>10.63</v>
      </c>
      <c r="Q267" s="59">
        <f t="shared" si="27"/>
        <v>283.90999999999997</v>
      </c>
      <c r="R267" s="72">
        <f t="shared" si="28"/>
        <v>261.40999999999997</v>
      </c>
      <c r="S267" s="69"/>
      <c r="T267" s="60"/>
      <c r="U267" s="60"/>
      <c r="V267" s="60"/>
      <c r="W267" s="60"/>
    </row>
    <row r="268" spans="1:23" ht="27" x14ac:dyDescent="0.25">
      <c r="A268" s="45">
        <v>3005122</v>
      </c>
      <c r="B268" s="46" t="s">
        <v>904</v>
      </c>
      <c r="C268" s="47">
        <f>SUMIF('LISTA TECNICA'!$I:$I,$A268,'LISTA TECNICA'!$P:$P)</f>
        <v>2360</v>
      </c>
      <c r="D268" s="66">
        <f>IFERROR(VLOOKUP($A268,'0802'!$A:$D,4,0),0)</f>
        <v>11306.462</v>
      </c>
      <c r="E268" s="72">
        <f t="shared" si="29"/>
        <v>8946.4619999999995</v>
      </c>
      <c r="F268" s="69"/>
      <c r="G268" s="81" t="s">
        <v>6212</v>
      </c>
      <c r="H268" s="81" t="s">
        <v>6213</v>
      </c>
      <c r="I268" s="81" t="s">
        <v>6214</v>
      </c>
      <c r="J268" s="60"/>
      <c r="L268" s="45">
        <v>4002748</v>
      </c>
      <c r="M268" s="46" t="s">
        <v>695</v>
      </c>
      <c r="N268" s="47">
        <f>SUMIF('LISTA TECNICA'!$I:$I,$L268,'LISTA TECNICA'!$P:$P)</f>
        <v>177.84</v>
      </c>
      <c r="O268" s="49">
        <f>IFERROR(VLOOKUP($L268,'0805'!$A:$D,4,0),0)</f>
        <v>365.47</v>
      </c>
      <c r="P268" s="49">
        <f>IFERROR(VLOOKUP($L268,'0806'!$A:$D,4,0),0)</f>
        <v>10.593999999999999</v>
      </c>
      <c r="Q268" s="59">
        <f t="shared" si="27"/>
        <v>376.06400000000002</v>
      </c>
      <c r="R268" s="72">
        <f t="shared" si="28"/>
        <v>198.22400000000002</v>
      </c>
      <c r="S268" s="69"/>
      <c r="T268" s="60"/>
      <c r="U268" s="60"/>
      <c r="V268" s="60"/>
      <c r="W268" s="60"/>
    </row>
    <row r="269" spans="1:23" ht="13.5" x14ac:dyDescent="0.25">
      <c r="A269" s="45">
        <v>3001477</v>
      </c>
      <c r="B269" s="46" t="s">
        <v>982</v>
      </c>
      <c r="C269" s="47">
        <f>SUMIF('LISTA TECNICA'!$I:$I,$A269,'LISTA TECNICA'!$P:$P)</f>
        <v>1896</v>
      </c>
      <c r="D269" s="66">
        <f>IFERROR(VLOOKUP($A269,'0802'!$A:$D,4,0),0)</f>
        <v>59.103999999999999</v>
      </c>
      <c r="E269" s="72">
        <f t="shared" si="29"/>
        <v>-1836.896</v>
      </c>
      <c r="F269" s="69"/>
      <c r="G269" s="60"/>
      <c r="H269" s="60"/>
      <c r="I269" s="60"/>
      <c r="J269" s="60"/>
      <c r="L269" s="45">
        <v>4005404</v>
      </c>
      <c r="M269" s="46" t="s">
        <v>214</v>
      </c>
      <c r="N269" s="47">
        <f>SUMIF('LISTA TECNICA'!$I:$I,$L269,'LISTA TECNICA'!$P:$P)</f>
        <v>12</v>
      </c>
      <c r="O269" s="49">
        <f>IFERROR(VLOOKUP($L269,'0805'!$A:$D,4,0),0)</f>
        <v>425.47</v>
      </c>
      <c r="P269" s="49">
        <f>IFERROR(VLOOKUP($L269,'0806'!$A:$D,4,0),0)</f>
        <v>0</v>
      </c>
      <c r="Q269" s="59">
        <f t="shared" si="27"/>
        <v>425.47</v>
      </c>
      <c r="R269" s="72">
        <f t="shared" si="28"/>
        <v>413.47</v>
      </c>
      <c r="S269" s="69"/>
      <c r="T269" s="60"/>
      <c r="U269" s="60"/>
      <c r="V269" s="60"/>
      <c r="W269" s="60"/>
    </row>
    <row r="270" spans="1:23" ht="27" x14ac:dyDescent="0.25">
      <c r="A270" s="45">
        <v>4008681</v>
      </c>
      <c r="B270" s="46" t="s">
        <v>869</v>
      </c>
      <c r="C270" s="47">
        <f>SUMIF('LISTA TECNICA'!$I:$I,$A270,'LISTA TECNICA'!$P:$P)</f>
        <v>41.400000000000006</v>
      </c>
      <c r="D270" s="66">
        <f>IFERROR(VLOOKUP($A270,'0802'!$A:$D,4,0),0)</f>
        <v>495.30399999999997</v>
      </c>
      <c r="E270" s="72">
        <f t="shared" si="29"/>
        <v>453.904</v>
      </c>
      <c r="F270" s="69"/>
      <c r="G270" s="60"/>
      <c r="H270" s="60"/>
      <c r="I270" s="60"/>
      <c r="J270" s="60"/>
      <c r="L270" s="45">
        <v>4016160</v>
      </c>
      <c r="M270" s="46" t="s">
        <v>69</v>
      </c>
      <c r="N270" s="47">
        <f>SUMIF('LISTA TECNICA'!$I:$I,$L270,'LISTA TECNICA'!$P:$P)</f>
        <v>610.89100000000019</v>
      </c>
      <c r="O270" s="49">
        <f>IFERROR(VLOOKUP($L270,'0805'!$A:$D,4,0),0)</f>
        <v>0</v>
      </c>
      <c r="P270" s="49">
        <f>IFERROR(VLOOKUP($L270,'0806'!$A:$D,4,0),0)</f>
        <v>0</v>
      </c>
      <c r="Q270" s="59">
        <f t="shared" si="27"/>
        <v>0</v>
      </c>
      <c r="R270" s="72">
        <f t="shared" si="28"/>
        <v>-610.89100000000019</v>
      </c>
      <c r="S270" s="69"/>
      <c r="T270" s="81" t="s">
        <v>6266</v>
      </c>
      <c r="U270" s="81" t="s">
        <v>6267</v>
      </c>
      <c r="V270" s="81" t="s">
        <v>6268</v>
      </c>
      <c r="W270" s="60"/>
    </row>
    <row r="271" spans="1:23" x14ac:dyDescent="0.25">
      <c r="A271" s="45">
        <v>3001467</v>
      </c>
      <c r="B271" s="46" t="s">
        <v>886</v>
      </c>
      <c r="C271" s="47">
        <f>SUMIF('LISTA TECNICA'!$I:$I,$A271,'LISTA TECNICA'!$P:$P)</f>
        <v>0</v>
      </c>
      <c r="D271" s="66">
        <f>IFERROR(VLOOKUP($A271,'0802'!$A:$D,4,0),0)</f>
        <v>6681</v>
      </c>
      <c r="E271" s="72">
        <f t="shared" si="29"/>
        <v>6681</v>
      </c>
      <c r="F271" s="69" t="s">
        <v>6215</v>
      </c>
      <c r="G271" s="60"/>
      <c r="H271" s="60"/>
      <c r="I271" s="60"/>
      <c r="J271" s="60"/>
      <c r="L271"/>
      <c r="M271"/>
      <c r="N271"/>
      <c r="O271"/>
      <c r="P271"/>
      <c r="Q271"/>
      <c r="R271"/>
      <c r="S271"/>
      <c r="T271"/>
      <c r="U271"/>
      <c r="V271"/>
      <c r="W271"/>
    </row>
    <row r="272" spans="1:23" ht="27.75" thickBot="1" x14ac:dyDescent="0.3">
      <c r="A272" s="45">
        <v>4015174</v>
      </c>
      <c r="B272" s="46" t="s">
        <v>871</v>
      </c>
      <c r="C272" s="47">
        <f>SUMIF('LISTA TECNICA'!$I:$I,$A272,'LISTA TECNICA'!$P:$P)</f>
        <v>17300</v>
      </c>
      <c r="D272" s="66">
        <f>IFERROR(VLOOKUP($A272,'0802'!$A:$D,4,0),0)</f>
        <v>27068</v>
      </c>
      <c r="E272" s="72">
        <f t="shared" si="29"/>
        <v>9768</v>
      </c>
      <c r="F272" s="69"/>
      <c r="G272" s="81" t="s">
        <v>6216</v>
      </c>
      <c r="H272" s="81" t="s">
        <v>6217</v>
      </c>
      <c r="I272" s="81" t="s">
        <v>6218</v>
      </c>
      <c r="J272" s="60"/>
      <c r="L272"/>
      <c r="M272"/>
      <c r="N272"/>
      <c r="O272"/>
      <c r="P272"/>
      <c r="Q272"/>
      <c r="R272"/>
      <c r="S272"/>
      <c r="T272"/>
      <c r="U272"/>
      <c r="V272"/>
      <c r="W272"/>
    </row>
    <row r="273" spans="1:23" ht="14.25" thickBot="1" x14ac:dyDescent="0.3">
      <c r="A273" s="78"/>
      <c r="B273" s="75"/>
      <c r="C273" s="76"/>
      <c r="D273" s="76"/>
      <c r="E273" s="77"/>
      <c r="F273" s="12"/>
      <c r="G273" s="12"/>
      <c r="H273" s="12"/>
      <c r="I273" s="12"/>
      <c r="J273" s="12"/>
      <c r="L273" s="86" t="s">
        <v>6084</v>
      </c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8"/>
    </row>
    <row r="274" spans="1:23" ht="14.25" thickBot="1" x14ac:dyDescent="0.3">
      <c r="A274" s="86" t="s">
        <v>6094</v>
      </c>
      <c r="B274" s="87"/>
      <c r="C274" s="87"/>
      <c r="D274" s="87"/>
      <c r="E274" s="87"/>
      <c r="F274" s="87"/>
      <c r="G274" s="87"/>
      <c r="H274" s="87"/>
      <c r="I274" s="87"/>
      <c r="J274" s="88"/>
      <c r="L274" s="53" t="s">
        <v>5</v>
      </c>
      <c r="M274" s="54" t="s">
        <v>2052</v>
      </c>
      <c r="N274" s="55" t="s">
        <v>2053</v>
      </c>
      <c r="O274" s="54">
        <v>805</v>
      </c>
      <c r="P274" s="54">
        <v>806</v>
      </c>
      <c r="Q274" s="57" t="s">
        <v>6068</v>
      </c>
      <c r="R274" s="70" t="s">
        <v>6069</v>
      </c>
      <c r="S274" s="67" t="s">
        <v>6072</v>
      </c>
      <c r="T274" s="63" t="s">
        <v>6073</v>
      </c>
      <c r="U274" s="63" t="s">
        <v>6136</v>
      </c>
      <c r="V274" s="63" t="s">
        <v>6076</v>
      </c>
      <c r="W274" s="64" t="s">
        <v>6074</v>
      </c>
    </row>
    <row r="275" spans="1:23" ht="14.25" thickBot="1" x14ac:dyDescent="0.3">
      <c r="A275" s="53" t="s">
        <v>5</v>
      </c>
      <c r="B275" s="54" t="s">
        <v>2052</v>
      </c>
      <c r="C275" s="55" t="s">
        <v>2053</v>
      </c>
      <c r="D275" s="57">
        <v>802</v>
      </c>
      <c r="E275" s="70" t="s">
        <v>6069</v>
      </c>
      <c r="F275" s="67" t="s">
        <v>6072</v>
      </c>
      <c r="G275" s="63" t="s">
        <v>6073</v>
      </c>
      <c r="H275" s="63" t="s">
        <v>6136</v>
      </c>
      <c r="I275" s="63" t="s">
        <v>6076</v>
      </c>
      <c r="J275" s="64" t="s">
        <v>6074</v>
      </c>
      <c r="L275" s="45">
        <v>4003060</v>
      </c>
      <c r="M275" s="46" t="s">
        <v>230</v>
      </c>
      <c r="N275" s="47">
        <f>SUMIF('LISTA TECNICA'!$I:$I,$L275,'LISTA TECNICA'!$P:$P)</f>
        <v>3000</v>
      </c>
      <c r="O275" s="49">
        <f>IFERROR(VLOOKUP($L275,'0805'!$A:$D,4,0),0)</f>
        <v>1434</v>
      </c>
      <c r="P275" s="49">
        <f>IFERROR(VLOOKUP($L275,'0806'!$A:$D,4,0),0)</f>
        <v>130</v>
      </c>
      <c r="Q275" s="59">
        <f t="shared" ref="Q275:Q303" si="30">P275+O275</f>
        <v>1564</v>
      </c>
      <c r="R275" s="72">
        <f t="shared" ref="R275:R303" si="31">Q275-N275</f>
        <v>-1436</v>
      </c>
      <c r="S275" s="69"/>
      <c r="T275" s="60"/>
      <c r="U275" s="60"/>
      <c r="V275" s="60"/>
      <c r="W275" s="60"/>
    </row>
    <row r="276" spans="1:23" ht="13.5" x14ac:dyDescent="0.25">
      <c r="A276" s="45">
        <v>3000617</v>
      </c>
      <c r="B276" s="46" t="s">
        <v>71</v>
      </c>
      <c r="C276" s="47">
        <f>SUMIF('LISTA TECNICA'!$I:$I,$A276,'LISTA TECNICA'!$P:$P)</f>
        <v>0</v>
      </c>
      <c r="D276" s="66">
        <f>IFERROR(VLOOKUP($A276,'0802'!$A:$D,4,0),0)</f>
        <v>2735</v>
      </c>
      <c r="E276" s="72">
        <f t="shared" ref="E276:E281" si="32">D276-C276</f>
        <v>2735</v>
      </c>
      <c r="F276" s="69"/>
      <c r="G276" s="60"/>
      <c r="H276" s="60"/>
      <c r="I276" s="60"/>
      <c r="J276" s="60"/>
      <c r="L276" s="45">
        <v>4003065</v>
      </c>
      <c r="M276" s="46" t="s">
        <v>276</v>
      </c>
      <c r="N276" s="47">
        <f>SUMIF('LISTA TECNICA'!$I:$I,$L276,'LISTA TECNICA'!$P:$P)</f>
        <v>20000</v>
      </c>
      <c r="O276" s="49">
        <f>IFERROR(VLOOKUP($L276,'0805'!$A:$D,4,0),0)</f>
        <v>278287</v>
      </c>
      <c r="P276" s="49">
        <f>IFERROR(VLOOKUP($L276,'0806'!$A:$D,4,0),0)</f>
        <v>1320</v>
      </c>
      <c r="Q276" s="59">
        <f t="shared" si="30"/>
        <v>279607</v>
      </c>
      <c r="R276" s="72">
        <f t="shared" si="31"/>
        <v>259607</v>
      </c>
      <c r="S276" s="69"/>
      <c r="T276" s="60"/>
      <c r="U276" s="60"/>
      <c r="V276" s="60"/>
      <c r="W276" s="60"/>
    </row>
    <row r="277" spans="1:23" ht="27" x14ac:dyDescent="0.25">
      <c r="A277" s="45">
        <v>3000618</v>
      </c>
      <c r="B277" s="46" t="s">
        <v>63</v>
      </c>
      <c r="C277" s="47">
        <f>SUMIF('LISTA TECNICA'!$I:$I,$A277,'LISTA TECNICA'!$P:$P)</f>
        <v>1354.44</v>
      </c>
      <c r="D277" s="66">
        <f>IFERROR(VLOOKUP($A277,'0802'!$A:$D,4,0),0)</f>
        <v>2943</v>
      </c>
      <c r="E277" s="72">
        <f t="shared" si="32"/>
        <v>1588.56</v>
      </c>
      <c r="F277" s="69" t="s">
        <v>6220</v>
      </c>
      <c r="G277" s="60" t="s">
        <v>6219</v>
      </c>
      <c r="H277" s="81" t="s">
        <v>6221</v>
      </c>
      <c r="I277" s="81" t="s">
        <v>6222</v>
      </c>
      <c r="J277" s="60"/>
      <c r="L277" s="45">
        <v>4003068</v>
      </c>
      <c r="M277" s="46" t="s">
        <v>281</v>
      </c>
      <c r="N277" s="47">
        <f>SUMIF('LISTA TECNICA'!$I:$I,$L277,'LISTA TECNICA'!$P:$P)</f>
        <v>31000</v>
      </c>
      <c r="O277" s="49">
        <f>IFERROR(VLOOKUP($L277,'0805'!$A:$D,4,0),0)</f>
        <v>21880</v>
      </c>
      <c r="P277" s="49">
        <f>IFERROR(VLOOKUP($L277,'0806'!$A:$D,4,0),0)</f>
        <v>12540</v>
      </c>
      <c r="Q277" s="59">
        <f t="shared" si="30"/>
        <v>34420</v>
      </c>
      <c r="R277" s="72">
        <f t="shared" si="31"/>
        <v>3420</v>
      </c>
      <c r="S277" s="69"/>
      <c r="T277" s="60"/>
      <c r="U277" s="60"/>
      <c r="V277" s="60"/>
      <c r="W277" s="60"/>
    </row>
    <row r="278" spans="1:23" ht="13.5" x14ac:dyDescent="0.25">
      <c r="A278" s="45">
        <v>3003894</v>
      </c>
      <c r="B278" s="46" t="s">
        <v>1274</v>
      </c>
      <c r="C278" s="47">
        <f>SUMIF('LISTA TECNICA'!$I:$I,$A278,'LISTA TECNICA'!$P:$P)</f>
        <v>4549</v>
      </c>
      <c r="D278" s="66">
        <f>IFERROR(VLOOKUP($A278,'0802'!$A:$D,4,0),0)</f>
        <v>6934</v>
      </c>
      <c r="E278" s="72">
        <f t="shared" si="32"/>
        <v>2385</v>
      </c>
      <c r="F278" s="69" t="s">
        <v>6223</v>
      </c>
      <c r="G278" s="60"/>
      <c r="H278" s="82" t="s">
        <v>6226</v>
      </c>
      <c r="I278" s="60"/>
      <c r="J278" s="60"/>
      <c r="L278" s="45">
        <v>4003070</v>
      </c>
      <c r="M278" s="46" t="s">
        <v>286</v>
      </c>
      <c r="N278" s="47">
        <f>SUMIF('LISTA TECNICA'!$I:$I,$L278,'LISTA TECNICA'!$P:$P)</f>
        <v>22000</v>
      </c>
      <c r="O278" s="49">
        <f>IFERROR(VLOOKUP($L278,'0805'!$A:$D,4,0),0)</f>
        <v>43187</v>
      </c>
      <c r="P278" s="49">
        <f>IFERROR(VLOOKUP($L278,'0806'!$A:$D,4,0),0)</f>
        <v>3803</v>
      </c>
      <c r="Q278" s="59">
        <f t="shared" si="30"/>
        <v>46990</v>
      </c>
      <c r="R278" s="72">
        <f t="shared" si="31"/>
        <v>24990</v>
      </c>
      <c r="S278" s="69"/>
      <c r="T278" s="60"/>
      <c r="U278" s="60"/>
      <c r="V278" s="60"/>
      <c r="W278" s="60"/>
    </row>
    <row r="279" spans="1:23" ht="13.5" x14ac:dyDescent="0.25">
      <c r="A279" s="45">
        <v>3003892</v>
      </c>
      <c r="B279" s="46" t="s">
        <v>1301</v>
      </c>
      <c r="C279" s="47">
        <f>SUMIF('LISTA TECNICA'!$I:$I,$A279,'LISTA TECNICA'!$P:$P)</f>
        <v>3024</v>
      </c>
      <c r="D279" s="66">
        <f>IFERROR(VLOOKUP($A279,'0802'!$A:$D,4,0),0)</f>
        <v>7288</v>
      </c>
      <c r="E279" s="72">
        <f t="shared" si="32"/>
        <v>4264</v>
      </c>
      <c r="F279" s="69"/>
      <c r="G279" s="60"/>
      <c r="H279" s="60"/>
      <c r="I279" s="60"/>
      <c r="J279" s="60"/>
      <c r="L279" s="45">
        <v>4003071</v>
      </c>
      <c r="M279" s="46" t="s">
        <v>291</v>
      </c>
      <c r="N279" s="47">
        <f>SUMIF('LISTA TECNICA'!$I:$I,$L279,'LISTA TECNICA'!$P:$P)</f>
        <v>0</v>
      </c>
      <c r="O279" s="49">
        <f>IFERROR(VLOOKUP($L279,'0805'!$A:$D,4,0),0)</f>
        <v>1383</v>
      </c>
      <c r="P279" s="49">
        <f>IFERROR(VLOOKUP($L279,'0806'!$A:$D,4,0),0)</f>
        <v>950</v>
      </c>
      <c r="Q279" s="59">
        <f t="shared" si="30"/>
        <v>2333</v>
      </c>
      <c r="R279" s="72">
        <f t="shared" si="31"/>
        <v>2333</v>
      </c>
      <c r="S279" s="69"/>
      <c r="T279" s="60"/>
      <c r="U279" s="60"/>
      <c r="V279" s="60"/>
      <c r="W279" s="60"/>
    </row>
    <row r="280" spans="1:23" ht="13.5" x14ac:dyDescent="0.25">
      <c r="A280" s="45">
        <v>3001609</v>
      </c>
      <c r="B280" s="46" t="s">
        <v>65</v>
      </c>
      <c r="C280" s="47">
        <f>SUMIF('LISTA TECNICA'!$I:$I,$A280,'LISTA TECNICA'!$P:$P)</f>
        <v>4198.2</v>
      </c>
      <c r="D280" s="66">
        <f>IFERROR(VLOOKUP($A280,'0802'!$A:$D,4,0),0)</f>
        <v>5391</v>
      </c>
      <c r="E280" s="72">
        <f t="shared" si="32"/>
        <v>1192.8000000000002</v>
      </c>
      <c r="F280" s="69" t="s">
        <v>6224</v>
      </c>
      <c r="G280" s="60"/>
      <c r="H280" s="60" t="s">
        <v>6225</v>
      </c>
      <c r="I280" s="60"/>
      <c r="J280" s="60"/>
      <c r="L280" s="45">
        <v>4003073</v>
      </c>
      <c r="M280" s="46" t="s">
        <v>296</v>
      </c>
      <c r="N280" s="47">
        <f>SUMIF('LISTA TECNICA'!$I:$I,$L280,'LISTA TECNICA'!$P:$P)</f>
        <v>65000</v>
      </c>
      <c r="O280" s="49">
        <f>IFERROR(VLOOKUP($L280,'0805'!$A:$D,4,0),0)</f>
        <v>100500</v>
      </c>
      <c r="P280" s="49">
        <f>IFERROR(VLOOKUP($L280,'0806'!$A:$D,4,0),0)</f>
        <v>3733</v>
      </c>
      <c r="Q280" s="59">
        <f t="shared" si="30"/>
        <v>104233</v>
      </c>
      <c r="R280" s="72">
        <f t="shared" si="31"/>
        <v>39233</v>
      </c>
      <c r="S280" s="69"/>
      <c r="T280" s="60"/>
      <c r="U280" s="60"/>
      <c r="V280" s="60"/>
      <c r="W280" s="60"/>
    </row>
    <row r="281" spans="1:23" ht="13.5" x14ac:dyDescent="0.25">
      <c r="A281" s="45">
        <v>3001610</v>
      </c>
      <c r="B281" s="46" t="s">
        <v>75</v>
      </c>
      <c r="C281" s="47">
        <f>SUMIF('LISTA TECNICA'!$I:$I,$A281,'LISTA TECNICA'!$P:$P)</f>
        <v>4800</v>
      </c>
      <c r="D281" s="66">
        <f>IFERROR(VLOOKUP($A281,'0802'!$A:$D,4,0),0)</f>
        <v>15838</v>
      </c>
      <c r="E281" s="72">
        <f t="shared" si="32"/>
        <v>11038</v>
      </c>
      <c r="F281" s="69"/>
      <c r="G281" s="60"/>
      <c r="H281" s="60"/>
      <c r="I281" s="60"/>
      <c r="J281" s="60"/>
      <c r="L281" s="45">
        <v>4003074</v>
      </c>
      <c r="M281" s="46" t="s">
        <v>301</v>
      </c>
      <c r="N281" s="47">
        <f>SUMIF('LISTA TECNICA'!$I:$I,$L281,'LISTA TECNICA'!$P:$P)</f>
        <v>2000</v>
      </c>
      <c r="O281" s="49">
        <f>IFERROR(VLOOKUP($L281,'0805'!$A:$D,4,0),0)</f>
        <v>7257</v>
      </c>
      <c r="P281" s="49">
        <f>IFERROR(VLOOKUP($L281,'0806'!$A:$D,4,0),0)</f>
        <v>3490</v>
      </c>
      <c r="Q281" s="59">
        <f t="shared" si="30"/>
        <v>10747</v>
      </c>
      <c r="R281" s="72">
        <f t="shared" si="31"/>
        <v>8747</v>
      </c>
      <c r="S281" s="69"/>
      <c r="T281" s="60"/>
      <c r="U281" s="60"/>
      <c r="V281" s="60"/>
      <c r="W281" s="60"/>
    </row>
    <row r="282" spans="1:23" ht="15.75" thickBot="1" x14ac:dyDescent="0.3">
      <c r="L282" s="45">
        <v>4003075</v>
      </c>
      <c r="M282" s="46" t="s">
        <v>306</v>
      </c>
      <c r="N282" s="47">
        <f>SUMIF('LISTA TECNICA'!$I:$I,$L282,'LISTA TECNICA'!$P:$P)</f>
        <v>7000</v>
      </c>
      <c r="O282" s="49">
        <f>IFERROR(VLOOKUP($L282,'0805'!$A:$D,4,0),0)</f>
        <v>14606</v>
      </c>
      <c r="P282" s="49">
        <f>IFERROR(VLOOKUP($L282,'0806'!$A:$D,4,0),0)</f>
        <v>46</v>
      </c>
      <c r="Q282" s="59">
        <f t="shared" si="30"/>
        <v>14652</v>
      </c>
      <c r="R282" s="72">
        <f t="shared" si="31"/>
        <v>7652</v>
      </c>
      <c r="S282" s="69"/>
      <c r="T282" s="60"/>
      <c r="U282" s="60"/>
      <c r="V282" s="60"/>
      <c r="W282" s="60"/>
    </row>
    <row r="283" spans="1:23" ht="14.25" thickBot="1" x14ac:dyDescent="0.3">
      <c r="A283" s="86" t="s">
        <v>6095</v>
      </c>
      <c r="B283" s="87"/>
      <c r="C283" s="87"/>
      <c r="D283" s="87"/>
      <c r="E283" s="87"/>
      <c r="F283" s="87"/>
      <c r="G283" s="87"/>
      <c r="H283" s="87"/>
      <c r="I283" s="87"/>
      <c r="J283" s="88"/>
      <c r="L283" s="45">
        <v>4003076</v>
      </c>
      <c r="M283" s="46" t="s">
        <v>311</v>
      </c>
      <c r="N283" s="47">
        <f>SUMIF('LISTA TECNICA'!$I:$I,$L283,'LISTA TECNICA'!$P:$P)</f>
        <v>1000</v>
      </c>
      <c r="O283" s="49">
        <f>IFERROR(VLOOKUP($L283,'0805'!$A:$D,4,0),0)</f>
        <v>5675</v>
      </c>
      <c r="P283" s="49">
        <f>IFERROR(VLOOKUP($L283,'0806'!$A:$D,4,0),0)</f>
        <v>0</v>
      </c>
      <c r="Q283" s="59">
        <f t="shared" si="30"/>
        <v>5675</v>
      </c>
      <c r="R283" s="72">
        <f t="shared" si="31"/>
        <v>4675</v>
      </c>
      <c r="S283" s="69"/>
      <c r="T283" s="60"/>
      <c r="U283" s="60"/>
      <c r="V283" s="60"/>
      <c r="W283" s="60"/>
    </row>
    <row r="284" spans="1:23" ht="14.25" thickBot="1" x14ac:dyDescent="0.3">
      <c r="A284" s="53" t="s">
        <v>5</v>
      </c>
      <c r="B284" s="54" t="s">
        <v>2052</v>
      </c>
      <c r="C284" s="55" t="s">
        <v>2053</v>
      </c>
      <c r="D284" s="57">
        <v>802</v>
      </c>
      <c r="E284" s="70" t="s">
        <v>6069</v>
      </c>
      <c r="F284" s="67" t="s">
        <v>6072</v>
      </c>
      <c r="G284" s="63" t="s">
        <v>6073</v>
      </c>
      <c r="H284" s="63" t="s">
        <v>6136</v>
      </c>
      <c r="I284" s="63" t="s">
        <v>6076</v>
      </c>
      <c r="J284" s="64" t="s">
        <v>6074</v>
      </c>
      <c r="L284" s="45">
        <v>4003077</v>
      </c>
      <c r="M284" s="46" t="s">
        <v>325</v>
      </c>
      <c r="N284" s="47">
        <f>SUMIF('LISTA TECNICA'!$I:$I,$L284,'LISTA TECNICA'!$P:$P)</f>
        <v>44000</v>
      </c>
      <c r="O284" s="49">
        <f>IFERROR(VLOOKUP($L284,'0805'!$A:$D,4,0),0)</f>
        <v>78140</v>
      </c>
      <c r="P284" s="49">
        <f>IFERROR(VLOOKUP($L284,'0806'!$A:$D,4,0),0)</f>
        <v>3600</v>
      </c>
      <c r="Q284" s="59">
        <f t="shared" si="30"/>
        <v>81740</v>
      </c>
      <c r="R284" s="72">
        <f t="shared" si="31"/>
        <v>37740</v>
      </c>
      <c r="S284" s="69"/>
      <c r="T284" s="60"/>
      <c r="U284" s="60"/>
      <c r="V284" s="60"/>
      <c r="W284" s="60"/>
    </row>
    <row r="285" spans="1:23" ht="13.5" x14ac:dyDescent="0.25">
      <c r="A285" s="45">
        <v>3000670</v>
      </c>
      <c r="B285" s="46" t="s">
        <v>621</v>
      </c>
      <c r="C285" s="47">
        <f>SUMIF('LISTA TECNICA'!$I:$I,$A285,'LISTA TECNICA'!$P:$P)</f>
        <v>14.016</v>
      </c>
      <c r="D285" s="66">
        <f>IFERROR(VLOOKUP($A285,'0802'!$A:$D,4,0),0)</f>
        <v>125</v>
      </c>
      <c r="E285" s="72">
        <f t="shared" ref="E285:E293" si="33">D285-C285</f>
        <v>110.98399999999999</v>
      </c>
      <c r="F285" s="69"/>
      <c r="G285" s="60"/>
      <c r="H285" s="60"/>
      <c r="I285" s="60"/>
      <c r="J285" s="60"/>
      <c r="L285" s="45">
        <v>4004917</v>
      </c>
      <c r="M285" s="46" t="s">
        <v>706</v>
      </c>
      <c r="N285" s="47">
        <f>SUMIF('LISTA TECNICA'!$I:$I,$L285,'LISTA TECNICA'!$P:$P)</f>
        <v>26400</v>
      </c>
      <c r="O285" s="49">
        <f>IFERROR(VLOOKUP($L285,'0805'!$A:$D,4,0),0)</f>
        <v>18600</v>
      </c>
      <c r="P285" s="49">
        <f>IFERROR(VLOOKUP($L285,'0806'!$A:$D,4,0),0)</f>
        <v>2356</v>
      </c>
      <c r="Q285" s="59">
        <f t="shared" si="30"/>
        <v>20956</v>
      </c>
      <c r="R285" s="72">
        <f t="shared" si="31"/>
        <v>-5444</v>
      </c>
      <c r="S285" s="69"/>
      <c r="T285" s="60" t="s">
        <v>6269</v>
      </c>
      <c r="U285" s="82">
        <v>10000</v>
      </c>
      <c r="V285" s="60" t="s">
        <v>6104</v>
      </c>
      <c r="W285" s="60"/>
    </row>
    <row r="286" spans="1:23" ht="13.5" x14ac:dyDescent="0.25">
      <c r="A286" s="45">
        <v>3004212</v>
      </c>
      <c r="B286" s="46" t="s">
        <v>365</v>
      </c>
      <c r="C286" s="47">
        <f>SUMIF('LISTA TECNICA'!$I:$I,$A286,'LISTA TECNICA'!$P:$P)</f>
        <v>79.99396800000001</v>
      </c>
      <c r="D286" s="66">
        <f>IFERROR(VLOOKUP($A286,'0802'!$A:$D,4,0),0)</f>
        <v>11.32</v>
      </c>
      <c r="E286" s="72">
        <f t="shared" si="33"/>
        <v>-68.673968000000002</v>
      </c>
      <c r="F286" s="69"/>
      <c r="G286" s="60"/>
      <c r="H286" s="60"/>
      <c r="I286" s="60"/>
      <c r="J286" s="60"/>
      <c r="L286" s="45">
        <v>4009387</v>
      </c>
      <c r="M286" s="46" t="s">
        <v>1687</v>
      </c>
      <c r="N286" s="47">
        <f>SUMIF('LISTA TECNICA'!$I:$I,$L286,'LISTA TECNICA'!$P:$P)</f>
        <v>15600</v>
      </c>
      <c r="O286" s="49">
        <f>IFERROR(VLOOKUP($L286,'0805'!$A:$D,4,0),0)</f>
        <v>16773</v>
      </c>
      <c r="P286" s="49">
        <f>IFERROR(VLOOKUP($L286,'0806'!$A:$D,4,0),0)</f>
        <v>7079</v>
      </c>
      <c r="Q286" s="59">
        <f t="shared" si="30"/>
        <v>23852</v>
      </c>
      <c r="R286" s="72">
        <f t="shared" si="31"/>
        <v>8252</v>
      </c>
      <c r="S286" s="69"/>
      <c r="T286" s="60"/>
      <c r="U286" s="60"/>
      <c r="V286" s="60"/>
      <c r="W286" s="60"/>
    </row>
    <row r="287" spans="1:23" ht="13.5" x14ac:dyDescent="0.25">
      <c r="A287" s="45">
        <v>3004376</v>
      </c>
      <c r="B287" s="46" t="s">
        <v>1776</v>
      </c>
      <c r="C287" s="47">
        <f>SUMIF('LISTA TECNICA'!$I:$I,$A287,'LISTA TECNICA'!$P:$P)</f>
        <v>0</v>
      </c>
      <c r="D287" s="66">
        <f>IFERROR(VLOOKUP($A287,'0802'!$A:$D,4,0),0)</f>
        <v>0</v>
      </c>
      <c r="E287" s="72">
        <f t="shared" si="33"/>
        <v>0</v>
      </c>
      <c r="F287" s="69"/>
      <c r="G287" s="60"/>
      <c r="H287" s="60"/>
      <c r="I287" s="60"/>
      <c r="J287" s="60"/>
      <c r="L287" s="45">
        <v>4006944</v>
      </c>
      <c r="M287" s="46" t="s">
        <v>1676</v>
      </c>
      <c r="N287" s="47">
        <f>SUMIF('LISTA TECNICA'!$I:$I,$L287,'LISTA TECNICA'!$P:$P)</f>
        <v>15600</v>
      </c>
      <c r="O287" s="49">
        <f>IFERROR(VLOOKUP($L287,'0805'!$A:$D,4,0),0)</f>
        <v>21076</v>
      </c>
      <c r="P287" s="49">
        <f>IFERROR(VLOOKUP($L287,'0806'!$A:$D,4,0),0)</f>
        <v>808</v>
      </c>
      <c r="Q287" s="59">
        <f t="shared" si="30"/>
        <v>21884</v>
      </c>
      <c r="R287" s="72">
        <f t="shared" si="31"/>
        <v>6284</v>
      </c>
      <c r="S287" s="69"/>
      <c r="T287" s="60"/>
      <c r="U287" s="60"/>
      <c r="V287" s="60"/>
      <c r="W287" s="60"/>
    </row>
    <row r="288" spans="1:23" ht="13.5" x14ac:dyDescent="0.25">
      <c r="A288" s="45">
        <v>3004213</v>
      </c>
      <c r="B288" s="46" t="s">
        <v>381</v>
      </c>
      <c r="C288" s="47">
        <f>SUMIF('LISTA TECNICA'!$I:$I,$A288,'LISTA TECNICA'!$P:$P)</f>
        <v>18.601800000000001</v>
      </c>
      <c r="D288" s="66">
        <f>IFERROR(VLOOKUP($A288,'0802'!$A:$D,4,0),0)</f>
        <v>250</v>
      </c>
      <c r="E288" s="72">
        <f t="shared" si="33"/>
        <v>231.3982</v>
      </c>
      <c r="F288" s="69"/>
      <c r="G288" s="60"/>
      <c r="H288" s="60"/>
      <c r="I288" s="60"/>
      <c r="J288" s="60"/>
      <c r="L288" s="45">
        <v>4016700</v>
      </c>
      <c r="M288" s="46" t="s">
        <v>850</v>
      </c>
      <c r="N288" s="47">
        <f>SUMIF('LISTA TECNICA'!$I:$I,$L288,'LISTA TECNICA'!$P:$P)</f>
        <v>3000</v>
      </c>
      <c r="O288" s="49">
        <f>IFERROR(VLOOKUP($L288,'0805'!$A:$D,4,0),0)</f>
        <v>2750</v>
      </c>
      <c r="P288" s="49">
        <f>IFERROR(VLOOKUP($L288,'0806'!$A:$D,4,0),0)</f>
        <v>0</v>
      </c>
      <c r="Q288" s="59">
        <f t="shared" si="30"/>
        <v>2750</v>
      </c>
      <c r="R288" s="72">
        <f t="shared" si="31"/>
        <v>-250</v>
      </c>
      <c r="S288" s="69"/>
      <c r="T288" s="60"/>
      <c r="U288" s="60"/>
      <c r="V288" s="60"/>
      <c r="W288" s="60"/>
    </row>
    <row r="289" spans="1:23" ht="13.5" x14ac:dyDescent="0.25">
      <c r="A289" s="45">
        <v>3003473</v>
      </c>
      <c r="B289" s="46" t="s">
        <v>1147</v>
      </c>
      <c r="C289" s="47">
        <f>SUMIF('LISTA TECNICA'!$I:$I,$A289,'LISTA TECNICA'!$P:$P)</f>
        <v>0</v>
      </c>
      <c r="D289" s="66">
        <f>IFERROR(VLOOKUP($A289,'0802'!$A:$D,4,0),0)</f>
        <v>25</v>
      </c>
      <c r="E289" s="72">
        <f t="shared" si="33"/>
        <v>25</v>
      </c>
      <c r="F289" s="69"/>
      <c r="G289" s="60"/>
      <c r="H289" s="60"/>
      <c r="I289" s="60"/>
      <c r="J289" s="60"/>
      <c r="L289" s="45">
        <v>4016901</v>
      </c>
      <c r="M289" s="46" t="s">
        <v>809</v>
      </c>
      <c r="N289" s="47">
        <f>SUMIF('LISTA TECNICA'!$I:$I,$L289,'LISTA TECNICA'!$P:$P)</f>
        <v>500</v>
      </c>
      <c r="O289" s="49">
        <f>IFERROR(VLOOKUP($L289,'0805'!$A:$D,4,0),0)</f>
        <v>1500</v>
      </c>
      <c r="P289" s="49">
        <f>IFERROR(VLOOKUP($L289,'0806'!$A:$D,4,0),0)</f>
        <v>0</v>
      </c>
      <c r="Q289" s="59">
        <f t="shared" si="30"/>
        <v>1500</v>
      </c>
      <c r="R289" s="72">
        <f t="shared" si="31"/>
        <v>1000</v>
      </c>
      <c r="S289" s="69"/>
      <c r="T289" s="60"/>
      <c r="U289" s="60"/>
      <c r="V289" s="60"/>
      <c r="W289" s="60"/>
    </row>
    <row r="290" spans="1:23" ht="13.5" x14ac:dyDescent="0.25">
      <c r="A290" s="45">
        <v>3000848</v>
      </c>
      <c r="B290" s="46" t="s">
        <v>1156</v>
      </c>
      <c r="C290" s="47">
        <f>SUMIF('LISTA TECNICA'!$I:$I,$A290,'LISTA TECNICA'!$P:$P)</f>
        <v>0</v>
      </c>
      <c r="D290" s="66">
        <f>IFERROR(VLOOKUP($A290,'0802'!$A:$D,4,0),0)</f>
        <v>0</v>
      </c>
      <c r="E290" s="72">
        <f t="shared" si="33"/>
        <v>0</v>
      </c>
      <c r="F290" s="69"/>
      <c r="G290" s="60"/>
      <c r="H290" s="60"/>
      <c r="I290" s="60"/>
      <c r="J290" s="60"/>
      <c r="L290" s="45">
        <v>4016902</v>
      </c>
      <c r="M290" s="46" t="s">
        <v>816</v>
      </c>
      <c r="N290" s="47">
        <f>SUMIF('LISTA TECNICA'!$I:$I,$L290,'LISTA TECNICA'!$P:$P)</f>
        <v>1500</v>
      </c>
      <c r="O290" s="49">
        <f>IFERROR(VLOOKUP($L290,'0805'!$A:$D,4,0),0)</f>
        <v>2300</v>
      </c>
      <c r="P290" s="49">
        <f>IFERROR(VLOOKUP($L290,'0806'!$A:$D,4,0),0)</f>
        <v>1500</v>
      </c>
      <c r="Q290" s="59">
        <f t="shared" si="30"/>
        <v>3800</v>
      </c>
      <c r="R290" s="72">
        <f t="shared" si="31"/>
        <v>2300</v>
      </c>
      <c r="S290" s="69"/>
      <c r="T290" s="60"/>
      <c r="U290" s="60"/>
      <c r="V290" s="60"/>
      <c r="W290" s="60"/>
    </row>
    <row r="291" spans="1:23" ht="13.5" x14ac:dyDescent="0.25">
      <c r="A291" s="45">
        <v>3000937</v>
      </c>
      <c r="B291" s="46" t="s">
        <v>362</v>
      </c>
      <c r="C291" s="47">
        <f>SUMIF('LISTA TECNICA'!$I:$I,$A291,'LISTA TECNICA'!$P:$P)</f>
        <v>5130.2235000000001</v>
      </c>
      <c r="D291" s="66">
        <f>IFERROR(VLOOKUP($A291,'0802'!$A:$D,4,0),0)</f>
        <v>6875</v>
      </c>
      <c r="E291" s="72">
        <f t="shared" si="33"/>
        <v>1744.7764999999999</v>
      </c>
      <c r="F291" s="69" t="s">
        <v>6227</v>
      </c>
      <c r="G291" s="60"/>
      <c r="H291" s="82" t="s">
        <v>6229</v>
      </c>
      <c r="I291" s="60" t="s">
        <v>6228</v>
      </c>
      <c r="J291" s="60"/>
      <c r="L291" s="45">
        <v>4016903</v>
      </c>
      <c r="M291" s="46" t="s">
        <v>824</v>
      </c>
      <c r="N291" s="47">
        <f>SUMIF('LISTA TECNICA'!$I:$I,$L291,'LISTA TECNICA'!$P:$P)</f>
        <v>1500</v>
      </c>
      <c r="O291" s="49">
        <f>IFERROR(VLOOKUP($L291,'0805'!$A:$D,4,0),0)</f>
        <v>5000</v>
      </c>
      <c r="P291" s="49">
        <f>IFERROR(VLOOKUP($L291,'0806'!$A:$D,4,0),0)</f>
        <v>0</v>
      </c>
      <c r="Q291" s="59">
        <f t="shared" si="30"/>
        <v>5000</v>
      </c>
      <c r="R291" s="72">
        <f t="shared" si="31"/>
        <v>3500</v>
      </c>
      <c r="S291" s="69"/>
      <c r="T291" s="60"/>
      <c r="U291" s="60"/>
      <c r="V291" s="60"/>
      <c r="W291" s="60"/>
    </row>
    <row r="292" spans="1:23" ht="13.5" x14ac:dyDescent="0.25">
      <c r="A292" s="45">
        <v>3000949</v>
      </c>
      <c r="B292" s="46" t="s">
        <v>363</v>
      </c>
      <c r="C292" s="47">
        <f>SUMIF('LISTA TECNICA'!$I:$I,$A292,'LISTA TECNICA'!$P:$P)</f>
        <v>7.7805</v>
      </c>
      <c r="D292" s="66">
        <f>IFERROR(VLOOKUP($A292,'0802'!$A:$D,4,0),0)</f>
        <v>0</v>
      </c>
      <c r="E292" s="72">
        <f t="shared" si="33"/>
        <v>-7.7805</v>
      </c>
      <c r="F292" s="69"/>
      <c r="G292" s="60"/>
      <c r="H292" s="60"/>
      <c r="I292" s="60"/>
      <c r="J292" s="60"/>
      <c r="L292" s="45">
        <v>4012616</v>
      </c>
      <c r="M292" s="46" t="s">
        <v>795</v>
      </c>
      <c r="N292" s="47">
        <f>SUMIF('LISTA TECNICA'!$I:$I,$L292,'LISTA TECNICA'!$P:$P)</f>
        <v>0</v>
      </c>
      <c r="O292" s="49">
        <f>IFERROR(VLOOKUP($L292,'0805'!$A:$D,4,0),0)</f>
        <v>1900</v>
      </c>
      <c r="P292" s="49">
        <f>IFERROR(VLOOKUP($L292,'0806'!$A:$D,4,0),0)</f>
        <v>0</v>
      </c>
      <c r="Q292" s="59">
        <f t="shared" si="30"/>
        <v>1900</v>
      </c>
      <c r="R292" s="72">
        <f t="shared" si="31"/>
        <v>1900</v>
      </c>
      <c r="S292" s="69"/>
      <c r="T292" s="60"/>
      <c r="U292" s="60"/>
      <c r="V292" s="60"/>
      <c r="W292" s="60"/>
    </row>
    <row r="293" spans="1:23" ht="13.5" x14ac:dyDescent="0.25">
      <c r="A293" s="45">
        <v>3000984</v>
      </c>
      <c r="B293" s="46" t="s">
        <v>364</v>
      </c>
      <c r="C293" s="47">
        <f>SUMIF('LISTA TECNICA'!$I:$I,$A293,'LISTA TECNICA'!$P:$P)</f>
        <v>72.617999999999995</v>
      </c>
      <c r="D293" s="66">
        <f>IFERROR(VLOOKUP($A293,'0802'!$A:$D,4,0),0)</f>
        <v>870.21</v>
      </c>
      <c r="E293" s="72">
        <f t="shared" si="33"/>
        <v>797.5920000000001</v>
      </c>
      <c r="F293" s="69"/>
      <c r="G293" s="60"/>
      <c r="H293" s="60"/>
      <c r="I293" s="60"/>
      <c r="J293" s="60"/>
      <c r="L293" s="45">
        <v>4012623</v>
      </c>
      <c r="M293" s="46" t="s">
        <v>801</v>
      </c>
      <c r="N293" s="47">
        <f>SUMIF('LISTA TECNICA'!$I:$I,$L293,'LISTA TECNICA'!$P:$P)</f>
        <v>50</v>
      </c>
      <c r="O293" s="49">
        <f>IFERROR(VLOOKUP($L293,'0805'!$A:$D,4,0),0)</f>
        <v>2640</v>
      </c>
      <c r="P293" s="49">
        <f>IFERROR(VLOOKUP($L293,'0806'!$A:$D,4,0),0)</f>
        <v>0</v>
      </c>
      <c r="Q293" s="59">
        <f t="shared" si="30"/>
        <v>2640</v>
      </c>
      <c r="R293" s="72">
        <f t="shared" si="31"/>
        <v>2590</v>
      </c>
      <c r="S293" s="69"/>
      <c r="T293" s="60"/>
      <c r="U293" s="60"/>
      <c r="V293" s="60"/>
      <c r="W293" s="60"/>
    </row>
    <row r="294" spans="1:23" x14ac:dyDescent="0.25">
      <c r="L294" s="45">
        <v>4012617</v>
      </c>
      <c r="M294" s="46" t="s">
        <v>808</v>
      </c>
      <c r="N294" s="47">
        <f>SUMIF('LISTA TECNICA'!$I:$I,$L294,'LISTA TECNICA'!$P:$P)</f>
        <v>50</v>
      </c>
      <c r="O294" s="49">
        <f>IFERROR(VLOOKUP($L294,'0805'!$A:$D,4,0),0)</f>
        <v>2499</v>
      </c>
      <c r="P294" s="49">
        <f>IFERROR(VLOOKUP($L294,'0806'!$A:$D,4,0),0)</f>
        <v>0</v>
      </c>
      <c r="Q294" s="59">
        <f t="shared" si="30"/>
        <v>2499</v>
      </c>
      <c r="R294" s="72">
        <f t="shared" si="31"/>
        <v>2449</v>
      </c>
      <c r="S294" s="69"/>
      <c r="T294" s="60"/>
      <c r="U294" s="60"/>
      <c r="V294" s="60"/>
      <c r="W294" s="60"/>
    </row>
    <row r="295" spans="1:23" x14ac:dyDescent="0.25">
      <c r="L295" s="45">
        <v>4012674</v>
      </c>
      <c r="M295" s="46" t="s">
        <v>815</v>
      </c>
      <c r="N295" s="47">
        <f>SUMIF('LISTA TECNICA'!$I:$I,$L295,'LISTA TECNICA'!$P:$P)</f>
        <v>150</v>
      </c>
      <c r="O295" s="49">
        <f>IFERROR(VLOOKUP($L295,'0805'!$A:$D,4,0),0)</f>
        <v>1230</v>
      </c>
      <c r="P295" s="49">
        <f>IFERROR(VLOOKUP($L295,'0806'!$A:$D,4,0),0)</f>
        <v>150</v>
      </c>
      <c r="Q295" s="59">
        <f t="shared" si="30"/>
        <v>1380</v>
      </c>
      <c r="R295" s="72">
        <f t="shared" si="31"/>
        <v>1230</v>
      </c>
      <c r="S295" s="69"/>
      <c r="T295" s="60"/>
      <c r="U295" s="60"/>
      <c r="V295" s="60"/>
      <c r="W295" s="60"/>
    </row>
    <row r="296" spans="1:23" x14ac:dyDescent="0.25">
      <c r="L296" s="45">
        <v>4012618</v>
      </c>
      <c r="M296" s="46" t="s">
        <v>823</v>
      </c>
      <c r="N296" s="47">
        <f>SUMIF('LISTA TECNICA'!$I:$I,$L296,'LISTA TECNICA'!$P:$P)</f>
        <v>150</v>
      </c>
      <c r="O296" s="49">
        <f>IFERROR(VLOOKUP($L296,'0805'!$A:$D,4,0),0)</f>
        <v>2000</v>
      </c>
      <c r="P296" s="49">
        <f>IFERROR(VLOOKUP($L296,'0806'!$A:$D,4,0),0)</f>
        <v>0</v>
      </c>
      <c r="Q296" s="59">
        <f t="shared" si="30"/>
        <v>2000</v>
      </c>
      <c r="R296" s="72">
        <f t="shared" si="31"/>
        <v>1850</v>
      </c>
      <c r="S296" s="69"/>
      <c r="T296" s="60"/>
      <c r="U296" s="60"/>
      <c r="V296" s="60"/>
      <c r="W296" s="60"/>
    </row>
    <row r="297" spans="1:23" x14ac:dyDescent="0.25">
      <c r="L297" s="45">
        <v>4012624</v>
      </c>
      <c r="M297" s="46" t="s">
        <v>830</v>
      </c>
      <c r="N297" s="47">
        <f>SUMIF('LISTA TECNICA'!$I:$I,$L297,'LISTA TECNICA'!$P:$P)</f>
        <v>280</v>
      </c>
      <c r="O297" s="49">
        <f>IFERROR(VLOOKUP($L297,'0805'!$A:$D,4,0),0)</f>
        <v>700</v>
      </c>
      <c r="P297" s="49">
        <f>IFERROR(VLOOKUP($L297,'0806'!$A:$D,4,0),0)</f>
        <v>0</v>
      </c>
      <c r="Q297" s="59">
        <f t="shared" si="30"/>
        <v>700</v>
      </c>
      <c r="R297" s="72">
        <f t="shared" si="31"/>
        <v>420</v>
      </c>
      <c r="S297" s="69"/>
      <c r="T297" s="60"/>
      <c r="U297" s="60"/>
      <c r="V297" s="60"/>
      <c r="W297" s="60"/>
    </row>
    <row r="298" spans="1:23" x14ac:dyDescent="0.25">
      <c r="L298" s="45">
        <v>4016701</v>
      </c>
      <c r="M298" s="46" t="s">
        <v>831</v>
      </c>
      <c r="N298" s="47">
        <f>SUMIF('LISTA TECNICA'!$I:$I,$L298,'LISTA TECNICA'!$P:$P)</f>
        <v>2800</v>
      </c>
      <c r="O298" s="49">
        <f>IFERROR(VLOOKUP($L298,'0805'!$A:$D,4,0),0)</f>
        <v>0</v>
      </c>
      <c r="P298" s="49">
        <f>IFERROR(VLOOKUP($L298,'0806'!$A:$D,4,0),0)</f>
        <v>0</v>
      </c>
      <c r="Q298" s="59">
        <f t="shared" si="30"/>
        <v>0</v>
      </c>
      <c r="R298" s="72">
        <f t="shared" si="31"/>
        <v>-2800</v>
      </c>
      <c r="S298" s="69"/>
      <c r="T298" s="60"/>
      <c r="U298" s="60"/>
      <c r="V298" s="60"/>
      <c r="W298" s="60"/>
    </row>
    <row r="299" spans="1:23" x14ac:dyDescent="0.25">
      <c r="L299" s="45">
        <v>4012619</v>
      </c>
      <c r="M299" s="46" t="s">
        <v>837</v>
      </c>
      <c r="N299" s="47">
        <f>SUMIF('LISTA TECNICA'!$I:$I,$L299,'LISTA TECNICA'!$P:$P)</f>
        <v>0</v>
      </c>
      <c r="O299" s="49">
        <f>IFERROR(VLOOKUP($L299,'0805'!$A:$D,4,0),0)</f>
        <v>13492</v>
      </c>
      <c r="P299" s="49">
        <f>IFERROR(VLOOKUP($L299,'0806'!$A:$D,4,0),0)</f>
        <v>0</v>
      </c>
      <c r="Q299" s="59">
        <f t="shared" si="30"/>
        <v>13492</v>
      </c>
      <c r="R299" s="72">
        <f t="shared" si="31"/>
        <v>13492</v>
      </c>
      <c r="S299" s="69"/>
      <c r="T299" s="60"/>
      <c r="U299" s="60"/>
      <c r="V299" s="60"/>
      <c r="W299" s="60"/>
    </row>
    <row r="300" spans="1:23" x14ac:dyDescent="0.25">
      <c r="L300" s="45">
        <v>4012625</v>
      </c>
      <c r="M300" s="46" t="s">
        <v>843</v>
      </c>
      <c r="N300" s="47">
        <f>SUMIF('LISTA TECNICA'!$I:$I,$L300,'LISTA TECNICA'!$P:$P)</f>
        <v>90</v>
      </c>
      <c r="O300" s="49">
        <f>IFERROR(VLOOKUP($L300,'0805'!$A:$D,4,0),0)</f>
        <v>1900</v>
      </c>
      <c r="P300" s="49">
        <f>IFERROR(VLOOKUP($L300,'0806'!$A:$D,4,0),0)</f>
        <v>0</v>
      </c>
      <c r="Q300" s="59">
        <f t="shared" si="30"/>
        <v>1900</v>
      </c>
      <c r="R300" s="72">
        <f t="shared" si="31"/>
        <v>1810</v>
      </c>
      <c r="S300" s="69"/>
      <c r="T300" s="60"/>
      <c r="U300" s="60"/>
      <c r="V300" s="60"/>
      <c r="W300" s="60"/>
    </row>
    <row r="301" spans="1:23" x14ac:dyDescent="0.25">
      <c r="L301" s="45">
        <v>4012456</v>
      </c>
      <c r="M301" s="46" t="s">
        <v>848</v>
      </c>
      <c r="N301" s="47">
        <f>SUMIF('LISTA TECNICA'!$I:$I,$L301,'LISTA TECNICA'!$P:$P)</f>
        <v>300</v>
      </c>
      <c r="O301" s="49">
        <f>IFERROR(VLOOKUP($L301,'0805'!$A:$D,4,0),0)</f>
        <v>1777</v>
      </c>
      <c r="P301" s="49">
        <f>IFERROR(VLOOKUP($L301,'0806'!$A:$D,4,0),0)</f>
        <v>0</v>
      </c>
      <c r="Q301" s="59">
        <f t="shared" si="30"/>
        <v>1777</v>
      </c>
      <c r="R301" s="72">
        <f t="shared" si="31"/>
        <v>1477</v>
      </c>
      <c r="S301" s="69"/>
      <c r="T301" s="60"/>
      <c r="U301" s="60"/>
      <c r="V301" s="60"/>
      <c r="W301" s="60"/>
    </row>
    <row r="302" spans="1:23" x14ac:dyDescent="0.25">
      <c r="L302" s="45">
        <v>4012620</v>
      </c>
      <c r="M302" s="46" t="s">
        <v>857</v>
      </c>
      <c r="N302" s="47">
        <f>SUMIF('LISTA TECNICA'!$I:$I,$L302,'LISTA TECNICA'!$P:$P)</f>
        <v>50</v>
      </c>
      <c r="O302" s="49">
        <f>IFERROR(VLOOKUP($L302,'0805'!$A:$D,4,0),0)</f>
        <v>16086</v>
      </c>
      <c r="P302" s="49">
        <f>IFERROR(VLOOKUP($L302,'0806'!$A:$D,4,0),0)</f>
        <v>0</v>
      </c>
      <c r="Q302" s="59">
        <f t="shared" si="30"/>
        <v>16086</v>
      </c>
      <c r="R302" s="72">
        <f t="shared" si="31"/>
        <v>16036</v>
      </c>
      <c r="S302" s="69"/>
      <c r="T302" s="60"/>
      <c r="U302" s="60"/>
      <c r="V302" s="60"/>
      <c r="W302" s="60"/>
    </row>
    <row r="303" spans="1:23" x14ac:dyDescent="0.25">
      <c r="L303" s="45">
        <v>4009946</v>
      </c>
      <c r="M303" s="46" t="s">
        <v>1692</v>
      </c>
      <c r="N303" s="47">
        <f>SUMIF('LISTA TECNICA'!$I:$I,$L303,'LISTA TECNICA'!$P:$P)</f>
        <v>2000</v>
      </c>
      <c r="O303" s="49">
        <f>IFERROR(VLOOKUP($L303,'0805'!$A:$D,4,0),0)</f>
        <v>2186</v>
      </c>
      <c r="P303" s="49">
        <f>IFERROR(VLOOKUP($L303,'0806'!$A:$D,4,0),0)</f>
        <v>1188</v>
      </c>
      <c r="Q303" s="59">
        <f t="shared" si="30"/>
        <v>3374</v>
      </c>
      <c r="R303" s="72">
        <f t="shared" si="31"/>
        <v>1374</v>
      </c>
      <c r="S303" s="69"/>
      <c r="T303" s="60"/>
      <c r="U303" s="60"/>
      <c r="V303" s="60"/>
      <c r="W303" s="60"/>
    </row>
    <row r="304" spans="1:23" x14ac:dyDescent="0.25">
      <c r="L304"/>
      <c r="M304"/>
      <c r="N304"/>
      <c r="O304"/>
      <c r="P304"/>
      <c r="Q304"/>
      <c r="R304"/>
      <c r="S304"/>
      <c r="T304"/>
      <c r="U304"/>
      <c r="V304"/>
      <c r="W304"/>
    </row>
    <row r="305" spans="12:23" ht="15.75" thickBot="1" x14ac:dyDescent="0.3">
      <c r="L305"/>
      <c r="M305"/>
      <c r="N305"/>
      <c r="O305"/>
      <c r="P305"/>
      <c r="Q305"/>
      <c r="R305"/>
      <c r="S305"/>
      <c r="T305"/>
      <c r="U305"/>
      <c r="V305"/>
      <c r="W305"/>
    </row>
    <row r="306" spans="12:23" ht="15.75" thickBot="1" x14ac:dyDescent="0.3">
      <c r="L306" s="86" t="s">
        <v>6085</v>
      </c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8"/>
    </row>
    <row r="307" spans="12:23" ht="15.75" thickBot="1" x14ac:dyDescent="0.3">
      <c r="L307" s="53" t="s">
        <v>5</v>
      </c>
      <c r="M307" s="54" t="s">
        <v>2052</v>
      </c>
      <c r="N307" s="55" t="s">
        <v>2053</v>
      </c>
      <c r="O307" s="54">
        <v>805</v>
      </c>
      <c r="P307" s="54">
        <v>806</v>
      </c>
      <c r="Q307" s="57" t="s">
        <v>6068</v>
      </c>
      <c r="R307" s="70" t="s">
        <v>6069</v>
      </c>
      <c r="S307" s="67" t="s">
        <v>6072</v>
      </c>
      <c r="T307" s="63" t="s">
        <v>6073</v>
      </c>
      <c r="U307" s="63" t="s">
        <v>6136</v>
      </c>
      <c r="V307" s="63" t="s">
        <v>6076</v>
      </c>
      <c r="W307" s="64" t="s">
        <v>6074</v>
      </c>
    </row>
    <row r="308" spans="12:23" x14ac:dyDescent="0.25">
      <c r="L308" s="45">
        <v>4013786</v>
      </c>
      <c r="M308" s="46" t="s">
        <v>893</v>
      </c>
      <c r="N308" s="47">
        <f>SUMIF('LISTA TECNICA'!$I:$I,$L308,'LISTA TECNICA'!$P:$P)</f>
        <v>0</v>
      </c>
      <c r="O308" s="49">
        <f>IFERROR(VLOOKUP($L308,'0805'!$A:$D,4,0),0)</f>
        <v>0</v>
      </c>
      <c r="P308" s="49">
        <f>IFERROR(VLOOKUP($L308,'0806'!$A:$D,4,0),0)</f>
        <v>0</v>
      </c>
      <c r="Q308" s="59">
        <f t="shared" ref="Q308:Q340" si="34">P308+O308</f>
        <v>0</v>
      </c>
      <c r="R308" s="72">
        <f t="shared" ref="R308:R340" si="35">Q308-N308</f>
        <v>0</v>
      </c>
      <c r="S308" s="69"/>
      <c r="T308" s="60"/>
      <c r="U308" s="60"/>
      <c r="V308" s="60"/>
      <c r="W308" s="60"/>
    </row>
    <row r="309" spans="12:23" x14ac:dyDescent="0.25">
      <c r="L309" s="45">
        <v>4014396</v>
      </c>
      <c r="M309" s="46" t="s">
        <v>1681</v>
      </c>
      <c r="N309" s="47">
        <f>SUMIF('LISTA TECNICA'!$I:$I,$L309,'LISTA TECNICA'!$P:$P)</f>
        <v>0</v>
      </c>
      <c r="O309" s="49">
        <f>IFERROR(VLOOKUP($L309,'0805'!$A:$D,4,0),0)</f>
        <v>0</v>
      </c>
      <c r="P309" s="49">
        <f>IFERROR(VLOOKUP($L309,'0806'!$A:$D,4,0),0)</f>
        <v>0</v>
      </c>
      <c r="Q309" s="59">
        <f t="shared" si="34"/>
        <v>0</v>
      </c>
      <c r="R309" s="72">
        <f t="shared" si="35"/>
        <v>0</v>
      </c>
      <c r="S309" s="69"/>
      <c r="T309" s="60"/>
      <c r="U309" s="60"/>
      <c r="V309" s="60"/>
      <c r="W309" s="60"/>
    </row>
    <row r="310" spans="12:23" x14ac:dyDescent="0.25">
      <c r="L310" s="45">
        <v>4013886</v>
      </c>
      <c r="M310" s="46" t="s">
        <v>1198</v>
      </c>
      <c r="N310" s="47">
        <f>SUMIF('LISTA TECNICA'!$I:$I,$L310,'LISTA TECNICA'!$P:$P)</f>
        <v>0</v>
      </c>
      <c r="O310" s="49">
        <f>IFERROR(VLOOKUP($L310,'0805'!$A:$D,4,0),0)</f>
        <v>0</v>
      </c>
      <c r="P310" s="49">
        <f>IFERROR(VLOOKUP($L310,'0806'!$A:$D,4,0),0)</f>
        <v>0</v>
      </c>
      <c r="Q310" s="59">
        <f t="shared" si="34"/>
        <v>0</v>
      </c>
      <c r="R310" s="72">
        <f t="shared" si="35"/>
        <v>0</v>
      </c>
      <c r="S310" s="69"/>
      <c r="T310" s="60"/>
      <c r="U310" s="60"/>
      <c r="V310" s="60"/>
      <c r="W310" s="60"/>
    </row>
    <row r="311" spans="12:23" x14ac:dyDescent="0.25">
      <c r="L311" s="45">
        <v>4013770</v>
      </c>
      <c r="M311" s="46" t="s">
        <v>742</v>
      </c>
      <c r="N311" s="47">
        <f>SUMIF('LISTA TECNICA'!$I:$I,$L311,'LISTA TECNICA'!$P:$P)</f>
        <v>1235.94</v>
      </c>
      <c r="O311" s="49">
        <f>IFERROR(VLOOKUP($L311,'0805'!$A:$D,4,0),0)</f>
        <v>2714</v>
      </c>
      <c r="P311" s="49">
        <f>IFERROR(VLOOKUP($L311,'0806'!$A:$D,4,0),0)</f>
        <v>2247</v>
      </c>
      <c r="Q311" s="59">
        <f t="shared" si="34"/>
        <v>4961</v>
      </c>
      <c r="R311" s="72">
        <f t="shared" si="35"/>
        <v>3725.06</v>
      </c>
      <c r="S311" s="69"/>
      <c r="T311" s="60"/>
      <c r="U311" s="60"/>
      <c r="V311" s="60"/>
      <c r="W311" s="60"/>
    </row>
    <row r="312" spans="12:23" x14ac:dyDescent="0.25">
      <c r="L312" s="45">
        <v>4012308</v>
      </c>
      <c r="M312" s="46" t="s">
        <v>788</v>
      </c>
      <c r="N312" s="47">
        <f>SUMIF('LISTA TECNICA'!$I:$I,$L312,'LISTA TECNICA'!$P:$P)</f>
        <v>160</v>
      </c>
      <c r="O312" s="49">
        <f>IFERROR(VLOOKUP($L312,'0805'!$A:$D,4,0),0)</f>
        <v>2190</v>
      </c>
      <c r="P312" s="49">
        <f>IFERROR(VLOOKUP($L312,'0806'!$A:$D,4,0),0)</f>
        <v>62</v>
      </c>
      <c r="Q312" s="59">
        <f t="shared" si="34"/>
        <v>2252</v>
      </c>
      <c r="R312" s="72">
        <f t="shared" si="35"/>
        <v>2092</v>
      </c>
      <c r="S312" s="69"/>
      <c r="T312" s="60"/>
      <c r="U312" s="60"/>
      <c r="V312" s="60"/>
      <c r="W312" s="60"/>
    </row>
    <row r="313" spans="12:23" x14ac:dyDescent="0.25">
      <c r="L313" s="45">
        <v>4012306</v>
      </c>
      <c r="M313" s="46" t="s">
        <v>1048</v>
      </c>
      <c r="N313" s="47">
        <f>SUMIF('LISTA TECNICA'!$I:$I,$L313,'LISTA TECNICA'!$P:$P)</f>
        <v>430</v>
      </c>
      <c r="O313" s="49">
        <f>IFERROR(VLOOKUP($L313,'0805'!$A:$D,4,0),0)</f>
        <v>260</v>
      </c>
      <c r="P313" s="49">
        <f>IFERROR(VLOOKUP($L313,'0806'!$A:$D,4,0),0)</f>
        <v>0</v>
      </c>
      <c r="Q313" s="59">
        <f t="shared" si="34"/>
        <v>260</v>
      </c>
      <c r="R313" s="72">
        <f t="shared" si="35"/>
        <v>-170</v>
      </c>
      <c r="S313" s="69"/>
      <c r="T313" s="60"/>
      <c r="U313" s="60"/>
      <c r="V313" s="60"/>
      <c r="W313" s="60"/>
    </row>
    <row r="314" spans="12:23" x14ac:dyDescent="0.25">
      <c r="L314" s="45">
        <v>4010722</v>
      </c>
      <c r="M314" s="46" t="s">
        <v>764</v>
      </c>
      <c r="N314" s="47">
        <f>SUMIF('LISTA TECNICA'!$I:$I,$L314,'LISTA TECNICA'!$P:$P)</f>
        <v>200</v>
      </c>
      <c r="O314" s="49">
        <f>IFERROR(VLOOKUP($L314,'0805'!$A:$D,4,0),0)</f>
        <v>3644</v>
      </c>
      <c r="P314" s="49">
        <f>IFERROR(VLOOKUP($L314,'0806'!$A:$D,4,0),0)</f>
        <v>768</v>
      </c>
      <c r="Q314" s="59">
        <f t="shared" si="34"/>
        <v>4412</v>
      </c>
      <c r="R314" s="72">
        <f t="shared" si="35"/>
        <v>4212</v>
      </c>
      <c r="S314" s="69"/>
      <c r="T314" s="60"/>
      <c r="U314" s="60"/>
      <c r="V314" s="60"/>
      <c r="W314" s="60"/>
    </row>
    <row r="315" spans="12:23" x14ac:dyDescent="0.25">
      <c r="L315" s="45">
        <v>4010730</v>
      </c>
      <c r="M315" s="46" t="s">
        <v>1082</v>
      </c>
      <c r="N315" s="47">
        <f>SUMIF('LISTA TECNICA'!$I:$I,$L315,'LISTA TECNICA'!$P:$P)</f>
        <v>100.2</v>
      </c>
      <c r="O315" s="49">
        <f>IFERROR(VLOOKUP($L315,'0805'!$A:$D,4,0),0)</f>
        <v>13306</v>
      </c>
      <c r="P315" s="49">
        <f>IFERROR(VLOOKUP($L315,'0806'!$A:$D,4,0),0)</f>
        <v>1965</v>
      </c>
      <c r="Q315" s="59">
        <f t="shared" si="34"/>
        <v>15271</v>
      </c>
      <c r="R315" s="72">
        <f t="shared" si="35"/>
        <v>15170.8</v>
      </c>
      <c r="S315" s="69"/>
      <c r="T315" s="60"/>
      <c r="U315" s="60"/>
      <c r="V315" s="60"/>
      <c r="W315" s="60"/>
    </row>
    <row r="316" spans="12:23" x14ac:dyDescent="0.25">
      <c r="L316" s="45">
        <v>4013206</v>
      </c>
      <c r="M316" s="46" t="s">
        <v>1192</v>
      </c>
      <c r="N316" s="47">
        <f>SUMIF('LISTA TECNICA'!$I:$I,$L316,'LISTA TECNICA'!$P:$P)</f>
        <v>0</v>
      </c>
      <c r="O316" s="49">
        <f>IFERROR(VLOOKUP($L316,'0805'!$A:$D,4,0),0)</f>
        <v>0</v>
      </c>
      <c r="P316" s="49">
        <f>IFERROR(VLOOKUP($L316,'0806'!$A:$D,4,0),0)</f>
        <v>0</v>
      </c>
      <c r="Q316" s="59">
        <f t="shared" si="34"/>
        <v>0</v>
      </c>
      <c r="R316" s="72">
        <f t="shared" si="35"/>
        <v>0</v>
      </c>
      <c r="S316" s="69"/>
      <c r="T316" s="60" t="s">
        <v>6270</v>
      </c>
      <c r="U316" s="82">
        <v>3000</v>
      </c>
      <c r="V316" s="60" t="s">
        <v>6101</v>
      </c>
      <c r="W316" s="60"/>
    </row>
    <row r="317" spans="12:23" x14ac:dyDescent="0.25">
      <c r="L317" s="45">
        <v>4007196</v>
      </c>
      <c r="M317" s="46" t="s">
        <v>52</v>
      </c>
      <c r="N317" s="47">
        <f>SUMIF('LISTA TECNICA'!$I:$I,$L317,'LISTA TECNICA'!$P:$P)</f>
        <v>400.08</v>
      </c>
      <c r="O317" s="49">
        <f>IFERROR(VLOOKUP($L317,'0805'!$A:$D,4,0),0)</f>
        <v>0</v>
      </c>
      <c r="P317" s="49">
        <f>IFERROR(VLOOKUP($L317,'0806'!$A:$D,4,0),0)</f>
        <v>0</v>
      </c>
      <c r="Q317" s="59">
        <f t="shared" si="34"/>
        <v>0</v>
      </c>
      <c r="R317" s="72">
        <f t="shared" si="35"/>
        <v>-400.08</v>
      </c>
      <c r="S317" s="69"/>
      <c r="T317" s="60"/>
      <c r="U317" s="60"/>
      <c r="V317" s="60"/>
      <c r="W317" s="60"/>
    </row>
    <row r="318" spans="12:23" x14ac:dyDescent="0.25">
      <c r="L318" s="45">
        <v>4003593</v>
      </c>
      <c r="M318" s="46" t="s">
        <v>40</v>
      </c>
      <c r="N318" s="47">
        <f>SUMIF('LISTA TECNICA'!$I:$I,$L318,'LISTA TECNICA'!$P:$P)</f>
        <v>600.12</v>
      </c>
      <c r="O318" s="49">
        <f>IFERROR(VLOOKUP($L318,'0805'!$A:$D,4,0),0)</f>
        <v>8838</v>
      </c>
      <c r="P318" s="49">
        <f>IFERROR(VLOOKUP($L318,'0806'!$A:$D,4,0),0)</f>
        <v>799</v>
      </c>
      <c r="Q318" s="59">
        <f t="shared" si="34"/>
        <v>9637</v>
      </c>
      <c r="R318" s="72">
        <f t="shared" si="35"/>
        <v>9036.8799999999992</v>
      </c>
      <c r="S318" s="69"/>
      <c r="T318" s="60" t="s">
        <v>6271</v>
      </c>
      <c r="U318" s="60">
        <v>8</v>
      </c>
      <c r="V318" s="60" t="s">
        <v>6257</v>
      </c>
      <c r="W318" s="60"/>
    </row>
    <row r="319" spans="12:23" x14ac:dyDescent="0.25">
      <c r="L319" s="45">
        <v>4003639</v>
      </c>
      <c r="M319" s="46" t="s">
        <v>585</v>
      </c>
      <c r="N319" s="47">
        <f>SUMIF('LISTA TECNICA'!$I:$I,$L319,'LISTA TECNICA'!$P:$P)</f>
        <v>1200</v>
      </c>
      <c r="O319" s="49">
        <f>IFERROR(VLOOKUP($L319,'0805'!$A:$D,4,0),0)</f>
        <v>9254</v>
      </c>
      <c r="P319" s="49">
        <f>IFERROR(VLOOKUP($L319,'0806'!$A:$D,4,0),0)</f>
        <v>214</v>
      </c>
      <c r="Q319" s="59">
        <f t="shared" si="34"/>
        <v>9468</v>
      </c>
      <c r="R319" s="72">
        <f t="shared" si="35"/>
        <v>8268</v>
      </c>
      <c r="S319" s="69"/>
      <c r="T319" s="60"/>
      <c r="U319" s="60"/>
      <c r="V319" s="60"/>
      <c r="W319" s="60"/>
    </row>
    <row r="320" spans="12:23" x14ac:dyDescent="0.25">
      <c r="L320" s="45">
        <v>4003640</v>
      </c>
      <c r="M320" s="46" t="s">
        <v>591</v>
      </c>
      <c r="N320" s="47">
        <f>SUMIF('LISTA TECNICA'!$I:$I,$L320,'LISTA TECNICA'!$P:$P)</f>
        <v>1200</v>
      </c>
      <c r="O320" s="49">
        <f>IFERROR(VLOOKUP($L320,'0805'!$A:$D,4,0),0)</f>
        <v>0</v>
      </c>
      <c r="P320" s="49">
        <f>IFERROR(VLOOKUP($L320,'0806'!$A:$D,4,0),0)</f>
        <v>16</v>
      </c>
      <c r="Q320" s="59">
        <f t="shared" si="34"/>
        <v>16</v>
      </c>
      <c r="R320" s="72">
        <f t="shared" si="35"/>
        <v>-1184</v>
      </c>
      <c r="S320" s="69"/>
      <c r="T320" s="60" t="s">
        <v>6272</v>
      </c>
      <c r="U320" s="60">
        <v>5000</v>
      </c>
      <c r="V320" s="60" t="s">
        <v>6129</v>
      </c>
      <c r="W320" s="60"/>
    </row>
    <row r="321" spans="12:23" x14ac:dyDescent="0.25">
      <c r="L321" s="45">
        <v>4003641</v>
      </c>
      <c r="M321" s="46" t="s">
        <v>596</v>
      </c>
      <c r="N321" s="47">
        <f>SUMIF('LISTA TECNICA'!$I:$I,$L321,'LISTA TECNICA'!$P:$P)</f>
        <v>0</v>
      </c>
      <c r="O321" s="49">
        <f>IFERROR(VLOOKUP($L321,'0805'!$A:$D,4,0),0)</f>
        <v>16400</v>
      </c>
      <c r="P321" s="49">
        <f>IFERROR(VLOOKUP($L321,'0806'!$A:$D,4,0),0)</f>
        <v>400</v>
      </c>
      <c r="Q321" s="59">
        <f t="shared" si="34"/>
        <v>16800</v>
      </c>
      <c r="R321" s="72">
        <f t="shared" si="35"/>
        <v>16800</v>
      </c>
      <c r="S321" s="69"/>
      <c r="T321" s="60"/>
      <c r="U321" s="60"/>
      <c r="V321" s="60"/>
      <c r="W321" s="60"/>
    </row>
    <row r="322" spans="12:23" x14ac:dyDescent="0.25">
      <c r="L322" s="45">
        <v>4012605</v>
      </c>
      <c r="M322" s="46" t="s">
        <v>794</v>
      </c>
      <c r="N322" s="47">
        <f>SUMIF('LISTA TECNICA'!$I:$I,$L322,'LISTA TECNICA'!$P:$P)</f>
        <v>50</v>
      </c>
      <c r="O322" s="49">
        <f>IFERROR(VLOOKUP($L322,'0805'!$A:$D,4,0),0)</f>
        <v>1200</v>
      </c>
      <c r="P322" s="49">
        <f>IFERROR(VLOOKUP($L322,'0806'!$A:$D,4,0),0)</f>
        <v>0</v>
      </c>
      <c r="Q322" s="59">
        <f t="shared" si="34"/>
        <v>1200</v>
      </c>
      <c r="R322" s="72">
        <f t="shared" si="35"/>
        <v>1150</v>
      </c>
      <c r="S322" s="69"/>
      <c r="T322" s="60"/>
      <c r="U322" s="60"/>
      <c r="V322" s="60"/>
      <c r="W322" s="60"/>
    </row>
    <row r="323" spans="12:23" x14ac:dyDescent="0.25">
      <c r="L323" s="45">
        <v>4012603</v>
      </c>
      <c r="M323" s="46" t="s">
        <v>807</v>
      </c>
      <c r="N323" s="47">
        <f>SUMIF('LISTA TECNICA'!$I:$I,$L323,'LISTA TECNICA'!$P:$P)</f>
        <v>200</v>
      </c>
      <c r="O323" s="49">
        <f>IFERROR(VLOOKUP($L323,'0805'!$A:$D,4,0),0)</f>
        <v>950</v>
      </c>
      <c r="P323" s="49">
        <f>IFERROR(VLOOKUP($L323,'0806'!$A:$D,4,0),0)</f>
        <v>550</v>
      </c>
      <c r="Q323" s="59">
        <f t="shared" si="34"/>
        <v>1500</v>
      </c>
      <c r="R323" s="72">
        <f t="shared" si="35"/>
        <v>1300</v>
      </c>
      <c r="S323" s="69"/>
      <c r="T323" s="60"/>
      <c r="U323" s="60"/>
      <c r="V323" s="60"/>
      <c r="W323" s="60"/>
    </row>
    <row r="324" spans="12:23" x14ac:dyDescent="0.25">
      <c r="L324" s="45">
        <v>4012603</v>
      </c>
      <c r="M324" s="46" t="s">
        <v>807</v>
      </c>
      <c r="N324" s="47">
        <f>SUMIF('LISTA TECNICA'!$I:$I,$L324,'LISTA TECNICA'!$P:$P)</f>
        <v>200</v>
      </c>
      <c r="O324" s="49">
        <f>IFERROR(VLOOKUP($L324,'0805'!$A:$D,4,0),0)</f>
        <v>950</v>
      </c>
      <c r="P324" s="49">
        <f>IFERROR(VLOOKUP($L324,'0806'!$A:$D,4,0),0)</f>
        <v>550</v>
      </c>
      <c r="Q324" s="59">
        <f t="shared" si="34"/>
        <v>1500</v>
      </c>
      <c r="R324" s="72">
        <f t="shared" si="35"/>
        <v>1300</v>
      </c>
      <c r="S324" s="69"/>
      <c r="T324" s="60"/>
      <c r="U324" s="60"/>
      <c r="V324" s="60"/>
      <c r="W324" s="60"/>
    </row>
    <row r="325" spans="12:23" x14ac:dyDescent="0.25">
      <c r="L325" s="45">
        <v>4012606</v>
      </c>
      <c r="M325" s="46" t="s">
        <v>822</v>
      </c>
      <c r="N325" s="47">
        <f>SUMIF('LISTA TECNICA'!$I:$I,$L325,'LISTA TECNICA'!$P:$P)</f>
        <v>820</v>
      </c>
      <c r="O325" s="49">
        <f>IFERROR(VLOOKUP($L325,'0805'!$A:$D,4,0),0)</f>
        <v>1047</v>
      </c>
      <c r="P325" s="49">
        <f>IFERROR(VLOOKUP($L325,'0806'!$A:$D,4,0),0)</f>
        <v>400</v>
      </c>
      <c r="Q325" s="59">
        <f t="shared" si="34"/>
        <v>1447</v>
      </c>
      <c r="R325" s="72">
        <f t="shared" si="35"/>
        <v>627</v>
      </c>
      <c r="S325" s="69"/>
      <c r="T325" s="60"/>
      <c r="U325" s="60"/>
      <c r="V325" s="60"/>
      <c r="W325" s="60"/>
    </row>
    <row r="326" spans="12:23" x14ac:dyDescent="0.25">
      <c r="L326" s="45">
        <v>4012607</v>
      </c>
      <c r="M326" s="46" t="s">
        <v>856</v>
      </c>
      <c r="N326" s="47">
        <f>SUMIF('LISTA TECNICA'!$I:$I,$L326,'LISTA TECNICA'!$P:$P)</f>
        <v>50</v>
      </c>
      <c r="O326" s="49">
        <f>IFERROR(VLOOKUP($L326,'0805'!$A:$D,4,0),0)</f>
        <v>691</v>
      </c>
      <c r="P326" s="49">
        <f>IFERROR(VLOOKUP($L326,'0806'!$A:$D,4,0),0)</f>
        <v>0</v>
      </c>
      <c r="Q326" s="59">
        <f t="shared" si="34"/>
        <v>691</v>
      </c>
      <c r="R326" s="72">
        <f t="shared" si="35"/>
        <v>641</v>
      </c>
      <c r="S326" s="69"/>
      <c r="T326" s="60"/>
      <c r="U326" s="60"/>
      <c r="V326" s="60"/>
      <c r="W326" s="60"/>
    </row>
    <row r="327" spans="12:23" x14ac:dyDescent="0.25">
      <c r="L327" s="45">
        <v>4003643</v>
      </c>
      <c r="M327" s="46" t="s">
        <v>603</v>
      </c>
      <c r="N327" s="47">
        <f>SUMIF('LISTA TECNICA'!$I:$I,$L327,'LISTA TECNICA'!$P:$P)</f>
        <v>43200</v>
      </c>
      <c r="O327" s="49">
        <f>IFERROR(VLOOKUP($L327,'0805'!$A:$D,4,0),0)</f>
        <v>0</v>
      </c>
      <c r="P327" s="49">
        <f>IFERROR(VLOOKUP($L327,'0806'!$A:$D,4,0),0)</f>
        <v>25646</v>
      </c>
      <c r="Q327" s="59">
        <f t="shared" si="34"/>
        <v>25646</v>
      </c>
      <c r="R327" s="72">
        <f t="shared" si="35"/>
        <v>-17554</v>
      </c>
      <c r="S327" s="69"/>
      <c r="T327" s="60" t="s">
        <v>6273</v>
      </c>
      <c r="U327" s="60">
        <v>35000</v>
      </c>
      <c r="V327" s="60" t="s">
        <v>6099</v>
      </c>
      <c r="W327" s="60"/>
    </row>
    <row r="328" spans="12:23" x14ac:dyDescent="0.25">
      <c r="L328" s="45">
        <v>4003644</v>
      </c>
      <c r="M328" s="46" t="s">
        <v>85</v>
      </c>
      <c r="N328" s="47">
        <f>SUMIF('LISTA TECNICA'!$I:$I,$L328,'LISTA TECNICA'!$P:$P)</f>
        <v>3000</v>
      </c>
      <c r="O328" s="49">
        <f>IFERROR(VLOOKUP($L328,'0805'!$A:$D,4,0),0)</f>
        <v>11571</v>
      </c>
      <c r="P328" s="49">
        <f>IFERROR(VLOOKUP($L328,'0806'!$A:$D,4,0),0)</f>
        <v>664</v>
      </c>
      <c r="Q328" s="59">
        <f t="shared" si="34"/>
        <v>12235</v>
      </c>
      <c r="R328" s="72">
        <f t="shared" si="35"/>
        <v>9235</v>
      </c>
      <c r="S328" s="69"/>
      <c r="T328" s="60" t="s">
        <v>6274</v>
      </c>
      <c r="U328" s="60">
        <v>2000</v>
      </c>
      <c r="V328" s="60" t="s">
        <v>6143</v>
      </c>
      <c r="W328" s="60"/>
    </row>
    <row r="329" spans="12:23" x14ac:dyDescent="0.25">
      <c r="L329" s="45">
        <v>4012600</v>
      </c>
      <c r="M329" s="46" t="s">
        <v>793</v>
      </c>
      <c r="N329" s="47">
        <f>SUMIF('LISTA TECNICA'!$I:$I,$L329,'LISTA TECNICA'!$P:$P)</f>
        <v>0</v>
      </c>
      <c r="O329" s="49">
        <f>IFERROR(VLOOKUP($L329,'0805'!$A:$D,4,0),0)</f>
        <v>4000</v>
      </c>
      <c r="P329" s="49">
        <f>IFERROR(VLOOKUP($L329,'0806'!$A:$D,4,0),0)</f>
        <v>0</v>
      </c>
      <c r="Q329" s="59">
        <f t="shared" si="34"/>
        <v>4000</v>
      </c>
      <c r="R329" s="72">
        <f t="shared" si="35"/>
        <v>4000</v>
      </c>
      <c r="S329" s="69"/>
      <c r="T329" s="60"/>
      <c r="U329" s="60"/>
      <c r="V329" s="60"/>
      <c r="W329" s="60"/>
    </row>
    <row r="330" spans="12:23" x14ac:dyDescent="0.25">
      <c r="L330" s="45">
        <v>4012609</v>
      </c>
      <c r="M330" s="46" t="s">
        <v>800</v>
      </c>
      <c r="N330" s="47">
        <f>SUMIF('LISTA TECNICA'!$I:$I,$L330,'LISTA TECNICA'!$P:$P)</f>
        <v>500</v>
      </c>
      <c r="O330" s="49">
        <f>IFERROR(VLOOKUP($L330,'0805'!$A:$D,4,0),0)</f>
        <v>3400</v>
      </c>
      <c r="P330" s="49">
        <f>IFERROR(VLOOKUP($L330,'0806'!$A:$D,4,0),0)</f>
        <v>0</v>
      </c>
      <c r="Q330" s="59">
        <f t="shared" si="34"/>
        <v>3400</v>
      </c>
      <c r="R330" s="72">
        <f t="shared" si="35"/>
        <v>2900</v>
      </c>
      <c r="S330" s="69"/>
      <c r="T330" s="60"/>
      <c r="U330" s="60"/>
      <c r="V330" s="60"/>
      <c r="W330" s="60"/>
    </row>
    <row r="331" spans="12:23" x14ac:dyDescent="0.25">
      <c r="L331" s="45">
        <v>4012569</v>
      </c>
      <c r="M331" s="46" t="s">
        <v>806</v>
      </c>
      <c r="N331" s="47">
        <f>SUMIF('LISTA TECNICA'!$I:$I,$L331,'LISTA TECNICA'!$P:$P)</f>
        <v>500</v>
      </c>
      <c r="O331" s="49">
        <f>IFERROR(VLOOKUP($L331,'0805'!$A:$D,4,0),0)</f>
        <v>6000</v>
      </c>
      <c r="P331" s="49">
        <f>IFERROR(VLOOKUP($L331,'0806'!$A:$D,4,0),0)</f>
        <v>0</v>
      </c>
      <c r="Q331" s="59">
        <f t="shared" si="34"/>
        <v>6000</v>
      </c>
      <c r="R331" s="72">
        <f t="shared" si="35"/>
        <v>5500</v>
      </c>
      <c r="S331" s="69"/>
      <c r="T331" s="60"/>
      <c r="U331" s="60"/>
      <c r="V331" s="60"/>
      <c r="W331" s="60"/>
    </row>
    <row r="332" spans="12:23" x14ac:dyDescent="0.25">
      <c r="L332" s="45">
        <v>4012610</v>
      </c>
      <c r="M332" s="46" t="s">
        <v>814</v>
      </c>
      <c r="N332" s="47">
        <f>SUMIF('LISTA TECNICA'!$I:$I,$L332,'LISTA TECNICA'!$P:$P)</f>
        <v>1500</v>
      </c>
      <c r="O332" s="49">
        <f>IFERROR(VLOOKUP($L332,'0805'!$A:$D,4,0),0)</f>
        <v>1600</v>
      </c>
      <c r="P332" s="49">
        <f>IFERROR(VLOOKUP($L332,'0806'!$A:$D,4,0),0)</f>
        <v>1200</v>
      </c>
      <c r="Q332" s="59">
        <f t="shared" si="34"/>
        <v>2800</v>
      </c>
      <c r="R332" s="72">
        <f t="shared" si="35"/>
        <v>1300</v>
      </c>
      <c r="S332" s="69"/>
      <c r="T332" s="60" t="s">
        <v>6275</v>
      </c>
      <c r="U332" s="60">
        <v>5000</v>
      </c>
      <c r="V332" s="60" t="s">
        <v>6276</v>
      </c>
      <c r="W332" s="60"/>
    </row>
    <row r="333" spans="12:23" x14ac:dyDescent="0.25">
      <c r="L333" s="45">
        <v>4012602</v>
      </c>
      <c r="M333" s="46" t="s">
        <v>821</v>
      </c>
      <c r="N333" s="47">
        <f>SUMIF('LISTA TECNICA'!$I:$I,$L333,'LISTA TECNICA'!$P:$P)</f>
        <v>1500</v>
      </c>
      <c r="O333" s="49">
        <f>IFERROR(VLOOKUP($L333,'0805'!$A:$D,4,0),0)</f>
        <v>4600</v>
      </c>
      <c r="P333" s="49">
        <f>IFERROR(VLOOKUP($L333,'0806'!$A:$D,4,0),0)</f>
        <v>0</v>
      </c>
      <c r="Q333" s="59">
        <f t="shared" si="34"/>
        <v>4600</v>
      </c>
      <c r="R333" s="72">
        <f t="shared" si="35"/>
        <v>3100</v>
      </c>
      <c r="S333" s="69"/>
      <c r="T333" s="60" t="s">
        <v>6277</v>
      </c>
      <c r="U333" s="60">
        <v>400</v>
      </c>
      <c r="V333" s="60" t="s">
        <v>6278</v>
      </c>
      <c r="W333" s="60"/>
    </row>
    <row r="334" spans="12:23" x14ac:dyDescent="0.25">
      <c r="L334" s="45">
        <v>4012611</v>
      </c>
      <c r="M334" s="46" t="s">
        <v>829</v>
      </c>
      <c r="N334" s="47">
        <f>SUMIF('LISTA TECNICA'!$I:$I,$L334,'LISTA TECNICA'!$P:$P)</f>
        <v>2800</v>
      </c>
      <c r="O334" s="49">
        <f>IFERROR(VLOOKUP($L334,'0805'!$A:$D,4,0),0)</f>
        <v>3100</v>
      </c>
      <c r="P334" s="49">
        <f>IFERROR(VLOOKUP($L334,'0806'!$A:$D,4,0),0)</f>
        <v>0</v>
      </c>
      <c r="Q334" s="59">
        <f t="shared" si="34"/>
        <v>3100</v>
      </c>
      <c r="R334" s="72">
        <f t="shared" si="35"/>
        <v>300</v>
      </c>
      <c r="S334" s="69"/>
      <c r="T334" s="60"/>
      <c r="U334" s="60"/>
      <c r="V334" s="60"/>
      <c r="W334" s="60"/>
    </row>
    <row r="335" spans="12:23" x14ac:dyDescent="0.25">
      <c r="L335" s="45">
        <v>4012601</v>
      </c>
      <c r="M335" s="46" t="s">
        <v>836</v>
      </c>
      <c r="N335" s="47">
        <f>SUMIF('LISTA TECNICA'!$I:$I,$L335,'LISTA TECNICA'!$P:$P)</f>
        <v>0</v>
      </c>
      <c r="O335" s="49">
        <f>IFERROR(VLOOKUP($L335,'0805'!$A:$D,4,0),0)</f>
        <v>700</v>
      </c>
      <c r="P335" s="49">
        <f>IFERROR(VLOOKUP($L335,'0806'!$A:$D,4,0),0)</f>
        <v>0</v>
      </c>
      <c r="Q335" s="59">
        <f t="shared" si="34"/>
        <v>700</v>
      </c>
      <c r="R335" s="72">
        <f t="shared" si="35"/>
        <v>700</v>
      </c>
      <c r="S335" s="69"/>
      <c r="T335" s="60"/>
      <c r="U335" s="60"/>
      <c r="V335" s="60"/>
      <c r="W335" s="60"/>
    </row>
    <row r="336" spans="12:23" ht="27" x14ac:dyDescent="0.25">
      <c r="L336" s="45">
        <v>4012614</v>
      </c>
      <c r="M336" s="46" t="s">
        <v>842</v>
      </c>
      <c r="N336" s="47">
        <f>SUMIF('LISTA TECNICA'!$I:$I,$L336,'LISTA TECNICA'!$P:$P)</f>
        <v>900</v>
      </c>
      <c r="O336" s="49">
        <f>IFERROR(VLOOKUP($L336,'0805'!$A:$D,4,0),0)</f>
        <v>2300</v>
      </c>
      <c r="P336" s="49">
        <f>IFERROR(VLOOKUP($L336,'0806'!$A:$D,4,0),0)</f>
        <v>0</v>
      </c>
      <c r="Q336" s="59">
        <f t="shared" si="34"/>
        <v>2300</v>
      </c>
      <c r="R336" s="72">
        <f t="shared" si="35"/>
        <v>1400</v>
      </c>
      <c r="S336" s="69"/>
      <c r="T336" s="81" t="s">
        <v>6279</v>
      </c>
      <c r="U336" s="81" t="s">
        <v>6280</v>
      </c>
      <c r="V336" s="81" t="s">
        <v>6281</v>
      </c>
      <c r="W336" s="60"/>
    </row>
    <row r="337" spans="12:23" x14ac:dyDescent="0.25">
      <c r="L337" s="45">
        <v>4012613</v>
      </c>
      <c r="M337" s="46" t="s">
        <v>849</v>
      </c>
      <c r="N337" s="47">
        <f>SUMIF('LISTA TECNICA'!$I:$I,$L337,'LISTA TECNICA'!$P:$P)</f>
        <v>3000</v>
      </c>
      <c r="O337" s="49">
        <f>IFERROR(VLOOKUP($L337,'0805'!$A:$D,4,0),0)</f>
        <v>7900</v>
      </c>
      <c r="P337" s="49">
        <f>IFERROR(VLOOKUP($L337,'0806'!$A:$D,4,0),0)</f>
        <v>0</v>
      </c>
      <c r="Q337" s="59">
        <f t="shared" si="34"/>
        <v>7900</v>
      </c>
      <c r="R337" s="72">
        <f t="shared" si="35"/>
        <v>4900</v>
      </c>
      <c r="S337" s="69"/>
      <c r="T337" s="60"/>
      <c r="U337" s="60"/>
      <c r="V337" s="60"/>
      <c r="W337" s="60"/>
    </row>
    <row r="338" spans="12:23" x14ac:dyDescent="0.25">
      <c r="L338" s="45">
        <v>4012604</v>
      </c>
      <c r="M338" s="46" t="s">
        <v>855</v>
      </c>
      <c r="N338" s="47">
        <f>SUMIF('LISTA TECNICA'!$I:$I,$L338,'LISTA TECNICA'!$P:$P)</f>
        <v>200</v>
      </c>
      <c r="O338" s="49">
        <f>IFERROR(VLOOKUP($L338,'0805'!$A:$D,4,0),0)</f>
        <v>2000</v>
      </c>
      <c r="P338" s="49">
        <f>IFERROR(VLOOKUP($L338,'0806'!$A:$D,4,0),0)</f>
        <v>0</v>
      </c>
      <c r="Q338" s="59">
        <f t="shared" si="34"/>
        <v>2000</v>
      </c>
      <c r="R338" s="72">
        <f t="shared" si="35"/>
        <v>1800</v>
      </c>
      <c r="S338" s="69"/>
      <c r="T338" s="60"/>
      <c r="U338" s="60"/>
      <c r="V338" s="60"/>
      <c r="W338" s="60"/>
    </row>
    <row r="339" spans="12:23" x14ac:dyDescent="0.25">
      <c r="L339" s="45">
        <v>4013821</v>
      </c>
      <c r="M339" s="46" t="s">
        <v>1204</v>
      </c>
      <c r="N339" s="47">
        <f>SUMIF('LISTA TECNICA'!$I:$I,$L339,'LISTA TECNICA'!$P:$P)</f>
        <v>3600</v>
      </c>
      <c r="O339" s="49">
        <f>IFERROR(VLOOKUP($L339,'0805'!$A:$D,4,0),0)</f>
        <v>16790</v>
      </c>
      <c r="P339" s="49">
        <f>IFERROR(VLOOKUP($L339,'0806'!$A:$D,4,0),0)</f>
        <v>222</v>
      </c>
      <c r="Q339" s="59">
        <f t="shared" si="34"/>
        <v>17012</v>
      </c>
      <c r="R339" s="72">
        <f t="shared" si="35"/>
        <v>13412</v>
      </c>
      <c r="S339" s="69"/>
      <c r="T339" s="60"/>
      <c r="U339" s="60"/>
      <c r="V339" s="60"/>
      <c r="W339" s="60"/>
    </row>
    <row r="340" spans="12:23" x14ac:dyDescent="0.25">
      <c r="L340" s="45">
        <v>4015410</v>
      </c>
      <c r="M340" s="46" t="s">
        <v>1150</v>
      </c>
      <c r="N340" s="47">
        <f>SUMIF('LISTA TECNICA'!$I:$I,$L340,'LISTA TECNICA'!$P:$P)</f>
        <v>0</v>
      </c>
      <c r="O340" s="49">
        <f>IFERROR(VLOOKUP($L340,'0805'!$A:$D,4,0),0)</f>
        <v>0</v>
      </c>
      <c r="P340" s="49">
        <f>IFERROR(VLOOKUP($L340,'0806'!$A:$D,4,0),0)</f>
        <v>0</v>
      </c>
      <c r="Q340" s="59">
        <f t="shared" si="34"/>
        <v>0</v>
      </c>
      <c r="R340" s="72">
        <f t="shared" si="35"/>
        <v>0</v>
      </c>
      <c r="S340" s="69"/>
      <c r="T340" s="60"/>
      <c r="U340" s="60"/>
      <c r="V340" s="60"/>
      <c r="W340" s="60"/>
    </row>
    <row r="341" spans="12:23" x14ac:dyDescent="0.25">
      <c r="L341"/>
      <c r="M341"/>
      <c r="N341"/>
      <c r="O341"/>
      <c r="P341"/>
      <c r="Q341"/>
      <c r="R341"/>
      <c r="S341"/>
      <c r="T341"/>
      <c r="U341"/>
      <c r="V341"/>
      <c r="W341"/>
    </row>
    <row r="342" spans="12:23" ht="15.75" thickBot="1" x14ac:dyDescent="0.3">
      <c r="L342"/>
      <c r="M342"/>
      <c r="N342"/>
      <c r="O342"/>
      <c r="P342"/>
      <c r="Q342"/>
      <c r="R342"/>
      <c r="S342"/>
      <c r="T342"/>
      <c r="U342"/>
      <c r="V342"/>
      <c r="W342"/>
    </row>
    <row r="343" spans="12:23" ht="15.75" thickBot="1" x14ac:dyDescent="0.3">
      <c r="L343" s="86" t="s">
        <v>6086</v>
      </c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8"/>
    </row>
    <row r="344" spans="12:23" ht="15.75" thickBot="1" x14ac:dyDescent="0.3">
      <c r="L344" s="53" t="s">
        <v>5</v>
      </c>
      <c r="M344" s="54" t="s">
        <v>2052</v>
      </c>
      <c r="N344" s="55" t="s">
        <v>2053</v>
      </c>
      <c r="O344" s="54">
        <v>805</v>
      </c>
      <c r="P344" s="54">
        <v>806</v>
      </c>
      <c r="Q344" s="57" t="s">
        <v>6068</v>
      </c>
      <c r="R344" s="70" t="s">
        <v>6069</v>
      </c>
      <c r="S344" s="67" t="s">
        <v>6072</v>
      </c>
      <c r="T344" s="63" t="s">
        <v>6073</v>
      </c>
      <c r="U344" s="63" t="s">
        <v>6136</v>
      </c>
      <c r="V344" s="63" t="s">
        <v>6076</v>
      </c>
      <c r="W344" s="64" t="s">
        <v>6074</v>
      </c>
    </row>
    <row r="345" spans="12:23" ht="15.75" thickBot="1" x14ac:dyDescent="0.3">
      <c r="L345" s="45">
        <v>4016984</v>
      </c>
      <c r="M345" s="46" t="s">
        <v>784</v>
      </c>
      <c r="N345" s="47">
        <f>SUMIF('LISTA TECNICA'!$I:$I,$L345,'LISTA TECNICA'!$P:$P)</f>
        <v>0</v>
      </c>
      <c r="O345" s="49">
        <f>IFERROR(VLOOKUP($L345,'0805'!$A:$D,4,0),0)</f>
        <v>248</v>
      </c>
      <c r="P345" s="49">
        <f>IFERROR(VLOOKUP($L345,'0806'!$A:$D,4,0),0)</f>
        <v>0</v>
      </c>
      <c r="Q345" s="59">
        <f>P345+O345</f>
        <v>248</v>
      </c>
      <c r="R345" s="73">
        <f>Q345-N345</f>
        <v>248</v>
      </c>
      <c r="S345" s="69"/>
      <c r="T345" s="60"/>
      <c r="U345" s="60"/>
      <c r="V345" s="60"/>
      <c r="W345" s="60"/>
    </row>
    <row r="346" spans="12:23" ht="30.75" customHeight="1" x14ac:dyDescent="0.25">
      <c r="L346" s="45">
        <v>4002826</v>
      </c>
      <c r="M346" s="46" t="s">
        <v>4</v>
      </c>
      <c r="N346" s="47">
        <f>SUMIF('LISTA TECNICA'!$I:$I,$L346,'LISTA TECNICA'!$P:$P)</f>
        <v>440.5476000000001</v>
      </c>
      <c r="O346" s="49">
        <f>IFERROR(VLOOKUP($L346,'0805'!$A:$D,4,0),0)</f>
        <v>0</v>
      </c>
      <c r="P346" s="49">
        <f>IFERROR(VLOOKUP($L346,'0806'!$A:$D,4,0),0)</f>
        <v>0</v>
      </c>
      <c r="Q346" s="59">
        <f>P346+O346</f>
        <v>0</v>
      </c>
      <c r="R346" s="72">
        <f>Q346-N346</f>
        <v>-440.5476000000001</v>
      </c>
      <c r="S346" s="83" t="s">
        <v>6282</v>
      </c>
      <c r="T346" s="81"/>
      <c r="U346" s="81" t="s">
        <v>6283</v>
      </c>
      <c r="V346" s="81" t="s">
        <v>6284</v>
      </c>
      <c r="W346" s="60"/>
    </row>
    <row r="347" spans="12:23" x14ac:dyDescent="0.25">
      <c r="L347" s="45">
        <v>4015442</v>
      </c>
      <c r="M347" s="46" t="s">
        <v>888</v>
      </c>
      <c r="N347" s="47">
        <f>SUMIF('LISTA TECNICA'!$I:$I,$L347,'LISTA TECNICA'!$P:$P)</f>
        <v>3000</v>
      </c>
      <c r="O347" s="49">
        <f>IFERROR(VLOOKUP($L347,'0805'!$A:$D,4,0),0)</f>
        <v>0</v>
      </c>
      <c r="P347" s="49">
        <f>IFERROR(VLOOKUP($L347,'0806'!$A:$D,4,0),0)</f>
        <v>0</v>
      </c>
      <c r="Q347" s="59">
        <f>P347+O347</f>
        <v>0</v>
      </c>
      <c r="R347" s="72">
        <f>Q347-N347</f>
        <v>-3000</v>
      </c>
      <c r="S347" s="69" t="s">
        <v>6285</v>
      </c>
      <c r="T347" s="60"/>
      <c r="U347" s="60"/>
      <c r="V347" s="60"/>
      <c r="W347" s="60"/>
    </row>
    <row r="348" spans="12:23" x14ac:dyDescent="0.25">
      <c r="L348" s="45">
        <v>4012138</v>
      </c>
      <c r="M348" s="46" t="s">
        <v>27</v>
      </c>
      <c r="N348" s="47">
        <f>SUMIF('LISTA TECNICA'!$I:$I,$L348,'LISTA TECNICA'!$P:$P)</f>
        <v>148.96883999999997</v>
      </c>
      <c r="O348" s="49">
        <f>IFERROR(VLOOKUP($L348,'0805'!$A:$D,4,0),0)</f>
        <v>25.6</v>
      </c>
      <c r="P348" s="49">
        <f>IFERROR(VLOOKUP($L348,'0806'!$A:$D,4,0),0)</f>
        <v>22.225999999999999</v>
      </c>
      <c r="Q348" s="59">
        <f>P348+O348</f>
        <v>47.826000000000001</v>
      </c>
      <c r="R348" s="72">
        <f>Q348-N348</f>
        <v>-101.14283999999998</v>
      </c>
      <c r="S348" s="69" t="s">
        <v>6286</v>
      </c>
      <c r="T348" s="60"/>
      <c r="U348" s="60">
        <v>115.352</v>
      </c>
      <c r="V348" s="60" t="s">
        <v>6287</v>
      </c>
      <c r="W348" s="60"/>
    </row>
    <row r="349" spans="12:23" x14ac:dyDescent="0.25">
      <c r="L349" s="74">
        <v>4002827</v>
      </c>
      <c r="M349" s="50" t="s">
        <v>0</v>
      </c>
      <c r="N349" s="52">
        <f>SUMIF('LISTA TECNICA'!$I:$I,$L349,'LISTA TECNICA'!$P:$P)</f>
        <v>83723.543999999994</v>
      </c>
      <c r="O349" s="51">
        <f>IFERROR(VLOOKUP($L349,'0805'!$A:$D,4,0),0)</f>
        <v>8</v>
      </c>
      <c r="P349" s="51">
        <f>IFERROR(VLOOKUP($L349,'0806'!$A:$D,4,0),0)</f>
        <v>0</v>
      </c>
      <c r="Q349" s="58">
        <f>P349+O349</f>
        <v>8</v>
      </c>
      <c r="R349" s="71">
        <f>Q349-N349</f>
        <v>-83715.543999999994</v>
      </c>
      <c r="S349" s="68" t="s">
        <v>6288</v>
      </c>
      <c r="T349" s="62"/>
      <c r="U349" s="85">
        <v>200000</v>
      </c>
      <c r="V349" s="62" t="s">
        <v>6289</v>
      </c>
      <c r="W349" s="62"/>
    </row>
  </sheetData>
  <autoFilter ref="A5:J5" xr:uid="{63E1092A-B7F1-4F7C-B059-E418B8A0F966}">
    <sortState xmlns:xlrd2="http://schemas.microsoft.com/office/spreadsheetml/2017/richdata2" ref="A6:J257">
      <sortCondition ref="B5"/>
    </sortState>
  </autoFilter>
  <mergeCells count="21">
    <mergeCell ref="A255:J255"/>
    <mergeCell ref="A274:J274"/>
    <mergeCell ref="A283:J283"/>
    <mergeCell ref="A141:J141"/>
    <mergeCell ref="A152:J152"/>
    <mergeCell ref="A180:J180"/>
    <mergeCell ref="A202:J202"/>
    <mergeCell ref="A245:J245"/>
    <mergeCell ref="A2:J2"/>
    <mergeCell ref="A4:J4"/>
    <mergeCell ref="A38:J38"/>
    <mergeCell ref="A100:J100"/>
    <mergeCell ref="A123:J123"/>
    <mergeCell ref="L343:W343"/>
    <mergeCell ref="L2:W2"/>
    <mergeCell ref="L4:W4"/>
    <mergeCell ref="L48:W48"/>
    <mergeCell ref="L160:W160"/>
    <mergeCell ref="L252:W252"/>
    <mergeCell ref="L273:W273"/>
    <mergeCell ref="L306:W306"/>
  </mergeCells>
  <conditionalFormatting sqref="E6:E36 R50:R157">
    <cfRule type="cellIs" dxfId="53" priority="103" operator="greaterThan">
      <formula>0</formula>
    </cfRule>
    <cfRule type="cellIs" dxfId="52" priority="104" operator="lessThan">
      <formula>0</formula>
    </cfRule>
    <cfRule type="cellIs" dxfId="51" priority="105" operator="equal">
      <formula>0</formula>
    </cfRule>
  </conditionalFormatting>
  <conditionalFormatting sqref="E40:E98">
    <cfRule type="cellIs" dxfId="50" priority="127" operator="greaterThan">
      <formula>0</formula>
    </cfRule>
    <cfRule type="cellIs" dxfId="49" priority="128" operator="lessThan">
      <formula>0</formula>
    </cfRule>
    <cfRule type="cellIs" dxfId="48" priority="129" operator="equal">
      <formula>0</formula>
    </cfRule>
  </conditionalFormatting>
  <conditionalFormatting sqref="E102:E121">
    <cfRule type="cellIs" dxfId="47" priority="126" operator="equal">
      <formula>0</formula>
    </cfRule>
    <cfRule type="cellIs" dxfId="46" priority="125" operator="lessThan">
      <formula>0</formula>
    </cfRule>
    <cfRule type="cellIs" dxfId="45" priority="124" operator="greaterThan">
      <formula>0</formula>
    </cfRule>
  </conditionalFormatting>
  <conditionalFormatting sqref="E125:E139">
    <cfRule type="cellIs" dxfId="44" priority="121" operator="greaterThan">
      <formula>0</formula>
    </cfRule>
    <cfRule type="cellIs" dxfId="43" priority="123" operator="equal">
      <formula>0</formula>
    </cfRule>
    <cfRule type="cellIs" dxfId="42" priority="122" operator="lessThan">
      <formula>0</formula>
    </cfRule>
  </conditionalFormatting>
  <conditionalFormatting sqref="E143:E150">
    <cfRule type="cellIs" dxfId="41" priority="113" operator="lessThan">
      <formula>0</formula>
    </cfRule>
    <cfRule type="cellIs" dxfId="40" priority="114" operator="equal">
      <formula>0</formula>
    </cfRule>
    <cfRule type="cellIs" dxfId="39" priority="112" operator="greaterThan">
      <formula>0</formula>
    </cfRule>
  </conditionalFormatting>
  <conditionalFormatting sqref="E154:E179">
    <cfRule type="cellIs" dxfId="38" priority="43" operator="greaterThan">
      <formula>0</formula>
    </cfRule>
    <cfRule type="cellIs" dxfId="37" priority="44" operator="lessThan">
      <formula>0</formula>
    </cfRule>
    <cfRule type="cellIs" dxfId="36" priority="45" operator="equal">
      <formula>0</formula>
    </cfRule>
  </conditionalFormatting>
  <conditionalFormatting sqref="E182:E201">
    <cfRule type="cellIs" dxfId="35" priority="10" operator="greaterThan">
      <formula>0</formula>
    </cfRule>
    <cfRule type="cellIs" dxfId="34" priority="11" operator="lessThan">
      <formula>0</formula>
    </cfRule>
    <cfRule type="cellIs" dxfId="33" priority="12" operator="equal">
      <formula>0</formula>
    </cfRule>
  </conditionalFormatting>
  <conditionalFormatting sqref="E204:E243">
    <cfRule type="cellIs" dxfId="32" priority="4" operator="greaterThan">
      <formula>0</formula>
    </cfRule>
    <cfRule type="cellIs" dxfId="31" priority="5" operator="lessThan">
      <formula>0</formula>
    </cfRule>
    <cfRule type="cellIs" dxfId="30" priority="6" operator="equal">
      <formula>0</formula>
    </cfRule>
  </conditionalFormatting>
  <conditionalFormatting sqref="E247:E253">
    <cfRule type="cellIs" dxfId="29" priority="73" operator="greaterThan">
      <formula>0</formula>
    </cfRule>
    <cfRule type="cellIs" dxfId="28" priority="74" operator="lessThan">
      <formula>0</formula>
    </cfRule>
    <cfRule type="cellIs" dxfId="27" priority="75" operator="equal">
      <formula>0</formula>
    </cfRule>
  </conditionalFormatting>
  <conditionalFormatting sqref="E257:E273">
    <cfRule type="cellIs" dxfId="26" priority="1" operator="greaterThan">
      <formula>0</formula>
    </cfRule>
    <cfRule type="cellIs" dxfId="25" priority="2" operator="lessThan">
      <formula>0</formula>
    </cfRule>
    <cfRule type="cellIs" dxfId="24" priority="3" operator="equal">
      <formula>0</formula>
    </cfRule>
  </conditionalFormatting>
  <conditionalFormatting sqref="E276:E281">
    <cfRule type="cellIs" dxfId="23" priority="31" operator="greaterThan">
      <formula>0</formula>
    </cfRule>
    <cfRule type="cellIs" dxfId="22" priority="33" operator="equal">
      <formula>0</formula>
    </cfRule>
    <cfRule type="cellIs" dxfId="21" priority="32" operator="lessThan">
      <formula>0</formula>
    </cfRule>
  </conditionalFormatting>
  <conditionalFormatting sqref="E285:E293">
    <cfRule type="cellIs" dxfId="20" priority="21" operator="equal">
      <formula>0</formula>
    </cfRule>
    <cfRule type="cellIs" dxfId="19" priority="20" operator="lessThan">
      <formula>0</formula>
    </cfRule>
    <cfRule type="cellIs" dxfId="18" priority="19" operator="greaterThan">
      <formula>0</formula>
    </cfRule>
  </conditionalFormatting>
  <conditionalFormatting sqref="R6:R45">
    <cfRule type="cellIs" dxfId="17" priority="162" operator="equal">
      <formula>0</formula>
    </cfRule>
    <cfRule type="cellIs" dxfId="16" priority="160" operator="greaterThan">
      <formula>0</formula>
    </cfRule>
    <cfRule type="cellIs" dxfId="15" priority="161" operator="lessThan">
      <formula>0</formula>
    </cfRule>
  </conditionalFormatting>
  <conditionalFormatting sqref="R162:R249">
    <cfRule type="cellIs" dxfId="14" priority="154" operator="greaterThan">
      <formula>0</formula>
    </cfRule>
    <cfRule type="cellIs" dxfId="13" priority="155" operator="lessThan">
      <formula>0</formula>
    </cfRule>
    <cfRule type="cellIs" dxfId="12" priority="156" operator="equal">
      <formula>0</formula>
    </cfRule>
  </conditionalFormatting>
  <conditionalFormatting sqref="R254:R270">
    <cfRule type="cellIs" dxfId="11" priority="151" operator="greaterThan">
      <formula>0</formula>
    </cfRule>
    <cfRule type="cellIs" dxfId="10" priority="152" operator="lessThan">
      <formula>0</formula>
    </cfRule>
    <cfRule type="cellIs" dxfId="9" priority="153" operator="equal">
      <formula>0</formula>
    </cfRule>
  </conditionalFormatting>
  <conditionalFormatting sqref="R275:R303">
    <cfRule type="cellIs" dxfId="8" priority="148" operator="greaterThan">
      <formula>0</formula>
    </cfRule>
    <cfRule type="cellIs" dxfId="7" priority="149" operator="lessThan">
      <formula>0</formula>
    </cfRule>
    <cfRule type="cellIs" dxfId="6" priority="150" operator="equal">
      <formula>0</formula>
    </cfRule>
  </conditionalFormatting>
  <conditionalFormatting sqref="R308:R340">
    <cfRule type="cellIs" dxfId="5" priority="145" operator="greaterThan">
      <formula>0</formula>
    </cfRule>
    <cfRule type="cellIs" dxfId="4" priority="146" operator="lessThan">
      <formula>0</formula>
    </cfRule>
    <cfRule type="cellIs" dxfId="3" priority="147" operator="equal">
      <formula>0</formula>
    </cfRule>
  </conditionalFormatting>
  <conditionalFormatting sqref="R345:R349">
    <cfRule type="cellIs" dxfId="2" priority="133" operator="greaterThan">
      <formula>0</formula>
    </cfRule>
    <cfRule type="cellIs" dxfId="1" priority="134" operator="lessThan">
      <formula>0</formula>
    </cfRule>
    <cfRule type="cellIs" dxfId="0" priority="135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9215-F34E-40AF-9A63-034F906C39EF}">
  <dimension ref="A1:F4040"/>
  <sheetViews>
    <sheetView zoomScale="85" zoomScaleNormal="85" workbookViewId="0">
      <selection activeCell="F25" sqref="F25"/>
    </sheetView>
  </sheetViews>
  <sheetFormatPr defaultRowHeight="15" x14ac:dyDescent="0.25"/>
  <cols>
    <col min="1" max="1" width="12.28515625" style="5" bestFit="1" customWidth="1"/>
    <col min="2" max="2" width="45.7109375" style="5" bestFit="1" customWidth="1"/>
    <col min="3" max="3" width="8.85546875" style="5" bestFit="1" customWidth="1"/>
    <col min="4" max="4" width="14.140625" style="5" bestFit="1" customWidth="1"/>
    <col min="5" max="5" width="5" style="5" bestFit="1" customWidth="1"/>
    <col min="6" max="6" width="13.140625" style="5" bestFit="1" customWidth="1"/>
    <col min="7" max="16384" width="9.140625" style="5"/>
  </cols>
  <sheetData>
    <row r="1" spans="1:6" x14ac:dyDescent="0.25">
      <c r="A1" s="38" t="s">
        <v>5</v>
      </c>
      <c r="B1" s="38" t="s">
        <v>6</v>
      </c>
      <c r="C1" s="38" t="s">
        <v>2054</v>
      </c>
      <c r="D1" s="38" t="s">
        <v>2055</v>
      </c>
      <c r="E1" s="38" t="s">
        <v>14</v>
      </c>
      <c r="F1" s="38" t="s">
        <v>2056</v>
      </c>
    </row>
    <row r="2" spans="1:6" x14ac:dyDescent="0.25">
      <c r="A2" s="1">
        <v>107</v>
      </c>
      <c r="B2" s="1" t="s">
        <v>2057</v>
      </c>
      <c r="C2" s="1" t="s">
        <v>2058</v>
      </c>
      <c r="D2" s="39">
        <v>0</v>
      </c>
      <c r="E2" s="1" t="s">
        <v>1</v>
      </c>
      <c r="F2" s="39">
        <v>0</v>
      </c>
    </row>
    <row r="3" spans="1:6" x14ac:dyDescent="0.25">
      <c r="A3" s="1">
        <v>108</v>
      </c>
      <c r="B3" s="1" t="s">
        <v>2059</v>
      </c>
      <c r="C3" s="1" t="s">
        <v>2058</v>
      </c>
      <c r="D3" s="39">
        <v>0</v>
      </c>
      <c r="E3" s="1" t="s">
        <v>1</v>
      </c>
      <c r="F3" s="39">
        <v>0</v>
      </c>
    </row>
    <row r="4" spans="1:6" x14ac:dyDescent="0.25">
      <c r="A4" s="1">
        <v>109</v>
      </c>
      <c r="B4" s="1" t="s">
        <v>2060</v>
      </c>
      <c r="C4" s="1" t="s">
        <v>2058</v>
      </c>
      <c r="D4" s="39">
        <v>0</v>
      </c>
      <c r="E4" s="1" t="s">
        <v>1</v>
      </c>
      <c r="F4" s="39">
        <v>0</v>
      </c>
    </row>
    <row r="5" spans="1:6" x14ac:dyDescent="0.25">
      <c r="A5" s="1">
        <v>110</v>
      </c>
      <c r="B5" s="1" t="s">
        <v>2061</v>
      </c>
      <c r="C5" s="1" t="s">
        <v>2058</v>
      </c>
      <c r="D5" s="39">
        <v>0</v>
      </c>
      <c r="E5" s="1" t="s">
        <v>1</v>
      </c>
      <c r="F5" s="39">
        <v>0</v>
      </c>
    </row>
    <row r="6" spans="1:6" x14ac:dyDescent="0.25">
      <c r="A6" s="1">
        <v>114</v>
      </c>
      <c r="B6" s="1" t="s">
        <v>2062</v>
      </c>
      <c r="C6" s="1" t="s">
        <v>2058</v>
      </c>
      <c r="D6" s="39">
        <v>0</v>
      </c>
      <c r="E6" s="1" t="s">
        <v>1</v>
      </c>
      <c r="F6" s="39">
        <v>0</v>
      </c>
    </row>
    <row r="7" spans="1:6" x14ac:dyDescent="0.25">
      <c r="A7" s="1">
        <v>201</v>
      </c>
      <c r="B7" s="1" t="s">
        <v>2063</v>
      </c>
      <c r="C7" s="1" t="s">
        <v>2058</v>
      </c>
      <c r="D7" s="39">
        <v>0</v>
      </c>
      <c r="E7" s="1" t="s">
        <v>1</v>
      </c>
      <c r="F7" s="39">
        <v>0</v>
      </c>
    </row>
    <row r="8" spans="1:6" x14ac:dyDescent="0.25">
      <c r="A8" s="1">
        <v>235</v>
      </c>
      <c r="B8" s="1" t="s">
        <v>2064</v>
      </c>
      <c r="C8" s="1" t="s">
        <v>2058</v>
      </c>
      <c r="D8" s="39">
        <v>0</v>
      </c>
      <c r="E8" s="1" t="s">
        <v>1</v>
      </c>
      <c r="F8" s="39">
        <v>0</v>
      </c>
    </row>
    <row r="9" spans="1:6" x14ac:dyDescent="0.25">
      <c r="A9" s="1">
        <v>278</v>
      </c>
      <c r="B9" s="1" t="s">
        <v>2065</v>
      </c>
      <c r="C9" s="1" t="s">
        <v>2058</v>
      </c>
      <c r="D9" s="39">
        <v>0</v>
      </c>
      <c r="E9" s="1" t="s">
        <v>1</v>
      </c>
      <c r="F9" s="39">
        <v>0</v>
      </c>
    </row>
    <row r="10" spans="1:6" x14ac:dyDescent="0.25">
      <c r="A10" s="1">
        <v>279</v>
      </c>
      <c r="B10" s="1" t="s">
        <v>2066</v>
      </c>
      <c r="C10" s="1" t="s">
        <v>2058</v>
      </c>
      <c r="D10" s="39">
        <v>0</v>
      </c>
      <c r="E10" s="1" t="s">
        <v>1</v>
      </c>
      <c r="F10" s="39">
        <v>0</v>
      </c>
    </row>
    <row r="11" spans="1:6" x14ac:dyDescent="0.25">
      <c r="A11" s="1">
        <v>280</v>
      </c>
      <c r="B11" s="1" t="s">
        <v>2067</v>
      </c>
      <c r="C11" s="1" t="s">
        <v>2058</v>
      </c>
      <c r="D11" s="39">
        <v>0</v>
      </c>
      <c r="E11" s="1" t="s">
        <v>1</v>
      </c>
      <c r="F11" s="39">
        <v>0</v>
      </c>
    </row>
    <row r="12" spans="1:6" x14ac:dyDescent="0.25">
      <c r="A12" s="1">
        <v>281</v>
      </c>
      <c r="B12" s="1" t="s">
        <v>2068</v>
      </c>
      <c r="C12" s="1" t="s">
        <v>2058</v>
      </c>
      <c r="D12" s="39">
        <v>0</v>
      </c>
      <c r="E12" s="1" t="s">
        <v>1</v>
      </c>
      <c r="F12" s="39">
        <v>0</v>
      </c>
    </row>
    <row r="13" spans="1:6" x14ac:dyDescent="0.25">
      <c r="A13" s="1">
        <v>283</v>
      </c>
      <c r="B13" s="1" t="s">
        <v>2069</v>
      </c>
      <c r="C13" s="1" t="s">
        <v>2058</v>
      </c>
      <c r="D13" s="39">
        <v>0</v>
      </c>
      <c r="E13" s="1" t="s">
        <v>1</v>
      </c>
      <c r="F13" s="39">
        <v>0</v>
      </c>
    </row>
    <row r="14" spans="1:6" x14ac:dyDescent="0.25">
      <c r="A14" s="1">
        <v>284</v>
      </c>
      <c r="B14" s="1" t="s">
        <v>2070</v>
      </c>
      <c r="C14" s="1" t="s">
        <v>2058</v>
      </c>
      <c r="D14" s="39">
        <v>0</v>
      </c>
      <c r="E14" s="1" t="s">
        <v>1</v>
      </c>
      <c r="F14" s="39">
        <v>0</v>
      </c>
    </row>
    <row r="15" spans="1:6" x14ac:dyDescent="0.25">
      <c r="A15" s="1">
        <v>285</v>
      </c>
      <c r="B15" s="1" t="s">
        <v>2071</v>
      </c>
      <c r="C15" s="1" t="s">
        <v>2058</v>
      </c>
      <c r="D15" s="39">
        <v>0</v>
      </c>
      <c r="E15" s="1" t="s">
        <v>1</v>
      </c>
      <c r="F15" s="39">
        <v>0</v>
      </c>
    </row>
    <row r="16" spans="1:6" x14ac:dyDescent="0.25">
      <c r="A16" s="1">
        <v>292</v>
      </c>
      <c r="B16" s="1" t="s">
        <v>2072</v>
      </c>
      <c r="C16" s="1" t="s">
        <v>2058</v>
      </c>
      <c r="D16" s="39">
        <v>0</v>
      </c>
      <c r="E16" s="1" t="s">
        <v>1</v>
      </c>
      <c r="F16" s="39">
        <v>0</v>
      </c>
    </row>
    <row r="17" spans="1:6" x14ac:dyDescent="0.25">
      <c r="A17" s="1">
        <v>298</v>
      </c>
      <c r="B17" s="1" t="s">
        <v>2073</v>
      </c>
      <c r="C17" s="1" t="s">
        <v>2058</v>
      </c>
      <c r="D17" s="39">
        <v>0</v>
      </c>
      <c r="E17" s="1" t="s">
        <v>1</v>
      </c>
      <c r="F17" s="39">
        <v>0</v>
      </c>
    </row>
    <row r="18" spans="1:6" x14ac:dyDescent="0.25">
      <c r="A18" s="1">
        <v>299</v>
      </c>
      <c r="B18" s="1" t="s">
        <v>2074</v>
      </c>
      <c r="C18" s="1" t="s">
        <v>2058</v>
      </c>
      <c r="D18" s="39">
        <v>0</v>
      </c>
      <c r="E18" s="1" t="s">
        <v>1</v>
      </c>
      <c r="F18" s="39">
        <v>0</v>
      </c>
    </row>
    <row r="19" spans="1:6" x14ac:dyDescent="0.25">
      <c r="A19" s="1">
        <v>346</v>
      </c>
      <c r="B19" s="1" t="s">
        <v>2075</v>
      </c>
      <c r="C19" s="1" t="s">
        <v>2058</v>
      </c>
      <c r="D19" s="39">
        <v>0</v>
      </c>
      <c r="E19" s="1" t="s">
        <v>1</v>
      </c>
      <c r="F19" s="39">
        <v>0</v>
      </c>
    </row>
    <row r="20" spans="1:6" x14ac:dyDescent="0.25">
      <c r="A20" s="1">
        <v>357</v>
      </c>
      <c r="B20" s="1" t="s">
        <v>2076</v>
      </c>
      <c r="C20" s="1" t="s">
        <v>2058</v>
      </c>
      <c r="D20" s="39">
        <v>0</v>
      </c>
      <c r="E20" s="1" t="s">
        <v>1</v>
      </c>
      <c r="F20" s="39">
        <v>0</v>
      </c>
    </row>
    <row r="21" spans="1:6" x14ac:dyDescent="0.25">
      <c r="A21" s="1">
        <v>456</v>
      </c>
      <c r="B21" s="1" t="s">
        <v>2077</v>
      </c>
      <c r="C21" s="1" t="s">
        <v>2058</v>
      </c>
      <c r="D21" s="39">
        <v>0</v>
      </c>
      <c r="E21" s="1" t="s">
        <v>1</v>
      </c>
      <c r="F21" s="39">
        <v>0</v>
      </c>
    </row>
    <row r="22" spans="1:6" x14ac:dyDescent="0.25">
      <c r="A22" s="1">
        <v>458</v>
      </c>
      <c r="B22" s="1" t="s">
        <v>2078</v>
      </c>
      <c r="C22" s="1" t="s">
        <v>2058</v>
      </c>
      <c r="D22" s="39">
        <v>0</v>
      </c>
      <c r="E22" s="1" t="s">
        <v>1</v>
      </c>
      <c r="F22" s="39">
        <v>0</v>
      </c>
    </row>
    <row r="23" spans="1:6" x14ac:dyDescent="0.25">
      <c r="A23" s="1">
        <v>502</v>
      </c>
      <c r="B23" s="1" t="s">
        <v>2079</v>
      </c>
      <c r="C23" s="1" t="s">
        <v>2058</v>
      </c>
      <c r="D23" s="39">
        <v>0</v>
      </c>
      <c r="E23" s="1" t="s">
        <v>1</v>
      </c>
      <c r="F23" s="39">
        <v>0</v>
      </c>
    </row>
    <row r="24" spans="1:6" x14ac:dyDescent="0.25">
      <c r="A24" s="1">
        <v>507</v>
      </c>
      <c r="B24" s="1" t="s">
        <v>2080</v>
      </c>
      <c r="C24" s="1" t="s">
        <v>2058</v>
      </c>
      <c r="D24" s="39">
        <v>0</v>
      </c>
      <c r="E24" s="1" t="s">
        <v>1</v>
      </c>
      <c r="F24" s="39">
        <v>0</v>
      </c>
    </row>
    <row r="25" spans="1:6" x14ac:dyDescent="0.25">
      <c r="A25" s="1">
        <v>514</v>
      </c>
      <c r="B25" s="1" t="s">
        <v>2081</v>
      </c>
      <c r="C25" s="1" t="s">
        <v>2058</v>
      </c>
      <c r="D25" s="39">
        <v>0</v>
      </c>
      <c r="E25" s="1" t="s">
        <v>1</v>
      </c>
      <c r="F25" s="39">
        <v>0</v>
      </c>
    </row>
    <row r="26" spans="1:6" x14ac:dyDescent="0.25">
      <c r="A26" s="1">
        <v>565</v>
      </c>
      <c r="B26" s="1" t="s">
        <v>2082</v>
      </c>
      <c r="C26" s="1" t="s">
        <v>2058</v>
      </c>
      <c r="D26" s="39">
        <v>0</v>
      </c>
      <c r="E26" s="1" t="s">
        <v>1</v>
      </c>
      <c r="F26" s="39">
        <v>0</v>
      </c>
    </row>
    <row r="27" spans="1:6" x14ac:dyDescent="0.25">
      <c r="A27" s="1">
        <v>590</v>
      </c>
      <c r="B27" s="1" t="s">
        <v>2083</v>
      </c>
      <c r="C27" s="1" t="s">
        <v>2058</v>
      </c>
      <c r="D27" s="39">
        <v>0</v>
      </c>
      <c r="E27" s="1" t="s">
        <v>1</v>
      </c>
      <c r="F27" s="39">
        <v>0</v>
      </c>
    </row>
    <row r="28" spans="1:6" x14ac:dyDescent="0.25">
      <c r="A28" s="1">
        <v>610</v>
      </c>
      <c r="B28" s="1" t="s">
        <v>2084</v>
      </c>
      <c r="C28" s="1" t="s">
        <v>2058</v>
      </c>
      <c r="D28" s="39">
        <v>0</v>
      </c>
      <c r="E28" s="1" t="s">
        <v>1</v>
      </c>
      <c r="F28" s="39">
        <v>0</v>
      </c>
    </row>
    <row r="29" spans="1:6" x14ac:dyDescent="0.25">
      <c r="A29" s="1">
        <v>615</v>
      </c>
      <c r="B29" s="1" t="s">
        <v>2085</v>
      </c>
      <c r="C29" s="1" t="s">
        <v>2058</v>
      </c>
      <c r="D29" s="39">
        <v>0</v>
      </c>
      <c r="E29" s="1" t="s">
        <v>1</v>
      </c>
      <c r="F29" s="39">
        <v>0</v>
      </c>
    </row>
    <row r="30" spans="1:6" x14ac:dyDescent="0.25">
      <c r="A30" s="1">
        <v>650</v>
      </c>
      <c r="B30" s="1" t="s">
        <v>2086</v>
      </c>
      <c r="C30" s="1" t="s">
        <v>2058</v>
      </c>
      <c r="D30" s="39">
        <v>0</v>
      </c>
      <c r="E30" s="1" t="s">
        <v>1</v>
      </c>
      <c r="F30" s="39">
        <v>0</v>
      </c>
    </row>
    <row r="31" spans="1:6" x14ac:dyDescent="0.25">
      <c r="A31" s="1">
        <v>850</v>
      </c>
      <c r="B31" s="1" t="s">
        <v>2087</v>
      </c>
      <c r="C31" s="1" t="s">
        <v>2058</v>
      </c>
      <c r="D31" s="39">
        <v>0</v>
      </c>
      <c r="E31" s="1" t="s">
        <v>1</v>
      </c>
      <c r="F31" s="39">
        <v>0</v>
      </c>
    </row>
    <row r="32" spans="1:6" x14ac:dyDescent="0.25">
      <c r="A32" s="1">
        <v>965</v>
      </c>
      <c r="B32" s="1" t="s">
        <v>2088</v>
      </c>
      <c r="C32" s="1" t="s">
        <v>2058</v>
      </c>
      <c r="D32" s="39">
        <v>0</v>
      </c>
      <c r="E32" s="1" t="s">
        <v>1</v>
      </c>
      <c r="F32" s="39">
        <v>0</v>
      </c>
    </row>
    <row r="33" spans="1:6" x14ac:dyDescent="0.25">
      <c r="A33" s="1">
        <v>975</v>
      </c>
      <c r="B33" s="1" t="s">
        <v>2089</v>
      </c>
      <c r="C33" s="1" t="s">
        <v>2058</v>
      </c>
      <c r="D33" s="39">
        <v>0</v>
      </c>
      <c r="E33" s="1" t="s">
        <v>1</v>
      </c>
      <c r="F33" s="39">
        <v>0</v>
      </c>
    </row>
    <row r="34" spans="1:6" x14ac:dyDescent="0.25">
      <c r="A34" s="1">
        <v>985</v>
      </c>
      <c r="B34" s="1" t="s">
        <v>2090</v>
      </c>
      <c r="C34" s="1" t="s">
        <v>2058</v>
      </c>
      <c r="D34" s="39">
        <v>0</v>
      </c>
      <c r="E34" s="1" t="s">
        <v>1</v>
      </c>
      <c r="F34" s="39">
        <v>0</v>
      </c>
    </row>
    <row r="35" spans="1:6" x14ac:dyDescent="0.25">
      <c r="A35" s="1">
        <v>1332</v>
      </c>
      <c r="B35" s="1" t="s">
        <v>2091</v>
      </c>
      <c r="C35" s="1" t="s">
        <v>2058</v>
      </c>
      <c r="D35" s="39">
        <v>0</v>
      </c>
      <c r="E35" s="1" t="s">
        <v>1</v>
      </c>
      <c r="F35" s="39">
        <v>0</v>
      </c>
    </row>
    <row r="36" spans="1:6" x14ac:dyDescent="0.25">
      <c r="A36" s="1">
        <v>1352</v>
      </c>
      <c r="B36" s="1" t="s">
        <v>2092</v>
      </c>
      <c r="C36" s="1" t="s">
        <v>2058</v>
      </c>
      <c r="D36" s="39">
        <v>0</v>
      </c>
      <c r="E36" s="1" t="s">
        <v>1</v>
      </c>
      <c r="F36" s="39">
        <v>0</v>
      </c>
    </row>
    <row r="37" spans="1:6" x14ac:dyDescent="0.25">
      <c r="A37" s="1">
        <v>1384</v>
      </c>
      <c r="B37" s="1" t="s">
        <v>2093</v>
      </c>
      <c r="C37" s="1" t="s">
        <v>2058</v>
      </c>
      <c r="D37" s="39">
        <v>0</v>
      </c>
      <c r="E37" s="1" t="s">
        <v>1</v>
      </c>
      <c r="F37" s="39">
        <v>0</v>
      </c>
    </row>
    <row r="38" spans="1:6" x14ac:dyDescent="0.25">
      <c r="A38" s="1">
        <v>1632</v>
      </c>
      <c r="B38" s="1" t="s">
        <v>2094</v>
      </c>
      <c r="C38" s="1" t="s">
        <v>2058</v>
      </c>
      <c r="D38" s="39">
        <v>0</v>
      </c>
      <c r="E38" s="1" t="s">
        <v>1</v>
      </c>
      <c r="F38" s="39">
        <v>0</v>
      </c>
    </row>
    <row r="39" spans="1:6" x14ac:dyDescent="0.25">
      <c r="A39" s="1">
        <v>3210</v>
      </c>
      <c r="B39" s="1" t="s">
        <v>2095</v>
      </c>
      <c r="C39" s="1" t="s">
        <v>2058</v>
      </c>
      <c r="D39" s="39">
        <v>0</v>
      </c>
      <c r="E39" s="1" t="s">
        <v>1</v>
      </c>
      <c r="F39" s="39">
        <v>0</v>
      </c>
    </row>
    <row r="40" spans="1:6" x14ac:dyDescent="0.25">
      <c r="A40" s="1">
        <v>4933</v>
      </c>
      <c r="B40" s="1" t="s">
        <v>2096</v>
      </c>
      <c r="C40" s="1" t="s">
        <v>2058</v>
      </c>
      <c r="D40" s="39">
        <v>0</v>
      </c>
      <c r="E40" s="1" t="s">
        <v>1</v>
      </c>
      <c r="F40" s="39">
        <v>0</v>
      </c>
    </row>
    <row r="41" spans="1:6" x14ac:dyDescent="0.25">
      <c r="A41" s="1">
        <v>8000</v>
      </c>
      <c r="B41" s="1" t="s">
        <v>2097</v>
      </c>
      <c r="C41" s="1" t="s">
        <v>2058</v>
      </c>
      <c r="D41" s="39">
        <v>0</v>
      </c>
      <c r="E41" s="1" t="s">
        <v>1</v>
      </c>
      <c r="F41" s="39">
        <v>0</v>
      </c>
    </row>
    <row r="42" spans="1:6" x14ac:dyDescent="0.25">
      <c r="A42" s="1">
        <v>8001</v>
      </c>
      <c r="B42" s="1" t="s">
        <v>2098</v>
      </c>
      <c r="C42" s="1" t="s">
        <v>2058</v>
      </c>
      <c r="D42" s="39">
        <v>0</v>
      </c>
      <c r="E42" s="1" t="s">
        <v>1</v>
      </c>
      <c r="F42" s="39">
        <v>0</v>
      </c>
    </row>
    <row r="43" spans="1:6" x14ac:dyDescent="0.25">
      <c r="A43" s="1">
        <v>8002</v>
      </c>
      <c r="B43" s="1" t="s">
        <v>2099</v>
      </c>
      <c r="C43" s="1" t="s">
        <v>2058</v>
      </c>
      <c r="D43" s="39">
        <v>0</v>
      </c>
      <c r="E43" s="1" t="s">
        <v>1</v>
      </c>
      <c r="F43" s="39">
        <v>0</v>
      </c>
    </row>
    <row r="44" spans="1:6" x14ac:dyDescent="0.25">
      <c r="A44" s="1">
        <v>8006</v>
      </c>
      <c r="B44" s="1" t="s">
        <v>2100</v>
      </c>
      <c r="C44" s="1" t="s">
        <v>2058</v>
      </c>
      <c r="D44" s="39">
        <v>0</v>
      </c>
      <c r="E44" s="1" t="s">
        <v>1</v>
      </c>
      <c r="F44" s="39">
        <v>0</v>
      </c>
    </row>
    <row r="45" spans="1:6" x14ac:dyDescent="0.25">
      <c r="A45" s="1">
        <v>8007</v>
      </c>
      <c r="B45" s="1" t="s">
        <v>2101</v>
      </c>
      <c r="C45" s="1" t="s">
        <v>2058</v>
      </c>
      <c r="D45" s="39">
        <v>0</v>
      </c>
      <c r="E45" s="1" t="s">
        <v>1</v>
      </c>
      <c r="F45" s="39">
        <v>0</v>
      </c>
    </row>
    <row r="46" spans="1:6" x14ac:dyDescent="0.25">
      <c r="A46" s="1">
        <v>8008</v>
      </c>
      <c r="B46" s="1" t="s">
        <v>2102</v>
      </c>
      <c r="C46" s="1" t="s">
        <v>2058</v>
      </c>
      <c r="D46" s="39">
        <v>0</v>
      </c>
      <c r="E46" s="1" t="s">
        <v>1</v>
      </c>
      <c r="F46" s="39">
        <v>0</v>
      </c>
    </row>
    <row r="47" spans="1:6" x14ac:dyDescent="0.25">
      <c r="A47" s="1">
        <v>8020</v>
      </c>
      <c r="B47" s="1" t="s">
        <v>2103</v>
      </c>
      <c r="C47" s="1" t="s">
        <v>2058</v>
      </c>
      <c r="D47" s="39">
        <v>0</v>
      </c>
      <c r="E47" s="1" t="s">
        <v>1</v>
      </c>
      <c r="F47" s="39">
        <v>0</v>
      </c>
    </row>
    <row r="48" spans="1:6" x14ac:dyDescent="0.25">
      <c r="A48" s="1">
        <v>8021</v>
      </c>
      <c r="B48" s="1" t="s">
        <v>2104</v>
      </c>
      <c r="C48" s="1" t="s">
        <v>2058</v>
      </c>
      <c r="D48" s="39">
        <v>0</v>
      </c>
      <c r="E48" s="1" t="s">
        <v>1</v>
      </c>
      <c r="F48" s="39">
        <v>0</v>
      </c>
    </row>
    <row r="49" spans="1:6" x14ac:dyDescent="0.25">
      <c r="A49" s="1">
        <v>8025</v>
      </c>
      <c r="B49" s="1" t="s">
        <v>2105</v>
      </c>
      <c r="C49" s="1" t="s">
        <v>2058</v>
      </c>
      <c r="D49" s="39">
        <v>0</v>
      </c>
      <c r="E49" s="1" t="s">
        <v>1</v>
      </c>
      <c r="F49" s="39">
        <v>0</v>
      </c>
    </row>
    <row r="50" spans="1:6" x14ac:dyDescent="0.25">
      <c r="A50" s="1">
        <v>8030</v>
      </c>
      <c r="B50" s="1" t="s">
        <v>2106</v>
      </c>
      <c r="C50" s="1" t="s">
        <v>2058</v>
      </c>
      <c r="D50" s="39">
        <v>0</v>
      </c>
      <c r="E50" s="1" t="s">
        <v>1</v>
      </c>
      <c r="F50" s="39">
        <v>0</v>
      </c>
    </row>
    <row r="51" spans="1:6" x14ac:dyDescent="0.25">
      <c r="A51" s="1">
        <v>8031</v>
      </c>
      <c r="B51" s="1" t="s">
        <v>2107</v>
      </c>
      <c r="C51" s="1" t="s">
        <v>2058</v>
      </c>
      <c r="D51" s="39">
        <v>0</v>
      </c>
      <c r="E51" s="1" t="s">
        <v>1</v>
      </c>
      <c r="F51" s="39">
        <v>0</v>
      </c>
    </row>
    <row r="52" spans="1:6" x14ac:dyDescent="0.25">
      <c r="A52" s="1">
        <v>8032</v>
      </c>
      <c r="B52" s="1" t="s">
        <v>2108</v>
      </c>
      <c r="C52" s="1" t="s">
        <v>2058</v>
      </c>
      <c r="D52" s="39">
        <v>0</v>
      </c>
      <c r="E52" s="1" t="s">
        <v>1</v>
      </c>
      <c r="F52" s="39">
        <v>0</v>
      </c>
    </row>
    <row r="53" spans="1:6" x14ac:dyDescent="0.25">
      <c r="A53" s="1">
        <v>8033</v>
      </c>
      <c r="B53" s="1" t="s">
        <v>2109</v>
      </c>
      <c r="C53" s="1" t="s">
        <v>2058</v>
      </c>
      <c r="D53" s="39">
        <v>0</v>
      </c>
      <c r="E53" s="1" t="s">
        <v>1</v>
      </c>
      <c r="F53" s="39">
        <v>0</v>
      </c>
    </row>
    <row r="54" spans="1:6" x14ac:dyDescent="0.25">
      <c r="A54" s="1">
        <v>8040</v>
      </c>
      <c r="B54" s="1" t="s">
        <v>2110</v>
      </c>
      <c r="C54" s="1" t="s">
        <v>2058</v>
      </c>
      <c r="D54" s="39">
        <v>72</v>
      </c>
      <c r="E54" s="1" t="s">
        <v>1</v>
      </c>
      <c r="F54" s="3">
        <v>643.23</v>
      </c>
    </row>
    <row r="55" spans="1:6" x14ac:dyDescent="0.25">
      <c r="A55" s="1">
        <v>8041</v>
      </c>
      <c r="B55" s="1" t="s">
        <v>2111</v>
      </c>
      <c r="C55" s="1" t="s">
        <v>2058</v>
      </c>
      <c r="D55" s="39">
        <v>0</v>
      </c>
      <c r="E55" s="1" t="s">
        <v>1</v>
      </c>
      <c r="F55" s="39">
        <v>0</v>
      </c>
    </row>
    <row r="56" spans="1:6" x14ac:dyDescent="0.25">
      <c r="A56" s="1">
        <v>8050</v>
      </c>
      <c r="B56" s="1" t="s">
        <v>2112</v>
      </c>
      <c r="C56" s="1" t="s">
        <v>2058</v>
      </c>
      <c r="D56" s="39">
        <v>0</v>
      </c>
      <c r="E56" s="1" t="s">
        <v>1</v>
      </c>
      <c r="F56" s="39">
        <v>0</v>
      </c>
    </row>
    <row r="57" spans="1:6" x14ac:dyDescent="0.25">
      <c r="A57" s="1">
        <v>8056</v>
      </c>
      <c r="B57" s="1" t="s">
        <v>2113</v>
      </c>
      <c r="C57" s="1" t="s">
        <v>2058</v>
      </c>
      <c r="D57" s="39">
        <v>0</v>
      </c>
      <c r="E57" s="1" t="s">
        <v>1</v>
      </c>
      <c r="F57" s="39">
        <v>0</v>
      </c>
    </row>
    <row r="58" spans="1:6" x14ac:dyDescent="0.25">
      <c r="A58" s="1">
        <v>8065</v>
      </c>
      <c r="B58" s="1" t="s">
        <v>2114</v>
      </c>
      <c r="C58" s="1" t="s">
        <v>2058</v>
      </c>
      <c r="D58" s="39">
        <v>0</v>
      </c>
      <c r="E58" s="1" t="s">
        <v>1</v>
      </c>
      <c r="F58" s="39">
        <v>0</v>
      </c>
    </row>
    <row r="59" spans="1:6" x14ac:dyDescent="0.25">
      <c r="A59" s="1">
        <v>8100</v>
      </c>
      <c r="B59" s="1" t="s">
        <v>2115</v>
      </c>
      <c r="C59" s="1" t="s">
        <v>2058</v>
      </c>
      <c r="D59" s="39">
        <v>0</v>
      </c>
      <c r="E59" s="1" t="s">
        <v>1</v>
      </c>
      <c r="F59" s="39">
        <v>0</v>
      </c>
    </row>
    <row r="60" spans="1:6" x14ac:dyDescent="0.25">
      <c r="A60" s="1">
        <v>8106</v>
      </c>
      <c r="B60" s="1" t="s">
        <v>2116</v>
      </c>
      <c r="C60" s="1" t="s">
        <v>2058</v>
      </c>
      <c r="D60" s="39">
        <v>0</v>
      </c>
      <c r="E60" s="1" t="s">
        <v>1</v>
      </c>
      <c r="F60" s="39">
        <v>0</v>
      </c>
    </row>
    <row r="61" spans="1:6" x14ac:dyDescent="0.25">
      <c r="A61" s="1">
        <v>8108</v>
      </c>
      <c r="B61" s="1" t="s">
        <v>2117</v>
      </c>
      <c r="C61" s="1" t="s">
        <v>2058</v>
      </c>
      <c r="D61" s="39">
        <v>0</v>
      </c>
      <c r="E61" s="1" t="s">
        <v>1</v>
      </c>
      <c r="F61" s="39">
        <v>0</v>
      </c>
    </row>
    <row r="62" spans="1:6" x14ac:dyDescent="0.25">
      <c r="A62" s="1">
        <v>8110</v>
      </c>
      <c r="B62" s="1" t="s">
        <v>2118</v>
      </c>
      <c r="C62" s="1" t="s">
        <v>2058</v>
      </c>
      <c r="D62" s="39">
        <v>0</v>
      </c>
      <c r="E62" s="1" t="s">
        <v>1</v>
      </c>
      <c r="F62" s="39">
        <v>0</v>
      </c>
    </row>
    <row r="63" spans="1:6" x14ac:dyDescent="0.25">
      <c r="A63" s="1">
        <v>8203</v>
      </c>
      <c r="B63" s="1" t="s">
        <v>2119</v>
      </c>
      <c r="C63" s="1" t="s">
        <v>2058</v>
      </c>
      <c r="D63" s="39">
        <v>0</v>
      </c>
      <c r="E63" s="1" t="s">
        <v>1</v>
      </c>
      <c r="F63" s="39">
        <v>0</v>
      </c>
    </row>
    <row r="64" spans="1:6" x14ac:dyDescent="0.25">
      <c r="A64" s="1">
        <v>8204</v>
      </c>
      <c r="B64" s="1" t="s">
        <v>2120</v>
      </c>
      <c r="C64" s="1" t="s">
        <v>2058</v>
      </c>
      <c r="D64" s="39">
        <v>0</v>
      </c>
      <c r="E64" s="1" t="s">
        <v>1</v>
      </c>
      <c r="F64" s="39">
        <v>0</v>
      </c>
    </row>
    <row r="65" spans="1:6" x14ac:dyDescent="0.25">
      <c r="A65" s="1">
        <v>8206</v>
      </c>
      <c r="B65" s="1" t="s">
        <v>2121</v>
      </c>
      <c r="C65" s="1" t="s">
        <v>2058</v>
      </c>
      <c r="D65" s="39">
        <v>0</v>
      </c>
      <c r="E65" s="1" t="s">
        <v>1</v>
      </c>
      <c r="F65" s="39">
        <v>0</v>
      </c>
    </row>
    <row r="66" spans="1:6" x14ac:dyDescent="0.25">
      <c r="A66" s="1">
        <v>8300</v>
      </c>
      <c r="B66" s="1" t="s">
        <v>2122</v>
      </c>
      <c r="C66" s="1" t="s">
        <v>2058</v>
      </c>
      <c r="D66" s="39">
        <v>0</v>
      </c>
      <c r="E66" s="1" t="s">
        <v>1</v>
      </c>
      <c r="F66" s="39">
        <v>0</v>
      </c>
    </row>
    <row r="67" spans="1:6" x14ac:dyDescent="0.25">
      <c r="A67" s="1">
        <v>8304</v>
      </c>
      <c r="B67" s="1" t="s">
        <v>2123</v>
      </c>
      <c r="C67" s="1" t="s">
        <v>2058</v>
      </c>
      <c r="D67" s="39">
        <v>0</v>
      </c>
      <c r="E67" s="1" t="s">
        <v>1</v>
      </c>
      <c r="F67" s="39">
        <v>0</v>
      </c>
    </row>
    <row r="68" spans="1:6" x14ac:dyDescent="0.25">
      <c r="A68" s="1">
        <v>8306</v>
      </c>
      <c r="B68" s="1" t="s">
        <v>2124</v>
      </c>
      <c r="C68" s="1" t="s">
        <v>2058</v>
      </c>
      <c r="D68" s="39">
        <v>0</v>
      </c>
      <c r="E68" s="1" t="s">
        <v>1</v>
      </c>
      <c r="F68" s="39">
        <v>0</v>
      </c>
    </row>
    <row r="69" spans="1:6" x14ac:dyDescent="0.25">
      <c r="A69" s="1">
        <v>8310</v>
      </c>
      <c r="B69" s="1" t="s">
        <v>2125</v>
      </c>
      <c r="C69" s="1" t="s">
        <v>2058</v>
      </c>
      <c r="D69" s="39">
        <v>0</v>
      </c>
      <c r="E69" s="1" t="s">
        <v>1</v>
      </c>
      <c r="F69" s="39">
        <v>0</v>
      </c>
    </row>
    <row r="70" spans="1:6" x14ac:dyDescent="0.25">
      <c r="A70" s="1">
        <v>8320</v>
      </c>
      <c r="B70" s="1" t="s">
        <v>2126</v>
      </c>
      <c r="C70" s="1" t="s">
        <v>2058</v>
      </c>
      <c r="D70" s="39">
        <v>0</v>
      </c>
      <c r="E70" s="1" t="s">
        <v>1</v>
      </c>
      <c r="F70" s="39">
        <v>0</v>
      </c>
    </row>
    <row r="71" spans="1:6" x14ac:dyDescent="0.25">
      <c r="A71" s="1">
        <v>8330</v>
      </c>
      <c r="B71" s="1" t="s">
        <v>2127</v>
      </c>
      <c r="C71" s="1" t="s">
        <v>2058</v>
      </c>
      <c r="D71" s="39">
        <v>0</v>
      </c>
      <c r="E71" s="1" t="s">
        <v>1</v>
      </c>
      <c r="F71" s="39">
        <v>0</v>
      </c>
    </row>
    <row r="72" spans="1:6" x14ac:dyDescent="0.25">
      <c r="A72" s="1">
        <v>8340</v>
      </c>
      <c r="B72" s="1" t="s">
        <v>2128</v>
      </c>
      <c r="C72" s="1" t="s">
        <v>2058</v>
      </c>
      <c r="D72" s="39">
        <v>0</v>
      </c>
      <c r="E72" s="1" t="s">
        <v>1</v>
      </c>
      <c r="F72" s="39">
        <v>0</v>
      </c>
    </row>
    <row r="73" spans="1:6" x14ac:dyDescent="0.25">
      <c r="A73" s="1">
        <v>8350</v>
      </c>
      <c r="B73" s="1" t="s">
        <v>2129</v>
      </c>
      <c r="C73" s="1" t="s">
        <v>2058</v>
      </c>
      <c r="D73" s="39">
        <v>0</v>
      </c>
      <c r="E73" s="1" t="s">
        <v>1</v>
      </c>
      <c r="F73" s="39">
        <v>0</v>
      </c>
    </row>
    <row r="74" spans="1:6" x14ac:dyDescent="0.25">
      <c r="A74" s="1">
        <v>8360</v>
      </c>
      <c r="B74" s="1" t="s">
        <v>2130</v>
      </c>
      <c r="C74" s="1" t="s">
        <v>2058</v>
      </c>
      <c r="D74" s="39">
        <v>0</v>
      </c>
      <c r="E74" s="1" t="s">
        <v>1</v>
      </c>
      <c r="F74" s="39">
        <v>0</v>
      </c>
    </row>
    <row r="75" spans="1:6" x14ac:dyDescent="0.25">
      <c r="A75" s="1">
        <v>8370</v>
      </c>
      <c r="B75" s="1" t="s">
        <v>2131</v>
      </c>
      <c r="C75" s="1" t="s">
        <v>2058</v>
      </c>
      <c r="D75" s="39">
        <v>0</v>
      </c>
      <c r="E75" s="1" t="s">
        <v>1</v>
      </c>
      <c r="F75" s="39">
        <v>0</v>
      </c>
    </row>
    <row r="76" spans="1:6" x14ac:dyDescent="0.25">
      <c r="A76" s="1">
        <v>8372</v>
      </c>
      <c r="B76" s="1" t="s">
        <v>2132</v>
      </c>
      <c r="C76" s="1" t="s">
        <v>2058</v>
      </c>
      <c r="D76" s="39">
        <v>0</v>
      </c>
      <c r="E76" s="1" t="s">
        <v>1</v>
      </c>
      <c r="F76" s="39">
        <v>0</v>
      </c>
    </row>
    <row r="77" spans="1:6" x14ac:dyDescent="0.25">
      <c r="A77" s="1">
        <v>8380</v>
      </c>
      <c r="B77" s="1" t="s">
        <v>2133</v>
      </c>
      <c r="C77" s="1" t="s">
        <v>2058</v>
      </c>
      <c r="D77" s="39">
        <v>0</v>
      </c>
      <c r="E77" s="1" t="s">
        <v>1</v>
      </c>
      <c r="F77" s="39">
        <v>0</v>
      </c>
    </row>
    <row r="78" spans="1:6" x14ac:dyDescent="0.25">
      <c r="A78" s="1">
        <v>8382</v>
      </c>
      <c r="B78" s="1" t="s">
        <v>2134</v>
      </c>
      <c r="C78" s="1" t="s">
        <v>2058</v>
      </c>
      <c r="D78" s="39">
        <v>0</v>
      </c>
      <c r="E78" s="1" t="s">
        <v>1</v>
      </c>
      <c r="F78" s="39">
        <v>0</v>
      </c>
    </row>
    <row r="79" spans="1:6" x14ac:dyDescent="0.25">
      <c r="A79" s="1">
        <v>9001</v>
      </c>
      <c r="B79" s="1" t="s">
        <v>2135</v>
      </c>
      <c r="C79" s="1" t="s">
        <v>2058</v>
      </c>
      <c r="D79" s="39">
        <v>0</v>
      </c>
      <c r="E79" s="1" t="s">
        <v>1</v>
      </c>
      <c r="F79" s="39">
        <v>0</v>
      </c>
    </row>
    <row r="80" spans="1:6" x14ac:dyDescent="0.25">
      <c r="A80" s="1">
        <v>9005</v>
      </c>
      <c r="B80" s="1" t="s">
        <v>2136</v>
      </c>
      <c r="C80" s="1" t="s">
        <v>2058</v>
      </c>
      <c r="D80" s="39">
        <v>0</v>
      </c>
      <c r="E80" s="1" t="s">
        <v>1</v>
      </c>
      <c r="F80" s="39">
        <v>0</v>
      </c>
    </row>
    <row r="81" spans="1:6" x14ac:dyDescent="0.25">
      <c r="A81" s="1">
        <v>9007</v>
      </c>
      <c r="B81" s="1" t="s">
        <v>7</v>
      </c>
      <c r="C81" s="1" t="s">
        <v>2058</v>
      </c>
      <c r="D81" s="39">
        <v>0</v>
      </c>
      <c r="E81" s="1" t="s">
        <v>1</v>
      </c>
      <c r="F81" s="39">
        <v>0</v>
      </c>
    </row>
    <row r="82" spans="1:6" x14ac:dyDescent="0.25">
      <c r="A82" s="1">
        <v>9010</v>
      </c>
      <c r="B82" s="1" t="s">
        <v>25</v>
      </c>
      <c r="C82" s="1" t="s">
        <v>2058</v>
      </c>
      <c r="D82" s="39">
        <v>0</v>
      </c>
      <c r="E82" s="1" t="s">
        <v>1</v>
      </c>
      <c r="F82" s="39">
        <v>0</v>
      </c>
    </row>
    <row r="83" spans="1:6" x14ac:dyDescent="0.25">
      <c r="A83" s="1">
        <v>9012</v>
      </c>
      <c r="B83" s="1" t="s">
        <v>30</v>
      </c>
      <c r="C83" s="1" t="s">
        <v>2058</v>
      </c>
      <c r="D83" s="39">
        <v>0</v>
      </c>
      <c r="E83" s="1" t="s">
        <v>1</v>
      </c>
      <c r="F83" s="39">
        <v>0</v>
      </c>
    </row>
    <row r="84" spans="1:6" x14ac:dyDescent="0.25">
      <c r="A84" s="1">
        <v>9013</v>
      </c>
      <c r="B84" s="1" t="s">
        <v>2137</v>
      </c>
      <c r="C84" s="1" t="s">
        <v>2058</v>
      </c>
      <c r="D84" s="39">
        <v>0</v>
      </c>
      <c r="E84" s="1" t="s">
        <v>1</v>
      </c>
      <c r="F84" s="39">
        <v>0</v>
      </c>
    </row>
    <row r="85" spans="1:6" x14ac:dyDescent="0.25">
      <c r="A85" s="1">
        <v>9014</v>
      </c>
      <c r="B85" s="1" t="s">
        <v>34</v>
      </c>
      <c r="C85" s="1" t="s">
        <v>2058</v>
      </c>
      <c r="D85" s="39">
        <v>0</v>
      </c>
      <c r="E85" s="1" t="s">
        <v>1</v>
      </c>
      <c r="F85" s="39">
        <v>0</v>
      </c>
    </row>
    <row r="86" spans="1:6" x14ac:dyDescent="0.25">
      <c r="A86" s="1">
        <v>9015</v>
      </c>
      <c r="B86" s="1" t="s">
        <v>41</v>
      </c>
      <c r="C86" s="1" t="s">
        <v>2058</v>
      </c>
      <c r="D86" s="39">
        <v>0</v>
      </c>
      <c r="E86" s="1" t="s">
        <v>1</v>
      </c>
      <c r="F86" s="39">
        <v>0</v>
      </c>
    </row>
    <row r="87" spans="1:6" x14ac:dyDescent="0.25">
      <c r="A87" s="1">
        <v>9016</v>
      </c>
      <c r="B87" s="1" t="s">
        <v>2138</v>
      </c>
      <c r="C87" s="1" t="s">
        <v>2058</v>
      </c>
      <c r="D87" s="39">
        <v>0</v>
      </c>
      <c r="E87" s="1" t="s">
        <v>1</v>
      </c>
      <c r="F87" s="39">
        <v>0</v>
      </c>
    </row>
    <row r="88" spans="1:6" x14ac:dyDescent="0.25">
      <c r="A88" s="1">
        <v>9018</v>
      </c>
      <c r="B88" s="1" t="s">
        <v>2139</v>
      </c>
      <c r="C88" s="1" t="s">
        <v>2058</v>
      </c>
      <c r="D88" s="39">
        <v>0</v>
      </c>
      <c r="E88" s="1" t="s">
        <v>1</v>
      </c>
      <c r="F88" s="39">
        <v>0</v>
      </c>
    </row>
    <row r="89" spans="1:6" x14ac:dyDescent="0.25">
      <c r="A89" s="1">
        <v>9019</v>
      </c>
      <c r="B89" s="1" t="s">
        <v>45</v>
      </c>
      <c r="C89" s="1" t="s">
        <v>2058</v>
      </c>
      <c r="D89" s="39">
        <v>0</v>
      </c>
      <c r="E89" s="1" t="s">
        <v>1</v>
      </c>
      <c r="F89" s="39">
        <v>0</v>
      </c>
    </row>
    <row r="90" spans="1:6" x14ac:dyDescent="0.25">
      <c r="A90" s="1">
        <v>9032</v>
      </c>
      <c r="B90" s="1" t="s">
        <v>50</v>
      </c>
      <c r="C90" s="1" t="s">
        <v>2058</v>
      </c>
      <c r="D90" s="39">
        <v>0</v>
      </c>
      <c r="E90" s="1" t="s">
        <v>1</v>
      </c>
      <c r="F90" s="39">
        <v>0</v>
      </c>
    </row>
    <row r="91" spans="1:6" x14ac:dyDescent="0.25">
      <c r="A91" s="1">
        <v>9033</v>
      </c>
      <c r="B91" s="1" t="s">
        <v>55</v>
      </c>
      <c r="C91" s="1" t="s">
        <v>2058</v>
      </c>
      <c r="D91" s="39">
        <v>0</v>
      </c>
      <c r="E91" s="1" t="s">
        <v>1</v>
      </c>
      <c r="F91" s="39">
        <v>0</v>
      </c>
    </row>
    <row r="92" spans="1:6" x14ac:dyDescent="0.25">
      <c r="A92" s="1">
        <v>9044</v>
      </c>
      <c r="B92" s="1" t="s">
        <v>59</v>
      </c>
      <c r="C92" s="1" t="s">
        <v>2058</v>
      </c>
      <c r="D92" s="39">
        <v>0</v>
      </c>
      <c r="E92" s="1" t="s">
        <v>1</v>
      </c>
      <c r="F92" s="39">
        <v>0</v>
      </c>
    </row>
    <row r="93" spans="1:6" x14ac:dyDescent="0.25">
      <c r="A93" s="1">
        <v>9050</v>
      </c>
      <c r="B93" s="1" t="s">
        <v>62</v>
      </c>
      <c r="C93" s="1" t="s">
        <v>2058</v>
      </c>
      <c r="D93" s="39">
        <v>0</v>
      </c>
      <c r="E93" s="1" t="s">
        <v>1</v>
      </c>
      <c r="F93" s="39">
        <v>0</v>
      </c>
    </row>
    <row r="94" spans="1:6" x14ac:dyDescent="0.25">
      <c r="A94" s="1">
        <v>9056</v>
      </c>
      <c r="B94" s="1" t="s">
        <v>70</v>
      </c>
      <c r="C94" s="1" t="s">
        <v>2058</v>
      </c>
      <c r="D94" s="39">
        <v>0</v>
      </c>
      <c r="E94" s="1" t="s">
        <v>1</v>
      </c>
      <c r="F94" s="39">
        <v>0</v>
      </c>
    </row>
    <row r="95" spans="1:6" x14ac:dyDescent="0.25">
      <c r="A95" s="1">
        <v>9057</v>
      </c>
      <c r="B95" s="1" t="s">
        <v>74</v>
      </c>
      <c r="C95" s="1" t="s">
        <v>2058</v>
      </c>
      <c r="D95" s="39">
        <v>0</v>
      </c>
      <c r="E95" s="1" t="s">
        <v>1</v>
      </c>
      <c r="F95" s="39">
        <v>0</v>
      </c>
    </row>
    <row r="96" spans="1:6" x14ac:dyDescent="0.25">
      <c r="A96" s="1">
        <v>9058</v>
      </c>
      <c r="B96" s="1" t="s">
        <v>78</v>
      </c>
      <c r="C96" s="1" t="s">
        <v>2058</v>
      </c>
      <c r="D96" s="39">
        <v>0</v>
      </c>
      <c r="E96" s="1" t="s">
        <v>1</v>
      </c>
      <c r="F96" s="39">
        <v>0</v>
      </c>
    </row>
    <row r="97" spans="1:6" x14ac:dyDescent="0.25">
      <c r="A97" s="1">
        <v>9067</v>
      </c>
      <c r="B97" s="1" t="s">
        <v>2140</v>
      </c>
      <c r="C97" s="1" t="s">
        <v>2058</v>
      </c>
      <c r="D97" s="39">
        <v>0</v>
      </c>
      <c r="E97" s="1" t="s">
        <v>1</v>
      </c>
      <c r="F97" s="39">
        <v>0</v>
      </c>
    </row>
    <row r="98" spans="1:6" x14ac:dyDescent="0.25">
      <c r="A98" s="1">
        <v>9068</v>
      </c>
      <c r="B98" s="1" t="s">
        <v>81</v>
      </c>
      <c r="C98" s="1" t="s">
        <v>2058</v>
      </c>
      <c r="D98" s="39">
        <v>0</v>
      </c>
      <c r="E98" s="1" t="s">
        <v>1</v>
      </c>
      <c r="F98" s="39">
        <v>0</v>
      </c>
    </row>
    <row r="99" spans="1:6" x14ac:dyDescent="0.25">
      <c r="A99" s="1">
        <v>9075</v>
      </c>
      <c r="B99" s="1" t="s">
        <v>2141</v>
      </c>
      <c r="C99" s="1" t="s">
        <v>2058</v>
      </c>
      <c r="D99" s="39">
        <v>0</v>
      </c>
      <c r="E99" s="1" t="s">
        <v>1</v>
      </c>
      <c r="F99" s="39">
        <v>0</v>
      </c>
    </row>
    <row r="100" spans="1:6" x14ac:dyDescent="0.25">
      <c r="A100" s="1">
        <v>9076</v>
      </c>
      <c r="B100" s="1" t="s">
        <v>2142</v>
      </c>
      <c r="C100" s="1" t="s">
        <v>2058</v>
      </c>
      <c r="D100" s="39">
        <v>0</v>
      </c>
      <c r="E100" s="1" t="s">
        <v>1</v>
      </c>
      <c r="F100" s="39">
        <v>0</v>
      </c>
    </row>
    <row r="101" spans="1:6" x14ac:dyDescent="0.25">
      <c r="A101" s="1">
        <v>9077</v>
      </c>
      <c r="B101" s="1" t="s">
        <v>2143</v>
      </c>
      <c r="C101" s="1" t="s">
        <v>2058</v>
      </c>
      <c r="D101" s="39">
        <v>128</v>
      </c>
      <c r="E101" s="1" t="s">
        <v>1</v>
      </c>
      <c r="F101" s="3">
        <v>20380.650000000001</v>
      </c>
    </row>
    <row r="102" spans="1:6" x14ac:dyDescent="0.25">
      <c r="A102" s="1">
        <v>9078</v>
      </c>
      <c r="B102" s="1" t="s">
        <v>2144</v>
      </c>
      <c r="C102" s="1" t="s">
        <v>2058</v>
      </c>
      <c r="D102" s="39">
        <v>100</v>
      </c>
      <c r="E102" s="1" t="s">
        <v>1</v>
      </c>
      <c r="F102" s="3">
        <v>9580.61</v>
      </c>
    </row>
    <row r="103" spans="1:6" x14ac:dyDescent="0.25">
      <c r="A103" s="1">
        <v>9081</v>
      </c>
      <c r="B103" s="1" t="s">
        <v>2145</v>
      </c>
      <c r="C103" s="1" t="s">
        <v>2058</v>
      </c>
      <c r="D103" s="39">
        <v>0</v>
      </c>
      <c r="E103" s="1" t="s">
        <v>1</v>
      </c>
      <c r="F103" s="39">
        <v>0</v>
      </c>
    </row>
    <row r="104" spans="1:6" x14ac:dyDescent="0.25">
      <c r="A104" s="1">
        <v>9082</v>
      </c>
      <c r="B104" s="1" t="s">
        <v>2146</v>
      </c>
      <c r="C104" s="1" t="s">
        <v>2058</v>
      </c>
      <c r="D104" s="39">
        <v>0</v>
      </c>
      <c r="E104" s="1" t="s">
        <v>1</v>
      </c>
      <c r="F104" s="39">
        <v>0</v>
      </c>
    </row>
    <row r="105" spans="1:6" x14ac:dyDescent="0.25">
      <c r="A105" s="1">
        <v>9084</v>
      </c>
      <c r="B105" s="1" t="s">
        <v>2147</v>
      </c>
      <c r="C105" s="1" t="s">
        <v>2058</v>
      </c>
      <c r="D105" s="39">
        <v>0</v>
      </c>
      <c r="E105" s="1" t="s">
        <v>1</v>
      </c>
      <c r="F105" s="39">
        <v>0</v>
      </c>
    </row>
    <row r="106" spans="1:6" x14ac:dyDescent="0.25">
      <c r="A106" s="1">
        <v>9100</v>
      </c>
      <c r="B106" s="1" t="s">
        <v>2148</v>
      </c>
      <c r="C106" s="1" t="s">
        <v>2058</v>
      </c>
      <c r="D106" s="39">
        <v>0</v>
      </c>
      <c r="E106" s="1" t="s">
        <v>1</v>
      </c>
      <c r="F106" s="39">
        <v>0</v>
      </c>
    </row>
    <row r="107" spans="1:6" x14ac:dyDescent="0.25">
      <c r="A107" s="1">
        <v>9111</v>
      </c>
      <c r="B107" s="1" t="s">
        <v>2149</v>
      </c>
      <c r="C107" s="1" t="s">
        <v>2058</v>
      </c>
      <c r="D107" s="39">
        <v>0</v>
      </c>
      <c r="E107" s="1" t="s">
        <v>1</v>
      </c>
      <c r="F107" s="39">
        <v>0</v>
      </c>
    </row>
    <row r="108" spans="1:6" x14ac:dyDescent="0.25">
      <c r="A108" s="1">
        <v>9112</v>
      </c>
      <c r="B108" s="1" t="s">
        <v>2150</v>
      </c>
      <c r="C108" s="1" t="s">
        <v>2058</v>
      </c>
      <c r="D108" s="39">
        <v>0</v>
      </c>
      <c r="E108" s="1" t="s">
        <v>1</v>
      </c>
      <c r="F108" s="39">
        <v>0</v>
      </c>
    </row>
    <row r="109" spans="1:6" x14ac:dyDescent="0.25">
      <c r="A109" s="1">
        <v>9113</v>
      </c>
      <c r="B109" s="1" t="s">
        <v>2151</v>
      </c>
      <c r="C109" s="1" t="s">
        <v>2058</v>
      </c>
      <c r="D109" s="39">
        <v>0</v>
      </c>
      <c r="E109" s="1" t="s">
        <v>1</v>
      </c>
      <c r="F109" s="39">
        <v>0</v>
      </c>
    </row>
    <row r="110" spans="1:6" x14ac:dyDescent="0.25">
      <c r="A110" s="1">
        <v>9114</v>
      </c>
      <c r="B110" s="1" t="s">
        <v>2152</v>
      </c>
      <c r="C110" s="1" t="s">
        <v>2058</v>
      </c>
      <c r="D110" s="39">
        <v>0</v>
      </c>
      <c r="E110" s="1" t="s">
        <v>1</v>
      </c>
      <c r="F110" s="39">
        <v>0</v>
      </c>
    </row>
    <row r="111" spans="1:6" x14ac:dyDescent="0.25">
      <c r="A111" s="1">
        <v>9115</v>
      </c>
      <c r="B111" s="1" t="s">
        <v>2153</v>
      </c>
      <c r="C111" s="1" t="s">
        <v>2058</v>
      </c>
      <c r="D111" s="39">
        <v>0</v>
      </c>
      <c r="E111" s="1" t="s">
        <v>1</v>
      </c>
      <c r="F111" s="39">
        <v>0</v>
      </c>
    </row>
    <row r="112" spans="1:6" x14ac:dyDescent="0.25">
      <c r="A112" s="1">
        <v>9118</v>
      </c>
      <c r="B112" s="1" t="s">
        <v>83</v>
      </c>
      <c r="C112" s="1" t="s">
        <v>2058</v>
      </c>
      <c r="D112" s="39">
        <v>0</v>
      </c>
      <c r="E112" s="1" t="s">
        <v>1</v>
      </c>
      <c r="F112" s="39">
        <v>0</v>
      </c>
    </row>
    <row r="113" spans="1:6" x14ac:dyDescent="0.25">
      <c r="A113" s="1">
        <v>9135</v>
      </c>
      <c r="B113" s="1" t="s">
        <v>2154</v>
      </c>
      <c r="C113" s="1" t="s">
        <v>2058</v>
      </c>
      <c r="D113" s="39">
        <v>0</v>
      </c>
      <c r="E113" s="1" t="s">
        <v>1</v>
      </c>
      <c r="F113" s="39">
        <v>0</v>
      </c>
    </row>
    <row r="114" spans="1:6" x14ac:dyDescent="0.25">
      <c r="A114" s="1">
        <v>9136</v>
      </c>
      <c r="B114" s="1" t="s">
        <v>2155</v>
      </c>
      <c r="C114" s="1" t="s">
        <v>2058</v>
      </c>
      <c r="D114" s="39">
        <v>0</v>
      </c>
      <c r="E114" s="1" t="s">
        <v>1</v>
      </c>
      <c r="F114" s="39">
        <v>0</v>
      </c>
    </row>
    <row r="115" spans="1:6" x14ac:dyDescent="0.25">
      <c r="A115" s="1">
        <v>9139</v>
      </c>
      <c r="B115" s="1" t="s">
        <v>88</v>
      </c>
      <c r="C115" s="1" t="s">
        <v>2058</v>
      </c>
      <c r="D115" s="39">
        <v>0</v>
      </c>
      <c r="E115" s="1" t="s">
        <v>1</v>
      </c>
      <c r="F115" s="39">
        <v>0</v>
      </c>
    </row>
    <row r="116" spans="1:6" x14ac:dyDescent="0.25">
      <c r="A116" s="1">
        <v>9140</v>
      </c>
      <c r="B116" s="1" t="s">
        <v>94</v>
      </c>
      <c r="C116" s="1" t="s">
        <v>2058</v>
      </c>
      <c r="D116" s="39">
        <v>0</v>
      </c>
      <c r="E116" s="1" t="s">
        <v>1</v>
      </c>
      <c r="F116" s="39">
        <v>0</v>
      </c>
    </row>
    <row r="117" spans="1:6" x14ac:dyDescent="0.25">
      <c r="A117" s="1">
        <v>9141</v>
      </c>
      <c r="B117" s="1" t="s">
        <v>100</v>
      </c>
      <c r="C117" s="1" t="s">
        <v>2058</v>
      </c>
      <c r="D117" s="39">
        <v>0</v>
      </c>
      <c r="E117" s="1" t="s">
        <v>1</v>
      </c>
      <c r="F117" s="39">
        <v>0</v>
      </c>
    </row>
    <row r="118" spans="1:6" x14ac:dyDescent="0.25">
      <c r="A118" s="1">
        <v>9142</v>
      </c>
      <c r="B118" s="1" t="s">
        <v>106</v>
      </c>
      <c r="C118" s="1" t="s">
        <v>2058</v>
      </c>
      <c r="D118" s="39">
        <v>0</v>
      </c>
      <c r="E118" s="1" t="s">
        <v>1</v>
      </c>
      <c r="F118" s="39">
        <v>0</v>
      </c>
    </row>
    <row r="119" spans="1:6" x14ac:dyDescent="0.25">
      <c r="A119" s="1">
        <v>9143</v>
      </c>
      <c r="B119" s="1" t="s">
        <v>112</v>
      </c>
      <c r="C119" s="1" t="s">
        <v>2058</v>
      </c>
      <c r="D119" s="39">
        <v>0</v>
      </c>
      <c r="E119" s="1" t="s">
        <v>1</v>
      </c>
      <c r="F119" s="39">
        <v>0</v>
      </c>
    </row>
    <row r="120" spans="1:6" x14ac:dyDescent="0.25">
      <c r="A120" s="1">
        <v>9144</v>
      </c>
      <c r="B120" s="1" t="s">
        <v>117</v>
      </c>
      <c r="C120" s="1" t="s">
        <v>2058</v>
      </c>
      <c r="D120" s="39">
        <v>0</v>
      </c>
      <c r="E120" s="1" t="s">
        <v>1</v>
      </c>
      <c r="F120" s="39">
        <v>0</v>
      </c>
    </row>
    <row r="121" spans="1:6" x14ac:dyDescent="0.25">
      <c r="A121" s="1">
        <v>9145</v>
      </c>
      <c r="B121" s="1" t="s">
        <v>2156</v>
      </c>
      <c r="C121" s="1" t="s">
        <v>2058</v>
      </c>
      <c r="D121" s="39">
        <v>0</v>
      </c>
      <c r="E121" s="1" t="s">
        <v>1</v>
      </c>
      <c r="F121" s="39">
        <v>0</v>
      </c>
    </row>
    <row r="122" spans="1:6" x14ac:dyDescent="0.25">
      <c r="A122" s="1">
        <v>9146</v>
      </c>
      <c r="B122" s="1" t="s">
        <v>122</v>
      </c>
      <c r="C122" s="1" t="s">
        <v>2058</v>
      </c>
      <c r="D122" s="39">
        <v>0</v>
      </c>
      <c r="E122" s="1" t="s">
        <v>1</v>
      </c>
      <c r="F122" s="39">
        <v>0</v>
      </c>
    </row>
    <row r="123" spans="1:6" x14ac:dyDescent="0.25">
      <c r="A123" s="1">
        <v>9147</v>
      </c>
      <c r="B123" s="1" t="s">
        <v>2157</v>
      </c>
      <c r="C123" s="1" t="s">
        <v>2058</v>
      </c>
      <c r="D123" s="39">
        <v>0</v>
      </c>
      <c r="E123" s="1" t="s">
        <v>1</v>
      </c>
      <c r="F123" s="39">
        <v>0</v>
      </c>
    </row>
    <row r="124" spans="1:6" x14ac:dyDescent="0.25">
      <c r="A124" s="1">
        <v>9148</v>
      </c>
      <c r="B124" s="1" t="s">
        <v>2158</v>
      </c>
      <c r="C124" s="1" t="s">
        <v>2058</v>
      </c>
      <c r="D124" s="39">
        <v>0</v>
      </c>
      <c r="E124" s="1" t="s">
        <v>1</v>
      </c>
      <c r="F124" s="39">
        <v>0</v>
      </c>
    </row>
    <row r="125" spans="1:6" x14ac:dyDescent="0.25">
      <c r="A125" s="1">
        <v>9152</v>
      </c>
      <c r="B125" s="1" t="s">
        <v>128</v>
      </c>
      <c r="C125" s="1" t="s">
        <v>2058</v>
      </c>
      <c r="D125" s="39">
        <v>0</v>
      </c>
      <c r="E125" s="1" t="s">
        <v>1</v>
      </c>
      <c r="F125" s="39">
        <v>0</v>
      </c>
    </row>
    <row r="126" spans="1:6" x14ac:dyDescent="0.25">
      <c r="A126" s="1">
        <v>9154</v>
      </c>
      <c r="B126" s="1" t="s">
        <v>135</v>
      </c>
      <c r="C126" s="1" t="s">
        <v>2058</v>
      </c>
      <c r="D126" s="39">
        <v>0</v>
      </c>
      <c r="E126" s="1" t="s">
        <v>1</v>
      </c>
      <c r="F126" s="39">
        <v>0</v>
      </c>
    </row>
    <row r="127" spans="1:6" x14ac:dyDescent="0.25">
      <c r="A127" s="1">
        <v>9160</v>
      </c>
      <c r="B127" s="1" t="s">
        <v>2159</v>
      </c>
      <c r="C127" s="1" t="s">
        <v>2058</v>
      </c>
      <c r="D127" s="39">
        <v>1231</v>
      </c>
      <c r="E127" s="1" t="s">
        <v>1</v>
      </c>
      <c r="F127" s="3">
        <v>248455.57</v>
      </c>
    </row>
    <row r="128" spans="1:6" x14ac:dyDescent="0.25">
      <c r="A128" s="1">
        <v>9170</v>
      </c>
      <c r="B128" s="1" t="s">
        <v>2160</v>
      </c>
      <c r="C128" s="1" t="s">
        <v>2058</v>
      </c>
      <c r="D128" s="39">
        <v>0</v>
      </c>
      <c r="E128" s="1" t="s">
        <v>1</v>
      </c>
      <c r="F128" s="39">
        <v>0</v>
      </c>
    </row>
    <row r="129" spans="1:6" x14ac:dyDescent="0.25">
      <c r="A129" s="1">
        <v>9197</v>
      </c>
      <c r="B129" s="1" t="s">
        <v>2161</v>
      </c>
      <c r="C129" s="1" t="s">
        <v>2058</v>
      </c>
      <c r="D129" s="39">
        <v>0</v>
      </c>
      <c r="E129" s="1" t="s">
        <v>1</v>
      </c>
      <c r="F129" s="39">
        <v>0</v>
      </c>
    </row>
    <row r="130" spans="1:6" x14ac:dyDescent="0.25">
      <c r="A130" s="1">
        <v>9198</v>
      </c>
      <c r="B130" s="1" t="s">
        <v>2162</v>
      </c>
      <c r="C130" s="1" t="s">
        <v>2058</v>
      </c>
      <c r="D130" s="39">
        <v>0</v>
      </c>
      <c r="E130" s="1" t="s">
        <v>1</v>
      </c>
      <c r="F130" s="39">
        <v>0</v>
      </c>
    </row>
    <row r="131" spans="1:6" x14ac:dyDescent="0.25">
      <c r="A131" s="1">
        <v>9199</v>
      </c>
      <c r="B131" s="1" t="s">
        <v>2163</v>
      </c>
      <c r="C131" s="1" t="s">
        <v>2058</v>
      </c>
      <c r="D131" s="39">
        <v>0</v>
      </c>
      <c r="E131" s="1" t="s">
        <v>1</v>
      </c>
      <c r="F131" s="39">
        <v>0</v>
      </c>
    </row>
    <row r="132" spans="1:6" x14ac:dyDescent="0.25">
      <c r="A132" s="1">
        <v>9200</v>
      </c>
      <c r="B132" s="1" t="s">
        <v>2164</v>
      </c>
      <c r="C132" s="1" t="s">
        <v>2058</v>
      </c>
      <c r="D132" s="39">
        <v>0</v>
      </c>
      <c r="E132" s="1" t="s">
        <v>1</v>
      </c>
      <c r="F132" s="39">
        <v>0</v>
      </c>
    </row>
    <row r="133" spans="1:6" x14ac:dyDescent="0.25">
      <c r="A133" s="1">
        <v>9201</v>
      </c>
      <c r="B133" s="1" t="s">
        <v>2165</v>
      </c>
      <c r="C133" s="1" t="s">
        <v>2058</v>
      </c>
      <c r="D133" s="39">
        <v>0</v>
      </c>
      <c r="E133" s="1" t="s">
        <v>1</v>
      </c>
      <c r="F133" s="39">
        <v>0</v>
      </c>
    </row>
    <row r="134" spans="1:6" x14ac:dyDescent="0.25">
      <c r="A134" s="1">
        <v>9203</v>
      </c>
      <c r="B134" s="1" t="s">
        <v>142</v>
      </c>
      <c r="C134" s="1" t="s">
        <v>2058</v>
      </c>
      <c r="D134" s="39">
        <v>0</v>
      </c>
      <c r="E134" s="1" t="s">
        <v>1</v>
      </c>
      <c r="F134" s="39">
        <v>0</v>
      </c>
    </row>
    <row r="135" spans="1:6" x14ac:dyDescent="0.25">
      <c r="A135" s="1">
        <v>9204</v>
      </c>
      <c r="B135" s="1" t="s">
        <v>2166</v>
      </c>
      <c r="C135" s="1" t="s">
        <v>2058</v>
      </c>
      <c r="D135" s="39">
        <v>0</v>
      </c>
      <c r="E135" s="1" t="s">
        <v>1</v>
      </c>
      <c r="F135" s="39">
        <v>0</v>
      </c>
    </row>
    <row r="136" spans="1:6" x14ac:dyDescent="0.25">
      <c r="A136" s="1">
        <v>9205</v>
      </c>
      <c r="B136" s="1" t="s">
        <v>145</v>
      </c>
      <c r="C136" s="1" t="s">
        <v>2058</v>
      </c>
      <c r="D136" s="39">
        <v>0</v>
      </c>
      <c r="E136" s="1" t="s">
        <v>1</v>
      </c>
      <c r="F136" s="39">
        <v>0</v>
      </c>
    </row>
    <row r="137" spans="1:6" x14ac:dyDescent="0.25">
      <c r="A137" s="1">
        <v>9206</v>
      </c>
      <c r="B137" s="1" t="s">
        <v>2167</v>
      </c>
      <c r="C137" s="1" t="s">
        <v>2058</v>
      </c>
      <c r="D137" s="39">
        <v>0</v>
      </c>
      <c r="E137" s="1" t="s">
        <v>1</v>
      </c>
      <c r="F137" s="39">
        <v>0</v>
      </c>
    </row>
    <row r="138" spans="1:6" x14ac:dyDescent="0.25">
      <c r="A138" s="1">
        <v>9207</v>
      </c>
      <c r="B138" s="1" t="s">
        <v>148</v>
      </c>
      <c r="C138" s="1" t="s">
        <v>2058</v>
      </c>
      <c r="D138" s="39">
        <v>0</v>
      </c>
      <c r="E138" s="1" t="s">
        <v>1</v>
      </c>
      <c r="F138" s="39">
        <v>0</v>
      </c>
    </row>
    <row r="139" spans="1:6" x14ac:dyDescent="0.25">
      <c r="A139" s="1">
        <v>9208</v>
      </c>
      <c r="B139" s="1" t="s">
        <v>2168</v>
      </c>
      <c r="C139" s="1" t="s">
        <v>2058</v>
      </c>
      <c r="D139" s="39">
        <v>0</v>
      </c>
      <c r="E139" s="1" t="s">
        <v>1</v>
      </c>
      <c r="F139" s="39">
        <v>0</v>
      </c>
    </row>
    <row r="140" spans="1:6" x14ac:dyDescent="0.25">
      <c r="A140" s="1">
        <v>9209</v>
      </c>
      <c r="B140" s="1" t="s">
        <v>151</v>
      </c>
      <c r="C140" s="1" t="s">
        <v>2058</v>
      </c>
      <c r="D140" s="39">
        <v>0</v>
      </c>
      <c r="E140" s="1" t="s">
        <v>1</v>
      </c>
      <c r="F140" s="39">
        <v>0</v>
      </c>
    </row>
    <row r="141" spans="1:6" x14ac:dyDescent="0.25">
      <c r="A141" s="1">
        <v>9210</v>
      </c>
      <c r="B141" s="1" t="s">
        <v>2169</v>
      </c>
      <c r="C141" s="1" t="s">
        <v>2058</v>
      </c>
      <c r="D141" s="39">
        <v>0</v>
      </c>
      <c r="E141" s="1" t="s">
        <v>1</v>
      </c>
      <c r="F141" s="39">
        <v>0</v>
      </c>
    </row>
    <row r="142" spans="1:6" x14ac:dyDescent="0.25">
      <c r="A142" s="1">
        <v>9211</v>
      </c>
      <c r="B142" s="1" t="s">
        <v>154</v>
      </c>
      <c r="C142" s="1" t="s">
        <v>2058</v>
      </c>
      <c r="D142" s="39">
        <v>0</v>
      </c>
      <c r="E142" s="1" t="s">
        <v>1</v>
      </c>
      <c r="F142" s="39">
        <v>0</v>
      </c>
    </row>
    <row r="143" spans="1:6" x14ac:dyDescent="0.25">
      <c r="A143" s="1">
        <v>9212</v>
      </c>
      <c r="B143" s="1" t="s">
        <v>2170</v>
      </c>
      <c r="C143" s="1" t="s">
        <v>2058</v>
      </c>
      <c r="D143" s="39">
        <v>0</v>
      </c>
      <c r="E143" s="1" t="s">
        <v>1</v>
      </c>
      <c r="F143" s="39">
        <v>0</v>
      </c>
    </row>
    <row r="144" spans="1:6" x14ac:dyDescent="0.25">
      <c r="A144" s="1">
        <v>9214</v>
      </c>
      <c r="B144" s="1" t="s">
        <v>2171</v>
      </c>
      <c r="C144" s="1" t="s">
        <v>2058</v>
      </c>
      <c r="D144" s="39">
        <v>726</v>
      </c>
      <c r="E144" s="1" t="s">
        <v>1</v>
      </c>
      <c r="F144" s="3">
        <v>4090.28</v>
      </c>
    </row>
    <row r="145" spans="1:6" x14ac:dyDescent="0.25">
      <c r="A145" s="1">
        <v>9215</v>
      </c>
      <c r="B145" s="1" t="s">
        <v>2172</v>
      </c>
      <c r="C145" s="1" t="s">
        <v>2058</v>
      </c>
      <c r="D145" s="39">
        <v>1968</v>
      </c>
      <c r="E145" s="1" t="s">
        <v>1</v>
      </c>
      <c r="F145" s="3">
        <v>12652.27</v>
      </c>
    </row>
    <row r="146" spans="1:6" x14ac:dyDescent="0.25">
      <c r="A146" s="1">
        <v>9216</v>
      </c>
      <c r="B146" s="1" t="s">
        <v>2173</v>
      </c>
      <c r="C146" s="1" t="s">
        <v>2058</v>
      </c>
      <c r="D146" s="39">
        <v>0</v>
      </c>
      <c r="E146" s="1" t="s">
        <v>1</v>
      </c>
      <c r="F146" s="39">
        <v>0</v>
      </c>
    </row>
    <row r="147" spans="1:6" x14ac:dyDescent="0.25">
      <c r="A147" s="1">
        <v>9220</v>
      </c>
      <c r="B147" s="1" t="s">
        <v>158</v>
      </c>
      <c r="C147" s="1" t="s">
        <v>2058</v>
      </c>
      <c r="D147" s="39">
        <v>0</v>
      </c>
      <c r="E147" s="1" t="s">
        <v>1</v>
      </c>
      <c r="F147" s="39">
        <v>0</v>
      </c>
    </row>
    <row r="148" spans="1:6" x14ac:dyDescent="0.25">
      <c r="A148" s="1">
        <v>9224</v>
      </c>
      <c r="B148" s="1" t="s">
        <v>163</v>
      </c>
      <c r="C148" s="1" t="s">
        <v>2058</v>
      </c>
      <c r="D148" s="39">
        <v>0</v>
      </c>
      <c r="E148" s="1" t="s">
        <v>1</v>
      </c>
      <c r="F148" s="39">
        <v>0</v>
      </c>
    </row>
    <row r="149" spans="1:6" x14ac:dyDescent="0.25">
      <c r="A149" s="1">
        <v>9225</v>
      </c>
      <c r="B149" s="1" t="s">
        <v>2174</v>
      </c>
      <c r="C149" s="1" t="s">
        <v>2058</v>
      </c>
      <c r="D149" s="39">
        <v>0</v>
      </c>
      <c r="E149" s="1" t="s">
        <v>1</v>
      </c>
      <c r="F149" s="39">
        <v>0</v>
      </c>
    </row>
    <row r="150" spans="1:6" x14ac:dyDescent="0.25">
      <c r="A150" s="1">
        <v>9226</v>
      </c>
      <c r="B150" s="1" t="s">
        <v>2175</v>
      </c>
      <c r="C150" s="1" t="s">
        <v>2058</v>
      </c>
      <c r="D150" s="39">
        <v>0</v>
      </c>
      <c r="E150" s="1" t="s">
        <v>1</v>
      </c>
      <c r="F150" s="39">
        <v>0</v>
      </c>
    </row>
    <row r="151" spans="1:6" x14ac:dyDescent="0.25">
      <c r="A151" s="1">
        <v>9230</v>
      </c>
      <c r="B151" s="1" t="s">
        <v>171</v>
      </c>
      <c r="C151" s="1" t="s">
        <v>2058</v>
      </c>
      <c r="D151" s="39">
        <v>0</v>
      </c>
      <c r="E151" s="1" t="s">
        <v>1</v>
      </c>
      <c r="F151" s="39">
        <v>0</v>
      </c>
    </row>
    <row r="152" spans="1:6" x14ac:dyDescent="0.25">
      <c r="A152" s="1">
        <v>9231</v>
      </c>
      <c r="B152" s="1" t="s">
        <v>2176</v>
      </c>
      <c r="C152" s="1" t="s">
        <v>2058</v>
      </c>
      <c r="D152" s="39">
        <v>0</v>
      </c>
      <c r="E152" s="1" t="s">
        <v>1</v>
      </c>
      <c r="F152" s="39">
        <v>0</v>
      </c>
    </row>
    <row r="153" spans="1:6" x14ac:dyDescent="0.25">
      <c r="A153" s="1">
        <v>9233</v>
      </c>
      <c r="B153" s="1" t="s">
        <v>2177</v>
      </c>
      <c r="C153" s="1" t="s">
        <v>2058</v>
      </c>
      <c r="D153" s="39">
        <v>0</v>
      </c>
      <c r="E153" s="1" t="s">
        <v>1</v>
      </c>
      <c r="F153" s="39">
        <v>0</v>
      </c>
    </row>
    <row r="154" spans="1:6" x14ac:dyDescent="0.25">
      <c r="A154" s="1">
        <v>9237</v>
      </c>
      <c r="B154" s="1" t="s">
        <v>177</v>
      </c>
      <c r="C154" s="1" t="s">
        <v>2058</v>
      </c>
      <c r="D154" s="39">
        <v>1164</v>
      </c>
      <c r="E154" s="1" t="s">
        <v>1</v>
      </c>
      <c r="F154" s="3">
        <v>3512.94</v>
      </c>
    </row>
    <row r="155" spans="1:6" x14ac:dyDescent="0.25">
      <c r="A155" s="1">
        <v>9238</v>
      </c>
      <c r="B155" s="1" t="s">
        <v>2178</v>
      </c>
      <c r="C155" s="1" t="s">
        <v>2058</v>
      </c>
      <c r="D155" s="39">
        <v>0</v>
      </c>
      <c r="E155" s="1" t="s">
        <v>1</v>
      </c>
      <c r="F155" s="39">
        <v>0</v>
      </c>
    </row>
    <row r="156" spans="1:6" x14ac:dyDescent="0.25">
      <c r="A156" s="1">
        <v>9241</v>
      </c>
      <c r="B156" s="1" t="s">
        <v>2179</v>
      </c>
      <c r="C156" s="1" t="s">
        <v>2058</v>
      </c>
      <c r="D156" s="39">
        <v>0</v>
      </c>
      <c r="E156" s="1" t="s">
        <v>1</v>
      </c>
      <c r="F156" s="39">
        <v>0</v>
      </c>
    </row>
    <row r="157" spans="1:6" x14ac:dyDescent="0.25">
      <c r="A157" s="1">
        <v>9256</v>
      </c>
      <c r="B157" s="1" t="s">
        <v>181</v>
      </c>
      <c r="C157" s="1" t="s">
        <v>2058</v>
      </c>
      <c r="D157" s="39">
        <v>0</v>
      </c>
      <c r="E157" s="1" t="s">
        <v>1</v>
      </c>
      <c r="F157" s="39">
        <v>0</v>
      </c>
    </row>
    <row r="158" spans="1:6" x14ac:dyDescent="0.25">
      <c r="A158" s="1">
        <v>9257</v>
      </c>
      <c r="B158" s="1" t="s">
        <v>183</v>
      </c>
      <c r="C158" s="1" t="s">
        <v>2058</v>
      </c>
      <c r="D158" s="39">
        <v>0</v>
      </c>
      <c r="E158" s="1" t="s">
        <v>1</v>
      </c>
      <c r="F158" s="39">
        <v>0</v>
      </c>
    </row>
    <row r="159" spans="1:6" x14ac:dyDescent="0.25">
      <c r="A159" s="1">
        <v>9258</v>
      </c>
      <c r="B159" s="1" t="s">
        <v>2180</v>
      </c>
      <c r="C159" s="1" t="s">
        <v>2058</v>
      </c>
      <c r="D159" s="39">
        <v>0</v>
      </c>
      <c r="E159" s="1" t="s">
        <v>1</v>
      </c>
      <c r="F159" s="39">
        <v>0</v>
      </c>
    </row>
    <row r="160" spans="1:6" x14ac:dyDescent="0.25">
      <c r="A160" s="1">
        <v>9259</v>
      </c>
      <c r="B160" s="1" t="s">
        <v>186</v>
      </c>
      <c r="C160" s="1" t="s">
        <v>2058</v>
      </c>
      <c r="D160" s="39">
        <v>0</v>
      </c>
      <c r="E160" s="1" t="s">
        <v>1</v>
      </c>
      <c r="F160" s="39">
        <v>0</v>
      </c>
    </row>
    <row r="161" spans="1:6" x14ac:dyDescent="0.25">
      <c r="A161" s="1">
        <v>9260</v>
      </c>
      <c r="B161" s="1" t="s">
        <v>188</v>
      </c>
      <c r="C161" s="1" t="s">
        <v>2058</v>
      </c>
      <c r="D161" s="39">
        <v>0</v>
      </c>
      <c r="E161" s="1" t="s">
        <v>1</v>
      </c>
      <c r="F161" s="39">
        <v>0</v>
      </c>
    </row>
    <row r="162" spans="1:6" x14ac:dyDescent="0.25">
      <c r="A162" s="1">
        <v>9272</v>
      </c>
      <c r="B162" s="1" t="s">
        <v>2181</v>
      </c>
      <c r="C162" s="1" t="s">
        <v>2058</v>
      </c>
      <c r="D162" s="39">
        <v>0</v>
      </c>
      <c r="E162" s="1" t="s">
        <v>1</v>
      </c>
      <c r="F162" s="39">
        <v>0</v>
      </c>
    </row>
    <row r="163" spans="1:6" x14ac:dyDescent="0.25">
      <c r="A163" s="1">
        <v>9278</v>
      </c>
      <c r="B163" s="1" t="s">
        <v>196</v>
      </c>
      <c r="C163" s="1" t="s">
        <v>2058</v>
      </c>
      <c r="D163" s="39">
        <v>0</v>
      </c>
      <c r="E163" s="1" t="s">
        <v>1</v>
      </c>
      <c r="F163" s="39">
        <v>0</v>
      </c>
    </row>
    <row r="164" spans="1:6" x14ac:dyDescent="0.25">
      <c r="A164" s="1">
        <v>9279</v>
      </c>
      <c r="B164" s="1" t="s">
        <v>2182</v>
      </c>
      <c r="C164" s="1" t="s">
        <v>2058</v>
      </c>
      <c r="D164" s="39">
        <v>1500</v>
      </c>
      <c r="E164" s="1" t="s">
        <v>1</v>
      </c>
      <c r="F164" s="3">
        <v>4993.05</v>
      </c>
    </row>
    <row r="165" spans="1:6" x14ac:dyDescent="0.25">
      <c r="A165" s="1">
        <v>9300</v>
      </c>
      <c r="B165" s="1" t="s">
        <v>2183</v>
      </c>
      <c r="C165" s="1" t="s">
        <v>2058</v>
      </c>
      <c r="D165" s="39">
        <v>0</v>
      </c>
      <c r="E165" s="1" t="s">
        <v>1</v>
      </c>
      <c r="F165" s="39">
        <v>0</v>
      </c>
    </row>
    <row r="166" spans="1:6" x14ac:dyDescent="0.25">
      <c r="A166" s="1">
        <v>9301</v>
      </c>
      <c r="B166" s="1" t="s">
        <v>2184</v>
      </c>
      <c r="C166" s="1" t="s">
        <v>2058</v>
      </c>
      <c r="D166" s="39">
        <v>0</v>
      </c>
      <c r="E166" s="1" t="s">
        <v>1</v>
      </c>
      <c r="F166" s="39">
        <v>0</v>
      </c>
    </row>
    <row r="167" spans="1:6" x14ac:dyDescent="0.25">
      <c r="A167" s="1">
        <v>9302</v>
      </c>
      <c r="B167" s="1" t="s">
        <v>2185</v>
      </c>
      <c r="C167" s="1" t="s">
        <v>2058</v>
      </c>
      <c r="D167" s="39">
        <v>0</v>
      </c>
      <c r="E167" s="1" t="s">
        <v>1</v>
      </c>
      <c r="F167" s="39">
        <v>0</v>
      </c>
    </row>
    <row r="168" spans="1:6" x14ac:dyDescent="0.25">
      <c r="A168" s="1">
        <v>9310</v>
      </c>
      <c r="B168" s="1" t="s">
        <v>2186</v>
      </c>
      <c r="C168" s="1" t="s">
        <v>2058</v>
      </c>
      <c r="D168" s="39">
        <v>0</v>
      </c>
      <c r="E168" s="1" t="s">
        <v>1</v>
      </c>
      <c r="F168" s="39">
        <v>0</v>
      </c>
    </row>
    <row r="169" spans="1:6" x14ac:dyDescent="0.25">
      <c r="A169" s="1">
        <v>9314</v>
      </c>
      <c r="B169" s="1" t="s">
        <v>2187</v>
      </c>
      <c r="C169" s="1" t="s">
        <v>2058</v>
      </c>
      <c r="D169" s="39">
        <v>0</v>
      </c>
      <c r="E169" s="1" t="s">
        <v>1</v>
      </c>
      <c r="F169" s="39">
        <v>0</v>
      </c>
    </row>
    <row r="170" spans="1:6" x14ac:dyDescent="0.25">
      <c r="A170" s="1">
        <v>9315</v>
      </c>
      <c r="B170" s="1" t="s">
        <v>2188</v>
      </c>
      <c r="C170" s="1" t="s">
        <v>2058</v>
      </c>
      <c r="D170" s="39">
        <v>0</v>
      </c>
      <c r="E170" s="1" t="s">
        <v>1</v>
      </c>
      <c r="F170" s="39">
        <v>0</v>
      </c>
    </row>
    <row r="171" spans="1:6" x14ac:dyDescent="0.25">
      <c r="A171" s="1">
        <v>9324</v>
      </c>
      <c r="B171" s="1" t="s">
        <v>2189</v>
      </c>
      <c r="C171" s="1" t="s">
        <v>2058</v>
      </c>
      <c r="D171" s="39">
        <v>0</v>
      </c>
      <c r="E171" s="1" t="s">
        <v>1</v>
      </c>
      <c r="F171" s="39">
        <v>0</v>
      </c>
    </row>
    <row r="172" spans="1:6" x14ac:dyDescent="0.25">
      <c r="A172" s="1">
        <v>9348</v>
      </c>
      <c r="B172" s="1" t="s">
        <v>2190</v>
      </c>
      <c r="C172" s="1" t="s">
        <v>2058</v>
      </c>
      <c r="D172" s="39">
        <v>0</v>
      </c>
      <c r="E172" s="1" t="s">
        <v>1</v>
      </c>
      <c r="F172" s="39">
        <v>0</v>
      </c>
    </row>
    <row r="173" spans="1:6" x14ac:dyDescent="0.25">
      <c r="A173" s="1">
        <v>9349</v>
      </c>
      <c r="B173" s="1" t="s">
        <v>2191</v>
      </c>
      <c r="C173" s="1" t="s">
        <v>2058</v>
      </c>
      <c r="D173" s="39">
        <v>0</v>
      </c>
      <c r="E173" s="1" t="s">
        <v>1</v>
      </c>
      <c r="F173" s="39">
        <v>0</v>
      </c>
    </row>
    <row r="174" spans="1:6" x14ac:dyDescent="0.25">
      <c r="A174" s="1">
        <v>9350</v>
      </c>
      <c r="B174" s="1" t="s">
        <v>2192</v>
      </c>
      <c r="C174" s="1" t="s">
        <v>2058</v>
      </c>
      <c r="D174" s="39">
        <v>0</v>
      </c>
      <c r="E174" s="1" t="s">
        <v>1</v>
      </c>
      <c r="F174" s="39">
        <v>0</v>
      </c>
    </row>
    <row r="175" spans="1:6" x14ac:dyDescent="0.25">
      <c r="A175" s="1">
        <v>9351</v>
      </c>
      <c r="B175" s="1" t="s">
        <v>201</v>
      </c>
      <c r="C175" s="1" t="s">
        <v>2058</v>
      </c>
      <c r="D175" s="39">
        <v>0</v>
      </c>
      <c r="E175" s="1" t="s">
        <v>1</v>
      </c>
      <c r="F175" s="39">
        <v>0</v>
      </c>
    </row>
    <row r="176" spans="1:6" x14ac:dyDescent="0.25">
      <c r="A176" s="1">
        <v>9352</v>
      </c>
      <c r="B176" s="1" t="s">
        <v>2193</v>
      </c>
      <c r="C176" s="1" t="s">
        <v>2058</v>
      </c>
      <c r="D176" s="39">
        <v>0</v>
      </c>
      <c r="E176" s="1" t="s">
        <v>1</v>
      </c>
      <c r="F176" s="39">
        <v>0</v>
      </c>
    </row>
    <row r="177" spans="1:6" x14ac:dyDescent="0.25">
      <c r="A177" s="1">
        <v>9353</v>
      </c>
      <c r="B177" s="1" t="s">
        <v>2194</v>
      </c>
      <c r="C177" s="1" t="s">
        <v>2058</v>
      </c>
      <c r="D177" s="39">
        <v>0</v>
      </c>
      <c r="E177" s="1" t="s">
        <v>1</v>
      </c>
      <c r="F177" s="39">
        <v>0</v>
      </c>
    </row>
    <row r="178" spans="1:6" x14ac:dyDescent="0.25">
      <c r="A178" s="1">
        <v>9354</v>
      </c>
      <c r="B178" s="1" t="s">
        <v>2195</v>
      </c>
      <c r="C178" s="1" t="s">
        <v>2058</v>
      </c>
      <c r="D178" s="39">
        <v>0</v>
      </c>
      <c r="E178" s="1" t="s">
        <v>1</v>
      </c>
      <c r="F178" s="39">
        <v>0</v>
      </c>
    </row>
    <row r="179" spans="1:6" x14ac:dyDescent="0.25">
      <c r="A179" s="1">
        <v>9355</v>
      </c>
      <c r="B179" s="1" t="s">
        <v>2196</v>
      </c>
      <c r="C179" s="1" t="s">
        <v>2058</v>
      </c>
      <c r="D179" s="39">
        <v>0</v>
      </c>
      <c r="E179" s="1" t="s">
        <v>1</v>
      </c>
      <c r="F179" s="39">
        <v>0</v>
      </c>
    </row>
    <row r="180" spans="1:6" x14ac:dyDescent="0.25">
      <c r="A180" s="1">
        <v>9356</v>
      </c>
      <c r="B180" s="1" t="s">
        <v>203</v>
      </c>
      <c r="C180" s="1" t="s">
        <v>2058</v>
      </c>
      <c r="D180" s="39">
        <v>0</v>
      </c>
      <c r="E180" s="1" t="s">
        <v>1</v>
      </c>
      <c r="F180" s="39">
        <v>0</v>
      </c>
    </row>
    <row r="181" spans="1:6" x14ac:dyDescent="0.25">
      <c r="A181" s="1">
        <v>9357</v>
      </c>
      <c r="B181" s="1" t="s">
        <v>205</v>
      </c>
      <c r="C181" s="1" t="s">
        <v>2058</v>
      </c>
      <c r="D181" s="39">
        <v>0</v>
      </c>
      <c r="E181" s="1" t="s">
        <v>1</v>
      </c>
      <c r="F181" s="39">
        <v>0</v>
      </c>
    </row>
    <row r="182" spans="1:6" x14ac:dyDescent="0.25">
      <c r="A182" s="1">
        <v>9360</v>
      </c>
      <c r="B182" s="1" t="s">
        <v>2197</v>
      </c>
      <c r="C182" s="1" t="s">
        <v>2058</v>
      </c>
      <c r="D182" s="39">
        <v>0</v>
      </c>
      <c r="E182" s="1" t="s">
        <v>1</v>
      </c>
      <c r="F182" s="39">
        <v>0</v>
      </c>
    </row>
    <row r="183" spans="1:6" x14ac:dyDescent="0.25">
      <c r="A183" s="1">
        <v>9399</v>
      </c>
      <c r="B183" s="1" t="s">
        <v>207</v>
      </c>
      <c r="C183" s="1" t="s">
        <v>2058</v>
      </c>
      <c r="D183" s="39">
        <v>0</v>
      </c>
      <c r="E183" s="1" t="s">
        <v>1</v>
      </c>
      <c r="F183" s="39">
        <v>0</v>
      </c>
    </row>
    <row r="184" spans="1:6" x14ac:dyDescent="0.25">
      <c r="A184" s="1">
        <v>9401</v>
      </c>
      <c r="B184" s="1" t="s">
        <v>212</v>
      </c>
      <c r="C184" s="1" t="s">
        <v>2058</v>
      </c>
      <c r="D184" s="39">
        <v>0</v>
      </c>
      <c r="E184" s="1" t="s">
        <v>1</v>
      </c>
      <c r="F184" s="39">
        <v>0</v>
      </c>
    </row>
    <row r="185" spans="1:6" x14ac:dyDescent="0.25">
      <c r="A185" s="1">
        <v>9402</v>
      </c>
      <c r="B185" s="1" t="s">
        <v>2198</v>
      </c>
      <c r="C185" s="1" t="s">
        <v>2058</v>
      </c>
      <c r="D185" s="39">
        <v>0</v>
      </c>
      <c r="E185" s="1" t="s">
        <v>1</v>
      </c>
      <c r="F185" s="39">
        <v>0</v>
      </c>
    </row>
    <row r="186" spans="1:6" x14ac:dyDescent="0.25">
      <c r="A186" s="1">
        <v>9403</v>
      </c>
      <c r="B186" s="1" t="s">
        <v>218</v>
      </c>
      <c r="C186" s="1" t="s">
        <v>2058</v>
      </c>
      <c r="D186" s="39">
        <v>0</v>
      </c>
      <c r="E186" s="1" t="s">
        <v>1</v>
      </c>
      <c r="F186" s="39">
        <v>0</v>
      </c>
    </row>
    <row r="187" spans="1:6" x14ac:dyDescent="0.25">
      <c r="A187" s="1">
        <v>9404</v>
      </c>
      <c r="B187" s="1" t="s">
        <v>223</v>
      </c>
      <c r="C187" s="1" t="s">
        <v>2058</v>
      </c>
      <c r="D187" s="39">
        <v>0</v>
      </c>
      <c r="E187" s="1" t="s">
        <v>1</v>
      </c>
      <c r="F187" s="39">
        <v>0</v>
      </c>
    </row>
    <row r="188" spans="1:6" x14ac:dyDescent="0.25">
      <c r="A188" s="1">
        <v>9405</v>
      </c>
      <c r="B188" s="1" t="s">
        <v>228</v>
      </c>
      <c r="C188" s="1" t="s">
        <v>2058</v>
      </c>
      <c r="D188" s="39">
        <v>0</v>
      </c>
      <c r="E188" s="1" t="s">
        <v>1</v>
      </c>
      <c r="F188" s="39">
        <v>0</v>
      </c>
    </row>
    <row r="189" spans="1:6" x14ac:dyDescent="0.25">
      <c r="A189" s="1">
        <v>9407</v>
      </c>
      <c r="B189" s="1" t="s">
        <v>233</v>
      </c>
      <c r="C189" s="1" t="s">
        <v>2058</v>
      </c>
      <c r="D189" s="39">
        <v>0</v>
      </c>
      <c r="E189" s="1" t="s">
        <v>1</v>
      </c>
      <c r="F189" s="39">
        <v>0</v>
      </c>
    </row>
    <row r="190" spans="1:6" x14ac:dyDescent="0.25">
      <c r="A190" s="1">
        <v>9409</v>
      </c>
      <c r="B190" s="1" t="s">
        <v>237</v>
      </c>
      <c r="C190" s="1" t="s">
        <v>2058</v>
      </c>
      <c r="D190" s="39">
        <v>0</v>
      </c>
      <c r="E190" s="1" t="s">
        <v>1</v>
      </c>
      <c r="F190" s="39">
        <v>0</v>
      </c>
    </row>
    <row r="191" spans="1:6" x14ac:dyDescent="0.25">
      <c r="A191" s="1">
        <v>9410</v>
      </c>
      <c r="B191" s="1" t="s">
        <v>241</v>
      </c>
      <c r="C191" s="1" t="s">
        <v>2058</v>
      </c>
      <c r="D191" s="39">
        <v>4026</v>
      </c>
      <c r="E191" s="1" t="s">
        <v>1</v>
      </c>
      <c r="F191" s="3">
        <v>1425.2</v>
      </c>
    </row>
    <row r="192" spans="1:6" x14ac:dyDescent="0.25">
      <c r="A192" s="1">
        <v>9412</v>
      </c>
      <c r="B192" s="1" t="s">
        <v>2199</v>
      </c>
      <c r="C192" s="1" t="s">
        <v>2058</v>
      </c>
      <c r="D192" s="39">
        <v>0</v>
      </c>
      <c r="E192" s="1" t="s">
        <v>1</v>
      </c>
      <c r="F192" s="39">
        <v>0</v>
      </c>
    </row>
    <row r="193" spans="1:6" x14ac:dyDescent="0.25">
      <c r="A193" s="1">
        <v>9414</v>
      </c>
      <c r="B193" s="1" t="s">
        <v>2200</v>
      </c>
      <c r="C193" s="1" t="s">
        <v>2058</v>
      </c>
      <c r="D193" s="39">
        <v>0</v>
      </c>
      <c r="E193" s="1" t="s">
        <v>1</v>
      </c>
      <c r="F193" s="39">
        <v>0</v>
      </c>
    </row>
    <row r="194" spans="1:6" x14ac:dyDescent="0.25">
      <c r="A194" s="1">
        <v>9415</v>
      </c>
      <c r="B194" s="1" t="s">
        <v>2201</v>
      </c>
      <c r="C194" s="1" t="s">
        <v>2058</v>
      </c>
      <c r="D194" s="39">
        <v>0</v>
      </c>
      <c r="E194" s="1" t="s">
        <v>1</v>
      </c>
      <c r="F194" s="39">
        <v>0</v>
      </c>
    </row>
    <row r="195" spans="1:6" x14ac:dyDescent="0.25">
      <c r="A195" s="1">
        <v>9417</v>
      </c>
      <c r="B195" s="1" t="s">
        <v>246</v>
      </c>
      <c r="C195" s="1" t="s">
        <v>2058</v>
      </c>
      <c r="D195" s="39">
        <v>0</v>
      </c>
      <c r="E195" s="1" t="s">
        <v>1</v>
      </c>
      <c r="F195" s="39">
        <v>0</v>
      </c>
    </row>
    <row r="196" spans="1:6" x14ac:dyDescent="0.25">
      <c r="A196" s="1">
        <v>9418</v>
      </c>
      <c r="B196" s="1" t="s">
        <v>250</v>
      </c>
      <c r="C196" s="1" t="s">
        <v>2058</v>
      </c>
      <c r="D196" s="39">
        <v>0</v>
      </c>
      <c r="E196" s="1" t="s">
        <v>1</v>
      </c>
      <c r="F196" s="39">
        <v>0</v>
      </c>
    </row>
    <row r="197" spans="1:6" x14ac:dyDescent="0.25">
      <c r="A197" s="1">
        <v>9419</v>
      </c>
      <c r="B197" s="1" t="s">
        <v>2202</v>
      </c>
      <c r="C197" s="1" t="s">
        <v>2058</v>
      </c>
      <c r="D197" s="39">
        <v>0</v>
      </c>
      <c r="E197" s="1" t="s">
        <v>1</v>
      </c>
      <c r="F197" s="39">
        <v>0</v>
      </c>
    </row>
    <row r="198" spans="1:6" x14ac:dyDescent="0.25">
      <c r="A198" s="1">
        <v>9421</v>
      </c>
      <c r="B198" s="1" t="s">
        <v>2203</v>
      </c>
      <c r="C198" s="1" t="s">
        <v>2058</v>
      </c>
      <c r="D198" s="39">
        <v>0</v>
      </c>
      <c r="E198" s="1" t="s">
        <v>1</v>
      </c>
      <c r="F198" s="39">
        <v>0</v>
      </c>
    </row>
    <row r="199" spans="1:6" x14ac:dyDescent="0.25">
      <c r="A199" s="1">
        <v>9422</v>
      </c>
      <c r="B199" s="1" t="s">
        <v>255</v>
      </c>
      <c r="C199" s="1" t="s">
        <v>2058</v>
      </c>
      <c r="D199" s="39">
        <v>0</v>
      </c>
      <c r="E199" s="1" t="s">
        <v>1</v>
      </c>
      <c r="F199" s="39">
        <v>0</v>
      </c>
    </row>
    <row r="200" spans="1:6" x14ac:dyDescent="0.25">
      <c r="A200" s="1">
        <v>9423</v>
      </c>
      <c r="B200" s="1" t="s">
        <v>260</v>
      </c>
      <c r="C200" s="1" t="s">
        <v>2058</v>
      </c>
      <c r="D200" s="39">
        <v>0</v>
      </c>
      <c r="E200" s="1" t="s">
        <v>1</v>
      </c>
      <c r="F200" s="39">
        <v>0</v>
      </c>
    </row>
    <row r="201" spans="1:6" x14ac:dyDescent="0.25">
      <c r="A201" s="1">
        <v>9450</v>
      </c>
      <c r="B201" s="1" t="s">
        <v>2204</v>
      </c>
      <c r="C201" s="1" t="s">
        <v>2058</v>
      </c>
      <c r="D201" s="39">
        <v>0</v>
      </c>
      <c r="E201" s="1" t="s">
        <v>482</v>
      </c>
      <c r="F201" s="39">
        <v>0</v>
      </c>
    </row>
    <row r="202" spans="1:6" x14ac:dyDescent="0.25">
      <c r="A202" s="1">
        <v>9452</v>
      </c>
      <c r="B202" s="1" t="s">
        <v>2205</v>
      </c>
      <c r="C202" s="1" t="s">
        <v>2058</v>
      </c>
      <c r="D202" s="39">
        <v>0</v>
      </c>
      <c r="E202" s="1" t="s">
        <v>482</v>
      </c>
      <c r="F202" s="39">
        <v>0</v>
      </c>
    </row>
    <row r="203" spans="1:6" x14ac:dyDescent="0.25">
      <c r="A203" s="1">
        <v>9453</v>
      </c>
      <c r="B203" s="1" t="s">
        <v>2206</v>
      </c>
      <c r="C203" s="1" t="s">
        <v>2058</v>
      </c>
      <c r="D203" s="39">
        <v>0</v>
      </c>
      <c r="E203" s="1" t="s">
        <v>482</v>
      </c>
      <c r="F203" s="39">
        <v>0</v>
      </c>
    </row>
    <row r="204" spans="1:6" x14ac:dyDescent="0.25">
      <c r="A204" s="1">
        <v>9456</v>
      </c>
      <c r="B204" s="1" t="s">
        <v>2207</v>
      </c>
      <c r="C204" s="1" t="s">
        <v>2058</v>
      </c>
      <c r="D204" s="39">
        <v>0</v>
      </c>
      <c r="E204" s="1" t="s">
        <v>482</v>
      </c>
      <c r="F204" s="39">
        <v>0</v>
      </c>
    </row>
    <row r="205" spans="1:6" x14ac:dyDescent="0.25">
      <c r="A205" s="1">
        <v>9458</v>
      </c>
      <c r="B205" s="1" t="s">
        <v>2208</v>
      </c>
      <c r="C205" s="1" t="s">
        <v>2058</v>
      </c>
      <c r="D205" s="39">
        <v>0</v>
      </c>
      <c r="E205" s="1" t="s">
        <v>482</v>
      </c>
      <c r="F205" s="39">
        <v>0</v>
      </c>
    </row>
    <row r="206" spans="1:6" x14ac:dyDescent="0.25">
      <c r="A206" s="1">
        <v>9459</v>
      </c>
      <c r="B206" s="1" t="s">
        <v>1527</v>
      </c>
      <c r="C206" s="1" t="s">
        <v>2058</v>
      </c>
      <c r="D206" s="39">
        <v>0</v>
      </c>
      <c r="E206" s="1" t="s">
        <v>482</v>
      </c>
      <c r="F206" s="39">
        <v>0</v>
      </c>
    </row>
    <row r="207" spans="1:6" x14ac:dyDescent="0.25">
      <c r="A207" s="1">
        <v>9460</v>
      </c>
      <c r="B207" s="1" t="s">
        <v>2209</v>
      </c>
      <c r="C207" s="1" t="s">
        <v>2058</v>
      </c>
      <c r="D207" s="39">
        <v>0</v>
      </c>
      <c r="E207" s="1" t="s">
        <v>482</v>
      </c>
      <c r="F207" s="39">
        <v>0</v>
      </c>
    </row>
    <row r="208" spans="1:6" x14ac:dyDescent="0.25">
      <c r="A208" s="1">
        <v>9461</v>
      </c>
      <c r="B208" s="1" t="s">
        <v>2210</v>
      </c>
      <c r="C208" s="1" t="s">
        <v>2058</v>
      </c>
      <c r="D208" s="39">
        <v>0</v>
      </c>
      <c r="E208" s="1" t="s">
        <v>482</v>
      </c>
      <c r="F208" s="39">
        <v>0</v>
      </c>
    </row>
    <row r="209" spans="1:6" x14ac:dyDescent="0.25">
      <c r="A209" s="1">
        <v>9462</v>
      </c>
      <c r="B209" s="1" t="s">
        <v>2211</v>
      </c>
      <c r="C209" s="1" t="s">
        <v>2058</v>
      </c>
      <c r="D209" s="39">
        <v>0</v>
      </c>
      <c r="E209" s="1" t="s">
        <v>482</v>
      </c>
      <c r="F209" s="39">
        <v>0</v>
      </c>
    </row>
    <row r="210" spans="1:6" x14ac:dyDescent="0.25">
      <c r="A210" s="1">
        <v>9463</v>
      </c>
      <c r="B210" s="1" t="s">
        <v>2212</v>
      </c>
      <c r="C210" s="1" t="s">
        <v>2058</v>
      </c>
      <c r="D210" s="39">
        <v>0</v>
      </c>
      <c r="E210" s="1" t="s">
        <v>482</v>
      </c>
      <c r="F210" s="39">
        <v>0</v>
      </c>
    </row>
    <row r="211" spans="1:6" x14ac:dyDescent="0.25">
      <c r="A211" s="1">
        <v>9464</v>
      </c>
      <c r="B211" s="1" t="s">
        <v>2213</v>
      </c>
      <c r="C211" s="1" t="s">
        <v>2058</v>
      </c>
      <c r="D211" s="39">
        <v>0</v>
      </c>
      <c r="E211" s="1" t="s">
        <v>482</v>
      </c>
      <c r="F211" s="39">
        <v>0</v>
      </c>
    </row>
    <row r="212" spans="1:6" x14ac:dyDescent="0.25">
      <c r="A212" s="1">
        <v>9465</v>
      </c>
      <c r="B212" s="1" t="s">
        <v>2214</v>
      </c>
      <c r="C212" s="1" t="s">
        <v>2058</v>
      </c>
      <c r="D212" s="39">
        <v>0</v>
      </c>
      <c r="E212" s="1" t="s">
        <v>482</v>
      </c>
      <c r="F212" s="39">
        <v>0</v>
      </c>
    </row>
    <row r="213" spans="1:6" x14ac:dyDescent="0.25">
      <c r="A213" s="1">
        <v>9466</v>
      </c>
      <c r="B213" s="1" t="s">
        <v>1531</v>
      </c>
      <c r="C213" s="1" t="s">
        <v>2058</v>
      </c>
      <c r="D213" s="39">
        <v>0</v>
      </c>
      <c r="E213" s="1" t="s">
        <v>482</v>
      </c>
      <c r="F213" s="39">
        <v>0</v>
      </c>
    </row>
    <row r="214" spans="1:6" x14ac:dyDescent="0.25">
      <c r="A214" s="1">
        <v>9468</v>
      </c>
      <c r="B214" s="1" t="s">
        <v>265</v>
      </c>
      <c r="C214" s="1" t="s">
        <v>2058</v>
      </c>
      <c r="D214" s="39">
        <v>0</v>
      </c>
      <c r="E214" s="1" t="s">
        <v>1</v>
      </c>
      <c r="F214" s="39">
        <v>0</v>
      </c>
    </row>
    <row r="215" spans="1:6" x14ac:dyDescent="0.25">
      <c r="A215" s="1">
        <v>9471</v>
      </c>
      <c r="B215" s="1" t="s">
        <v>2215</v>
      </c>
      <c r="C215" s="1" t="s">
        <v>2058</v>
      </c>
      <c r="D215" s="39">
        <v>0</v>
      </c>
      <c r="E215" s="1" t="s">
        <v>1</v>
      </c>
      <c r="F215" s="39">
        <v>0</v>
      </c>
    </row>
    <row r="216" spans="1:6" x14ac:dyDescent="0.25">
      <c r="A216" s="1">
        <v>9499</v>
      </c>
      <c r="B216" s="1" t="s">
        <v>269</v>
      </c>
      <c r="C216" s="1" t="s">
        <v>2058</v>
      </c>
      <c r="D216" s="39">
        <v>0</v>
      </c>
      <c r="E216" s="1" t="s">
        <v>1</v>
      </c>
      <c r="F216" s="39">
        <v>0</v>
      </c>
    </row>
    <row r="217" spans="1:6" x14ac:dyDescent="0.25">
      <c r="A217" s="1">
        <v>9500</v>
      </c>
      <c r="B217" s="1" t="s">
        <v>274</v>
      </c>
      <c r="C217" s="1" t="s">
        <v>2058</v>
      </c>
      <c r="D217" s="39">
        <v>3400</v>
      </c>
      <c r="E217" s="1" t="s">
        <v>1</v>
      </c>
      <c r="F217" s="3">
        <v>2176.34</v>
      </c>
    </row>
    <row r="218" spans="1:6" x14ac:dyDescent="0.25">
      <c r="A218" s="1">
        <v>9501</v>
      </c>
      <c r="B218" s="1" t="s">
        <v>2216</v>
      </c>
      <c r="C218" s="1" t="s">
        <v>2058</v>
      </c>
      <c r="D218" s="39">
        <v>0</v>
      </c>
      <c r="E218" s="1" t="s">
        <v>1</v>
      </c>
      <c r="F218" s="39">
        <v>0</v>
      </c>
    </row>
    <row r="219" spans="1:6" x14ac:dyDescent="0.25">
      <c r="A219" s="1">
        <v>9502</v>
      </c>
      <c r="B219" s="1" t="s">
        <v>279</v>
      </c>
      <c r="C219" s="1" t="s">
        <v>2058</v>
      </c>
      <c r="D219" s="39">
        <v>40</v>
      </c>
      <c r="E219" s="1" t="s">
        <v>1</v>
      </c>
      <c r="F219" s="3">
        <v>26.71</v>
      </c>
    </row>
    <row r="220" spans="1:6" x14ac:dyDescent="0.25">
      <c r="A220" s="1">
        <v>9503</v>
      </c>
      <c r="B220" s="1" t="s">
        <v>2217</v>
      </c>
      <c r="C220" s="1" t="s">
        <v>2058</v>
      </c>
      <c r="D220" s="39">
        <v>0</v>
      </c>
      <c r="E220" s="1" t="s">
        <v>1</v>
      </c>
      <c r="F220" s="39">
        <v>0</v>
      </c>
    </row>
    <row r="221" spans="1:6" x14ac:dyDescent="0.25">
      <c r="A221" s="1">
        <v>9504</v>
      </c>
      <c r="B221" s="1" t="s">
        <v>284</v>
      </c>
      <c r="C221" s="1" t="s">
        <v>2058</v>
      </c>
      <c r="D221" s="39">
        <v>0</v>
      </c>
      <c r="E221" s="1" t="s">
        <v>1</v>
      </c>
      <c r="F221" s="39">
        <v>0</v>
      </c>
    </row>
    <row r="222" spans="1:6" x14ac:dyDescent="0.25">
      <c r="A222" s="1">
        <v>9505</v>
      </c>
      <c r="B222" s="1" t="s">
        <v>289</v>
      </c>
      <c r="C222" s="1" t="s">
        <v>2058</v>
      </c>
      <c r="D222" s="39">
        <v>0</v>
      </c>
      <c r="E222" s="1" t="s">
        <v>1</v>
      </c>
      <c r="F222" s="39">
        <v>0</v>
      </c>
    </row>
    <row r="223" spans="1:6" x14ac:dyDescent="0.25">
      <c r="A223" s="1">
        <v>9506</v>
      </c>
      <c r="B223" s="1" t="s">
        <v>294</v>
      </c>
      <c r="C223" s="1" t="s">
        <v>2058</v>
      </c>
      <c r="D223" s="39">
        <v>0</v>
      </c>
      <c r="E223" s="1" t="s">
        <v>1</v>
      </c>
      <c r="F223" s="39">
        <v>0</v>
      </c>
    </row>
    <row r="224" spans="1:6" x14ac:dyDescent="0.25">
      <c r="A224" s="1">
        <v>9508</v>
      </c>
      <c r="B224" s="1" t="s">
        <v>2218</v>
      </c>
      <c r="C224" s="1" t="s">
        <v>2058</v>
      </c>
      <c r="D224" s="39">
        <v>0</v>
      </c>
      <c r="E224" s="1" t="s">
        <v>1</v>
      </c>
      <c r="F224" s="39">
        <v>0</v>
      </c>
    </row>
    <row r="225" spans="1:6" x14ac:dyDescent="0.25">
      <c r="A225" s="1">
        <v>9509</v>
      </c>
      <c r="B225" s="1" t="s">
        <v>304</v>
      </c>
      <c r="C225" s="1" t="s">
        <v>2058</v>
      </c>
      <c r="D225" s="39">
        <v>0</v>
      </c>
      <c r="E225" s="1" t="s">
        <v>1</v>
      </c>
      <c r="F225" s="39">
        <v>0</v>
      </c>
    </row>
    <row r="226" spans="1:6" x14ac:dyDescent="0.25">
      <c r="A226" s="1">
        <v>9513</v>
      </c>
      <c r="B226" s="1" t="s">
        <v>309</v>
      </c>
      <c r="C226" s="1" t="s">
        <v>2058</v>
      </c>
      <c r="D226" s="39">
        <v>0</v>
      </c>
      <c r="E226" s="1" t="s">
        <v>1</v>
      </c>
      <c r="F226" s="39">
        <v>0</v>
      </c>
    </row>
    <row r="227" spans="1:6" x14ac:dyDescent="0.25">
      <c r="A227" s="1">
        <v>9514</v>
      </c>
      <c r="B227" s="1" t="s">
        <v>2219</v>
      </c>
      <c r="C227" s="1" t="s">
        <v>2058</v>
      </c>
      <c r="D227" s="39">
        <v>0</v>
      </c>
      <c r="E227" s="1" t="s">
        <v>1</v>
      </c>
      <c r="F227" s="39">
        <v>0</v>
      </c>
    </row>
    <row r="228" spans="1:6" x14ac:dyDescent="0.25">
      <c r="A228" s="1">
        <v>9515</v>
      </c>
      <c r="B228" s="1" t="s">
        <v>314</v>
      </c>
      <c r="C228" s="1" t="s">
        <v>2058</v>
      </c>
      <c r="D228" s="39">
        <v>0</v>
      </c>
      <c r="E228" s="1" t="s">
        <v>1</v>
      </c>
      <c r="F228" s="39">
        <v>0</v>
      </c>
    </row>
    <row r="229" spans="1:6" x14ac:dyDescent="0.25">
      <c r="A229" s="1">
        <v>9516</v>
      </c>
      <c r="B229" s="1" t="s">
        <v>319</v>
      </c>
      <c r="C229" s="1" t="s">
        <v>2058</v>
      </c>
      <c r="D229" s="39">
        <v>10</v>
      </c>
      <c r="E229" s="1" t="s">
        <v>1</v>
      </c>
      <c r="F229" s="3">
        <v>61.1</v>
      </c>
    </row>
    <row r="230" spans="1:6" x14ac:dyDescent="0.25">
      <c r="A230" s="1">
        <v>9521</v>
      </c>
      <c r="B230" s="1" t="s">
        <v>324</v>
      </c>
      <c r="C230" s="1" t="s">
        <v>2058</v>
      </c>
      <c r="D230" s="39">
        <v>0</v>
      </c>
      <c r="E230" s="1" t="s">
        <v>1</v>
      </c>
      <c r="F230" s="39">
        <v>0</v>
      </c>
    </row>
    <row r="231" spans="1:6" x14ac:dyDescent="0.25">
      <c r="A231" s="1">
        <v>9601</v>
      </c>
      <c r="B231" s="1" t="s">
        <v>2220</v>
      </c>
      <c r="C231" s="1" t="s">
        <v>2058</v>
      </c>
      <c r="D231" s="39">
        <v>0</v>
      </c>
      <c r="E231" s="1" t="s">
        <v>1</v>
      </c>
      <c r="F231" s="39">
        <v>0</v>
      </c>
    </row>
    <row r="232" spans="1:6" x14ac:dyDescent="0.25">
      <c r="A232" s="1">
        <v>9602</v>
      </c>
      <c r="B232" s="1" t="s">
        <v>2221</v>
      </c>
      <c r="C232" s="1" t="s">
        <v>2058</v>
      </c>
      <c r="D232" s="39">
        <v>0</v>
      </c>
      <c r="E232" s="1" t="s">
        <v>1</v>
      </c>
      <c r="F232" s="39">
        <v>0</v>
      </c>
    </row>
    <row r="233" spans="1:6" x14ac:dyDescent="0.25">
      <c r="A233" s="1">
        <v>9615</v>
      </c>
      <c r="B233" s="1" t="s">
        <v>2222</v>
      </c>
      <c r="C233" s="1" t="s">
        <v>2058</v>
      </c>
      <c r="D233" s="39">
        <v>0</v>
      </c>
      <c r="E233" s="1" t="s">
        <v>1</v>
      </c>
      <c r="F233" s="39">
        <v>0</v>
      </c>
    </row>
    <row r="234" spans="1:6" x14ac:dyDescent="0.25">
      <c r="A234" s="1">
        <v>9630</v>
      </c>
      <c r="B234" s="1" t="s">
        <v>329</v>
      </c>
      <c r="C234" s="1" t="s">
        <v>2058</v>
      </c>
      <c r="D234" s="39">
        <v>0</v>
      </c>
      <c r="E234" s="1" t="s">
        <v>1</v>
      </c>
      <c r="F234" s="39">
        <v>0</v>
      </c>
    </row>
    <row r="235" spans="1:6" x14ac:dyDescent="0.25">
      <c r="A235" s="1">
        <v>9635</v>
      </c>
      <c r="B235" s="1" t="s">
        <v>333</v>
      </c>
      <c r="C235" s="1" t="s">
        <v>2058</v>
      </c>
      <c r="D235" s="39">
        <v>0</v>
      </c>
      <c r="E235" s="1" t="s">
        <v>1</v>
      </c>
      <c r="F235" s="39">
        <v>0</v>
      </c>
    </row>
    <row r="236" spans="1:6" x14ac:dyDescent="0.25">
      <c r="A236" s="1">
        <v>9638</v>
      </c>
      <c r="B236" s="1" t="s">
        <v>337</v>
      </c>
      <c r="C236" s="1" t="s">
        <v>2058</v>
      </c>
      <c r="D236" s="39">
        <v>0</v>
      </c>
      <c r="E236" s="1" t="s">
        <v>1</v>
      </c>
      <c r="F236" s="39">
        <v>0</v>
      </c>
    </row>
    <row r="237" spans="1:6" x14ac:dyDescent="0.25">
      <c r="A237" s="1">
        <v>9641</v>
      </c>
      <c r="B237" s="1" t="s">
        <v>341</v>
      </c>
      <c r="C237" s="1" t="s">
        <v>2058</v>
      </c>
      <c r="D237" s="39">
        <v>0</v>
      </c>
      <c r="E237" s="1" t="s">
        <v>1</v>
      </c>
      <c r="F237" s="39">
        <v>0</v>
      </c>
    </row>
    <row r="238" spans="1:6" x14ac:dyDescent="0.25">
      <c r="A238" s="1">
        <v>9644</v>
      </c>
      <c r="B238" s="1" t="s">
        <v>344</v>
      </c>
      <c r="C238" s="1" t="s">
        <v>2058</v>
      </c>
      <c r="D238" s="39">
        <v>0</v>
      </c>
      <c r="E238" s="1" t="s">
        <v>1</v>
      </c>
      <c r="F238" s="39">
        <v>0</v>
      </c>
    </row>
    <row r="239" spans="1:6" x14ac:dyDescent="0.25">
      <c r="A239" s="1">
        <v>9651</v>
      </c>
      <c r="B239" s="1" t="s">
        <v>348</v>
      </c>
      <c r="C239" s="1" t="s">
        <v>2058</v>
      </c>
      <c r="D239" s="39">
        <v>0</v>
      </c>
      <c r="E239" s="1" t="s">
        <v>1</v>
      </c>
      <c r="F239" s="39">
        <v>0</v>
      </c>
    </row>
    <row r="240" spans="1:6" x14ac:dyDescent="0.25">
      <c r="A240" s="1">
        <v>9684</v>
      </c>
      <c r="B240" s="1" t="s">
        <v>352</v>
      </c>
      <c r="C240" s="1" t="s">
        <v>2058</v>
      </c>
      <c r="D240" s="39">
        <v>0</v>
      </c>
      <c r="E240" s="1" t="s">
        <v>1</v>
      </c>
      <c r="F240" s="39">
        <v>0</v>
      </c>
    </row>
    <row r="241" spans="1:6" x14ac:dyDescent="0.25">
      <c r="A241" s="1">
        <v>9685</v>
      </c>
      <c r="B241" s="1" t="s">
        <v>2223</v>
      </c>
      <c r="C241" s="1" t="s">
        <v>2058</v>
      </c>
      <c r="D241" s="39">
        <v>0</v>
      </c>
      <c r="E241" s="1" t="s">
        <v>1</v>
      </c>
      <c r="F241" s="39">
        <v>0</v>
      </c>
    </row>
    <row r="242" spans="1:6" x14ac:dyDescent="0.25">
      <c r="A242" s="1">
        <v>9700</v>
      </c>
      <c r="B242" s="1" t="s">
        <v>359</v>
      </c>
      <c r="C242" s="1" t="s">
        <v>2058</v>
      </c>
      <c r="D242" s="39">
        <v>0</v>
      </c>
      <c r="E242" s="1" t="s">
        <v>1</v>
      </c>
      <c r="F242" s="39">
        <v>0</v>
      </c>
    </row>
    <row r="243" spans="1:6" x14ac:dyDescent="0.25">
      <c r="A243" s="1">
        <v>9701</v>
      </c>
      <c r="B243" s="1" t="s">
        <v>371</v>
      </c>
      <c r="C243" s="1" t="s">
        <v>2058</v>
      </c>
      <c r="D243" s="39">
        <v>0</v>
      </c>
      <c r="E243" s="1" t="s">
        <v>1</v>
      </c>
      <c r="F243" s="39">
        <v>0</v>
      </c>
    </row>
    <row r="244" spans="1:6" x14ac:dyDescent="0.25">
      <c r="A244" s="1">
        <v>9702</v>
      </c>
      <c r="B244" s="1" t="s">
        <v>376</v>
      </c>
      <c r="C244" s="1" t="s">
        <v>2058</v>
      </c>
      <c r="D244" s="39">
        <v>0</v>
      </c>
      <c r="E244" s="1" t="s">
        <v>1</v>
      </c>
      <c r="F244" s="39">
        <v>0</v>
      </c>
    </row>
    <row r="245" spans="1:6" x14ac:dyDescent="0.25">
      <c r="A245" s="1">
        <v>9703</v>
      </c>
      <c r="B245" s="1" t="s">
        <v>2224</v>
      </c>
      <c r="C245" s="1" t="s">
        <v>2058</v>
      </c>
      <c r="D245" s="39">
        <v>0</v>
      </c>
      <c r="E245" s="1" t="s">
        <v>1</v>
      </c>
      <c r="F245" s="39">
        <v>0</v>
      </c>
    </row>
    <row r="246" spans="1:6" x14ac:dyDescent="0.25">
      <c r="A246" s="1">
        <v>9730</v>
      </c>
      <c r="B246" s="1" t="s">
        <v>2225</v>
      </c>
      <c r="C246" s="1" t="s">
        <v>2058</v>
      </c>
      <c r="D246" s="39">
        <v>0</v>
      </c>
      <c r="E246" s="1" t="s">
        <v>1</v>
      </c>
      <c r="F246" s="39">
        <v>0</v>
      </c>
    </row>
    <row r="247" spans="1:6" x14ac:dyDescent="0.25">
      <c r="A247" s="1">
        <v>9735</v>
      </c>
      <c r="B247" s="1" t="s">
        <v>387</v>
      </c>
      <c r="C247" s="1" t="s">
        <v>2058</v>
      </c>
      <c r="D247" s="39">
        <v>0</v>
      </c>
      <c r="E247" s="1" t="s">
        <v>1</v>
      </c>
      <c r="F247" s="39">
        <v>0</v>
      </c>
    </row>
    <row r="248" spans="1:6" x14ac:dyDescent="0.25">
      <c r="A248" s="1">
        <v>9738</v>
      </c>
      <c r="B248" s="1" t="s">
        <v>390</v>
      </c>
      <c r="C248" s="1" t="s">
        <v>2058</v>
      </c>
      <c r="D248" s="39">
        <v>0</v>
      </c>
      <c r="E248" s="1" t="s">
        <v>1</v>
      </c>
      <c r="F248" s="39">
        <v>0</v>
      </c>
    </row>
    <row r="249" spans="1:6" x14ac:dyDescent="0.25">
      <c r="A249" s="1">
        <v>9741</v>
      </c>
      <c r="B249" s="1" t="s">
        <v>393</v>
      </c>
      <c r="C249" s="1" t="s">
        <v>2058</v>
      </c>
      <c r="D249" s="39">
        <v>0</v>
      </c>
      <c r="E249" s="1" t="s">
        <v>1</v>
      </c>
      <c r="F249" s="39">
        <v>0</v>
      </c>
    </row>
    <row r="250" spans="1:6" x14ac:dyDescent="0.25">
      <c r="A250" s="1">
        <v>9744</v>
      </c>
      <c r="B250" s="1" t="s">
        <v>396</v>
      </c>
      <c r="C250" s="1" t="s">
        <v>2058</v>
      </c>
      <c r="D250" s="39">
        <v>0</v>
      </c>
      <c r="E250" s="1" t="s">
        <v>1</v>
      </c>
      <c r="F250" s="39">
        <v>0</v>
      </c>
    </row>
    <row r="251" spans="1:6" x14ac:dyDescent="0.25">
      <c r="A251" s="1">
        <v>9751</v>
      </c>
      <c r="B251" s="1" t="s">
        <v>399</v>
      </c>
      <c r="C251" s="1" t="s">
        <v>2058</v>
      </c>
      <c r="D251" s="39">
        <v>0</v>
      </c>
      <c r="E251" s="1" t="s">
        <v>1</v>
      </c>
      <c r="F251" s="39">
        <v>0</v>
      </c>
    </row>
    <row r="252" spans="1:6" x14ac:dyDescent="0.25">
      <c r="A252" s="1">
        <v>9830</v>
      </c>
      <c r="B252" s="1" t="s">
        <v>402</v>
      </c>
      <c r="C252" s="1" t="s">
        <v>2058</v>
      </c>
      <c r="D252" s="39">
        <v>0</v>
      </c>
      <c r="E252" s="1" t="s">
        <v>1</v>
      </c>
      <c r="F252" s="39">
        <v>0</v>
      </c>
    </row>
    <row r="253" spans="1:6" x14ac:dyDescent="0.25">
      <c r="A253" s="1">
        <v>9835</v>
      </c>
      <c r="B253" s="1" t="s">
        <v>405</v>
      </c>
      <c r="C253" s="1" t="s">
        <v>2058</v>
      </c>
      <c r="D253" s="39">
        <v>0</v>
      </c>
      <c r="E253" s="1" t="s">
        <v>1</v>
      </c>
      <c r="F253" s="39">
        <v>0</v>
      </c>
    </row>
    <row r="254" spans="1:6" x14ac:dyDescent="0.25">
      <c r="A254" s="1">
        <v>9838</v>
      </c>
      <c r="B254" s="1" t="s">
        <v>408</v>
      </c>
      <c r="C254" s="1" t="s">
        <v>2058</v>
      </c>
      <c r="D254" s="39">
        <v>0</v>
      </c>
      <c r="E254" s="1" t="s">
        <v>1</v>
      </c>
      <c r="F254" s="39">
        <v>0</v>
      </c>
    </row>
    <row r="255" spans="1:6" x14ac:dyDescent="0.25">
      <c r="A255" s="1">
        <v>9841</v>
      </c>
      <c r="B255" s="1" t="s">
        <v>411</v>
      </c>
      <c r="C255" s="1" t="s">
        <v>2058</v>
      </c>
      <c r="D255" s="39">
        <v>0</v>
      </c>
      <c r="E255" s="1" t="s">
        <v>1</v>
      </c>
      <c r="F255" s="39">
        <v>0</v>
      </c>
    </row>
    <row r="256" spans="1:6" x14ac:dyDescent="0.25">
      <c r="A256" s="1">
        <v>9844</v>
      </c>
      <c r="B256" s="1" t="s">
        <v>414</v>
      </c>
      <c r="C256" s="1" t="s">
        <v>2058</v>
      </c>
      <c r="D256" s="39">
        <v>0</v>
      </c>
      <c r="E256" s="1" t="s">
        <v>1</v>
      </c>
      <c r="F256" s="39">
        <v>0</v>
      </c>
    </row>
    <row r="257" spans="1:6" x14ac:dyDescent="0.25">
      <c r="A257" s="1">
        <v>9846</v>
      </c>
      <c r="B257" s="1" t="s">
        <v>2226</v>
      </c>
      <c r="C257" s="1" t="s">
        <v>2058</v>
      </c>
      <c r="D257" s="39">
        <v>0</v>
      </c>
      <c r="E257" s="1" t="s">
        <v>1</v>
      </c>
      <c r="F257" s="39">
        <v>0</v>
      </c>
    </row>
    <row r="258" spans="1:6" x14ac:dyDescent="0.25">
      <c r="A258" s="1">
        <v>9851</v>
      </c>
      <c r="B258" s="1" t="s">
        <v>417</v>
      </c>
      <c r="C258" s="1" t="s">
        <v>2058</v>
      </c>
      <c r="D258" s="39">
        <v>0</v>
      </c>
      <c r="E258" s="1" t="s">
        <v>1</v>
      </c>
      <c r="F258" s="39">
        <v>0</v>
      </c>
    </row>
    <row r="259" spans="1:6" x14ac:dyDescent="0.25">
      <c r="A259" s="1">
        <v>9930</v>
      </c>
      <c r="B259" s="1" t="s">
        <v>2227</v>
      </c>
      <c r="C259" s="1" t="s">
        <v>2058</v>
      </c>
      <c r="D259" s="39">
        <v>0</v>
      </c>
      <c r="E259" s="1" t="s">
        <v>1</v>
      </c>
      <c r="F259" s="39">
        <v>0</v>
      </c>
    </row>
    <row r="260" spans="1:6" x14ac:dyDescent="0.25">
      <c r="A260" s="1">
        <v>9935</v>
      </c>
      <c r="B260" s="1" t="s">
        <v>420</v>
      </c>
      <c r="C260" s="1" t="s">
        <v>2058</v>
      </c>
      <c r="D260" s="39">
        <v>0</v>
      </c>
      <c r="E260" s="1" t="s">
        <v>1</v>
      </c>
      <c r="F260" s="39">
        <v>0</v>
      </c>
    </row>
    <row r="261" spans="1:6" x14ac:dyDescent="0.25">
      <c r="A261" s="1">
        <v>9938</v>
      </c>
      <c r="B261" s="1" t="s">
        <v>423</v>
      </c>
      <c r="C261" s="1" t="s">
        <v>2058</v>
      </c>
      <c r="D261" s="39">
        <v>0</v>
      </c>
      <c r="E261" s="1" t="s">
        <v>1</v>
      </c>
      <c r="F261" s="39">
        <v>0</v>
      </c>
    </row>
    <row r="262" spans="1:6" x14ac:dyDescent="0.25">
      <c r="A262" s="1">
        <v>9941</v>
      </c>
      <c r="B262" s="1" t="s">
        <v>426</v>
      </c>
      <c r="C262" s="1" t="s">
        <v>2058</v>
      </c>
      <c r="D262" s="39">
        <v>0</v>
      </c>
      <c r="E262" s="1" t="s">
        <v>1</v>
      </c>
      <c r="F262" s="39">
        <v>0</v>
      </c>
    </row>
    <row r="263" spans="1:6" x14ac:dyDescent="0.25">
      <c r="A263" s="1">
        <v>9944</v>
      </c>
      <c r="B263" s="1" t="s">
        <v>429</v>
      </c>
      <c r="C263" s="1" t="s">
        <v>2058</v>
      </c>
      <c r="D263" s="39">
        <v>0</v>
      </c>
      <c r="E263" s="1" t="s">
        <v>1</v>
      </c>
      <c r="F263" s="39">
        <v>0</v>
      </c>
    </row>
    <row r="264" spans="1:6" x14ac:dyDescent="0.25">
      <c r="A264" s="1">
        <v>9951</v>
      </c>
      <c r="B264" s="1" t="s">
        <v>432</v>
      </c>
      <c r="C264" s="1" t="s">
        <v>2058</v>
      </c>
      <c r="D264" s="39">
        <v>0</v>
      </c>
      <c r="E264" s="1" t="s">
        <v>1</v>
      </c>
      <c r="F264" s="39">
        <v>0</v>
      </c>
    </row>
    <row r="265" spans="1:6" x14ac:dyDescent="0.25">
      <c r="A265" s="1">
        <v>9998</v>
      </c>
      <c r="B265" s="1" t="s">
        <v>2228</v>
      </c>
      <c r="C265" s="1" t="s">
        <v>2058</v>
      </c>
      <c r="D265" s="39">
        <v>0</v>
      </c>
      <c r="E265" s="1" t="s">
        <v>1</v>
      </c>
      <c r="F265" s="39">
        <v>0</v>
      </c>
    </row>
    <row r="266" spans="1:6" x14ac:dyDescent="0.25">
      <c r="A266" s="1">
        <v>10000</v>
      </c>
      <c r="B266" s="1" t="s">
        <v>2229</v>
      </c>
      <c r="C266" s="1" t="s">
        <v>2058</v>
      </c>
      <c r="D266" s="39">
        <v>0</v>
      </c>
      <c r="E266" s="1" t="s">
        <v>1</v>
      </c>
      <c r="F266" s="39">
        <v>0</v>
      </c>
    </row>
    <row r="267" spans="1:6" x14ac:dyDescent="0.25">
      <c r="A267" s="1">
        <v>10030</v>
      </c>
      <c r="B267" s="1" t="s">
        <v>2230</v>
      </c>
      <c r="C267" s="1" t="s">
        <v>2058</v>
      </c>
      <c r="D267" s="39">
        <v>0</v>
      </c>
      <c r="E267" s="1" t="s">
        <v>1</v>
      </c>
      <c r="F267" s="39">
        <v>0</v>
      </c>
    </row>
    <row r="268" spans="1:6" x14ac:dyDescent="0.25">
      <c r="A268" s="1">
        <v>10035</v>
      </c>
      <c r="B268" s="1" t="s">
        <v>2231</v>
      </c>
      <c r="C268" s="1" t="s">
        <v>2058</v>
      </c>
      <c r="D268" s="39">
        <v>0</v>
      </c>
      <c r="E268" s="1" t="s">
        <v>1</v>
      </c>
      <c r="F268" s="39">
        <v>0</v>
      </c>
    </row>
    <row r="269" spans="1:6" x14ac:dyDescent="0.25">
      <c r="A269" s="1">
        <v>10038</v>
      </c>
      <c r="B269" s="1" t="s">
        <v>2232</v>
      </c>
      <c r="C269" s="1" t="s">
        <v>2058</v>
      </c>
      <c r="D269" s="39">
        <v>0</v>
      </c>
      <c r="E269" s="1" t="s">
        <v>1</v>
      </c>
      <c r="F269" s="39">
        <v>0</v>
      </c>
    </row>
    <row r="270" spans="1:6" x14ac:dyDescent="0.25">
      <c r="A270" s="1">
        <v>10041</v>
      </c>
      <c r="B270" s="1" t="s">
        <v>2233</v>
      </c>
      <c r="C270" s="1" t="s">
        <v>2058</v>
      </c>
      <c r="D270" s="39">
        <v>0</v>
      </c>
      <c r="E270" s="1" t="s">
        <v>1</v>
      </c>
      <c r="F270" s="39">
        <v>0</v>
      </c>
    </row>
    <row r="271" spans="1:6" x14ac:dyDescent="0.25">
      <c r="A271" s="1">
        <v>10044</v>
      </c>
      <c r="B271" s="1" t="s">
        <v>2234</v>
      </c>
      <c r="C271" s="1" t="s">
        <v>2058</v>
      </c>
      <c r="D271" s="39">
        <v>0</v>
      </c>
      <c r="E271" s="1" t="s">
        <v>1</v>
      </c>
      <c r="F271" s="39">
        <v>0</v>
      </c>
    </row>
    <row r="272" spans="1:6" x14ac:dyDescent="0.25">
      <c r="A272" s="1">
        <v>10051</v>
      </c>
      <c r="B272" s="1" t="s">
        <v>2235</v>
      </c>
      <c r="C272" s="1" t="s">
        <v>2058</v>
      </c>
      <c r="D272" s="39">
        <v>0</v>
      </c>
      <c r="E272" s="1" t="s">
        <v>1</v>
      </c>
      <c r="F272" s="39">
        <v>0</v>
      </c>
    </row>
    <row r="273" spans="1:6" x14ac:dyDescent="0.25">
      <c r="A273" s="1">
        <v>11030</v>
      </c>
      <c r="B273" s="1" t="s">
        <v>2236</v>
      </c>
      <c r="C273" s="1" t="s">
        <v>2058</v>
      </c>
      <c r="D273" s="39">
        <v>0</v>
      </c>
      <c r="E273" s="1" t="s">
        <v>1</v>
      </c>
      <c r="F273" s="39">
        <v>0</v>
      </c>
    </row>
    <row r="274" spans="1:6" x14ac:dyDescent="0.25">
      <c r="A274" s="1">
        <v>11035</v>
      </c>
      <c r="B274" s="1" t="s">
        <v>435</v>
      </c>
      <c r="C274" s="1" t="s">
        <v>2058</v>
      </c>
      <c r="D274" s="39">
        <v>0</v>
      </c>
      <c r="E274" s="1" t="s">
        <v>1</v>
      </c>
      <c r="F274" s="39">
        <v>0</v>
      </c>
    </row>
    <row r="275" spans="1:6" x14ac:dyDescent="0.25">
      <c r="A275" s="1">
        <v>11038</v>
      </c>
      <c r="B275" s="1" t="s">
        <v>2237</v>
      </c>
      <c r="C275" s="1" t="s">
        <v>2058</v>
      </c>
      <c r="D275" s="39">
        <v>0</v>
      </c>
      <c r="E275" s="1" t="s">
        <v>1</v>
      </c>
      <c r="F275" s="39">
        <v>0</v>
      </c>
    </row>
    <row r="276" spans="1:6" x14ac:dyDescent="0.25">
      <c r="A276" s="1">
        <v>11041</v>
      </c>
      <c r="B276" s="1" t="s">
        <v>438</v>
      </c>
      <c r="C276" s="1" t="s">
        <v>2058</v>
      </c>
      <c r="D276" s="39">
        <v>0</v>
      </c>
      <c r="E276" s="1" t="s">
        <v>1</v>
      </c>
      <c r="F276" s="39">
        <v>0</v>
      </c>
    </row>
    <row r="277" spans="1:6" x14ac:dyDescent="0.25">
      <c r="A277" s="1">
        <v>11044</v>
      </c>
      <c r="B277" s="1" t="s">
        <v>441</v>
      </c>
      <c r="C277" s="1" t="s">
        <v>2058</v>
      </c>
      <c r="D277" s="39">
        <v>0</v>
      </c>
      <c r="E277" s="1" t="s">
        <v>1</v>
      </c>
      <c r="F277" s="39">
        <v>0</v>
      </c>
    </row>
    <row r="278" spans="1:6" x14ac:dyDescent="0.25">
      <c r="A278" s="1">
        <v>11051</v>
      </c>
      <c r="B278" s="1" t="s">
        <v>444</v>
      </c>
      <c r="C278" s="1" t="s">
        <v>2058</v>
      </c>
      <c r="D278" s="39">
        <v>0</v>
      </c>
      <c r="E278" s="1" t="s">
        <v>1</v>
      </c>
      <c r="F278" s="39">
        <v>0</v>
      </c>
    </row>
    <row r="279" spans="1:6" x14ac:dyDescent="0.25">
      <c r="A279" s="1">
        <v>12030</v>
      </c>
      <c r="B279" s="1" t="s">
        <v>2238</v>
      </c>
      <c r="C279" s="1" t="s">
        <v>2058</v>
      </c>
      <c r="D279" s="39">
        <v>0</v>
      </c>
      <c r="E279" s="1" t="s">
        <v>1</v>
      </c>
      <c r="F279" s="39">
        <v>0</v>
      </c>
    </row>
    <row r="280" spans="1:6" x14ac:dyDescent="0.25">
      <c r="A280" s="1">
        <v>12035</v>
      </c>
      <c r="B280" s="1" t="s">
        <v>447</v>
      </c>
      <c r="C280" s="1" t="s">
        <v>2058</v>
      </c>
      <c r="D280" s="39">
        <v>0</v>
      </c>
      <c r="E280" s="1" t="s">
        <v>1</v>
      </c>
      <c r="F280" s="39">
        <v>0</v>
      </c>
    </row>
    <row r="281" spans="1:6" x14ac:dyDescent="0.25">
      <c r="A281" s="1">
        <v>12038</v>
      </c>
      <c r="B281" s="1" t="s">
        <v>2239</v>
      </c>
      <c r="C281" s="1" t="s">
        <v>2058</v>
      </c>
      <c r="D281" s="39">
        <v>0</v>
      </c>
      <c r="E281" s="1" t="s">
        <v>1</v>
      </c>
      <c r="F281" s="39">
        <v>0</v>
      </c>
    </row>
    <row r="282" spans="1:6" x14ac:dyDescent="0.25">
      <c r="A282" s="1">
        <v>12041</v>
      </c>
      <c r="B282" s="1" t="s">
        <v>450</v>
      </c>
      <c r="C282" s="1" t="s">
        <v>2058</v>
      </c>
      <c r="D282" s="39">
        <v>0</v>
      </c>
      <c r="E282" s="1" t="s">
        <v>1</v>
      </c>
      <c r="F282" s="39">
        <v>0</v>
      </c>
    </row>
    <row r="283" spans="1:6" x14ac:dyDescent="0.25">
      <c r="A283" s="1">
        <v>12044</v>
      </c>
      <c r="B283" s="1" t="s">
        <v>2240</v>
      </c>
      <c r="C283" s="1" t="s">
        <v>2058</v>
      </c>
      <c r="D283" s="39">
        <v>0</v>
      </c>
      <c r="E283" s="1" t="s">
        <v>1</v>
      </c>
      <c r="F283" s="39">
        <v>0</v>
      </c>
    </row>
    <row r="284" spans="1:6" x14ac:dyDescent="0.25">
      <c r="A284" s="1">
        <v>12051</v>
      </c>
      <c r="B284" s="1" t="s">
        <v>453</v>
      </c>
      <c r="C284" s="1" t="s">
        <v>2058</v>
      </c>
      <c r="D284" s="39">
        <v>0</v>
      </c>
      <c r="E284" s="1" t="s">
        <v>1</v>
      </c>
      <c r="F284" s="39">
        <v>0</v>
      </c>
    </row>
    <row r="285" spans="1:6" x14ac:dyDescent="0.25">
      <c r="A285" s="1">
        <v>13505</v>
      </c>
      <c r="B285" s="1" t="s">
        <v>456</v>
      </c>
      <c r="C285" s="1" t="s">
        <v>2058</v>
      </c>
      <c r="D285" s="39">
        <v>0</v>
      </c>
      <c r="E285" s="1" t="s">
        <v>1</v>
      </c>
      <c r="F285" s="39">
        <v>0</v>
      </c>
    </row>
    <row r="286" spans="1:6" x14ac:dyDescent="0.25">
      <c r="A286" s="1">
        <v>13685</v>
      </c>
      <c r="B286" s="1" t="s">
        <v>460</v>
      </c>
      <c r="C286" s="1" t="s">
        <v>2058</v>
      </c>
      <c r="D286" s="39">
        <v>0</v>
      </c>
      <c r="E286" s="1" t="s">
        <v>1</v>
      </c>
      <c r="F286" s="39">
        <v>0</v>
      </c>
    </row>
    <row r="287" spans="1:6" x14ac:dyDescent="0.25">
      <c r="A287" s="1">
        <v>14005</v>
      </c>
      <c r="B287" s="1" t="s">
        <v>2241</v>
      </c>
      <c r="C287" s="1" t="s">
        <v>2058</v>
      </c>
      <c r="D287" s="39">
        <v>0</v>
      </c>
      <c r="E287" s="1" t="s">
        <v>1</v>
      </c>
      <c r="F287" s="39">
        <v>0</v>
      </c>
    </row>
    <row r="288" spans="1:6" x14ac:dyDescent="0.25">
      <c r="A288" s="1">
        <v>14505</v>
      </c>
      <c r="B288" s="1" t="s">
        <v>464</v>
      </c>
      <c r="C288" s="1" t="s">
        <v>2058</v>
      </c>
      <c r="D288" s="39">
        <v>0</v>
      </c>
      <c r="E288" s="1" t="s">
        <v>1</v>
      </c>
      <c r="F288" s="39">
        <v>0</v>
      </c>
    </row>
    <row r="289" spans="1:6" x14ac:dyDescent="0.25">
      <c r="A289" s="1">
        <v>14685</v>
      </c>
      <c r="B289" s="1" t="s">
        <v>467</v>
      </c>
      <c r="C289" s="1" t="s">
        <v>2058</v>
      </c>
      <c r="D289" s="39">
        <v>0</v>
      </c>
      <c r="E289" s="1" t="s">
        <v>1</v>
      </c>
      <c r="F289" s="39">
        <v>0</v>
      </c>
    </row>
    <row r="290" spans="1:6" x14ac:dyDescent="0.25">
      <c r="A290" s="1">
        <v>90502</v>
      </c>
      <c r="B290" s="1" t="s">
        <v>470</v>
      </c>
      <c r="C290" s="1" t="s">
        <v>2058</v>
      </c>
      <c r="D290" s="39">
        <v>0</v>
      </c>
      <c r="E290" s="1" t="s">
        <v>1</v>
      </c>
      <c r="F290" s="39">
        <v>0</v>
      </c>
    </row>
    <row r="291" spans="1:6" x14ac:dyDescent="0.25">
      <c r="A291" s="1">
        <v>90503</v>
      </c>
      <c r="B291" s="1" t="s">
        <v>473</v>
      </c>
      <c r="C291" s="1" t="s">
        <v>2058</v>
      </c>
      <c r="D291" s="39">
        <v>0</v>
      </c>
      <c r="E291" s="1" t="s">
        <v>1</v>
      </c>
      <c r="F291" s="39">
        <v>0</v>
      </c>
    </row>
    <row r="292" spans="1:6" x14ac:dyDescent="0.25">
      <c r="A292" s="1">
        <v>94106</v>
      </c>
      <c r="B292" s="1" t="s">
        <v>475</v>
      </c>
      <c r="C292" s="1" t="s">
        <v>2058</v>
      </c>
      <c r="D292" s="39">
        <v>0</v>
      </c>
      <c r="E292" s="1" t="s">
        <v>1</v>
      </c>
      <c r="F292" s="39">
        <v>0</v>
      </c>
    </row>
    <row r="293" spans="1:6" x14ac:dyDescent="0.25">
      <c r="A293" s="1">
        <v>94502</v>
      </c>
      <c r="B293" s="1" t="s">
        <v>2242</v>
      </c>
      <c r="C293" s="1" t="s">
        <v>2058</v>
      </c>
      <c r="D293" s="39">
        <v>0</v>
      </c>
      <c r="E293" s="1" t="s">
        <v>482</v>
      </c>
      <c r="F293" s="39">
        <v>0</v>
      </c>
    </row>
    <row r="294" spans="1:6" x14ac:dyDescent="0.25">
      <c r="A294" s="1">
        <v>94563</v>
      </c>
      <c r="B294" s="1" t="s">
        <v>2243</v>
      </c>
      <c r="C294" s="1" t="s">
        <v>2058</v>
      </c>
      <c r="D294" s="39">
        <v>0</v>
      </c>
      <c r="E294" s="1" t="s">
        <v>1</v>
      </c>
      <c r="F294" s="39">
        <v>0</v>
      </c>
    </row>
    <row r="295" spans="1:6" x14ac:dyDescent="0.25">
      <c r="A295" s="1">
        <v>94572</v>
      </c>
      <c r="B295" s="1" t="s">
        <v>2244</v>
      </c>
      <c r="C295" s="1" t="s">
        <v>2058</v>
      </c>
      <c r="D295" s="39">
        <v>0</v>
      </c>
      <c r="E295" s="1" t="s">
        <v>482</v>
      </c>
      <c r="F295" s="39">
        <v>0</v>
      </c>
    </row>
    <row r="296" spans="1:6" x14ac:dyDescent="0.25">
      <c r="A296" s="1">
        <v>94592</v>
      </c>
      <c r="B296" s="1" t="s">
        <v>2245</v>
      </c>
      <c r="C296" s="1" t="s">
        <v>2058</v>
      </c>
      <c r="D296" s="39">
        <v>0</v>
      </c>
      <c r="E296" s="1" t="s">
        <v>482</v>
      </c>
      <c r="F296" s="39">
        <v>0</v>
      </c>
    </row>
    <row r="297" spans="1:6" x14ac:dyDescent="0.25">
      <c r="A297" s="1">
        <v>94662</v>
      </c>
      <c r="B297" s="1" t="s">
        <v>2246</v>
      </c>
      <c r="C297" s="1" t="s">
        <v>2058</v>
      </c>
      <c r="D297" s="39">
        <v>0</v>
      </c>
      <c r="E297" s="1" t="s">
        <v>482</v>
      </c>
      <c r="F297" s="39">
        <v>0</v>
      </c>
    </row>
    <row r="298" spans="1:6" x14ac:dyDescent="0.25">
      <c r="A298" s="1">
        <v>95062</v>
      </c>
      <c r="B298" s="1" t="s">
        <v>2247</v>
      </c>
      <c r="C298" s="1" t="s">
        <v>2058</v>
      </c>
      <c r="D298" s="39">
        <v>0</v>
      </c>
      <c r="E298" s="1" t="s">
        <v>1</v>
      </c>
      <c r="F298" s="39">
        <v>0</v>
      </c>
    </row>
    <row r="299" spans="1:6" x14ac:dyDescent="0.25">
      <c r="A299" s="1">
        <v>945910</v>
      </c>
      <c r="B299" s="1" t="s">
        <v>2248</v>
      </c>
      <c r="C299" s="1" t="s">
        <v>2058</v>
      </c>
      <c r="D299" s="39">
        <v>0</v>
      </c>
      <c r="E299" s="1" t="s">
        <v>1</v>
      </c>
      <c r="F299" s="39">
        <v>0</v>
      </c>
    </row>
    <row r="300" spans="1:6" x14ac:dyDescent="0.25">
      <c r="A300" s="1">
        <v>950010</v>
      </c>
      <c r="B300" s="1" t="s">
        <v>2249</v>
      </c>
      <c r="C300" s="1" t="s">
        <v>2058</v>
      </c>
      <c r="D300" s="39">
        <v>0</v>
      </c>
      <c r="E300" s="1" t="s">
        <v>1</v>
      </c>
      <c r="F300" s="39">
        <v>0</v>
      </c>
    </row>
    <row r="301" spans="1:6" x14ac:dyDescent="0.25">
      <c r="A301" s="1">
        <v>950011</v>
      </c>
      <c r="B301" s="1" t="s">
        <v>479</v>
      </c>
      <c r="C301" s="1" t="s">
        <v>2058</v>
      </c>
      <c r="D301" s="39">
        <v>0</v>
      </c>
      <c r="E301" s="1" t="s">
        <v>482</v>
      </c>
      <c r="F301" s="39">
        <v>0</v>
      </c>
    </row>
    <row r="302" spans="1:6" x14ac:dyDescent="0.25">
      <c r="A302" s="1">
        <v>950210</v>
      </c>
      <c r="B302" s="1" t="s">
        <v>2250</v>
      </c>
      <c r="C302" s="1" t="s">
        <v>2058</v>
      </c>
      <c r="D302" s="39">
        <v>0</v>
      </c>
      <c r="E302" s="1" t="s">
        <v>1</v>
      </c>
      <c r="F302" s="39">
        <v>0</v>
      </c>
    </row>
    <row r="303" spans="1:6" x14ac:dyDescent="0.25">
      <c r="A303" s="1">
        <v>950610</v>
      </c>
      <c r="B303" s="1" t="s">
        <v>2251</v>
      </c>
      <c r="C303" s="1" t="s">
        <v>2058</v>
      </c>
      <c r="D303" s="39">
        <v>0</v>
      </c>
      <c r="E303" s="1" t="s">
        <v>1</v>
      </c>
      <c r="F303" s="39">
        <v>0</v>
      </c>
    </row>
    <row r="304" spans="1:6" x14ac:dyDescent="0.25">
      <c r="A304" s="1">
        <v>2000818</v>
      </c>
      <c r="B304" s="1" t="s">
        <v>2252</v>
      </c>
      <c r="C304" s="1" t="s">
        <v>2058</v>
      </c>
      <c r="D304" s="39">
        <v>0</v>
      </c>
      <c r="E304" s="1" t="s">
        <v>1</v>
      </c>
      <c r="F304" s="39">
        <v>0</v>
      </c>
    </row>
    <row r="305" spans="1:6" x14ac:dyDescent="0.25">
      <c r="A305" s="1">
        <v>2005201</v>
      </c>
      <c r="B305" s="1" t="s">
        <v>2253</v>
      </c>
      <c r="C305" s="1" t="s">
        <v>2058</v>
      </c>
      <c r="D305" s="39">
        <v>0</v>
      </c>
      <c r="E305" s="1" t="s">
        <v>1</v>
      </c>
      <c r="F305" s="39">
        <v>0</v>
      </c>
    </row>
    <row r="306" spans="1:6" x14ac:dyDescent="0.25">
      <c r="A306" s="1">
        <v>2005214</v>
      </c>
      <c r="B306" s="1" t="s">
        <v>2254</v>
      </c>
      <c r="C306" s="1" t="s">
        <v>2058</v>
      </c>
      <c r="D306" s="39">
        <v>0</v>
      </c>
      <c r="E306" s="1" t="s">
        <v>1</v>
      </c>
      <c r="F306" s="39">
        <v>0</v>
      </c>
    </row>
    <row r="307" spans="1:6" x14ac:dyDescent="0.25">
      <c r="A307" s="1">
        <v>2005215</v>
      </c>
      <c r="B307" s="1" t="s">
        <v>2255</v>
      </c>
      <c r="C307" s="1" t="s">
        <v>2058</v>
      </c>
      <c r="D307" s="39">
        <v>0</v>
      </c>
      <c r="E307" s="1" t="s">
        <v>1</v>
      </c>
      <c r="F307" s="39">
        <v>0</v>
      </c>
    </row>
    <row r="308" spans="1:6" x14ac:dyDescent="0.25">
      <c r="A308" s="1">
        <v>2005216</v>
      </c>
      <c r="B308" s="1" t="s">
        <v>2256</v>
      </c>
      <c r="C308" s="1" t="s">
        <v>2058</v>
      </c>
      <c r="D308" s="39">
        <v>0</v>
      </c>
      <c r="E308" s="1" t="s">
        <v>1</v>
      </c>
      <c r="F308" s="39">
        <v>0</v>
      </c>
    </row>
    <row r="309" spans="1:6" x14ac:dyDescent="0.25">
      <c r="A309" s="1">
        <v>2005217</v>
      </c>
      <c r="B309" s="1" t="s">
        <v>2257</v>
      </c>
      <c r="C309" s="1" t="s">
        <v>2058</v>
      </c>
      <c r="D309" s="39">
        <v>0</v>
      </c>
      <c r="E309" s="1" t="s">
        <v>1</v>
      </c>
      <c r="F309" s="39">
        <v>0</v>
      </c>
    </row>
    <row r="310" spans="1:6" x14ac:dyDescent="0.25">
      <c r="A310" s="1">
        <v>2005219</v>
      </c>
      <c r="B310" s="1" t="s">
        <v>361</v>
      </c>
      <c r="C310" s="1" t="s">
        <v>2058</v>
      </c>
      <c r="D310" s="39">
        <v>0</v>
      </c>
      <c r="E310" s="1" t="s">
        <v>1</v>
      </c>
      <c r="F310" s="39">
        <v>0</v>
      </c>
    </row>
    <row r="311" spans="1:6" x14ac:dyDescent="0.25">
      <c r="A311" s="1">
        <v>2005220</v>
      </c>
      <c r="B311" s="1" t="s">
        <v>372</v>
      </c>
      <c r="C311" s="1" t="s">
        <v>2058</v>
      </c>
      <c r="D311" s="39">
        <v>486</v>
      </c>
      <c r="E311" s="1" t="s">
        <v>1</v>
      </c>
      <c r="F311" s="3">
        <v>5281.46</v>
      </c>
    </row>
    <row r="312" spans="1:6" x14ac:dyDescent="0.25">
      <c r="A312" s="1">
        <v>2005221</v>
      </c>
      <c r="B312" s="1" t="s">
        <v>377</v>
      </c>
      <c r="C312" s="1" t="s">
        <v>2058</v>
      </c>
      <c r="D312" s="39">
        <v>1400</v>
      </c>
      <c r="E312" s="1" t="s">
        <v>1</v>
      </c>
      <c r="F312" s="3">
        <v>15507.1</v>
      </c>
    </row>
    <row r="313" spans="1:6" x14ac:dyDescent="0.25">
      <c r="A313" s="1">
        <v>2005223</v>
      </c>
      <c r="B313" s="1" t="s">
        <v>1145</v>
      </c>
      <c r="C313" s="1" t="s">
        <v>2058</v>
      </c>
      <c r="D313" s="39">
        <v>0</v>
      </c>
      <c r="E313" s="1" t="s">
        <v>1</v>
      </c>
      <c r="F313" s="39">
        <v>0</v>
      </c>
    </row>
    <row r="314" spans="1:6" x14ac:dyDescent="0.25">
      <c r="A314" s="1">
        <v>2005224</v>
      </c>
      <c r="B314" s="1" t="s">
        <v>2258</v>
      </c>
      <c r="C314" s="1" t="s">
        <v>2058</v>
      </c>
      <c r="D314" s="39">
        <v>0</v>
      </c>
      <c r="E314" s="1" t="s">
        <v>1</v>
      </c>
      <c r="F314" s="39">
        <v>0</v>
      </c>
    </row>
    <row r="315" spans="1:6" x14ac:dyDescent="0.25">
      <c r="A315" s="1">
        <v>2005225</v>
      </c>
      <c r="B315" s="1" t="s">
        <v>1155</v>
      </c>
      <c r="C315" s="1" t="s">
        <v>2058</v>
      </c>
      <c r="D315" s="39">
        <v>0</v>
      </c>
      <c r="E315" s="1" t="s">
        <v>1</v>
      </c>
      <c r="F315" s="39">
        <v>0</v>
      </c>
    </row>
    <row r="316" spans="1:6" x14ac:dyDescent="0.25">
      <c r="A316" s="1">
        <v>2005226</v>
      </c>
      <c r="B316" s="1" t="s">
        <v>2259</v>
      </c>
      <c r="C316" s="1" t="s">
        <v>2058</v>
      </c>
      <c r="D316" s="39">
        <v>0</v>
      </c>
      <c r="E316" s="1" t="s">
        <v>1</v>
      </c>
      <c r="F316" s="39">
        <v>0</v>
      </c>
    </row>
    <row r="317" spans="1:6" x14ac:dyDescent="0.25">
      <c r="A317" s="1">
        <v>2005227</v>
      </c>
      <c r="B317" s="1" t="s">
        <v>2260</v>
      </c>
      <c r="C317" s="1" t="s">
        <v>2058</v>
      </c>
      <c r="D317" s="39">
        <v>0</v>
      </c>
      <c r="E317" s="1" t="s">
        <v>1</v>
      </c>
      <c r="F317" s="39">
        <v>0</v>
      </c>
    </row>
    <row r="318" spans="1:6" x14ac:dyDescent="0.25">
      <c r="A318" s="1">
        <v>2005228</v>
      </c>
      <c r="B318" s="1" t="s">
        <v>2261</v>
      </c>
      <c r="C318" s="1" t="s">
        <v>2058</v>
      </c>
      <c r="D318" s="39">
        <v>0</v>
      </c>
      <c r="E318" s="1" t="s">
        <v>1</v>
      </c>
      <c r="F318" s="39">
        <v>0</v>
      </c>
    </row>
    <row r="319" spans="1:6" x14ac:dyDescent="0.25">
      <c r="A319" s="1">
        <v>2005229</v>
      </c>
      <c r="B319" s="1" t="s">
        <v>2262</v>
      </c>
      <c r="C319" s="1" t="s">
        <v>2058</v>
      </c>
      <c r="D319" s="39">
        <v>0</v>
      </c>
      <c r="E319" s="1" t="s">
        <v>1</v>
      </c>
      <c r="F319" s="39">
        <v>0</v>
      </c>
    </row>
    <row r="320" spans="1:6" x14ac:dyDescent="0.25">
      <c r="A320" s="1">
        <v>2005230</v>
      </c>
      <c r="B320" s="1" t="s">
        <v>2263</v>
      </c>
      <c r="C320" s="1" t="s">
        <v>2058</v>
      </c>
      <c r="D320" s="39">
        <v>0</v>
      </c>
      <c r="E320" s="1" t="s">
        <v>1</v>
      </c>
      <c r="F320" s="39">
        <v>0</v>
      </c>
    </row>
    <row r="321" spans="1:6" x14ac:dyDescent="0.25">
      <c r="A321" s="1">
        <v>2005231</v>
      </c>
      <c r="B321" s="1" t="s">
        <v>2264</v>
      </c>
      <c r="C321" s="1" t="s">
        <v>2058</v>
      </c>
      <c r="D321" s="39">
        <v>0</v>
      </c>
      <c r="E321" s="1" t="s">
        <v>1</v>
      </c>
      <c r="F321" s="39">
        <v>0</v>
      </c>
    </row>
    <row r="322" spans="1:6" x14ac:dyDescent="0.25">
      <c r="A322" s="1">
        <v>2005232</v>
      </c>
      <c r="B322" s="1" t="s">
        <v>2265</v>
      </c>
      <c r="C322" s="1" t="s">
        <v>2058</v>
      </c>
      <c r="D322" s="39">
        <v>0</v>
      </c>
      <c r="E322" s="1" t="s">
        <v>1</v>
      </c>
      <c r="F322" s="39">
        <v>0</v>
      </c>
    </row>
    <row r="323" spans="1:6" x14ac:dyDescent="0.25">
      <c r="A323" s="1">
        <v>2005233</v>
      </c>
      <c r="B323" s="1" t="s">
        <v>2266</v>
      </c>
      <c r="C323" s="1" t="s">
        <v>2058</v>
      </c>
      <c r="D323" s="39">
        <v>0</v>
      </c>
      <c r="E323" s="1" t="s">
        <v>1</v>
      </c>
      <c r="F323" s="39">
        <v>0</v>
      </c>
    </row>
    <row r="324" spans="1:6" x14ac:dyDescent="0.25">
      <c r="A324" s="1">
        <v>2005234</v>
      </c>
      <c r="B324" s="1" t="s">
        <v>2267</v>
      </c>
      <c r="C324" s="1" t="s">
        <v>2058</v>
      </c>
      <c r="D324" s="39">
        <v>0</v>
      </c>
      <c r="E324" s="1" t="s">
        <v>1</v>
      </c>
      <c r="F324" s="39">
        <v>0</v>
      </c>
    </row>
    <row r="325" spans="1:6" x14ac:dyDescent="0.25">
      <c r="A325" s="1">
        <v>2005235</v>
      </c>
      <c r="B325" s="1" t="s">
        <v>2268</v>
      </c>
      <c r="C325" s="1" t="s">
        <v>2058</v>
      </c>
      <c r="D325" s="39">
        <v>0</v>
      </c>
      <c r="E325" s="1" t="s">
        <v>1</v>
      </c>
      <c r="F325" s="39">
        <v>0</v>
      </c>
    </row>
    <row r="326" spans="1:6" x14ac:dyDescent="0.25">
      <c r="A326" s="1">
        <v>2005236</v>
      </c>
      <c r="B326" s="1" t="s">
        <v>2269</v>
      </c>
      <c r="C326" s="1" t="s">
        <v>2058</v>
      </c>
      <c r="D326" s="39">
        <v>0</v>
      </c>
      <c r="E326" s="1" t="s">
        <v>1</v>
      </c>
      <c r="F326" s="39">
        <v>0</v>
      </c>
    </row>
    <row r="327" spans="1:6" x14ac:dyDescent="0.25">
      <c r="A327" s="1">
        <v>2005237</v>
      </c>
      <c r="B327" s="1" t="s">
        <v>2270</v>
      </c>
      <c r="C327" s="1" t="s">
        <v>2058</v>
      </c>
      <c r="D327" s="39">
        <v>0</v>
      </c>
      <c r="E327" s="1" t="s">
        <v>1</v>
      </c>
      <c r="F327" s="39">
        <v>0</v>
      </c>
    </row>
    <row r="328" spans="1:6" x14ac:dyDescent="0.25">
      <c r="A328" s="1">
        <v>2005238</v>
      </c>
      <c r="B328" s="1" t="s">
        <v>2271</v>
      </c>
      <c r="C328" s="1" t="s">
        <v>2058</v>
      </c>
      <c r="D328" s="39">
        <v>0</v>
      </c>
      <c r="E328" s="1" t="s">
        <v>1</v>
      </c>
      <c r="F328" s="39">
        <v>0</v>
      </c>
    </row>
    <row r="329" spans="1:6" x14ac:dyDescent="0.25">
      <c r="A329" s="1">
        <v>2005239</v>
      </c>
      <c r="B329" s="1" t="s">
        <v>2272</v>
      </c>
      <c r="C329" s="1" t="s">
        <v>2058</v>
      </c>
      <c r="D329" s="39">
        <v>0</v>
      </c>
      <c r="E329" s="1" t="s">
        <v>1</v>
      </c>
      <c r="F329" s="39">
        <v>0</v>
      </c>
    </row>
    <row r="330" spans="1:6" x14ac:dyDescent="0.25">
      <c r="A330" s="1">
        <v>2005243</v>
      </c>
      <c r="B330" s="1" t="s">
        <v>2273</v>
      </c>
      <c r="C330" s="1" t="s">
        <v>2058</v>
      </c>
      <c r="D330" s="39">
        <v>0</v>
      </c>
      <c r="E330" s="1" t="s">
        <v>1</v>
      </c>
      <c r="F330" s="39">
        <v>0</v>
      </c>
    </row>
    <row r="331" spans="1:6" x14ac:dyDescent="0.25">
      <c r="A331" s="1">
        <v>2005250</v>
      </c>
      <c r="B331" s="1" t="s">
        <v>1756</v>
      </c>
      <c r="C331" s="1" t="s">
        <v>2058</v>
      </c>
      <c r="D331" s="39">
        <v>1260</v>
      </c>
      <c r="E331" s="1" t="s">
        <v>1</v>
      </c>
      <c r="F331" s="3">
        <v>7735.39</v>
      </c>
    </row>
    <row r="332" spans="1:6" x14ac:dyDescent="0.25">
      <c r="A332" s="1">
        <v>2005460</v>
      </c>
      <c r="B332" s="1" t="s">
        <v>2274</v>
      </c>
      <c r="C332" s="1" t="s">
        <v>2058</v>
      </c>
      <c r="D332" s="39">
        <v>0</v>
      </c>
      <c r="E332" s="1" t="s">
        <v>1</v>
      </c>
      <c r="F332" s="39">
        <v>0</v>
      </c>
    </row>
    <row r="333" spans="1:6" x14ac:dyDescent="0.25">
      <c r="A333" s="1">
        <v>2005461</v>
      </c>
      <c r="B333" s="1" t="s">
        <v>2275</v>
      </c>
      <c r="C333" s="1" t="s">
        <v>2058</v>
      </c>
      <c r="D333" s="39">
        <v>0</v>
      </c>
      <c r="E333" s="1" t="s">
        <v>1</v>
      </c>
      <c r="F333" s="39">
        <v>0</v>
      </c>
    </row>
    <row r="334" spans="1:6" x14ac:dyDescent="0.25">
      <c r="A334" s="1">
        <v>2005462</v>
      </c>
      <c r="B334" s="1" t="s">
        <v>2276</v>
      </c>
      <c r="C334" s="1" t="s">
        <v>2058</v>
      </c>
      <c r="D334" s="39">
        <v>0</v>
      </c>
      <c r="E334" s="1" t="s">
        <v>1</v>
      </c>
      <c r="F334" s="39">
        <v>0</v>
      </c>
    </row>
    <row r="335" spans="1:6" x14ac:dyDescent="0.25">
      <c r="A335" s="1">
        <v>2005463</v>
      </c>
      <c r="B335" s="1" t="s">
        <v>2277</v>
      </c>
      <c r="C335" s="1" t="s">
        <v>2058</v>
      </c>
      <c r="D335" s="39">
        <v>0</v>
      </c>
      <c r="E335" s="1" t="s">
        <v>1</v>
      </c>
      <c r="F335" s="39">
        <v>0</v>
      </c>
    </row>
    <row r="336" spans="1:6" x14ac:dyDescent="0.25">
      <c r="A336" s="1">
        <v>2005464</v>
      </c>
      <c r="B336" s="1" t="s">
        <v>2278</v>
      </c>
      <c r="C336" s="1" t="s">
        <v>2058</v>
      </c>
      <c r="D336" s="39">
        <v>0</v>
      </c>
      <c r="E336" s="1" t="s">
        <v>1</v>
      </c>
      <c r="F336" s="39">
        <v>0</v>
      </c>
    </row>
    <row r="337" spans="1:6" x14ac:dyDescent="0.25">
      <c r="A337" s="1">
        <v>2005465</v>
      </c>
      <c r="B337" s="1" t="s">
        <v>620</v>
      </c>
      <c r="C337" s="1" t="s">
        <v>2058</v>
      </c>
      <c r="D337" s="39">
        <v>2618</v>
      </c>
      <c r="E337" s="1" t="s">
        <v>1</v>
      </c>
      <c r="F337" s="3">
        <v>12533.16</v>
      </c>
    </row>
    <row r="338" spans="1:6" x14ac:dyDescent="0.25">
      <c r="A338" s="1">
        <v>2005734</v>
      </c>
      <c r="B338" s="1" t="s">
        <v>2279</v>
      </c>
      <c r="C338" s="1" t="s">
        <v>2058</v>
      </c>
      <c r="D338" s="39">
        <v>0</v>
      </c>
      <c r="E338" s="1" t="s">
        <v>1</v>
      </c>
      <c r="F338" s="39">
        <v>0</v>
      </c>
    </row>
    <row r="339" spans="1:6" x14ac:dyDescent="0.25">
      <c r="A339" s="1">
        <v>2005735</v>
      </c>
      <c r="B339" s="1" t="s">
        <v>2280</v>
      </c>
      <c r="C339" s="1" t="s">
        <v>2058</v>
      </c>
      <c r="D339" s="39">
        <v>0</v>
      </c>
      <c r="E339" s="1" t="s">
        <v>1</v>
      </c>
      <c r="F339" s="39">
        <v>0</v>
      </c>
    </row>
    <row r="340" spans="1:6" x14ac:dyDescent="0.25">
      <c r="A340" s="1">
        <v>2005736</v>
      </c>
      <c r="B340" s="1" t="s">
        <v>2281</v>
      </c>
      <c r="C340" s="1" t="s">
        <v>2058</v>
      </c>
      <c r="D340" s="39">
        <v>0</v>
      </c>
      <c r="E340" s="1" t="s">
        <v>1</v>
      </c>
      <c r="F340" s="39">
        <v>0</v>
      </c>
    </row>
    <row r="341" spans="1:6" x14ac:dyDescent="0.25">
      <c r="A341" s="1">
        <v>2005747</v>
      </c>
      <c r="B341" s="1" t="s">
        <v>2282</v>
      </c>
      <c r="C341" s="1" t="s">
        <v>2058</v>
      </c>
      <c r="D341" s="39">
        <v>0</v>
      </c>
      <c r="E341" s="1" t="s">
        <v>1</v>
      </c>
      <c r="F341" s="39">
        <v>0</v>
      </c>
    </row>
    <row r="342" spans="1:6" x14ac:dyDescent="0.25">
      <c r="A342" s="1">
        <v>2005748</v>
      </c>
      <c r="B342" s="1" t="s">
        <v>2283</v>
      </c>
      <c r="C342" s="1" t="s">
        <v>2058</v>
      </c>
      <c r="D342" s="39">
        <v>0</v>
      </c>
      <c r="E342" s="1" t="s">
        <v>1</v>
      </c>
      <c r="F342" s="39">
        <v>0</v>
      </c>
    </row>
    <row r="343" spans="1:6" x14ac:dyDescent="0.25">
      <c r="A343" s="1">
        <v>2005749</v>
      </c>
      <c r="B343" s="1" t="s">
        <v>2284</v>
      </c>
      <c r="C343" s="1" t="s">
        <v>2058</v>
      </c>
      <c r="D343" s="39">
        <v>0</v>
      </c>
      <c r="E343" s="1" t="s">
        <v>1</v>
      </c>
      <c r="F343" s="39">
        <v>0</v>
      </c>
    </row>
    <row r="344" spans="1:6" x14ac:dyDescent="0.25">
      <c r="A344" s="1">
        <v>2005760</v>
      </c>
      <c r="B344" s="1" t="s">
        <v>2285</v>
      </c>
      <c r="C344" s="1" t="s">
        <v>2058</v>
      </c>
      <c r="D344" s="39">
        <v>0</v>
      </c>
      <c r="E344" s="1" t="s">
        <v>1</v>
      </c>
      <c r="F344" s="39">
        <v>0</v>
      </c>
    </row>
    <row r="345" spans="1:6" x14ac:dyDescent="0.25">
      <c r="A345" s="1">
        <v>2005761</v>
      </c>
      <c r="B345" s="1" t="s">
        <v>2286</v>
      </c>
      <c r="C345" s="1" t="s">
        <v>2058</v>
      </c>
      <c r="D345" s="39">
        <v>0</v>
      </c>
      <c r="E345" s="1" t="s">
        <v>1</v>
      </c>
      <c r="F345" s="39">
        <v>0</v>
      </c>
    </row>
    <row r="346" spans="1:6" x14ac:dyDescent="0.25">
      <c r="A346" s="1">
        <v>2005762</v>
      </c>
      <c r="B346" s="1" t="s">
        <v>2287</v>
      </c>
      <c r="C346" s="1" t="s">
        <v>2058</v>
      </c>
      <c r="D346" s="39">
        <v>0</v>
      </c>
      <c r="E346" s="1" t="s">
        <v>1</v>
      </c>
      <c r="F346" s="39">
        <v>0</v>
      </c>
    </row>
    <row r="347" spans="1:6" x14ac:dyDescent="0.25">
      <c r="A347" s="1">
        <v>2005763</v>
      </c>
      <c r="B347" s="1" t="s">
        <v>2288</v>
      </c>
      <c r="C347" s="1" t="s">
        <v>2058</v>
      </c>
      <c r="D347" s="39">
        <v>0</v>
      </c>
      <c r="E347" s="1" t="s">
        <v>1</v>
      </c>
      <c r="F347" s="39">
        <v>0</v>
      </c>
    </row>
    <row r="348" spans="1:6" x14ac:dyDescent="0.25">
      <c r="A348" s="1">
        <v>2005764</v>
      </c>
      <c r="B348" s="1" t="s">
        <v>2289</v>
      </c>
      <c r="C348" s="1" t="s">
        <v>2058</v>
      </c>
      <c r="D348" s="39">
        <v>0</v>
      </c>
      <c r="E348" s="1" t="s">
        <v>1</v>
      </c>
      <c r="F348" s="39">
        <v>0</v>
      </c>
    </row>
    <row r="349" spans="1:6" x14ac:dyDescent="0.25">
      <c r="A349" s="1">
        <v>2005765</v>
      </c>
      <c r="B349" s="1" t="s">
        <v>2290</v>
      </c>
      <c r="C349" s="1" t="s">
        <v>2058</v>
      </c>
      <c r="D349" s="39">
        <v>0</v>
      </c>
      <c r="E349" s="1" t="s">
        <v>1</v>
      </c>
      <c r="F349" s="39">
        <v>0</v>
      </c>
    </row>
    <row r="350" spans="1:6" x14ac:dyDescent="0.25">
      <c r="A350" s="1">
        <v>2005900</v>
      </c>
      <c r="B350" s="1" t="s">
        <v>2291</v>
      </c>
      <c r="C350" s="1" t="s">
        <v>2058</v>
      </c>
      <c r="D350" s="39">
        <v>0</v>
      </c>
      <c r="E350" s="1" t="s">
        <v>1</v>
      </c>
      <c r="F350" s="39">
        <v>0</v>
      </c>
    </row>
    <row r="351" spans="1:6" x14ac:dyDescent="0.25">
      <c r="A351" s="1">
        <v>2005920</v>
      </c>
      <c r="B351" s="1" t="s">
        <v>2292</v>
      </c>
      <c r="C351" s="1" t="s">
        <v>2058</v>
      </c>
      <c r="D351" s="39">
        <v>0</v>
      </c>
      <c r="E351" s="1" t="s">
        <v>1</v>
      </c>
      <c r="F351" s="39">
        <v>0</v>
      </c>
    </row>
    <row r="352" spans="1:6" x14ac:dyDescent="0.25">
      <c r="A352" s="1">
        <v>2005921</v>
      </c>
      <c r="B352" s="1" t="s">
        <v>2293</v>
      </c>
      <c r="C352" s="1" t="s">
        <v>2058</v>
      </c>
      <c r="D352" s="39">
        <v>0</v>
      </c>
      <c r="E352" s="1" t="s">
        <v>1</v>
      </c>
      <c r="F352" s="39">
        <v>0</v>
      </c>
    </row>
    <row r="353" spans="1:6" x14ac:dyDescent="0.25">
      <c r="A353" s="1">
        <v>2005922</v>
      </c>
      <c r="B353" s="1" t="s">
        <v>2294</v>
      </c>
      <c r="C353" s="1" t="s">
        <v>2058</v>
      </c>
      <c r="D353" s="39">
        <v>0</v>
      </c>
      <c r="E353" s="1" t="s">
        <v>1</v>
      </c>
      <c r="F353" s="39">
        <v>0</v>
      </c>
    </row>
    <row r="354" spans="1:6" x14ac:dyDescent="0.25">
      <c r="A354" s="1">
        <v>2005923</v>
      </c>
      <c r="B354" s="1" t="s">
        <v>2295</v>
      </c>
      <c r="C354" s="1" t="s">
        <v>2058</v>
      </c>
      <c r="D354" s="39">
        <v>0</v>
      </c>
      <c r="E354" s="1" t="s">
        <v>1</v>
      </c>
      <c r="F354" s="39">
        <v>0</v>
      </c>
    </row>
    <row r="355" spans="1:6" x14ac:dyDescent="0.25">
      <c r="A355" s="1">
        <v>2005924</v>
      </c>
      <c r="B355" s="1" t="s">
        <v>2296</v>
      </c>
      <c r="C355" s="1" t="s">
        <v>2058</v>
      </c>
      <c r="D355" s="39">
        <v>0</v>
      </c>
      <c r="E355" s="1" t="s">
        <v>1</v>
      </c>
      <c r="F355" s="39">
        <v>0</v>
      </c>
    </row>
    <row r="356" spans="1:6" x14ac:dyDescent="0.25">
      <c r="A356" s="1">
        <v>2005925</v>
      </c>
      <c r="B356" s="1" t="s">
        <v>2297</v>
      </c>
      <c r="C356" s="1" t="s">
        <v>2058</v>
      </c>
      <c r="D356" s="39">
        <v>0</v>
      </c>
      <c r="E356" s="1" t="s">
        <v>1</v>
      </c>
      <c r="F356" s="39">
        <v>0</v>
      </c>
    </row>
    <row r="357" spans="1:6" x14ac:dyDescent="0.25">
      <c r="A357" s="1">
        <v>2005926</v>
      </c>
      <c r="B357" s="1" t="s">
        <v>2298</v>
      </c>
      <c r="C357" s="1" t="s">
        <v>2058</v>
      </c>
      <c r="D357" s="39">
        <v>0</v>
      </c>
      <c r="E357" s="1" t="s">
        <v>1</v>
      </c>
      <c r="F357" s="39">
        <v>0</v>
      </c>
    </row>
    <row r="358" spans="1:6" x14ac:dyDescent="0.25">
      <c r="A358" s="1">
        <v>2005927</v>
      </c>
      <c r="B358" s="1" t="s">
        <v>2299</v>
      </c>
      <c r="C358" s="1" t="s">
        <v>2058</v>
      </c>
      <c r="D358" s="39">
        <v>0</v>
      </c>
      <c r="E358" s="1" t="s">
        <v>1</v>
      </c>
      <c r="F358" s="39">
        <v>0</v>
      </c>
    </row>
    <row r="359" spans="1:6" x14ac:dyDescent="0.25">
      <c r="A359" s="1">
        <v>2005928</v>
      </c>
      <c r="B359" s="1" t="s">
        <v>2300</v>
      </c>
      <c r="C359" s="1" t="s">
        <v>2058</v>
      </c>
      <c r="D359" s="39">
        <v>0</v>
      </c>
      <c r="E359" s="1" t="s">
        <v>1</v>
      </c>
      <c r="F359" s="39">
        <v>0</v>
      </c>
    </row>
    <row r="360" spans="1:6" x14ac:dyDescent="0.25">
      <c r="A360" s="1">
        <v>2005929</v>
      </c>
      <c r="B360" s="1" t="s">
        <v>2301</v>
      </c>
      <c r="C360" s="1" t="s">
        <v>2058</v>
      </c>
      <c r="D360" s="39">
        <v>0</v>
      </c>
      <c r="E360" s="1" t="s">
        <v>1</v>
      </c>
      <c r="F360" s="39">
        <v>0</v>
      </c>
    </row>
    <row r="361" spans="1:6" x14ac:dyDescent="0.25">
      <c r="A361" s="1">
        <v>2005930</v>
      </c>
      <c r="B361" s="1" t="s">
        <v>2302</v>
      </c>
      <c r="C361" s="1" t="s">
        <v>2058</v>
      </c>
      <c r="D361" s="39">
        <v>0</v>
      </c>
      <c r="E361" s="1" t="s">
        <v>1</v>
      </c>
      <c r="F361" s="39">
        <v>0</v>
      </c>
    </row>
    <row r="362" spans="1:6" x14ac:dyDescent="0.25">
      <c r="A362" s="1">
        <v>2005931</v>
      </c>
      <c r="B362" s="1" t="s">
        <v>2303</v>
      </c>
      <c r="C362" s="1" t="s">
        <v>2058</v>
      </c>
      <c r="D362" s="39">
        <v>0</v>
      </c>
      <c r="E362" s="1" t="s">
        <v>1</v>
      </c>
      <c r="F362" s="39">
        <v>0</v>
      </c>
    </row>
    <row r="363" spans="1:6" x14ac:dyDescent="0.25">
      <c r="A363" s="1">
        <v>2006031</v>
      </c>
      <c r="B363" s="1" t="s">
        <v>2304</v>
      </c>
      <c r="C363" s="1" t="s">
        <v>2058</v>
      </c>
      <c r="D363" s="39">
        <v>0</v>
      </c>
      <c r="E363" s="1" t="s">
        <v>1</v>
      </c>
      <c r="F363" s="39">
        <v>0</v>
      </c>
    </row>
    <row r="364" spans="1:6" x14ac:dyDescent="0.25">
      <c r="A364" s="1">
        <v>2006080</v>
      </c>
      <c r="B364" s="1" t="s">
        <v>2305</v>
      </c>
      <c r="C364" s="1" t="s">
        <v>2058</v>
      </c>
      <c r="D364" s="39">
        <v>0</v>
      </c>
      <c r="E364" s="1" t="s">
        <v>1</v>
      </c>
      <c r="F364" s="39">
        <v>0</v>
      </c>
    </row>
    <row r="365" spans="1:6" x14ac:dyDescent="0.25">
      <c r="A365" s="1">
        <v>2006081</v>
      </c>
      <c r="B365" s="1" t="s">
        <v>2306</v>
      </c>
      <c r="C365" s="1" t="s">
        <v>2058</v>
      </c>
      <c r="D365" s="39">
        <v>0</v>
      </c>
      <c r="E365" s="1" t="s">
        <v>1</v>
      </c>
      <c r="F365" s="39">
        <v>0</v>
      </c>
    </row>
    <row r="366" spans="1:6" x14ac:dyDescent="0.25">
      <c r="A366" s="1">
        <v>2006082</v>
      </c>
      <c r="B366" s="1" t="s">
        <v>2307</v>
      </c>
      <c r="C366" s="1" t="s">
        <v>2058</v>
      </c>
      <c r="D366" s="39">
        <v>0</v>
      </c>
      <c r="E366" s="1" t="s">
        <v>1</v>
      </c>
      <c r="F366" s="39">
        <v>0</v>
      </c>
    </row>
    <row r="367" spans="1:6" x14ac:dyDescent="0.25">
      <c r="A367" s="1">
        <v>2006090</v>
      </c>
      <c r="B367" s="1" t="s">
        <v>2308</v>
      </c>
      <c r="C367" s="1" t="s">
        <v>2058</v>
      </c>
      <c r="D367" s="39">
        <v>0</v>
      </c>
      <c r="E367" s="1" t="s">
        <v>1</v>
      </c>
      <c r="F367" s="39">
        <v>0</v>
      </c>
    </row>
    <row r="368" spans="1:6" x14ac:dyDescent="0.25">
      <c r="A368" s="1">
        <v>2006100</v>
      </c>
      <c r="B368" s="1" t="s">
        <v>2309</v>
      </c>
      <c r="C368" s="1" t="s">
        <v>2058</v>
      </c>
      <c r="D368" s="39">
        <v>0</v>
      </c>
      <c r="E368" s="1" t="s">
        <v>1</v>
      </c>
      <c r="F368" s="39">
        <v>0</v>
      </c>
    </row>
    <row r="369" spans="1:6" x14ac:dyDescent="0.25">
      <c r="A369" s="1">
        <v>2006310</v>
      </c>
      <c r="B369" s="1" t="s">
        <v>2310</v>
      </c>
      <c r="C369" s="1" t="s">
        <v>2058</v>
      </c>
      <c r="D369" s="39">
        <v>0</v>
      </c>
      <c r="E369" s="1" t="s">
        <v>1</v>
      </c>
      <c r="F369" s="39">
        <v>0</v>
      </c>
    </row>
    <row r="370" spans="1:6" x14ac:dyDescent="0.25">
      <c r="A370" s="1">
        <v>2006322</v>
      </c>
      <c r="B370" s="1" t="s">
        <v>2311</v>
      </c>
      <c r="C370" s="1" t="s">
        <v>2058</v>
      </c>
      <c r="D370" s="39">
        <v>0</v>
      </c>
      <c r="E370" s="1" t="s">
        <v>1</v>
      </c>
      <c r="F370" s="39">
        <v>0</v>
      </c>
    </row>
    <row r="371" spans="1:6" x14ac:dyDescent="0.25">
      <c r="A371" s="1">
        <v>2006323</v>
      </c>
      <c r="B371" s="1" t="s">
        <v>2312</v>
      </c>
      <c r="C371" s="1" t="s">
        <v>2058</v>
      </c>
      <c r="D371" s="39">
        <v>0</v>
      </c>
      <c r="E371" s="1" t="s">
        <v>1</v>
      </c>
      <c r="F371" s="39">
        <v>0</v>
      </c>
    </row>
    <row r="372" spans="1:6" x14ac:dyDescent="0.25">
      <c r="A372" s="1">
        <v>2006324</v>
      </c>
      <c r="B372" s="1" t="s">
        <v>2313</v>
      </c>
      <c r="C372" s="1" t="s">
        <v>2058</v>
      </c>
      <c r="D372" s="39">
        <v>0</v>
      </c>
      <c r="E372" s="1" t="s">
        <v>1</v>
      </c>
      <c r="F372" s="39">
        <v>0</v>
      </c>
    </row>
    <row r="373" spans="1:6" x14ac:dyDescent="0.25">
      <c r="A373" s="1">
        <v>2006325</v>
      </c>
      <c r="B373" s="1" t="s">
        <v>2314</v>
      </c>
      <c r="C373" s="1" t="s">
        <v>2058</v>
      </c>
      <c r="D373" s="39">
        <v>0</v>
      </c>
      <c r="E373" s="1" t="s">
        <v>1</v>
      </c>
      <c r="F373" s="39">
        <v>0</v>
      </c>
    </row>
    <row r="374" spans="1:6" x14ac:dyDescent="0.25">
      <c r="A374" s="1">
        <v>2006326</v>
      </c>
      <c r="B374" s="1" t="s">
        <v>2315</v>
      </c>
      <c r="C374" s="1" t="s">
        <v>2058</v>
      </c>
      <c r="D374" s="39">
        <v>0</v>
      </c>
      <c r="E374" s="1" t="s">
        <v>1</v>
      </c>
      <c r="F374" s="39">
        <v>0</v>
      </c>
    </row>
    <row r="375" spans="1:6" x14ac:dyDescent="0.25">
      <c r="A375" s="1">
        <v>2006410</v>
      </c>
      <c r="B375" s="1" t="s">
        <v>2316</v>
      </c>
      <c r="C375" s="1" t="s">
        <v>2058</v>
      </c>
      <c r="D375" s="39">
        <v>0</v>
      </c>
      <c r="E375" s="1" t="s">
        <v>1</v>
      </c>
      <c r="F375" s="39">
        <v>0</v>
      </c>
    </row>
    <row r="376" spans="1:6" x14ac:dyDescent="0.25">
      <c r="A376" s="1">
        <v>2006545</v>
      </c>
      <c r="B376" s="1" t="s">
        <v>2317</v>
      </c>
      <c r="C376" s="1" t="s">
        <v>2058</v>
      </c>
      <c r="D376" s="39">
        <v>0</v>
      </c>
      <c r="E376" s="1" t="s">
        <v>1</v>
      </c>
      <c r="F376" s="39">
        <v>0</v>
      </c>
    </row>
    <row r="377" spans="1:6" x14ac:dyDescent="0.25">
      <c r="A377" s="1">
        <v>2006546</v>
      </c>
      <c r="B377" s="1" t="s">
        <v>2318</v>
      </c>
      <c r="C377" s="1" t="s">
        <v>2058</v>
      </c>
      <c r="D377" s="39">
        <v>0</v>
      </c>
      <c r="E377" s="1" t="s">
        <v>1</v>
      </c>
      <c r="F377" s="39">
        <v>0</v>
      </c>
    </row>
    <row r="378" spans="1:6" x14ac:dyDescent="0.25">
      <c r="A378" s="1">
        <v>2006547</v>
      </c>
      <c r="B378" s="1" t="s">
        <v>2319</v>
      </c>
      <c r="C378" s="1" t="s">
        <v>2058</v>
      </c>
      <c r="D378" s="39">
        <v>0</v>
      </c>
      <c r="E378" s="1" t="s">
        <v>1</v>
      </c>
      <c r="F378" s="39">
        <v>0</v>
      </c>
    </row>
    <row r="379" spans="1:6" x14ac:dyDescent="0.25">
      <c r="A379" s="1">
        <v>2006548</v>
      </c>
      <c r="B379" s="1" t="s">
        <v>2320</v>
      </c>
      <c r="C379" s="1" t="s">
        <v>2058</v>
      </c>
      <c r="D379" s="39">
        <v>0</v>
      </c>
      <c r="E379" s="1" t="s">
        <v>1</v>
      </c>
      <c r="F379" s="39">
        <v>0</v>
      </c>
    </row>
    <row r="380" spans="1:6" x14ac:dyDescent="0.25">
      <c r="A380" s="1">
        <v>2006760</v>
      </c>
      <c r="B380" s="1" t="s">
        <v>2321</v>
      </c>
      <c r="C380" s="1" t="s">
        <v>2058</v>
      </c>
      <c r="D380" s="39">
        <v>0</v>
      </c>
      <c r="E380" s="1" t="s">
        <v>1</v>
      </c>
      <c r="F380" s="39">
        <v>0</v>
      </c>
    </row>
    <row r="381" spans="1:6" x14ac:dyDescent="0.25">
      <c r="A381" s="1">
        <v>2006762</v>
      </c>
      <c r="B381" s="1" t="s">
        <v>2322</v>
      </c>
      <c r="C381" s="1" t="s">
        <v>2058</v>
      </c>
      <c r="D381" s="39">
        <v>0</v>
      </c>
      <c r="E381" s="1" t="s">
        <v>1</v>
      </c>
      <c r="F381" s="39">
        <v>0</v>
      </c>
    </row>
    <row r="382" spans="1:6" x14ac:dyDescent="0.25">
      <c r="A382" s="1">
        <v>2006791</v>
      </c>
      <c r="B382" s="1" t="s">
        <v>2323</v>
      </c>
      <c r="C382" s="1" t="s">
        <v>2058</v>
      </c>
      <c r="D382" s="39">
        <v>0</v>
      </c>
      <c r="E382" s="1" t="s">
        <v>1</v>
      </c>
      <c r="F382" s="39">
        <v>0</v>
      </c>
    </row>
    <row r="383" spans="1:6" x14ac:dyDescent="0.25">
      <c r="A383" s="1">
        <v>2006792</v>
      </c>
      <c r="B383" s="1" t="s">
        <v>2324</v>
      </c>
      <c r="C383" s="1" t="s">
        <v>2058</v>
      </c>
      <c r="D383" s="39">
        <v>0</v>
      </c>
      <c r="E383" s="1" t="s">
        <v>1</v>
      </c>
      <c r="F383" s="39">
        <v>0</v>
      </c>
    </row>
    <row r="384" spans="1:6" x14ac:dyDescent="0.25">
      <c r="A384" s="1">
        <v>2006931</v>
      </c>
      <c r="B384" s="1" t="s">
        <v>2325</v>
      </c>
      <c r="C384" s="1" t="s">
        <v>2058</v>
      </c>
      <c r="D384" s="39">
        <v>0</v>
      </c>
      <c r="E384" s="1" t="s">
        <v>1</v>
      </c>
      <c r="F384" s="39">
        <v>0</v>
      </c>
    </row>
    <row r="385" spans="1:6" x14ac:dyDescent="0.25">
      <c r="A385" s="1">
        <v>2007385</v>
      </c>
      <c r="B385" s="1" t="s">
        <v>1797</v>
      </c>
      <c r="C385" s="1" t="s">
        <v>2058</v>
      </c>
      <c r="D385" s="39">
        <v>0</v>
      </c>
      <c r="E385" s="1" t="s">
        <v>1</v>
      </c>
      <c r="F385" s="39">
        <v>0</v>
      </c>
    </row>
    <row r="386" spans="1:6" x14ac:dyDescent="0.25">
      <c r="A386" s="1">
        <v>2007386</v>
      </c>
      <c r="B386" s="1" t="s">
        <v>1799</v>
      </c>
      <c r="C386" s="1" t="s">
        <v>2058</v>
      </c>
      <c r="D386" s="39">
        <v>0</v>
      </c>
      <c r="E386" s="1" t="s">
        <v>1</v>
      </c>
      <c r="F386" s="39">
        <v>0</v>
      </c>
    </row>
    <row r="387" spans="1:6" x14ac:dyDescent="0.25">
      <c r="A387" s="1">
        <v>2007387</v>
      </c>
      <c r="B387" s="1" t="s">
        <v>1774</v>
      </c>
      <c r="C387" s="1" t="s">
        <v>2058</v>
      </c>
      <c r="D387" s="39">
        <v>0</v>
      </c>
      <c r="E387" s="1" t="s">
        <v>1</v>
      </c>
      <c r="F387" s="39">
        <v>0</v>
      </c>
    </row>
    <row r="388" spans="1:6" x14ac:dyDescent="0.25">
      <c r="A388" s="1">
        <v>2007481</v>
      </c>
      <c r="B388" s="1" t="s">
        <v>2326</v>
      </c>
      <c r="C388" s="1" t="s">
        <v>2058</v>
      </c>
      <c r="D388" s="39">
        <v>0</v>
      </c>
      <c r="E388" s="1" t="s">
        <v>1</v>
      </c>
      <c r="F388" s="39">
        <v>0</v>
      </c>
    </row>
    <row r="389" spans="1:6" x14ac:dyDescent="0.25">
      <c r="A389" s="1">
        <v>2007564</v>
      </c>
      <c r="B389" s="1" t="s">
        <v>2327</v>
      </c>
      <c r="C389" s="1" t="s">
        <v>2058</v>
      </c>
      <c r="D389" s="39">
        <v>0</v>
      </c>
      <c r="E389" s="1" t="s">
        <v>1</v>
      </c>
      <c r="F389" s="39">
        <v>0</v>
      </c>
    </row>
    <row r="390" spans="1:6" x14ac:dyDescent="0.25">
      <c r="A390" s="1">
        <v>2012109</v>
      </c>
      <c r="B390" s="1" t="s">
        <v>2328</v>
      </c>
      <c r="C390" s="1" t="s">
        <v>2058</v>
      </c>
      <c r="D390" s="39">
        <v>6000</v>
      </c>
      <c r="E390" s="1" t="s">
        <v>1</v>
      </c>
      <c r="F390" s="3">
        <v>73971.600000000006</v>
      </c>
    </row>
    <row r="391" spans="1:6" x14ac:dyDescent="0.25">
      <c r="A391" s="1">
        <v>3000002</v>
      </c>
      <c r="B391" s="1" t="s">
        <v>2329</v>
      </c>
      <c r="C391" s="1" t="s">
        <v>2058</v>
      </c>
      <c r="D391" s="39">
        <v>0</v>
      </c>
      <c r="E391" s="1" t="s">
        <v>3</v>
      </c>
      <c r="F391" s="39">
        <v>0</v>
      </c>
    </row>
    <row r="392" spans="1:6" x14ac:dyDescent="0.25">
      <c r="A392" s="1">
        <v>3000042</v>
      </c>
      <c r="B392" s="1" t="s">
        <v>2330</v>
      </c>
      <c r="C392" s="1" t="s">
        <v>2058</v>
      </c>
      <c r="D392" s="39">
        <v>0</v>
      </c>
      <c r="E392" s="1" t="s">
        <v>1</v>
      </c>
      <c r="F392" s="39">
        <v>0</v>
      </c>
    </row>
    <row r="393" spans="1:6" x14ac:dyDescent="0.25">
      <c r="A393" s="1">
        <v>3000043</v>
      </c>
      <c r="B393" s="1" t="s">
        <v>2331</v>
      </c>
      <c r="C393" s="1" t="s">
        <v>2058</v>
      </c>
      <c r="D393" s="39">
        <v>0</v>
      </c>
      <c r="E393" s="1" t="s">
        <v>1</v>
      </c>
      <c r="F393" s="39">
        <v>0</v>
      </c>
    </row>
    <row r="394" spans="1:6" x14ac:dyDescent="0.25">
      <c r="A394" s="1">
        <v>3000044</v>
      </c>
      <c r="B394" s="1" t="s">
        <v>2332</v>
      </c>
      <c r="C394" s="1" t="s">
        <v>2058</v>
      </c>
      <c r="D394" s="39">
        <v>0</v>
      </c>
      <c r="E394" s="1" t="s">
        <v>1</v>
      </c>
      <c r="F394" s="39">
        <v>0</v>
      </c>
    </row>
    <row r="395" spans="1:6" x14ac:dyDescent="0.25">
      <c r="A395" s="1">
        <v>3000045</v>
      </c>
      <c r="B395" s="1" t="s">
        <v>2333</v>
      </c>
      <c r="C395" s="1" t="s">
        <v>2058</v>
      </c>
      <c r="D395" s="39">
        <v>0</v>
      </c>
      <c r="E395" s="1" t="s">
        <v>1</v>
      </c>
      <c r="F395" s="39">
        <v>0</v>
      </c>
    </row>
    <row r="396" spans="1:6" x14ac:dyDescent="0.25">
      <c r="A396" s="1">
        <v>3000046</v>
      </c>
      <c r="B396" s="1" t="s">
        <v>2334</v>
      </c>
      <c r="C396" s="1" t="s">
        <v>2058</v>
      </c>
      <c r="D396" s="39">
        <v>0</v>
      </c>
      <c r="E396" s="1" t="s">
        <v>1</v>
      </c>
      <c r="F396" s="39">
        <v>0</v>
      </c>
    </row>
    <row r="397" spans="1:6" x14ac:dyDescent="0.25">
      <c r="A397" s="1">
        <v>3000054</v>
      </c>
      <c r="B397" s="1" t="s">
        <v>2335</v>
      </c>
      <c r="C397" s="1" t="s">
        <v>2058</v>
      </c>
      <c r="D397" s="39">
        <v>0</v>
      </c>
      <c r="E397" s="1" t="s">
        <v>1</v>
      </c>
      <c r="F397" s="39">
        <v>0</v>
      </c>
    </row>
    <row r="398" spans="1:6" x14ac:dyDescent="0.25">
      <c r="A398" s="1">
        <v>3000055</v>
      </c>
      <c r="B398" s="1" t="s">
        <v>2336</v>
      </c>
      <c r="C398" s="1" t="s">
        <v>2058</v>
      </c>
      <c r="D398" s="39">
        <v>0</v>
      </c>
      <c r="E398" s="1" t="s">
        <v>1</v>
      </c>
      <c r="F398" s="39">
        <v>0</v>
      </c>
    </row>
    <row r="399" spans="1:6" x14ac:dyDescent="0.25">
      <c r="A399" s="1">
        <v>3000056</v>
      </c>
      <c r="B399" s="1" t="s">
        <v>2337</v>
      </c>
      <c r="C399" s="1" t="s">
        <v>2058</v>
      </c>
      <c r="D399" s="39">
        <v>0</v>
      </c>
      <c r="E399" s="1" t="s">
        <v>1</v>
      </c>
      <c r="F399" s="39">
        <v>0</v>
      </c>
    </row>
    <row r="400" spans="1:6" x14ac:dyDescent="0.25">
      <c r="A400" s="1">
        <v>3000061</v>
      </c>
      <c r="B400" s="1" t="s">
        <v>2338</v>
      </c>
      <c r="C400" s="1" t="s">
        <v>2058</v>
      </c>
      <c r="D400" s="39">
        <v>0</v>
      </c>
      <c r="E400" s="1" t="s">
        <v>1</v>
      </c>
      <c r="F400" s="39">
        <v>0</v>
      </c>
    </row>
    <row r="401" spans="1:6" x14ac:dyDescent="0.25">
      <c r="A401" s="1">
        <v>3000084</v>
      </c>
      <c r="B401" s="1" t="s">
        <v>2339</v>
      </c>
      <c r="C401" s="1" t="s">
        <v>2058</v>
      </c>
      <c r="D401" s="39">
        <v>0</v>
      </c>
      <c r="E401" s="1" t="s">
        <v>1</v>
      </c>
      <c r="F401" s="39">
        <v>0</v>
      </c>
    </row>
    <row r="402" spans="1:6" x14ac:dyDescent="0.25">
      <c r="A402" s="1">
        <v>3000085</v>
      </c>
      <c r="B402" s="1" t="s">
        <v>2340</v>
      </c>
      <c r="C402" s="1" t="s">
        <v>2058</v>
      </c>
      <c r="D402" s="39">
        <v>0</v>
      </c>
      <c r="E402" s="1" t="s">
        <v>1</v>
      </c>
      <c r="F402" s="39">
        <v>0</v>
      </c>
    </row>
    <row r="403" spans="1:6" x14ac:dyDescent="0.25">
      <c r="A403" s="1">
        <v>3000086</v>
      </c>
      <c r="B403" s="1" t="s">
        <v>1434</v>
      </c>
      <c r="C403" s="1" t="s">
        <v>2058</v>
      </c>
      <c r="D403" s="39">
        <v>0</v>
      </c>
      <c r="E403" s="1" t="s">
        <v>1</v>
      </c>
      <c r="F403" s="39">
        <v>0</v>
      </c>
    </row>
    <row r="404" spans="1:6" x14ac:dyDescent="0.25">
      <c r="A404" s="1">
        <v>3000119</v>
      </c>
      <c r="B404" s="1" t="s">
        <v>2341</v>
      </c>
      <c r="C404" s="1" t="s">
        <v>2058</v>
      </c>
      <c r="D404" s="39">
        <v>0</v>
      </c>
      <c r="E404" s="1" t="s">
        <v>3</v>
      </c>
      <c r="F404" s="39">
        <v>0</v>
      </c>
    </row>
    <row r="405" spans="1:6" x14ac:dyDescent="0.25">
      <c r="A405" s="1">
        <v>3000120</v>
      </c>
      <c r="B405" s="1" t="s">
        <v>2342</v>
      </c>
      <c r="C405" s="1" t="s">
        <v>2058</v>
      </c>
      <c r="D405" s="39">
        <v>0</v>
      </c>
      <c r="E405" s="1" t="s">
        <v>3</v>
      </c>
      <c r="F405" s="39">
        <v>0</v>
      </c>
    </row>
    <row r="406" spans="1:6" x14ac:dyDescent="0.25">
      <c r="A406" s="1">
        <v>3000121</v>
      </c>
      <c r="B406" s="1" t="s">
        <v>2343</v>
      </c>
      <c r="C406" s="1" t="s">
        <v>2058</v>
      </c>
      <c r="D406" s="39">
        <v>0</v>
      </c>
      <c r="E406" s="1" t="s">
        <v>3</v>
      </c>
      <c r="F406" s="39">
        <v>0</v>
      </c>
    </row>
    <row r="407" spans="1:6" x14ac:dyDescent="0.25">
      <c r="A407" s="1">
        <v>3000122</v>
      </c>
      <c r="B407" s="1" t="s">
        <v>2344</v>
      </c>
      <c r="C407" s="1" t="s">
        <v>2058</v>
      </c>
      <c r="D407" s="39">
        <v>0</v>
      </c>
      <c r="E407" s="1" t="s">
        <v>3</v>
      </c>
      <c r="F407" s="39">
        <v>0</v>
      </c>
    </row>
    <row r="408" spans="1:6" x14ac:dyDescent="0.25">
      <c r="A408" s="1">
        <v>3000124</v>
      </c>
      <c r="B408" s="1" t="s">
        <v>2345</v>
      </c>
      <c r="C408" s="1" t="s">
        <v>2058</v>
      </c>
      <c r="D408" s="39">
        <v>0</v>
      </c>
      <c r="E408" s="1" t="s">
        <v>3</v>
      </c>
      <c r="F408" s="39">
        <v>0</v>
      </c>
    </row>
    <row r="409" spans="1:6" x14ac:dyDescent="0.25">
      <c r="A409" s="1">
        <v>3000126</v>
      </c>
      <c r="B409" s="1" t="s">
        <v>2346</v>
      </c>
      <c r="C409" s="1" t="s">
        <v>2058</v>
      </c>
      <c r="D409" s="39">
        <v>0</v>
      </c>
      <c r="E409" s="1" t="s">
        <v>3</v>
      </c>
      <c r="F409" s="39">
        <v>0</v>
      </c>
    </row>
    <row r="410" spans="1:6" x14ac:dyDescent="0.25">
      <c r="A410" s="1">
        <v>3000127</v>
      </c>
      <c r="B410" s="1" t="s">
        <v>2347</v>
      </c>
      <c r="C410" s="1" t="s">
        <v>2058</v>
      </c>
      <c r="D410" s="39">
        <v>0</v>
      </c>
      <c r="E410" s="1" t="s">
        <v>3</v>
      </c>
      <c r="F410" s="39">
        <v>0</v>
      </c>
    </row>
    <row r="411" spans="1:6" x14ac:dyDescent="0.25">
      <c r="A411" s="1">
        <v>3000162</v>
      </c>
      <c r="B411" s="1" t="s">
        <v>2348</v>
      </c>
      <c r="C411" s="1" t="s">
        <v>2058</v>
      </c>
      <c r="D411" s="39">
        <v>0</v>
      </c>
      <c r="E411" s="1" t="s">
        <v>1</v>
      </c>
      <c r="F411" s="39">
        <v>0</v>
      </c>
    </row>
    <row r="412" spans="1:6" x14ac:dyDescent="0.25">
      <c r="A412" s="1">
        <v>3000163</v>
      </c>
      <c r="B412" s="1" t="s">
        <v>2349</v>
      </c>
      <c r="C412" s="1" t="s">
        <v>2058</v>
      </c>
      <c r="D412" s="39">
        <v>0</v>
      </c>
      <c r="E412" s="1" t="s">
        <v>1</v>
      </c>
      <c r="F412" s="39">
        <v>0</v>
      </c>
    </row>
    <row r="413" spans="1:6" x14ac:dyDescent="0.25">
      <c r="A413" s="1">
        <v>3000178</v>
      </c>
      <c r="B413" s="1" t="s">
        <v>2350</v>
      </c>
      <c r="C413" s="1" t="s">
        <v>2058</v>
      </c>
      <c r="D413" s="39">
        <v>0</v>
      </c>
      <c r="E413" s="1" t="s">
        <v>1</v>
      </c>
      <c r="F413" s="39">
        <v>0</v>
      </c>
    </row>
    <row r="414" spans="1:6" x14ac:dyDescent="0.25">
      <c r="A414" s="1">
        <v>3000184</v>
      </c>
      <c r="B414" s="1" t="s">
        <v>2351</v>
      </c>
      <c r="C414" s="1" t="s">
        <v>2058</v>
      </c>
      <c r="D414" s="39">
        <v>0</v>
      </c>
      <c r="E414" s="1" t="s">
        <v>1</v>
      </c>
      <c r="F414" s="39">
        <v>0</v>
      </c>
    </row>
    <row r="415" spans="1:6" x14ac:dyDescent="0.25">
      <c r="A415" s="1">
        <v>3000187</v>
      </c>
      <c r="B415" s="1" t="s">
        <v>2352</v>
      </c>
      <c r="C415" s="1" t="s">
        <v>2058</v>
      </c>
      <c r="D415" s="39">
        <v>0</v>
      </c>
      <c r="E415" s="1" t="s">
        <v>3</v>
      </c>
      <c r="F415" s="39">
        <v>0</v>
      </c>
    </row>
    <row r="416" spans="1:6" x14ac:dyDescent="0.25">
      <c r="A416" s="1">
        <v>3000248</v>
      </c>
      <c r="B416" s="1" t="s">
        <v>2353</v>
      </c>
      <c r="C416" s="1" t="s">
        <v>2058</v>
      </c>
      <c r="D416" s="39">
        <v>0</v>
      </c>
      <c r="E416" s="1" t="s">
        <v>3</v>
      </c>
      <c r="F416" s="39">
        <v>0</v>
      </c>
    </row>
    <row r="417" spans="1:6" x14ac:dyDescent="0.25">
      <c r="A417" s="1">
        <v>3000253</v>
      </c>
      <c r="B417" s="1" t="s">
        <v>2354</v>
      </c>
      <c r="C417" s="1" t="s">
        <v>2058</v>
      </c>
      <c r="D417" s="39">
        <v>0</v>
      </c>
      <c r="E417" s="1" t="s">
        <v>1</v>
      </c>
      <c r="F417" s="39">
        <v>0</v>
      </c>
    </row>
    <row r="418" spans="1:6" x14ac:dyDescent="0.25">
      <c r="A418" s="1">
        <v>3000305</v>
      </c>
      <c r="B418" s="1" t="s">
        <v>2355</v>
      </c>
      <c r="C418" s="1" t="s">
        <v>2058</v>
      </c>
      <c r="D418" s="39">
        <v>0</v>
      </c>
      <c r="E418" s="1" t="s">
        <v>3</v>
      </c>
      <c r="F418" s="39">
        <v>0</v>
      </c>
    </row>
    <row r="419" spans="1:6" x14ac:dyDescent="0.25">
      <c r="A419" s="1">
        <v>3000317</v>
      </c>
      <c r="B419" s="1" t="s">
        <v>2356</v>
      </c>
      <c r="C419" s="1" t="s">
        <v>2058</v>
      </c>
      <c r="D419" s="39">
        <v>0</v>
      </c>
      <c r="E419" s="1" t="s">
        <v>3</v>
      </c>
      <c r="F419" s="39">
        <v>0</v>
      </c>
    </row>
    <row r="420" spans="1:6" x14ac:dyDescent="0.25">
      <c r="A420" s="1">
        <v>3000342</v>
      </c>
      <c r="B420" s="1" t="s">
        <v>2357</v>
      </c>
      <c r="C420" s="1" t="s">
        <v>2058</v>
      </c>
      <c r="D420" s="39">
        <v>0</v>
      </c>
      <c r="E420" s="1" t="s">
        <v>3</v>
      </c>
      <c r="F420" s="39">
        <v>0</v>
      </c>
    </row>
    <row r="421" spans="1:6" x14ac:dyDescent="0.25">
      <c r="A421" s="1">
        <v>3000358</v>
      </c>
      <c r="B421" s="1" t="s">
        <v>2358</v>
      </c>
      <c r="C421" s="1" t="s">
        <v>2058</v>
      </c>
      <c r="D421" s="39">
        <v>0</v>
      </c>
      <c r="E421" s="1" t="s">
        <v>1</v>
      </c>
      <c r="F421" s="39">
        <v>0</v>
      </c>
    </row>
    <row r="422" spans="1:6" x14ac:dyDescent="0.25">
      <c r="A422" s="1">
        <v>3000374</v>
      </c>
      <c r="B422" s="1" t="s">
        <v>2359</v>
      </c>
      <c r="C422" s="1" t="s">
        <v>2058</v>
      </c>
      <c r="D422" s="39">
        <v>0</v>
      </c>
      <c r="E422" s="1" t="s">
        <v>3</v>
      </c>
      <c r="F422" s="39">
        <v>0</v>
      </c>
    </row>
    <row r="423" spans="1:6" x14ac:dyDescent="0.25">
      <c r="A423" s="1">
        <v>3000390</v>
      </c>
      <c r="B423" s="1" t="s">
        <v>2360</v>
      </c>
      <c r="C423" s="1" t="s">
        <v>2058</v>
      </c>
      <c r="D423" s="39">
        <v>0</v>
      </c>
      <c r="E423" s="1" t="s">
        <v>3</v>
      </c>
      <c r="F423" s="39">
        <v>0</v>
      </c>
    </row>
    <row r="424" spans="1:6" x14ac:dyDescent="0.25">
      <c r="A424" s="1">
        <v>3000400</v>
      </c>
      <c r="B424" s="1" t="s">
        <v>655</v>
      </c>
      <c r="C424" s="1" t="s">
        <v>2058</v>
      </c>
      <c r="D424" s="39">
        <v>103</v>
      </c>
      <c r="E424" s="1" t="s">
        <v>1</v>
      </c>
      <c r="F424" s="3">
        <v>10340.129999999999</v>
      </c>
    </row>
    <row r="425" spans="1:6" x14ac:dyDescent="0.25">
      <c r="A425" s="1">
        <v>3000401</v>
      </c>
      <c r="B425" s="1" t="s">
        <v>674</v>
      </c>
      <c r="C425" s="1" t="s">
        <v>2058</v>
      </c>
      <c r="D425" s="39">
        <v>42</v>
      </c>
      <c r="E425" s="1" t="s">
        <v>1</v>
      </c>
      <c r="F425" s="3">
        <v>5364.8</v>
      </c>
    </row>
    <row r="426" spans="1:6" x14ac:dyDescent="0.25">
      <c r="A426" s="1">
        <v>3000402</v>
      </c>
      <c r="B426" s="1" t="s">
        <v>659</v>
      </c>
      <c r="C426" s="1" t="s">
        <v>2058</v>
      </c>
      <c r="D426" s="39">
        <v>146</v>
      </c>
      <c r="E426" s="1" t="s">
        <v>1</v>
      </c>
      <c r="F426" s="3">
        <v>13044.52</v>
      </c>
    </row>
    <row r="427" spans="1:6" x14ac:dyDescent="0.25">
      <c r="A427" s="1">
        <v>3000403</v>
      </c>
      <c r="B427" s="1" t="s">
        <v>677</v>
      </c>
      <c r="C427" s="1" t="s">
        <v>2058</v>
      </c>
      <c r="D427" s="39">
        <v>60</v>
      </c>
      <c r="E427" s="1" t="s">
        <v>1</v>
      </c>
      <c r="F427" s="3">
        <v>10224.56</v>
      </c>
    </row>
    <row r="428" spans="1:6" x14ac:dyDescent="0.25">
      <c r="A428" s="1">
        <v>3000404</v>
      </c>
      <c r="B428" s="1" t="s">
        <v>665</v>
      </c>
      <c r="C428" s="1" t="s">
        <v>2058</v>
      </c>
      <c r="D428" s="39">
        <v>73</v>
      </c>
      <c r="E428" s="1" t="s">
        <v>1</v>
      </c>
      <c r="F428" s="3">
        <v>6641.78</v>
      </c>
    </row>
    <row r="429" spans="1:6" x14ac:dyDescent="0.25">
      <c r="A429" s="1">
        <v>3000405</v>
      </c>
      <c r="B429" s="1" t="s">
        <v>683</v>
      </c>
      <c r="C429" s="1" t="s">
        <v>2058</v>
      </c>
      <c r="D429" s="39">
        <v>91</v>
      </c>
      <c r="E429" s="1" t="s">
        <v>1</v>
      </c>
      <c r="F429" s="3">
        <v>16002.44</v>
      </c>
    </row>
    <row r="430" spans="1:6" x14ac:dyDescent="0.25">
      <c r="A430" s="1">
        <v>3000406</v>
      </c>
      <c r="B430" s="1" t="s">
        <v>668</v>
      </c>
      <c r="C430" s="1" t="s">
        <v>2058</v>
      </c>
      <c r="D430" s="39">
        <v>131</v>
      </c>
      <c r="E430" s="1" t="s">
        <v>1</v>
      </c>
      <c r="F430" s="3">
        <v>11193.35</v>
      </c>
    </row>
    <row r="431" spans="1:6" x14ac:dyDescent="0.25">
      <c r="A431" s="1">
        <v>3000407</v>
      </c>
      <c r="B431" s="1" t="s">
        <v>686</v>
      </c>
      <c r="C431" s="1" t="s">
        <v>2058</v>
      </c>
      <c r="D431" s="39">
        <v>77</v>
      </c>
      <c r="E431" s="1" t="s">
        <v>1</v>
      </c>
      <c r="F431" s="3">
        <v>13270.8</v>
      </c>
    </row>
    <row r="432" spans="1:6" x14ac:dyDescent="0.25">
      <c r="A432" s="1">
        <v>3000408</v>
      </c>
      <c r="B432" s="1" t="s">
        <v>671</v>
      </c>
      <c r="C432" s="1" t="s">
        <v>2058</v>
      </c>
      <c r="D432" s="39">
        <v>101</v>
      </c>
      <c r="E432" s="1" t="s">
        <v>1</v>
      </c>
      <c r="F432" s="3">
        <v>8648.64</v>
      </c>
    </row>
    <row r="433" spans="1:6" x14ac:dyDescent="0.25">
      <c r="A433" s="1">
        <v>3000409</v>
      </c>
      <c r="B433" s="1" t="s">
        <v>689</v>
      </c>
      <c r="C433" s="1" t="s">
        <v>2058</v>
      </c>
      <c r="D433" s="39">
        <v>51</v>
      </c>
      <c r="E433" s="1" t="s">
        <v>1</v>
      </c>
      <c r="F433" s="3">
        <v>7252.79</v>
      </c>
    </row>
    <row r="434" spans="1:6" x14ac:dyDescent="0.25">
      <c r="A434" s="1">
        <v>3000410</v>
      </c>
      <c r="B434" s="1" t="s">
        <v>2361</v>
      </c>
      <c r="C434" s="1" t="s">
        <v>2058</v>
      </c>
      <c r="D434" s="39">
        <v>0</v>
      </c>
      <c r="E434" s="1" t="s">
        <v>1</v>
      </c>
      <c r="F434" s="39">
        <v>0</v>
      </c>
    </row>
    <row r="435" spans="1:6" x14ac:dyDescent="0.25">
      <c r="A435" s="1">
        <v>3000411</v>
      </c>
      <c r="B435" s="1" t="s">
        <v>662</v>
      </c>
      <c r="C435" s="1" t="s">
        <v>2058</v>
      </c>
      <c r="D435" s="39">
        <v>71</v>
      </c>
      <c r="E435" s="1" t="s">
        <v>1</v>
      </c>
      <c r="F435" s="3">
        <v>8223.9599999999991</v>
      </c>
    </row>
    <row r="436" spans="1:6" x14ac:dyDescent="0.25">
      <c r="A436" s="1">
        <v>3000412</v>
      </c>
      <c r="B436" s="1" t="s">
        <v>680</v>
      </c>
      <c r="C436" s="1" t="s">
        <v>2058</v>
      </c>
      <c r="D436" s="39">
        <v>43</v>
      </c>
      <c r="E436" s="1" t="s">
        <v>1</v>
      </c>
      <c r="F436" s="3">
        <v>5533.35</v>
      </c>
    </row>
    <row r="437" spans="1:6" x14ac:dyDescent="0.25">
      <c r="A437" s="1">
        <v>3000413</v>
      </c>
      <c r="B437" s="1" t="s">
        <v>2362</v>
      </c>
      <c r="C437" s="1" t="s">
        <v>2058</v>
      </c>
      <c r="D437" s="39">
        <v>0</v>
      </c>
      <c r="E437" s="1" t="s">
        <v>1</v>
      </c>
      <c r="F437" s="39">
        <v>0</v>
      </c>
    </row>
    <row r="438" spans="1:6" x14ac:dyDescent="0.25">
      <c r="A438" s="1">
        <v>3000414</v>
      </c>
      <c r="B438" s="1" t="s">
        <v>2363</v>
      </c>
      <c r="C438" s="1" t="s">
        <v>2058</v>
      </c>
      <c r="D438" s="39">
        <v>0</v>
      </c>
      <c r="E438" s="1" t="s">
        <v>1</v>
      </c>
      <c r="F438" s="39">
        <v>0</v>
      </c>
    </row>
    <row r="439" spans="1:6" x14ac:dyDescent="0.25">
      <c r="A439" s="1">
        <v>3000415</v>
      </c>
      <c r="B439" s="1" t="s">
        <v>2364</v>
      </c>
      <c r="C439" s="1" t="s">
        <v>2058</v>
      </c>
      <c r="D439" s="39">
        <v>0</v>
      </c>
      <c r="E439" s="1" t="s">
        <v>1</v>
      </c>
      <c r="F439" s="39">
        <v>0</v>
      </c>
    </row>
    <row r="440" spans="1:6" x14ac:dyDescent="0.25">
      <c r="A440" s="1">
        <v>3000416</v>
      </c>
      <c r="B440" s="1" t="s">
        <v>2365</v>
      </c>
      <c r="C440" s="1" t="s">
        <v>2058</v>
      </c>
      <c r="D440" s="39">
        <v>0</v>
      </c>
      <c r="E440" s="1" t="s">
        <v>1</v>
      </c>
      <c r="F440" s="39">
        <v>0</v>
      </c>
    </row>
    <row r="441" spans="1:6" x14ac:dyDescent="0.25">
      <c r="A441" s="1">
        <v>3000457</v>
      </c>
      <c r="B441" s="1" t="s">
        <v>2366</v>
      </c>
      <c r="C441" s="1" t="s">
        <v>2058</v>
      </c>
      <c r="D441" s="39">
        <v>0</v>
      </c>
      <c r="E441" s="1" t="s">
        <v>3</v>
      </c>
      <c r="F441" s="39">
        <v>0</v>
      </c>
    </row>
    <row r="442" spans="1:6" x14ac:dyDescent="0.25">
      <c r="A442" s="1">
        <v>3000464</v>
      </c>
      <c r="B442" s="1" t="s">
        <v>2367</v>
      </c>
      <c r="C442" s="1" t="s">
        <v>2058</v>
      </c>
      <c r="D442" s="39">
        <v>0</v>
      </c>
      <c r="E442" s="1" t="s">
        <v>3</v>
      </c>
      <c r="F442" s="39">
        <v>0</v>
      </c>
    </row>
    <row r="443" spans="1:6" x14ac:dyDescent="0.25">
      <c r="A443" s="1">
        <v>3000535</v>
      </c>
      <c r="B443" s="1" t="s">
        <v>2368</v>
      </c>
      <c r="C443" s="1" t="s">
        <v>2058</v>
      </c>
      <c r="D443" s="39">
        <v>0</v>
      </c>
      <c r="E443" s="1" t="s">
        <v>1</v>
      </c>
      <c r="F443" s="39">
        <v>0</v>
      </c>
    </row>
    <row r="444" spans="1:6" x14ac:dyDescent="0.25">
      <c r="A444" s="1">
        <v>3000536</v>
      </c>
      <c r="B444" s="1" t="s">
        <v>2369</v>
      </c>
      <c r="C444" s="1" t="s">
        <v>2058</v>
      </c>
      <c r="D444" s="39">
        <v>0</v>
      </c>
      <c r="E444" s="1" t="s">
        <v>1</v>
      </c>
      <c r="F444" s="39">
        <v>0</v>
      </c>
    </row>
    <row r="445" spans="1:6" x14ac:dyDescent="0.25">
      <c r="A445" s="1">
        <v>3000537</v>
      </c>
      <c r="B445" s="1" t="s">
        <v>2370</v>
      </c>
      <c r="C445" s="1" t="s">
        <v>2058</v>
      </c>
      <c r="D445" s="39">
        <v>0</v>
      </c>
      <c r="E445" s="1" t="s">
        <v>1</v>
      </c>
      <c r="F445" s="39">
        <v>0</v>
      </c>
    </row>
    <row r="446" spans="1:6" x14ac:dyDescent="0.25">
      <c r="A446" s="1">
        <v>3000538</v>
      </c>
      <c r="B446" s="1" t="s">
        <v>2371</v>
      </c>
      <c r="C446" s="1" t="s">
        <v>2058</v>
      </c>
      <c r="D446" s="39">
        <v>0</v>
      </c>
      <c r="E446" s="1" t="s">
        <v>1</v>
      </c>
      <c r="F446" s="39">
        <v>0</v>
      </c>
    </row>
    <row r="447" spans="1:6" x14ac:dyDescent="0.25">
      <c r="A447" s="1">
        <v>3000539</v>
      </c>
      <c r="B447" s="1" t="s">
        <v>2372</v>
      </c>
      <c r="C447" s="1" t="s">
        <v>2058</v>
      </c>
      <c r="D447" s="39">
        <v>0</v>
      </c>
      <c r="E447" s="1" t="s">
        <v>1</v>
      </c>
      <c r="F447" s="39">
        <v>0</v>
      </c>
    </row>
    <row r="448" spans="1:6" x14ac:dyDescent="0.25">
      <c r="A448" s="1">
        <v>3000540</v>
      </c>
      <c r="B448" s="1" t="s">
        <v>2373</v>
      </c>
      <c r="C448" s="1" t="s">
        <v>2058</v>
      </c>
      <c r="D448" s="39">
        <v>0</v>
      </c>
      <c r="E448" s="1" t="s">
        <v>1</v>
      </c>
      <c r="F448" s="39">
        <v>0</v>
      </c>
    </row>
    <row r="449" spans="1:6" x14ac:dyDescent="0.25">
      <c r="A449" s="1">
        <v>3000541</v>
      </c>
      <c r="B449" s="1" t="s">
        <v>2374</v>
      </c>
      <c r="C449" s="1" t="s">
        <v>2058</v>
      </c>
      <c r="D449" s="39">
        <v>0</v>
      </c>
      <c r="E449" s="1" t="s">
        <v>1</v>
      </c>
      <c r="F449" s="39">
        <v>0</v>
      </c>
    </row>
    <row r="450" spans="1:6" x14ac:dyDescent="0.25">
      <c r="A450" s="1">
        <v>3000542</v>
      </c>
      <c r="B450" s="1" t="s">
        <v>2375</v>
      </c>
      <c r="C450" s="1" t="s">
        <v>2058</v>
      </c>
      <c r="D450" s="39">
        <v>0</v>
      </c>
      <c r="E450" s="1" t="s">
        <v>1</v>
      </c>
      <c r="F450" s="39">
        <v>0</v>
      </c>
    </row>
    <row r="451" spans="1:6" x14ac:dyDescent="0.25">
      <c r="A451" s="1">
        <v>3000543</v>
      </c>
      <c r="B451" s="1" t="s">
        <v>2376</v>
      </c>
      <c r="C451" s="1" t="s">
        <v>2058</v>
      </c>
      <c r="D451" s="39">
        <v>0</v>
      </c>
      <c r="E451" s="1" t="s">
        <v>1</v>
      </c>
      <c r="F451" s="39">
        <v>0</v>
      </c>
    </row>
    <row r="452" spans="1:6" x14ac:dyDescent="0.25">
      <c r="A452" s="1">
        <v>3000546</v>
      </c>
      <c r="B452" s="1" t="s">
        <v>2377</v>
      </c>
      <c r="C452" s="1" t="s">
        <v>2058</v>
      </c>
      <c r="D452" s="39">
        <v>0</v>
      </c>
      <c r="E452" s="1" t="s">
        <v>1</v>
      </c>
      <c r="F452" s="39">
        <v>0</v>
      </c>
    </row>
    <row r="453" spans="1:6" x14ac:dyDescent="0.25">
      <c r="A453" s="1">
        <v>3000548</v>
      </c>
      <c r="B453" s="1" t="s">
        <v>2378</v>
      </c>
      <c r="C453" s="1" t="s">
        <v>2058</v>
      </c>
      <c r="D453" s="39">
        <v>0</v>
      </c>
      <c r="E453" s="1" t="s">
        <v>1</v>
      </c>
      <c r="F453" s="39">
        <v>0</v>
      </c>
    </row>
    <row r="454" spans="1:6" x14ac:dyDescent="0.25">
      <c r="A454" s="1">
        <v>3000549</v>
      </c>
      <c r="B454" s="1" t="s">
        <v>2379</v>
      </c>
      <c r="C454" s="1" t="s">
        <v>2058</v>
      </c>
      <c r="D454" s="39">
        <v>0</v>
      </c>
      <c r="E454" s="1" t="s">
        <v>1</v>
      </c>
      <c r="F454" s="39">
        <v>0</v>
      </c>
    </row>
    <row r="455" spans="1:6" x14ac:dyDescent="0.25">
      <c r="A455" s="1">
        <v>3000550</v>
      </c>
      <c r="B455" s="1" t="s">
        <v>2380</v>
      </c>
      <c r="C455" s="1" t="s">
        <v>2058</v>
      </c>
      <c r="D455" s="39">
        <v>0</v>
      </c>
      <c r="E455" s="1" t="s">
        <v>1</v>
      </c>
      <c r="F455" s="39">
        <v>0</v>
      </c>
    </row>
    <row r="456" spans="1:6" x14ac:dyDescent="0.25">
      <c r="A456" s="1">
        <v>3000551</v>
      </c>
      <c r="B456" s="1" t="s">
        <v>1161</v>
      </c>
      <c r="C456" s="1" t="s">
        <v>2058</v>
      </c>
      <c r="D456" s="39">
        <v>0</v>
      </c>
      <c r="E456" s="1" t="s">
        <v>1</v>
      </c>
      <c r="F456" s="39">
        <v>0</v>
      </c>
    </row>
    <row r="457" spans="1:6" x14ac:dyDescent="0.25">
      <c r="A457" s="1">
        <v>3000552</v>
      </c>
      <c r="B457" s="1" t="s">
        <v>2381</v>
      </c>
      <c r="C457" s="1" t="s">
        <v>2058</v>
      </c>
      <c r="D457" s="39">
        <v>0</v>
      </c>
      <c r="E457" s="1" t="s">
        <v>1</v>
      </c>
      <c r="F457" s="39">
        <v>0</v>
      </c>
    </row>
    <row r="458" spans="1:6" x14ac:dyDescent="0.25">
      <c r="A458" s="1">
        <v>3000553</v>
      </c>
      <c r="B458" s="1" t="s">
        <v>2382</v>
      </c>
      <c r="C458" s="1" t="s">
        <v>2058</v>
      </c>
      <c r="D458" s="39">
        <v>0</v>
      </c>
      <c r="E458" s="1" t="s">
        <v>1</v>
      </c>
      <c r="F458" s="39">
        <v>0</v>
      </c>
    </row>
    <row r="459" spans="1:6" x14ac:dyDescent="0.25">
      <c r="A459" s="1">
        <v>3000554</v>
      </c>
      <c r="B459" s="1" t="s">
        <v>2383</v>
      </c>
      <c r="C459" s="1" t="s">
        <v>2058</v>
      </c>
      <c r="D459" s="39">
        <v>0</v>
      </c>
      <c r="E459" s="1" t="s">
        <v>1</v>
      </c>
      <c r="F459" s="39">
        <v>0</v>
      </c>
    </row>
    <row r="460" spans="1:6" x14ac:dyDescent="0.25">
      <c r="A460" s="1">
        <v>3000555</v>
      </c>
      <c r="B460" s="1" t="s">
        <v>1164</v>
      </c>
      <c r="C460" s="1" t="s">
        <v>2058</v>
      </c>
      <c r="D460" s="39">
        <v>516</v>
      </c>
      <c r="E460" s="1" t="s">
        <v>1</v>
      </c>
      <c r="F460" s="3">
        <v>2125.92</v>
      </c>
    </row>
    <row r="461" spans="1:6" x14ac:dyDescent="0.25">
      <c r="A461" s="1">
        <v>3000556</v>
      </c>
      <c r="B461" s="1" t="s">
        <v>2384</v>
      </c>
      <c r="C461" s="1" t="s">
        <v>2058</v>
      </c>
      <c r="D461" s="39">
        <v>0</v>
      </c>
      <c r="E461" s="1" t="s">
        <v>1</v>
      </c>
      <c r="F461" s="39">
        <v>0</v>
      </c>
    </row>
    <row r="462" spans="1:6" x14ac:dyDescent="0.25">
      <c r="A462" s="1">
        <v>3000557</v>
      </c>
      <c r="B462" s="1" t="s">
        <v>2385</v>
      </c>
      <c r="C462" s="1" t="s">
        <v>2058</v>
      </c>
      <c r="D462" s="39">
        <v>0</v>
      </c>
      <c r="E462" s="1" t="s">
        <v>1</v>
      </c>
      <c r="F462" s="39">
        <v>0</v>
      </c>
    </row>
    <row r="463" spans="1:6" x14ac:dyDescent="0.25">
      <c r="A463" s="1">
        <v>3000558</v>
      </c>
      <c r="B463" s="1" t="s">
        <v>2386</v>
      </c>
      <c r="C463" s="1" t="s">
        <v>2058</v>
      </c>
      <c r="D463" s="39">
        <v>0</v>
      </c>
      <c r="E463" s="1" t="s">
        <v>1</v>
      </c>
      <c r="F463" s="39">
        <v>0</v>
      </c>
    </row>
    <row r="464" spans="1:6" x14ac:dyDescent="0.25">
      <c r="A464" s="1">
        <v>3000559</v>
      </c>
      <c r="B464" s="1" t="s">
        <v>2387</v>
      </c>
      <c r="C464" s="1" t="s">
        <v>2058</v>
      </c>
      <c r="D464" s="39">
        <v>0</v>
      </c>
      <c r="E464" s="1" t="s">
        <v>1</v>
      </c>
      <c r="F464" s="39">
        <v>0</v>
      </c>
    </row>
    <row r="465" spans="1:6" x14ac:dyDescent="0.25">
      <c r="A465" s="1">
        <v>3000560</v>
      </c>
      <c r="B465" s="1" t="s">
        <v>1167</v>
      </c>
      <c r="C465" s="1" t="s">
        <v>2058</v>
      </c>
      <c r="D465" s="39">
        <v>20032</v>
      </c>
      <c r="E465" s="1" t="s">
        <v>1</v>
      </c>
      <c r="F465" s="3">
        <v>99543.01</v>
      </c>
    </row>
    <row r="466" spans="1:6" x14ac:dyDescent="0.25">
      <c r="A466" s="1">
        <v>3000563</v>
      </c>
      <c r="B466" s="1" t="s">
        <v>2388</v>
      </c>
      <c r="C466" s="1" t="s">
        <v>2058</v>
      </c>
      <c r="D466" s="39">
        <v>0</v>
      </c>
      <c r="E466" s="1" t="s">
        <v>3</v>
      </c>
      <c r="F466" s="39">
        <v>0</v>
      </c>
    </row>
    <row r="467" spans="1:6" x14ac:dyDescent="0.25">
      <c r="A467" s="1">
        <v>3000582</v>
      </c>
      <c r="B467" s="1" t="s">
        <v>2389</v>
      </c>
      <c r="C467" s="1" t="s">
        <v>2058</v>
      </c>
      <c r="D467" s="39">
        <v>0</v>
      </c>
      <c r="E467" s="1" t="s">
        <v>1</v>
      </c>
      <c r="F467" s="39">
        <v>0</v>
      </c>
    </row>
    <row r="468" spans="1:6" x14ac:dyDescent="0.25">
      <c r="A468" s="1">
        <v>3000583</v>
      </c>
      <c r="B468" s="1" t="s">
        <v>2390</v>
      </c>
      <c r="C468" s="1" t="s">
        <v>2058</v>
      </c>
      <c r="D468" s="39">
        <v>0</v>
      </c>
      <c r="E468" s="1" t="s">
        <v>1</v>
      </c>
      <c r="F468" s="39">
        <v>0</v>
      </c>
    </row>
    <row r="469" spans="1:6" x14ac:dyDescent="0.25">
      <c r="A469" s="1">
        <v>3000617</v>
      </c>
      <c r="B469" s="1" t="s">
        <v>71</v>
      </c>
      <c r="C469" s="1" t="s">
        <v>2058</v>
      </c>
      <c r="D469" s="39">
        <v>2735</v>
      </c>
      <c r="E469" s="1" t="s">
        <v>1</v>
      </c>
      <c r="F469" s="3">
        <v>158814.07</v>
      </c>
    </row>
    <row r="470" spans="1:6" x14ac:dyDescent="0.25">
      <c r="A470" s="1">
        <v>3000618</v>
      </c>
      <c r="B470" s="1" t="s">
        <v>63</v>
      </c>
      <c r="C470" s="1" t="s">
        <v>2058</v>
      </c>
      <c r="D470" s="39">
        <v>2943</v>
      </c>
      <c r="E470" s="1" t="s">
        <v>1</v>
      </c>
      <c r="F470" s="3">
        <v>113066.82</v>
      </c>
    </row>
    <row r="471" spans="1:6" x14ac:dyDescent="0.25">
      <c r="A471" s="1">
        <v>3000670</v>
      </c>
      <c r="B471" s="1" t="s">
        <v>2391</v>
      </c>
      <c r="C471" s="1" t="s">
        <v>2058</v>
      </c>
      <c r="D471" s="39">
        <v>125</v>
      </c>
      <c r="E471" s="1" t="s">
        <v>3</v>
      </c>
      <c r="F471" s="3">
        <v>3093.07</v>
      </c>
    </row>
    <row r="472" spans="1:6" x14ac:dyDescent="0.25">
      <c r="A472" s="1">
        <v>3000696</v>
      </c>
      <c r="B472" s="1" t="s">
        <v>2392</v>
      </c>
      <c r="C472" s="1" t="s">
        <v>2058</v>
      </c>
      <c r="D472" s="39">
        <v>0</v>
      </c>
      <c r="E472" s="1" t="s">
        <v>3</v>
      </c>
      <c r="F472" s="39">
        <v>0</v>
      </c>
    </row>
    <row r="473" spans="1:6" x14ac:dyDescent="0.25">
      <c r="A473" s="1">
        <v>3000724</v>
      </c>
      <c r="B473" s="1" t="s">
        <v>2393</v>
      </c>
      <c r="C473" s="1" t="s">
        <v>2058</v>
      </c>
      <c r="D473" s="39">
        <v>0</v>
      </c>
      <c r="E473" s="1" t="s">
        <v>3</v>
      </c>
      <c r="F473" s="39">
        <v>0</v>
      </c>
    </row>
    <row r="474" spans="1:6" x14ac:dyDescent="0.25">
      <c r="A474" s="1">
        <v>3000730</v>
      </c>
      <c r="B474" s="1" t="s">
        <v>2394</v>
      </c>
      <c r="C474" s="1" t="s">
        <v>2058</v>
      </c>
      <c r="D474" s="39">
        <v>0</v>
      </c>
      <c r="E474" s="1" t="s">
        <v>3</v>
      </c>
      <c r="F474" s="39">
        <v>0</v>
      </c>
    </row>
    <row r="475" spans="1:6" x14ac:dyDescent="0.25">
      <c r="A475" s="1">
        <v>3000741</v>
      </c>
      <c r="B475" s="1" t="s">
        <v>2395</v>
      </c>
      <c r="C475" s="1" t="s">
        <v>2058</v>
      </c>
      <c r="D475" s="39">
        <v>0</v>
      </c>
      <c r="E475" s="1" t="s">
        <v>3</v>
      </c>
      <c r="F475" s="39">
        <v>0</v>
      </c>
    </row>
    <row r="476" spans="1:6" x14ac:dyDescent="0.25">
      <c r="A476" s="1">
        <v>3000769</v>
      </c>
      <c r="B476" s="1" t="s">
        <v>2396</v>
      </c>
      <c r="C476" s="1" t="s">
        <v>2058</v>
      </c>
      <c r="D476" s="39">
        <v>0</v>
      </c>
      <c r="E476" s="1" t="s">
        <v>3</v>
      </c>
      <c r="F476" s="39">
        <v>0</v>
      </c>
    </row>
    <row r="477" spans="1:6" x14ac:dyDescent="0.25">
      <c r="A477" s="1">
        <v>3000848</v>
      </c>
      <c r="B477" s="1" t="s">
        <v>1156</v>
      </c>
      <c r="C477" s="1" t="s">
        <v>2058</v>
      </c>
      <c r="D477" s="39">
        <v>0</v>
      </c>
      <c r="E477" s="1" t="s">
        <v>3</v>
      </c>
      <c r="F477" s="39">
        <v>0</v>
      </c>
    </row>
    <row r="478" spans="1:6" x14ac:dyDescent="0.25">
      <c r="A478" s="1">
        <v>3000909</v>
      </c>
      <c r="B478" s="1" t="s">
        <v>1775</v>
      </c>
      <c r="C478" s="1" t="s">
        <v>2058</v>
      </c>
      <c r="D478" s="39">
        <v>0</v>
      </c>
      <c r="E478" s="1" t="s">
        <v>3</v>
      </c>
      <c r="F478" s="39">
        <v>0</v>
      </c>
    </row>
    <row r="479" spans="1:6" x14ac:dyDescent="0.25">
      <c r="A479" s="1">
        <v>3000922</v>
      </c>
      <c r="B479" s="1" t="s">
        <v>2397</v>
      </c>
      <c r="C479" s="1" t="s">
        <v>2058</v>
      </c>
      <c r="D479" s="39">
        <v>0</v>
      </c>
      <c r="E479" s="1" t="s">
        <v>3</v>
      </c>
      <c r="F479" s="39">
        <v>0</v>
      </c>
    </row>
    <row r="480" spans="1:6" x14ac:dyDescent="0.25">
      <c r="A480" s="1">
        <v>3000937</v>
      </c>
      <c r="B480" s="1" t="s">
        <v>362</v>
      </c>
      <c r="C480" s="1" t="s">
        <v>2058</v>
      </c>
      <c r="D480" s="39">
        <v>6875</v>
      </c>
      <c r="E480" s="1" t="s">
        <v>3</v>
      </c>
      <c r="F480" s="3">
        <v>58579.81</v>
      </c>
    </row>
    <row r="481" spans="1:6" x14ac:dyDescent="0.25">
      <c r="A481" s="1">
        <v>3000939</v>
      </c>
      <c r="B481" s="1" t="s">
        <v>2398</v>
      </c>
      <c r="C481" s="1" t="s">
        <v>2058</v>
      </c>
      <c r="D481" s="39">
        <v>0</v>
      </c>
      <c r="E481" s="1" t="s">
        <v>3</v>
      </c>
      <c r="F481" s="39">
        <v>0</v>
      </c>
    </row>
    <row r="482" spans="1:6" x14ac:dyDescent="0.25">
      <c r="A482" s="1">
        <v>3000941</v>
      </c>
      <c r="B482" s="1" t="s">
        <v>2399</v>
      </c>
      <c r="C482" s="1" t="s">
        <v>2058</v>
      </c>
      <c r="D482" s="39">
        <v>0</v>
      </c>
      <c r="E482" s="1" t="s">
        <v>3</v>
      </c>
      <c r="F482" s="39">
        <v>0</v>
      </c>
    </row>
    <row r="483" spans="1:6" x14ac:dyDescent="0.25">
      <c r="A483" s="1">
        <v>3000949</v>
      </c>
      <c r="B483" s="1" t="s">
        <v>363</v>
      </c>
      <c r="C483" s="1" t="s">
        <v>2058</v>
      </c>
      <c r="D483" s="39">
        <v>0</v>
      </c>
      <c r="E483" s="1" t="s">
        <v>3</v>
      </c>
      <c r="F483" s="39">
        <v>0</v>
      </c>
    </row>
    <row r="484" spans="1:6" x14ac:dyDescent="0.25">
      <c r="A484" s="1">
        <v>3000961</v>
      </c>
      <c r="B484" s="1" t="s">
        <v>2400</v>
      </c>
      <c r="C484" s="1" t="s">
        <v>2058</v>
      </c>
      <c r="D484" s="39">
        <v>0</v>
      </c>
      <c r="E484" s="1" t="s">
        <v>2401</v>
      </c>
      <c r="F484" s="39">
        <v>0</v>
      </c>
    </row>
    <row r="485" spans="1:6" x14ac:dyDescent="0.25">
      <c r="A485" s="1">
        <v>3000984</v>
      </c>
      <c r="B485" s="1" t="s">
        <v>364</v>
      </c>
      <c r="C485" s="1" t="s">
        <v>2058</v>
      </c>
      <c r="D485" s="40">
        <v>870.21</v>
      </c>
      <c r="E485" s="1" t="s">
        <v>3</v>
      </c>
      <c r="F485" s="3">
        <v>7844.51</v>
      </c>
    </row>
    <row r="486" spans="1:6" x14ac:dyDescent="0.25">
      <c r="A486" s="1">
        <v>3000987</v>
      </c>
      <c r="B486" s="1" t="s">
        <v>2402</v>
      </c>
      <c r="C486" s="1" t="s">
        <v>2058</v>
      </c>
      <c r="D486" s="39">
        <v>0</v>
      </c>
      <c r="E486" s="1" t="s">
        <v>3</v>
      </c>
      <c r="F486" s="39">
        <v>0</v>
      </c>
    </row>
    <row r="487" spans="1:6" x14ac:dyDescent="0.25">
      <c r="A487" s="1">
        <v>3000992</v>
      </c>
      <c r="B487" s="1" t="s">
        <v>64</v>
      </c>
      <c r="C487" s="1" t="s">
        <v>2058</v>
      </c>
      <c r="D487" s="39">
        <v>35406</v>
      </c>
      <c r="E487" s="1" t="s">
        <v>1</v>
      </c>
      <c r="F487" s="3">
        <v>2761.67</v>
      </c>
    </row>
    <row r="488" spans="1:6" x14ac:dyDescent="0.25">
      <c r="A488" s="1">
        <v>3001031</v>
      </c>
      <c r="B488" s="1" t="s">
        <v>2403</v>
      </c>
      <c r="C488" s="1" t="s">
        <v>2058</v>
      </c>
      <c r="D488" s="39">
        <v>0</v>
      </c>
      <c r="E488" s="1" t="s">
        <v>1</v>
      </c>
      <c r="F488" s="39">
        <v>0</v>
      </c>
    </row>
    <row r="489" spans="1:6" x14ac:dyDescent="0.25">
      <c r="A489" s="1">
        <v>3001034</v>
      </c>
      <c r="B489" s="1" t="s">
        <v>2404</v>
      </c>
      <c r="C489" s="1" t="s">
        <v>2058</v>
      </c>
      <c r="D489" s="39">
        <v>0</v>
      </c>
      <c r="E489" s="1" t="s">
        <v>1</v>
      </c>
      <c r="F489" s="39">
        <v>0</v>
      </c>
    </row>
    <row r="490" spans="1:6" x14ac:dyDescent="0.25">
      <c r="A490" s="1">
        <v>3001035</v>
      </c>
      <c r="B490" s="1" t="s">
        <v>2405</v>
      </c>
      <c r="C490" s="1" t="s">
        <v>2058</v>
      </c>
      <c r="D490" s="39">
        <v>0</v>
      </c>
      <c r="E490" s="1" t="s">
        <v>1</v>
      </c>
      <c r="F490" s="39">
        <v>0</v>
      </c>
    </row>
    <row r="491" spans="1:6" x14ac:dyDescent="0.25">
      <c r="A491" s="1">
        <v>3001036</v>
      </c>
      <c r="B491" s="1" t="s">
        <v>2406</v>
      </c>
      <c r="C491" s="1" t="s">
        <v>2058</v>
      </c>
      <c r="D491" s="39">
        <v>0</v>
      </c>
      <c r="E491" s="1" t="s">
        <v>1</v>
      </c>
      <c r="F491" s="39">
        <v>0</v>
      </c>
    </row>
    <row r="492" spans="1:6" x14ac:dyDescent="0.25">
      <c r="A492" s="1">
        <v>3001037</v>
      </c>
      <c r="B492" s="1" t="s">
        <v>2407</v>
      </c>
      <c r="C492" s="1" t="s">
        <v>2058</v>
      </c>
      <c r="D492" s="39">
        <v>0</v>
      </c>
      <c r="E492" s="1" t="s">
        <v>1</v>
      </c>
      <c r="F492" s="39">
        <v>0</v>
      </c>
    </row>
    <row r="493" spans="1:6" x14ac:dyDescent="0.25">
      <c r="A493" s="1">
        <v>3001038</v>
      </c>
      <c r="B493" s="1" t="s">
        <v>2408</v>
      </c>
      <c r="C493" s="1" t="s">
        <v>2058</v>
      </c>
      <c r="D493" s="39">
        <v>0</v>
      </c>
      <c r="E493" s="1" t="s">
        <v>1</v>
      </c>
      <c r="F493" s="39">
        <v>0</v>
      </c>
    </row>
    <row r="494" spans="1:6" x14ac:dyDescent="0.25">
      <c r="A494" s="1">
        <v>3001039</v>
      </c>
      <c r="B494" s="1" t="s">
        <v>2409</v>
      </c>
      <c r="C494" s="1" t="s">
        <v>2058</v>
      </c>
      <c r="D494" s="39">
        <v>0</v>
      </c>
      <c r="E494" s="1" t="s">
        <v>1</v>
      </c>
      <c r="F494" s="39">
        <v>0</v>
      </c>
    </row>
    <row r="495" spans="1:6" x14ac:dyDescent="0.25">
      <c r="A495" s="1">
        <v>3001040</v>
      </c>
      <c r="B495" s="1" t="s">
        <v>2410</v>
      </c>
      <c r="C495" s="1" t="s">
        <v>2058</v>
      </c>
      <c r="D495" s="39">
        <v>0</v>
      </c>
      <c r="E495" s="1" t="s">
        <v>1</v>
      </c>
      <c r="F495" s="39">
        <v>0</v>
      </c>
    </row>
    <row r="496" spans="1:6" x14ac:dyDescent="0.25">
      <c r="A496" s="1">
        <v>3001041</v>
      </c>
      <c r="B496" s="1" t="s">
        <v>2411</v>
      </c>
      <c r="C496" s="1" t="s">
        <v>2058</v>
      </c>
      <c r="D496" s="39">
        <v>0</v>
      </c>
      <c r="E496" s="1" t="s">
        <v>1</v>
      </c>
      <c r="F496" s="39">
        <v>0</v>
      </c>
    </row>
    <row r="497" spans="1:6" x14ac:dyDescent="0.25">
      <c r="A497" s="1">
        <v>3001042</v>
      </c>
      <c r="B497" s="1" t="s">
        <v>2412</v>
      </c>
      <c r="C497" s="1" t="s">
        <v>2058</v>
      </c>
      <c r="D497" s="39">
        <v>0</v>
      </c>
      <c r="E497" s="1" t="s">
        <v>1</v>
      </c>
      <c r="F497" s="39">
        <v>0</v>
      </c>
    </row>
    <row r="498" spans="1:6" x14ac:dyDescent="0.25">
      <c r="A498" s="1">
        <v>3001043</v>
      </c>
      <c r="B498" s="1" t="s">
        <v>2413</v>
      </c>
      <c r="C498" s="1" t="s">
        <v>2058</v>
      </c>
      <c r="D498" s="39">
        <v>0</v>
      </c>
      <c r="E498" s="1" t="s">
        <v>1</v>
      </c>
      <c r="F498" s="39">
        <v>0</v>
      </c>
    </row>
    <row r="499" spans="1:6" x14ac:dyDescent="0.25">
      <c r="A499" s="1">
        <v>3001044</v>
      </c>
      <c r="B499" s="1" t="s">
        <v>2414</v>
      </c>
      <c r="C499" s="1" t="s">
        <v>2058</v>
      </c>
      <c r="D499" s="39">
        <v>0</v>
      </c>
      <c r="E499" s="1" t="s">
        <v>1</v>
      </c>
      <c r="F499" s="39">
        <v>0</v>
      </c>
    </row>
    <row r="500" spans="1:6" x14ac:dyDescent="0.25">
      <c r="A500" s="1">
        <v>3001050</v>
      </c>
      <c r="B500" s="1" t="s">
        <v>2415</v>
      </c>
      <c r="C500" s="1" t="s">
        <v>2058</v>
      </c>
      <c r="D500" s="39">
        <v>0</v>
      </c>
      <c r="E500" s="1" t="s">
        <v>1</v>
      </c>
      <c r="F500" s="39">
        <v>0</v>
      </c>
    </row>
    <row r="501" spans="1:6" x14ac:dyDescent="0.25">
      <c r="A501" s="1">
        <v>3001052</v>
      </c>
      <c r="B501" s="1" t="s">
        <v>2416</v>
      </c>
      <c r="C501" s="1" t="s">
        <v>2058</v>
      </c>
      <c r="D501" s="39">
        <v>0</v>
      </c>
      <c r="E501" s="1" t="s">
        <v>1</v>
      </c>
      <c r="F501" s="39">
        <v>0</v>
      </c>
    </row>
    <row r="502" spans="1:6" x14ac:dyDescent="0.25">
      <c r="A502" s="1">
        <v>3001053</v>
      </c>
      <c r="B502" s="1" t="s">
        <v>2417</v>
      </c>
      <c r="C502" s="1" t="s">
        <v>2058</v>
      </c>
      <c r="D502" s="39">
        <v>0</v>
      </c>
      <c r="E502" s="1" t="s">
        <v>1</v>
      </c>
      <c r="F502" s="39">
        <v>0</v>
      </c>
    </row>
    <row r="503" spans="1:6" x14ac:dyDescent="0.25">
      <c r="A503" s="1">
        <v>3001054</v>
      </c>
      <c r="B503" s="1" t="s">
        <v>2418</v>
      </c>
      <c r="C503" s="1" t="s">
        <v>2058</v>
      </c>
      <c r="D503" s="39">
        <v>0</v>
      </c>
      <c r="E503" s="1" t="s">
        <v>1</v>
      </c>
      <c r="F503" s="39">
        <v>0</v>
      </c>
    </row>
    <row r="504" spans="1:6" x14ac:dyDescent="0.25">
      <c r="A504" s="1">
        <v>3001055</v>
      </c>
      <c r="B504" s="1" t="s">
        <v>2419</v>
      </c>
      <c r="C504" s="1" t="s">
        <v>2058</v>
      </c>
      <c r="D504" s="39">
        <v>0</v>
      </c>
      <c r="E504" s="1" t="s">
        <v>1</v>
      </c>
      <c r="F504" s="39">
        <v>0</v>
      </c>
    </row>
    <row r="505" spans="1:6" x14ac:dyDescent="0.25">
      <c r="A505" s="1">
        <v>3001056</v>
      </c>
      <c r="B505" s="1" t="s">
        <v>1186</v>
      </c>
      <c r="C505" s="1" t="s">
        <v>2058</v>
      </c>
      <c r="D505" s="39">
        <v>6564</v>
      </c>
      <c r="E505" s="1" t="s">
        <v>1</v>
      </c>
      <c r="F505" s="3">
        <v>27422.42</v>
      </c>
    </row>
    <row r="506" spans="1:6" x14ac:dyDescent="0.25">
      <c r="A506" s="1">
        <v>3001057</v>
      </c>
      <c r="B506" s="1" t="s">
        <v>1189</v>
      </c>
      <c r="C506" s="1" t="s">
        <v>2058</v>
      </c>
      <c r="D506" s="39">
        <v>4644</v>
      </c>
      <c r="E506" s="1" t="s">
        <v>1</v>
      </c>
      <c r="F506" s="3">
        <v>22029.74</v>
      </c>
    </row>
    <row r="507" spans="1:6" x14ac:dyDescent="0.25">
      <c r="A507" s="1">
        <v>3001058</v>
      </c>
      <c r="B507" s="1" t="s">
        <v>2420</v>
      </c>
      <c r="C507" s="1" t="s">
        <v>2058</v>
      </c>
      <c r="D507" s="39">
        <v>0</v>
      </c>
      <c r="E507" s="1" t="s">
        <v>1</v>
      </c>
      <c r="F507" s="39">
        <v>0</v>
      </c>
    </row>
    <row r="508" spans="1:6" x14ac:dyDescent="0.25">
      <c r="A508" s="1">
        <v>3001063</v>
      </c>
      <c r="B508" s="1" t="s">
        <v>2421</v>
      </c>
      <c r="C508" s="1" t="s">
        <v>2058</v>
      </c>
      <c r="D508" s="39">
        <v>0</v>
      </c>
      <c r="E508" s="1" t="s">
        <v>1</v>
      </c>
      <c r="F508" s="39">
        <v>0</v>
      </c>
    </row>
    <row r="509" spans="1:6" x14ac:dyDescent="0.25">
      <c r="A509" s="1">
        <v>3001064</v>
      </c>
      <c r="B509" s="1" t="s">
        <v>2422</v>
      </c>
      <c r="C509" s="1" t="s">
        <v>2058</v>
      </c>
      <c r="D509" s="39">
        <v>0</v>
      </c>
      <c r="E509" s="1" t="s">
        <v>1</v>
      </c>
      <c r="F509" s="39">
        <v>0</v>
      </c>
    </row>
    <row r="510" spans="1:6" x14ac:dyDescent="0.25">
      <c r="A510" s="1">
        <v>3001065</v>
      </c>
      <c r="B510" s="1" t="s">
        <v>2423</v>
      </c>
      <c r="C510" s="1" t="s">
        <v>2058</v>
      </c>
      <c r="D510" s="39">
        <v>0</v>
      </c>
      <c r="E510" s="1" t="s">
        <v>1</v>
      </c>
      <c r="F510" s="39">
        <v>0</v>
      </c>
    </row>
    <row r="511" spans="1:6" x14ac:dyDescent="0.25">
      <c r="A511" s="1">
        <v>3001066</v>
      </c>
      <c r="B511" s="1" t="s">
        <v>2424</v>
      </c>
      <c r="C511" s="1" t="s">
        <v>2058</v>
      </c>
      <c r="D511" s="39">
        <v>0</v>
      </c>
      <c r="E511" s="1" t="s">
        <v>1</v>
      </c>
      <c r="F511" s="39">
        <v>0</v>
      </c>
    </row>
    <row r="512" spans="1:6" x14ac:dyDescent="0.25">
      <c r="A512" s="1">
        <v>3001067</v>
      </c>
      <c r="B512" s="1" t="s">
        <v>2425</v>
      </c>
      <c r="C512" s="1" t="s">
        <v>2058</v>
      </c>
      <c r="D512" s="39">
        <v>0</v>
      </c>
      <c r="E512" s="1" t="s">
        <v>1</v>
      </c>
      <c r="F512" s="39">
        <v>0</v>
      </c>
    </row>
    <row r="513" spans="1:6" x14ac:dyDescent="0.25">
      <c r="A513" s="1">
        <v>3001071</v>
      </c>
      <c r="B513" s="1" t="s">
        <v>2426</v>
      </c>
      <c r="C513" s="1" t="s">
        <v>2058</v>
      </c>
      <c r="D513" s="39">
        <v>0</v>
      </c>
      <c r="E513" s="1" t="s">
        <v>1</v>
      </c>
      <c r="F513" s="39">
        <v>0</v>
      </c>
    </row>
    <row r="514" spans="1:6" x14ac:dyDescent="0.25">
      <c r="A514" s="1">
        <v>3001072</v>
      </c>
      <c r="B514" s="1" t="s">
        <v>2427</v>
      </c>
      <c r="C514" s="1" t="s">
        <v>2058</v>
      </c>
      <c r="D514" s="39">
        <v>0</v>
      </c>
      <c r="E514" s="1" t="s">
        <v>1</v>
      </c>
      <c r="F514" s="39">
        <v>0</v>
      </c>
    </row>
    <row r="515" spans="1:6" x14ac:dyDescent="0.25">
      <c r="A515" s="1">
        <v>3001078</v>
      </c>
      <c r="B515" s="1" t="s">
        <v>2428</v>
      </c>
      <c r="C515" s="1" t="s">
        <v>2058</v>
      </c>
      <c r="D515" s="39">
        <v>0</v>
      </c>
      <c r="E515" s="1" t="s">
        <v>1</v>
      </c>
      <c r="F515" s="39">
        <v>0</v>
      </c>
    </row>
    <row r="516" spans="1:6" x14ac:dyDescent="0.25">
      <c r="A516" s="1">
        <v>3001079</v>
      </c>
      <c r="B516" s="1" t="s">
        <v>2429</v>
      </c>
      <c r="C516" s="1" t="s">
        <v>2058</v>
      </c>
      <c r="D516" s="39">
        <v>0</v>
      </c>
      <c r="E516" s="1" t="s">
        <v>1</v>
      </c>
      <c r="F516" s="39">
        <v>0</v>
      </c>
    </row>
    <row r="517" spans="1:6" x14ac:dyDescent="0.25">
      <c r="A517" s="1">
        <v>3001080</v>
      </c>
      <c r="B517" s="1" t="s">
        <v>2430</v>
      </c>
      <c r="C517" s="1" t="s">
        <v>2058</v>
      </c>
      <c r="D517" s="39">
        <v>0</v>
      </c>
      <c r="E517" s="1" t="s">
        <v>1</v>
      </c>
      <c r="F517" s="39">
        <v>0</v>
      </c>
    </row>
    <row r="518" spans="1:6" x14ac:dyDescent="0.25">
      <c r="A518" s="1">
        <v>3001081</v>
      </c>
      <c r="B518" s="1" t="s">
        <v>2431</v>
      </c>
      <c r="C518" s="1" t="s">
        <v>2058</v>
      </c>
      <c r="D518" s="39">
        <v>0</v>
      </c>
      <c r="E518" s="1" t="s">
        <v>1</v>
      </c>
      <c r="F518" s="39">
        <v>0</v>
      </c>
    </row>
    <row r="519" spans="1:6" x14ac:dyDescent="0.25">
      <c r="A519" s="1">
        <v>3001082</v>
      </c>
      <c r="B519" s="1" t="s">
        <v>2432</v>
      </c>
      <c r="C519" s="1" t="s">
        <v>2058</v>
      </c>
      <c r="D519" s="39">
        <v>0</v>
      </c>
      <c r="E519" s="1" t="s">
        <v>1</v>
      </c>
      <c r="F519" s="39">
        <v>0</v>
      </c>
    </row>
    <row r="520" spans="1:6" x14ac:dyDescent="0.25">
      <c r="A520" s="1">
        <v>3001083</v>
      </c>
      <c r="B520" s="1" t="s">
        <v>2433</v>
      </c>
      <c r="C520" s="1" t="s">
        <v>2058</v>
      </c>
      <c r="D520" s="39">
        <v>0</v>
      </c>
      <c r="E520" s="1" t="s">
        <v>1</v>
      </c>
      <c r="F520" s="39">
        <v>0</v>
      </c>
    </row>
    <row r="521" spans="1:6" x14ac:dyDescent="0.25">
      <c r="A521" s="1">
        <v>3001084</v>
      </c>
      <c r="B521" s="1" t="s">
        <v>2434</v>
      </c>
      <c r="C521" s="1" t="s">
        <v>2058</v>
      </c>
      <c r="D521" s="39">
        <v>0</v>
      </c>
      <c r="E521" s="1" t="s">
        <v>1</v>
      </c>
      <c r="F521" s="39">
        <v>0</v>
      </c>
    </row>
    <row r="522" spans="1:6" x14ac:dyDescent="0.25">
      <c r="A522" s="1">
        <v>3001085</v>
      </c>
      <c r="B522" s="1" t="s">
        <v>2435</v>
      </c>
      <c r="C522" s="1" t="s">
        <v>2058</v>
      </c>
      <c r="D522" s="39">
        <v>0</v>
      </c>
      <c r="E522" s="1" t="s">
        <v>1</v>
      </c>
      <c r="F522" s="39">
        <v>0</v>
      </c>
    </row>
    <row r="523" spans="1:6" x14ac:dyDescent="0.25">
      <c r="A523" s="1">
        <v>3001086</v>
      </c>
      <c r="B523" s="1" t="s">
        <v>2436</v>
      </c>
      <c r="C523" s="1" t="s">
        <v>2058</v>
      </c>
      <c r="D523" s="39">
        <v>0</v>
      </c>
      <c r="E523" s="1" t="s">
        <v>1</v>
      </c>
      <c r="F523" s="39">
        <v>0</v>
      </c>
    </row>
    <row r="524" spans="1:6" x14ac:dyDescent="0.25">
      <c r="A524" s="1">
        <v>3001087</v>
      </c>
      <c r="B524" s="1" t="s">
        <v>2437</v>
      </c>
      <c r="C524" s="1" t="s">
        <v>2058</v>
      </c>
      <c r="D524" s="39">
        <v>0</v>
      </c>
      <c r="E524" s="1" t="s">
        <v>1</v>
      </c>
      <c r="F524" s="39">
        <v>0</v>
      </c>
    </row>
    <row r="525" spans="1:6" x14ac:dyDescent="0.25">
      <c r="A525" s="1">
        <v>3001088</v>
      </c>
      <c r="B525" s="1" t="s">
        <v>2438</v>
      </c>
      <c r="C525" s="1" t="s">
        <v>2058</v>
      </c>
      <c r="D525" s="39">
        <v>0</v>
      </c>
      <c r="E525" s="1" t="s">
        <v>1</v>
      </c>
      <c r="F525" s="39">
        <v>0</v>
      </c>
    </row>
    <row r="526" spans="1:6" x14ac:dyDescent="0.25">
      <c r="A526" s="1">
        <v>3001089</v>
      </c>
      <c r="B526" s="1" t="s">
        <v>2439</v>
      </c>
      <c r="C526" s="1" t="s">
        <v>2058</v>
      </c>
      <c r="D526" s="39">
        <v>0</v>
      </c>
      <c r="E526" s="1" t="s">
        <v>1</v>
      </c>
      <c r="F526" s="39">
        <v>0</v>
      </c>
    </row>
    <row r="527" spans="1:6" x14ac:dyDescent="0.25">
      <c r="A527" s="1">
        <v>3001090</v>
      </c>
      <c r="B527" s="1" t="s">
        <v>2440</v>
      </c>
      <c r="C527" s="1" t="s">
        <v>2058</v>
      </c>
      <c r="D527" s="39">
        <v>0</v>
      </c>
      <c r="E527" s="1" t="s">
        <v>1</v>
      </c>
      <c r="F527" s="39">
        <v>0</v>
      </c>
    </row>
    <row r="528" spans="1:6" x14ac:dyDescent="0.25">
      <c r="A528" s="1">
        <v>3001099</v>
      </c>
      <c r="B528" s="1" t="s">
        <v>2441</v>
      </c>
      <c r="C528" s="1" t="s">
        <v>2058</v>
      </c>
      <c r="D528" s="39">
        <v>0</v>
      </c>
      <c r="E528" s="1" t="s">
        <v>3</v>
      </c>
      <c r="F528" s="39">
        <v>0</v>
      </c>
    </row>
    <row r="529" spans="1:6" x14ac:dyDescent="0.25">
      <c r="A529" s="1">
        <v>3001114</v>
      </c>
      <c r="B529" s="1" t="s">
        <v>2442</v>
      </c>
      <c r="C529" s="1" t="s">
        <v>2058</v>
      </c>
      <c r="D529" s="39">
        <v>0</v>
      </c>
      <c r="E529" s="1" t="s">
        <v>1</v>
      </c>
      <c r="F529" s="39">
        <v>0</v>
      </c>
    </row>
    <row r="530" spans="1:6" x14ac:dyDescent="0.25">
      <c r="A530" s="1">
        <v>3001155</v>
      </c>
      <c r="B530" s="1" t="s">
        <v>1146</v>
      </c>
      <c r="C530" s="1" t="s">
        <v>2058</v>
      </c>
      <c r="D530" s="39">
        <v>0</v>
      </c>
      <c r="E530" s="1" t="s">
        <v>3</v>
      </c>
      <c r="F530" s="39">
        <v>0</v>
      </c>
    </row>
    <row r="531" spans="1:6" x14ac:dyDescent="0.25">
      <c r="A531" s="1">
        <v>3001162</v>
      </c>
      <c r="B531" s="1" t="s">
        <v>2443</v>
      </c>
      <c r="C531" s="1" t="s">
        <v>2058</v>
      </c>
      <c r="D531" s="39">
        <v>0</v>
      </c>
      <c r="E531" s="1" t="s">
        <v>3</v>
      </c>
      <c r="F531" s="39">
        <v>0</v>
      </c>
    </row>
    <row r="532" spans="1:6" x14ac:dyDescent="0.25">
      <c r="A532" s="1">
        <v>3001180</v>
      </c>
      <c r="B532" s="1" t="s">
        <v>2444</v>
      </c>
      <c r="C532" s="1" t="s">
        <v>2058</v>
      </c>
      <c r="D532" s="39">
        <v>0</v>
      </c>
      <c r="E532" s="1" t="s">
        <v>2</v>
      </c>
      <c r="F532" s="39">
        <v>0</v>
      </c>
    </row>
    <row r="533" spans="1:6" x14ac:dyDescent="0.25">
      <c r="A533" s="1">
        <v>3001195</v>
      </c>
      <c r="B533" s="1" t="s">
        <v>2445</v>
      </c>
      <c r="C533" s="1" t="s">
        <v>2058</v>
      </c>
      <c r="D533" s="39">
        <v>0</v>
      </c>
      <c r="E533" s="1" t="s">
        <v>3</v>
      </c>
      <c r="F533" s="39">
        <v>0</v>
      </c>
    </row>
    <row r="534" spans="1:6" x14ac:dyDescent="0.25">
      <c r="A534" s="1">
        <v>3001233</v>
      </c>
      <c r="B534" s="1" t="s">
        <v>2446</v>
      </c>
      <c r="C534" s="1" t="s">
        <v>2058</v>
      </c>
      <c r="D534" s="39">
        <v>0</v>
      </c>
      <c r="E534" s="1" t="s">
        <v>1</v>
      </c>
      <c r="F534" s="39">
        <v>0</v>
      </c>
    </row>
    <row r="535" spans="1:6" x14ac:dyDescent="0.25">
      <c r="A535" s="1">
        <v>3001234</v>
      </c>
      <c r="B535" s="1" t="s">
        <v>2447</v>
      </c>
      <c r="C535" s="1" t="s">
        <v>2058</v>
      </c>
      <c r="D535" s="39">
        <v>0</v>
      </c>
      <c r="E535" s="1" t="s">
        <v>1</v>
      </c>
      <c r="F535" s="39">
        <v>0</v>
      </c>
    </row>
    <row r="536" spans="1:6" x14ac:dyDescent="0.25">
      <c r="A536" s="1">
        <v>3001243</v>
      </c>
      <c r="B536" s="1" t="s">
        <v>2448</v>
      </c>
      <c r="C536" s="1" t="s">
        <v>2058</v>
      </c>
      <c r="D536" s="39">
        <v>0</v>
      </c>
      <c r="E536" s="1" t="s">
        <v>3</v>
      </c>
      <c r="F536" s="39">
        <v>0</v>
      </c>
    </row>
    <row r="537" spans="1:6" x14ac:dyDescent="0.25">
      <c r="A537" s="1">
        <v>3001244</v>
      </c>
      <c r="B537" s="1" t="s">
        <v>2449</v>
      </c>
      <c r="C537" s="1" t="s">
        <v>2058</v>
      </c>
      <c r="D537" s="39">
        <v>0</v>
      </c>
      <c r="E537" s="1" t="s">
        <v>3</v>
      </c>
      <c r="F537" s="39">
        <v>0</v>
      </c>
    </row>
    <row r="538" spans="1:6" x14ac:dyDescent="0.25">
      <c r="A538" s="1">
        <v>3001245</v>
      </c>
      <c r="B538" s="1" t="s">
        <v>2450</v>
      </c>
      <c r="C538" s="1" t="s">
        <v>2058</v>
      </c>
      <c r="D538" s="39">
        <v>0</v>
      </c>
      <c r="E538" s="1" t="s">
        <v>3</v>
      </c>
      <c r="F538" s="39">
        <v>0</v>
      </c>
    </row>
    <row r="539" spans="1:6" x14ac:dyDescent="0.25">
      <c r="A539" s="1">
        <v>3001246</v>
      </c>
      <c r="B539" s="1" t="s">
        <v>2451</v>
      </c>
      <c r="C539" s="1" t="s">
        <v>2058</v>
      </c>
      <c r="D539" s="39">
        <v>0</v>
      </c>
      <c r="E539" s="1" t="s">
        <v>3</v>
      </c>
      <c r="F539" s="39">
        <v>0</v>
      </c>
    </row>
    <row r="540" spans="1:6" x14ac:dyDescent="0.25">
      <c r="A540" s="1">
        <v>3001247</v>
      </c>
      <c r="B540" s="1" t="s">
        <v>2452</v>
      </c>
      <c r="C540" s="1" t="s">
        <v>2058</v>
      </c>
      <c r="D540" s="39">
        <v>0</v>
      </c>
      <c r="E540" s="1" t="s">
        <v>1</v>
      </c>
      <c r="F540" s="39">
        <v>0</v>
      </c>
    </row>
    <row r="541" spans="1:6" x14ac:dyDescent="0.25">
      <c r="A541" s="1">
        <v>3001248</v>
      </c>
      <c r="B541" s="1" t="s">
        <v>2453</v>
      </c>
      <c r="C541" s="1" t="s">
        <v>2058</v>
      </c>
      <c r="D541" s="39">
        <v>0</v>
      </c>
      <c r="E541" s="1" t="s">
        <v>1</v>
      </c>
      <c r="F541" s="39">
        <v>0</v>
      </c>
    </row>
    <row r="542" spans="1:6" x14ac:dyDescent="0.25">
      <c r="A542" s="1">
        <v>3001249</v>
      </c>
      <c r="B542" s="1" t="s">
        <v>2454</v>
      </c>
      <c r="C542" s="1" t="s">
        <v>2058</v>
      </c>
      <c r="D542" s="39">
        <v>0</v>
      </c>
      <c r="E542" s="1" t="s">
        <v>1</v>
      </c>
      <c r="F542" s="39">
        <v>0</v>
      </c>
    </row>
    <row r="543" spans="1:6" x14ac:dyDescent="0.25">
      <c r="A543" s="1">
        <v>3001250</v>
      </c>
      <c r="B543" s="1" t="s">
        <v>2455</v>
      </c>
      <c r="C543" s="1" t="s">
        <v>2058</v>
      </c>
      <c r="D543" s="39">
        <v>0</v>
      </c>
      <c r="E543" s="1" t="s">
        <v>1</v>
      </c>
      <c r="F543" s="39">
        <v>0</v>
      </c>
    </row>
    <row r="544" spans="1:6" x14ac:dyDescent="0.25">
      <c r="A544" s="1">
        <v>3001251</v>
      </c>
      <c r="B544" s="1" t="s">
        <v>2456</v>
      </c>
      <c r="C544" s="1" t="s">
        <v>2058</v>
      </c>
      <c r="D544" s="39">
        <v>0</v>
      </c>
      <c r="E544" s="1" t="s">
        <v>1</v>
      </c>
      <c r="F544" s="39">
        <v>0</v>
      </c>
    </row>
    <row r="545" spans="1:6" x14ac:dyDescent="0.25">
      <c r="A545" s="1">
        <v>3001252</v>
      </c>
      <c r="B545" s="1" t="s">
        <v>2457</v>
      </c>
      <c r="C545" s="1" t="s">
        <v>2058</v>
      </c>
      <c r="D545" s="39">
        <v>0</v>
      </c>
      <c r="E545" s="1" t="s">
        <v>1</v>
      </c>
      <c r="F545" s="39">
        <v>0</v>
      </c>
    </row>
    <row r="546" spans="1:6" x14ac:dyDescent="0.25">
      <c r="A546" s="1">
        <v>3001253</v>
      </c>
      <c r="B546" s="1" t="s">
        <v>2458</v>
      </c>
      <c r="C546" s="1" t="s">
        <v>2058</v>
      </c>
      <c r="D546" s="39">
        <v>0</v>
      </c>
      <c r="E546" s="1" t="s">
        <v>1</v>
      </c>
      <c r="F546" s="39">
        <v>0</v>
      </c>
    </row>
    <row r="547" spans="1:6" x14ac:dyDescent="0.25">
      <c r="A547" s="1">
        <v>3001254</v>
      </c>
      <c r="B547" s="1" t="s">
        <v>2459</v>
      </c>
      <c r="C547" s="1" t="s">
        <v>2058</v>
      </c>
      <c r="D547" s="39">
        <v>0</v>
      </c>
      <c r="E547" s="1" t="s">
        <v>1</v>
      </c>
      <c r="F547" s="39">
        <v>0</v>
      </c>
    </row>
    <row r="548" spans="1:6" x14ac:dyDescent="0.25">
      <c r="A548" s="1">
        <v>3001255</v>
      </c>
      <c r="B548" s="1" t="s">
        <v>2460</v>
      </c>
      <c r="C548" s="1" t="s">
        <v>2058</v>
      </c>
      <c r="D548" s="39">
        <v>0</v>
      </c>
      <c r="E548" s="1" t="s">
        <v>482</v>
      </c>
      <c r="F548" s="39">
        <v>0</v>
      </c>
    </row>
    <row r="549" spans="1:6" x14ac:dyDescent="0.25">
      <c r="A549" s="1">
        <v>3001256</v>
      </c>
      <c r="B549" s="1" t="s">
        <v>2461</v>
      </c>
      <c r="C549" s="1" t="s">
        <v>2058</v>
      </c>
      <c r="D549" s="39">
        <v>0</v>
      </c>
      <c r="E549" s="1" t="s">
        <v>1</v>
      </c>
      <c r="F549" s="39">
        <v>0</v>
      </c>
    </row>
    <row r="550" spans="1:6" x14ac:dyDescent="0.25">
      <c r="A550" s="1">
        <v>3001257</v>
      </c>
      <c r="B550" s="1" t="s">
        <v>283</v>
      </c>
      <c r="C550" s="1" t="s">
        <v>2058</v>
      </c>
      <c r="D550" s="39">
        <v>0</v>
      </c>
      <c r="E550" s="1" t="s">
        <v>1</v>
      </c>
      <c r="F550" s="39">
        <v>0</v>
      </c>
    </row>
    <row r="551" spans="1:6" x14ac:dyDescent="0.25">
      <c r="A551" s="1">
        <v>3001258</v>
      </c>
      <c r="B551" s="1" t="s">
        <v>288</v>
      </c>
      <c r="C551" s="1" t="s">
        <v>2058</v>
      </c>
      <c r="D551" s="39">
        <v>0</v>
      </c>
      <c r="E551" s="1" t="s">
        <v>1</v>
      </c>
      <c r="F551" s="39">
        <v>0</v>
      </c>
    </row>
    <row r="552" spans="1:6" x14ac:dyDescent="0.25">
      <c r="A552" s="1">
        <v>3001259</v>
      </c>
      <c r="B552" s="1" t="s">
        <v>2462</v>
      </c>
      <c r="C552" s="1" t="s">
        <v>2058</v>
      </c>
      <c r="D552" s="39">
        <v>0</v>
      </c>
      <c r="E552" s="1" t="s">
        <v>1</v>
      </c>
      <c r="F552" s="39">
        <v>0</v>
      </c>
    </row>
    <row r="553" spans="1:6" x14ac:dyDescent="0.25">
      <c r="A553" s="1">
        <v>3001260</v>
      </c>
      <c r="B553" s="1" t="s">
        <v>2463</v>
      </c>
      <c r="C553" s="1" t="s">
        <v>2058</v>
      </c>
      <c r="D553" s="39">
        <v>0</v>
      </c>
      <c r="E553" s="1" t="s">
        <v>1</v>
      </c>
      <c r="F553" s="39">
        <v>0</v>
      </c>
    </row>
    <row r="554" spans="1:6" x14ac:dyDescent="0.25">
      <c r="A554" s="1">
        <v>3001261</v>
      </c>
      <c r="B554" s="1" t="s">
        <v>2213</v>
      </c>
      <c r="C554" s="1" t="s">
        <v>2058</v>
      </c>
      <c r="D554" s="39">
        <v>0</v>
      </c>
      <c r="E554" s="1" t="s">
        <v>482</v>
      </c>
      <c r="F554" s="39">
        <v>0</v>
      </c>
    </row>
    <row r="555" spans="1:6" x14ac:dyDescent="0.25">
      <c r="A555" s="1">
        <v>3001262</v>
      </c>
      <c r="B555" s="1" t="s">
        <v>2212</v>
      </c>
      <c r="C555" s="1" t="s">
        <v>2058</v>
      </c>
      <c r="D555" s="39">
        <v>0</v>
      </c>
      <c r="E555" s="1" t="s">
        <v>482</v>
      </c>
      <c r="F555" s="39">
        <v>0</v>
      </c>
    </row>
    <row r="556" spans="1:6" x14ac:dyDescent="0.25">
      <c r="A556" s="1">
        <v>3001263</v>
      </c>
      <c r="B556" s="1" t="s">
        <v>2464</v>
      </c>
      <c r="C556" s="1" t="s">
        <v>2058</v>
      </c>
      <c r="D556" s="39">
        <v>0</v>
      </c>
      <c r="E556" s="1" t="s">
        <v>482</v>
      </c>
      <c r="F556" s="39">
        <v>0</v>
      </c>
    </row>
    <row r="557" spans="1:6" x14ac:dyDescent="0.25">
      <c r="A557" s="1">
        <v>3001264</v>
      </c>
      <c r="B557" s="1" t="s">
        <v>2210</v>
      </c>
      <c r="C557" s="1" t="s">
        <v>2058</v>
      </c>
      <c r="D557" s="39">
        <v>0</v>
      </c>
      <c r="E557" s="1" t="s">
        <v>482</v>
      </c>
      <c r="F557" s="39">
        <v>0</v>
      </c>
    </row>
    <row r="558" spans="1:6" x14ac:dyDescent="0.25">
      <c r="A558" s="1">
        <v>3001270</v>
      </c>
      <c r="B558" s="1" t="s">
        <v>2465</v>
      </c>
      <c r="C558" s="1" t="s">
        <v>2058</v>
      </c>
      <c r="D558" s="39">
        <v>0</v>
      </c>
      <c r="E558" s="1" t="s">
        <v>1</v>
      </c>
      <c r="F558" s="39">
        <v>0</v>
      </c>
    </row>
    <row r="559" spans="1:6" x14ac:dyDescent="0.25">
      <c r="A559" s="1">
        <v>3001271</v>
      </c>
      <c r="B559" s="1" t="s">
        <v>2086</v>
      </c>
      <c r="C559" s="1" t="s">
        <v>2058</v>
      </c>
      <c r="D559" s="39">
        <v>0</v>
      </c>
      <c r="E559" s="1" t="s">
        <v>1</v>
      </c>
      <c r="F559" s="39">
        <v>0</v>
      </c>
    </row>
    <row r="560" spans="1:6" x14ac:dyDescent="0.25">
      <c r="A560" s="1">
        <v>3001272</v>
      </c>
      <c r="B560" s="1" t="s">
        <v>2466</v>
      </c>
      <c r="C560" s="1" t="s">
        <v>2058</v>
      </c>
      <c r="D560" s="39">
        <v>0</v>
      </c>
      <c r="E560" s="1" t="s">
        <v>1</v>
      </c>
      <c r="F560" s="39">
        <v>0</v>
      </c>
    </row>
    <row r="561" spans="1:6" x14ac:dyDescent="0.25">
      <c r="A561" s="1">
        <v>3001273</v>
      </c>
      <c r="B561" s="1" t="s">
        <v>2467</v>
      </c>
      <c r="C561" s="1" t="s">
        <v>2058</v>
      </c>
      <c r="D561" s="39">
        <v>0</v>
      </c>
      <c r="E561" s="1" t="s">
        <v>1</v>
      </c>
      <c r="F561" s="39">
        <v>0</v>
      </c>
    </row>
    <row r="562" spans="1:6" x14ac:dyDescent="0.25">
      <c r="A562" s="1">
        <v>3001274</v>
      </c>
      <c r="B562" s="1" t="s">
        <v>2468</v>
      </c>
      <c r="C562" s="1" t="s">
        <v>2058</v>
      </c>
      <c r="D562" s="39">
        <v>0</v>
      </c>
      <c r="E562" s="1" t="s">
        <v>1</v>
      </c>
      <c r="F562" s="39">
        <v>0</v>
      </c>
    </row>
    <row r="563" spans="1:6" x14ac:dyDescent="0.25">
      <c r="A563" s="1">
        <v>3001275</v>
      </c>
      <c r="B563" s="1" t="s">
        <v>2469</v>
      </c>
      <c r="C563" s="1" t="s">
        <v>2058</v>
      </c>
      <c r="D563" s="39">
        <v>0</v>
      </c>
      <c r="E563" s="1" t="s">
        <v>1</v>
      </c>
      <c r="F563" s="39">
        <v>0</v>
      </c>
    </row>
    <row r="564" spans="1:6" x14ac:dyDescent="0.25">
      <c r="A564" s="1">
        <v>3001276</v>
      </c>
      <c r="B564" s="1" t="s">
        <v>2470</v>
      </c>
      <c r="C564" s="1" t="s">
        <v>2058</v>
      </c>
      <c r="D564" s="39">
        <v>0</v>
      </c>
      <c r="E564" s="1" t="s">
        <v>1</v>
      </c>
      <c r="F564" s="39">
        <v>0</v>
      </c>
    </row>
    <row r="565" spans="1:6" x14ac:dyDescent="0.25">
      <c r="A565" s="1">
        <v>3001277</v>
      </c>
      <c r="B565" s="1" t="s">
        <v>2471</v>
      </c>
      <c r="C565" s="1" t="s">
        <v>2058</v>
      </c>
      <c r="D565" s="39">
        <v>0</v>
      </c>
      <c r="E565" s="1" t="s">
        <v>1</v>
      </c>
      <c r="F565" s="39">
        <v>0</v>
      </c>
    </row>
    <row r="566" spans="1:6" x14ac:dyDescent="0.25">
      <c r="A566" s="1">
        <v>3001278</v>
      </c>
      <c r="B566" s="1" t="s">
        <v>2472</v>
      </c>
      <c r="C566" s="1" t="s">
        <v>2058</v>
      </c>
      <c r="D566" s="39">
        <v>0</v>
      </c>
      <c r="E566" s="1" t="s">
        <v>1</v>
      </c>
      <c r="F566" s="39">
        <v>0</v>
      </c>
    </row>
    <row r="567" spans="1:6" x14ac:dyDescent="0.25">
      <c r="A567" s="1">
        <v>3001279</v>
      </c>
      <c r="B567" s="1" t="s">
        <v>2473</v>
      </c>
      <c r="C567" s="1" t="s">
        <v>2058</v>
      </c>
      <c r="D567" s="39">
        <v>0</v>
      </c>
      <c r="E567" s="1" t="s">
        <v>1</v>
      </c>
      <c r="F567" s="39">
        <v>0</v>
      </c>
    </row>
    <row r="568" spans="1:6" x14ac:dyDescent="0.25">
      <c r="A568" s="1">
        <v>3001280</v>
      </c>
      <c r="B568" s="1" t="s">
        <v>2474</v>
      </c>
      <c r="C568" s="1" t="s">
        <v>2058</v>
      </c>
      <c r="D568" s="39">
        <v>0</v>
      </c>
      <c r="E568" s="1" t="s">
        <v>1</v>
      </c>
      <c r="F568" s="39">
        <v>0</v>
      </c>
    </row>
    <row r="569" spans="1:6" x14ac:dyDescent="0.25">
      <c r="A569" s="1">
        <v>3001281</v>
      </c>
      <c r="B569" s="1" t="s">
        <v>2475</v>
      </c>
      <c r="C569" s="1" t="s">
        <v>2058</v>
      </c>
      <c r="D569" s="39">
        <v>0</v>
      </c>
      <c r="E569" s="1" t="s">
        <v>1</v>
      </c>
      <c r="F569" s="39">
        <v>0</v>
      </c>
    </row>
    <row r="570" spans="1:6" x14ac:dyDescent="0.25">
      <c r="A570" s="1">
        <v>3001282</v>
      </c>
      <c r="B570" s="1" t="s">
        <v>2476</v>
      </c>
      <c r="C570" s="1" t="s">
        <v>2058</v>
      </c>
      <c r="D570" s="39">
        <v>0</v>
      </c>
      <c r="E570" s="1" t="s">
        <v>1</v>
      </c>
      <c r="F570" s="39">
        <v>0</v>
      </c>
    </row>
    <row r="571" spans="1:6" x14ac:dyDescent="0.25">
      <c r="A571" s="1">
        <v>3001283</v>
      </c>
      <c r="B571" s="1" t="s">
        <v>2477</v>
      </c>
      <c r="C571" s="1" t="s">
        <v>2058</v>
      </c>
      <c r="D571" s="39">
        <v>0</v>
      </c>
      <c r="E571" s="1" t="s">
        <v>1</v>
      </c>
      <c r="F571" s="39">
        <v>0</v>
      </c>
    </row>
    <row r="572" spans="1:6" x14ac:dyDescent="0.25">
      <c r="A572" s="1">
        <v>3001284</v>
      </c>
      <c r="B572" s="1" t="s">
        <v>2478</v>
      </c>
      <c r="C572" s="1" t="s">
        <v>2058</v>
      </c>
      <c r="D572" s="39">
        <v>0</v>
      </c>
      <c r="E572" s="1" t="s">
        <v>1</v>
      </c>
      <c r="F572" s="39">
        <v>0</v>
      </c>
    </row>
    <row r="573" spans="1:6" x14ac:dyDescent="0.25">
      <c r="A573" s="1">
        <v>3001285</v>
      </c>
      <c r="B573" s="1" t="s">
        <v>2479</v>
      </c>
      <c r="C573" s="1" t="s">
        <v>2058</v>
      </c>
      <c r="D573" s="39">
        <v>0</v>
      </c>
      <c r="E573" s="1" t="s">
        <v>1</v>
      </c>
      <c r="F573" s="39">
        <v>0</v>
      </c>
    </row>
    <row r="574" spans="1:6" x14ac:dyDescent="0.25">
      <c r="A574" s="1">
        <v>3001286</v>
      </c>
      <c r="B574" s="1" t="s">
        <v>2480</v>
      </c>
      <c r="C574" s="1" t="s">
        <v>2058</v>
      </c>
      <c r="D574" s="39">
        <v>0</v>
      </c>
      <c r="E574" s="1" t="s">
        <v>1</v>
      </c>
      <c r="F574" s="39">
        <v>0</v>
      </c>
    </row>
    <row r="575" spans="1:6" x14ac:dyDescent="0.25">
      <c r="A575" s="1">
        <v>3001287</v>
      </c>
      <c r="B575" s="1" t="s">
        <v>2481</v>
      </c>
      <c r="C575" s="1" t="s">
        <v>2058</v>
      </c>
      <c r="D575" s="39">
        <v>0</v>
      </c>
      <c r="E575" s="1" t="s">
        <v>1</v>
      </c>
      <c r="F575" s="39">
        <v>0</v>
      </c>
    </row>
    <row r="576" spans="1:6" x14ac:dyDescent="0.25">
      <c r="A576" s="1">
        <v>3001289</v>
      </c>
      <c r="B576" s="1" t="s">
        <v>2482</v>
      </c>
      <c r="C576" s="1" t="s">
        <v>2058</v>
      </c>
      <c r="D576" s="39">
        <v>0</v>
      </c>
      <c r="E576" s="1" t="s">
        <v>1</v>
      </c>
      <c r="F576" s="39">
        <v>0</v>
      </c>
    </row>
    <row r="577" spans="1:6" x14ac:dyDescent="0.25">
      <c r="A577" s="1">
        <v>3001290</v>
      </c>
      <c r="B577" s="1" t="s">
        <v>2483</v>
      </c>
      <c r="C577" s="1" t="s">
        <v>2058</v>
      </c>
      <c r="D577" s="39">
        <v>0</v>
      </c>
      <c r="E577" s="1" t="s">
        <v>1</v>
      </c>
      <c r="F577" s="39">
        <v>0</v>
      </c>
    </row>
    <row r="578" spans="1:6" x14ac:dyDescent="0.25">
      <c r="A578" s="1">
        <v>3001291</v>
      </c>
      <c r="B578" s="1" t="s">
        <v>2484</v>
      </c>
      <c r="C578" s="1" t="s">
        <v>2058</v>
      </c>
      <c r="D578" s="39">
        <v>0</v>
      </c>
      <c r="E578" s="1" t="s">
        <v>1</v>
      </c>
      <c r="F578" s="39">
        <v>0</v>
      </c>
    </row>
    <row r="579" spans="1:6" x14ac:dyDescent="0.25">
      <c r="A579" s="1">
        <v>3001293</v>
      </c>
      <c r="B579" s="1" t="s">
        <v>2485</v>
      </c>
      <c r="C579" s="1" t="s">
        <v>2058</v>
      </c>
      <c r="D579" s="39">
        <v>0</v>
      </c>
      <c r="E579" s="1" t="s">
        <v>1</v>
      </c>
      <c r="F579" s="39">
        <v>0</v>
      </c>
    </row>
    <row r="580" spans="1:6" x14ac:dyDescent="0.25">
      <c r="A580" s="1">
        <v>3001294</v>
      </c>
      <c r="B580" s="1" t="s">
        <v>2486</v>
      </c>
      <c r="C580" s="1" t="s">
        <v>2058</v>
      </c>
      <c r="D580" s="39">
        <v>0</v>
      </c>
      <c r="E580" s="1" t="s">
        <v>1</v>
      </c>
      <c r="F580" s="39">
        <v>0</v>
      </c>
    </row>
    <row r="581" spans="1:6" x14ac:dyDescent="0.25">
      <c r="A581" s="1">
        <v>3001295</v>
      </c>
      <c r="B581" s="1" t="s">
        <v>2487</v>
      </c>
      <c r="C581" s="1" t="s">
        <v>2058</v>
      </c>
      <c r="D581" s="39">
        <v>0</v>
      </c>
      <c r="E581" s="1" t="s">
        <v>1</v>
      </c>
      <c r="F581" s="39">
        <v>0</v>
      </c>
    </row>
    <row r="582" spans="1:6" x14ac:dyDescent="0.25">
      <c r="A582" s="1">
        <v>3001296</v>
      </c>
      <c r="B582" s="1" t="s">
        <v>2488</v>
      </c>
      <c r="C582" s="1" t="s">
        <v>2058</v>
      </c>
      <c r="D582" s="39">
        <v>0</v>
      </c>
      <c r="E582" s="1" t="s">
        <v>1</v>
      </c>
      <c r="F582" s="39">
        <v>0</v>
      </c>
    </row>
    <row r="583" spans="1:6" x14ac:dyDescent="0.25">
      <c r="A583" s="1">
        <v>3001297</v>
      </c>
      <c r="B583" s="1" t="s">
        <v>2489</v>
      </c>
      <c r="C583" s="1" t="s">
        <v>2058</v>
      </c>
      <c r="D583" s="39">
        <v>0</v>
      </c>
      <c r="E583" s="1" t="s">
        <v>1</v>
      </c>
      <c r="F583" s="39">
        <v>0</v>
      </c>
    </row>
    <row r="584" spans="1:6" x14ac:dyDescent="0.25">
      <c r="A584" s="1">
        <v>3001298</v>
      </c>
      <c r="B584" s="1" t="s">
        <v>2490</v>
      </c>
      <c r="C584" s="1" t="s">
        <v>2058</v>
      </c>
      <c r="D584" s="39">
        <v>0</v>
      </c>
      <c r="E584" s="1" t="s">
        <v>1</v>
      </c>
      <c r="F584" s="39">
        <v>0</v>
      </c>
    </row>
    <row r="585" spans="1:6" x14ac:dyDescent="0.25">
      <c r="A585" s="1">
        <v>3001299</v>
      </c>
      <c r="B585" s="1" t="s">
        <v>2491</v>
      </c>
      <c r="C585" s="1" t="s">
        <v>2058</v>
      </c>
      <c r="D585" s="39">
        <v>0</v>
      </c>
      <c r="E585" s="1" t="s">
        <v>1</v>
      </c>
      <c r="F585" s="39">
        <v>0</v>
      </c>
    </row>
    <row r="586" spans="1:6" x14ac:dyDescent="0.25">
      <c r="A586" s="1">
        <v>3001351</v>
      </c>
      <c r="B586" s="1" t="s">
        <v>2492</v>
      </c>
      <c r="C586" s="1" t="s">
        <v>2058</v>
      </c>
      <c r="D586" s="39">
        <v>0</v>
      </c>
      <c r="E586" s="1" t="s">
        <v>3</v>
      </c>
      <c r="F586" s="39">
        <v>0</v>
      </c>
    </row>
    <row r="587" spans="1:6" x14ac:dyDescent="0.25">
      <c r="A587" s="1">
        <v>3001352</v>
      </c>
      <c r="B587" s="1" t="s">
        <v>2493</v>
      </c>
      <c r="C587" s="1" t="s">
        <v>2058</v>
      </c>
      <c r="D587" s="39">
        <v>0</v>
      </c>
      <c r="E587" s="1" t="s">
        <v>3</v>
      </c>
      <c r="F587" s="39">
        <v>0</v>
      </c>
    </row>
    <row r="588" spans="1:6" x14ac:dyDescent="0.25">
      <c r="A588" s="1">
        <v>3001353</v>
      </c>
      <c r="B588" s="1" t="s">
        <v>2494</v>
      </c>
      <c r="C588" s="1" t="s">
        <v>2058</v>
      </c>
      <c r="D588" s="39">
        <v>0</v>
      </c>
      <c r="E588" s="1" t="s">
        <v>3</v>
      </c>
      <c r="F588" s="39">
        <v>0</v>
      </c>
    </row>
    <row r="589" spans="1:6" x14ac:dyDescent="0.25">
      <c r="A589" s="1">
        <v>3001354</v>
      </c>
      <c r="B589" s="1" t="s">
        <v>2495</v>
      </c>
      <c r="C589" s="1" t="s">
        <v>2058</v>
      </c>
      <c r="D589" s="39">
        <v>0</v>
      </c>
      <c r="E589" s="1" t="s">
        <v>1</v>
      </c>
      <c r="F589" s="39">
        <v>0</v>
      </c>
    </row>
    <row r="590" spans="1:6" x14ac:dyDescent="0.25">
      <c r="A590" s="1">
        <v>3001355</v>
      </c>
      <c r="B590" s="1" t="s">
        <v>2496</v>
      </c>
      <c r="C590" s="1" t="s">
        <v>2058</v>
      </c>
      <c r="D590" s="39">
        <v>0</v>
      </c>
      <c r="E590" s="1" t="s">
        <v>3</v>
      </c>
      <c r="F590" s="39">
        <v>0</v>
      </c>
    </row>
    <row r="591" spans="1:6" x14ac:dyDescent="0.25">
      <c r="A591" s="1">
        <v>3001356</v>
      </c>
      <c r="B591" s="1" t="s">
        <v>2497</v>
      </c>
      <c r="C591" s="1" t="s">
        <v>2058</v>
      </c>
      <c r="D591" s="39">
        <v>0</v>
      </c>
      <c r="E591" s="1" t="s">
        <v>3</v>
      </c>
      <c r="F591" s="39">
        <v>0</v>
      </c>
    </row>
    <row r="592" spans="1:6" x14ac:dyDescent="0.25">
      <c r="A592" s="1">
        <v>3001360</v>
      </c>
      <c r="B592" s="1" t="s">
        <v>82</v>
      </c>
      <c r="C592" s="1" t="s">
        <v>2058</v>
      </c>
      <c r="D592" s="39">
        <v>0</v>
      </c>
      <c r="E592" s="1" t="s">
        <v>1</v>
      </c>
      <c r="F592" s="39">
        <v>0</v>
      </c>
    </row>
    <row r="593" spans="1:6" x14ac:dyDescent="0.25">
      <c r="A593" s="1">
        <v>3001361</v>
      </c>
      <c r="B593" s="1" t="s">
        <v>2498</v>
      </c>
      <c r="C593" s="1" t="s">
        <v>2058</v>
      </c>
      <c r="D593" s="39">
        <v>0</v>
      </c>
      <c r="E593" s="1" t="s">
        <v>1</v>
      </c>
      <c r="F593" s="39">
        <v>0</v>
      </c>
    </row>
    <row r="594" spans="1:6" x14ac:dyDescent="0.25">
      <c r="A594" s="1">
        <v>3001362</v>
      </c>
      <c r="B594" s="1" t="s">
        <v>2499</v>
      </c>
      <c r="C594" s="1" t="s">
        <v>2058</v>
      </c>
      <c r="D594" s="39">
        <v>0</v>
      </c>
      <c r="E594" s="1" t="s">
        <v>1</v>
      </c>
      <c r="F594" s="39">
        <v>0</v>
      </c>
    </row>
    <row r="595" spans="1:6" x14ac:dyDescent="0.25">
      <c r="A595" s="1">
        <v>3001424</v>
      </c>
      <c r="B595" s="1" t="s">
        <v>2500</v>
      </c>
      <c r="C595" s="1" t="s">
        <v>2058</v>
      </c>
      <c r="D595" s="39">
        <v>0</v>
      </c>
      <c r="E595" s="1" t="s">
        <v>1</v>
      </c>
      <c r="F595" s="39">
        <v>0</v>
      </c>
    </row>
    <row r="596" spans="1:6" x14ac:dyDescent="0.25">
      <c r="A596" s="1">
        <v>3001432</v>
      </c>
      <c r="B596" s="1" t="s">
        <v>2501</v>
      </c>
      <c r="C596" s="1" t="s">
        <v>2058</v>
      </c>
      <c r="D596" s="39">
        <v>0</v>
      </c>
      <c r="E596" s="1" t="s">
        <v>1</v>
      </c>
      <c r="F596" s="39">
        <v>0</v>
      </c>
    </row>
    <row r="597" spans="1:6" x14ac:dyDescent="0.25">
      <c r="A597" s="1">
        <v>3001433</v>
      </c>
      <c r="B597" s="1" t="s">
        <v>2502</v>
      </c>
      <c r="C597" s="1" t="s">
        <v>2058</v>
      </c>
      <c r="D597" s="39">
        <v>0</v>
      </c>
      <c r="E597" s="1" t="s">
        <v>1</v>
      </c>
      <c r="F597" s="39">
        <v>0</v>
      </c>
    </row>
    <row r="598" spans="1:6" x14ac:dyDescent="0.25">
      <c r="A598" s="1">
        <v>3001440</v>
      </c>
      <c r="B598" s="1" t="s">
        <v>2503</v>
      </c>
      <c r="C598" s="1" t="s">
        <v>2058</v>
      </c>
      <c r="D598" s="39">
        <v>0</v>
      </c>
      <c r="E598" s="1" t="s">
        <v>3</v>
      </c>
      <c r="F598" s="39">
        <v>0</v>
      </c>
    </row>
    <row r="599" spans="1:6" x14ac:dyDescent="0.25">
      <c r="A599" s="1">
        <v>3001450</v>
      </c>
      <c r="B599" s="1" t="s">
        <v>2504</v>
      </c>
      <c r="C599" s="1" t="s">
        <v>2058</v>
      </c>
      <c r="D599" s="39">
        <v>0</v>
      </c>
      <c r="E599" s="1" t="s">
        <v>1</v>
      </c>
      <c r="F599" s="39">
        <v>0</v>
      </c>
    </row>
    <row r="600" spans="1:6" x14ac:dyDescent="0.25">
      <c r="A600" s="1">
        <v>3001451</v>
      </c>
      <c r="B600" s="1" t="s">
        <v>1135</v>
      </c>
      <c r="C600" s="1" t="s">
        <v>2058</v>
      </c>
      <c r="D600" s="39">
        <v>0</v>
      </c>
      <c r="E600" s="1" t="s">
        <v>1</v>
      </c>
      <c r="F600" s="39">
        <v>0</v>
      </c>
    </row>
    <row r="601" spans="1:6" x14ac:dyDescent="0.25">
      <c r="A601" s="1">
        <v>3001452</v>
      </c>
      <c r="B601" s="1" t="s">
        <v>2505</v>
      </c>
      <c r="C601" s="1" t="s">
        <v>2058</v>
      </c>
      <c r="D601" s="39">
        <v>0</v>
      </c>
      <c r="E601" s="1" t="s">
        <v>1</v>
      </c>
      <c r="F601" s="39">
        <v>0</v>
      </c>
    </row>
    <row r="602" spans="1:6" x14ac:dyDescent="0.25">
      <c r="A602" s="1">
        <v>3001466</v>
      </c>
      <c r="B602" s="1" t="s">
        <v>2506</v>
      </c>
      <c r="C602" s="1" t="s">
        <v>2058</v>
      </c>
      <c r="D602" s="39">
        <v>0</v>
      </c>
      <c r="E602" s="1" t="s">
        <v>1</v>
      </c>
      <c r="F602" s="39">
        <v>0</v>
      </c>
    </row>
    <row r="603" spans="1:6" x14ac:dyDescent="0.25">
      <c r="A603" s="1">
        <v>3001467</v>
      </c>
      <c r="B603" s="1" t="s">
        <v>886</v>
      </c>
      <c r="C603" s="1" t="s">
        <v>2058</v>
      </c>
      <c r="D603" s="39">
        <v>6681</v>
      </c>
      <c r="E603" s="1" t="s">
        <v>1</v>
      </c>
      <c r="F603" s="3">
        <v>693.49</v>
      </c>
    </row>
    <row r="604" spans="1:6" x14ac:dyDescent="0.25">
      <c r="A604" s="1">
        <v>3001472</v>
      </c>
      <c r="B604" s="1" t="s">
        <v>2507</v>
      </c>
      <c r="C604" s="1" t="s">
        <v>2058</v>
      </c>
      <c r="D604" s="39">
        <v>0</v>
      </c>
      <c r="E604" s="1" t="s">
        <v>3</v>
      </c>
      <c r="F604" s="39">
        <v>0</v>
      </c>
    </row>
    <row r="605" spans="1:6" x14ac:dyDescent="0.25">
      <c r="A605" s="1">
        <v>3001473</v>
      </c>
      <c r="B605" s="1" t="s">
        <v>2508</v>
      </c>
      <c r="C605" s="1" t="s">
        <v>2058</v>
      </c>
      <c r="D605" s="39">
        <v>0</v>
      </c>
      <c r="E605" s="1" t="s">
        <v>3</v>
      </c>
      <c r="F605" s="39">
        <v>0</v>
      </c>
    </row>
    <row r="606" spans="1:6" x14ac:dyDescent="0.25">
      <c r="A606" s="1">
        <v>3001474</v>
      </c>
      <c r="B606" s="1" t="s">
        <v>2509</v>
      </c>
      <c r="C606" s="1" t="s">
        <v>2058</v>
      </c>
      <c r="D606" s="39">
        <v>0</v>
      </c>
      <c r="E606" s="1" t="s">
        <v>3</v>
      </c>
      <c r="F606" s="39">
        <v>0</v>
      </c>
    </row>
    <row r="607" spans="1:6" x14ac:dyDescent="0.25">
      <c r="A607" s="1">
        <v>3001475</v>
      </c>
      <c r="B607" s="1" t="s">
        <v>978</v>
      </c>
      <c r="C607" s="1" t="s">
        <v>2058</v>
      </c>
      <c r="D607" s="40">
        <v>1715.4079999999999</v>
      </c>
      <c r="E607" s="1" t="s">
        <v>3</v>
      </c>
      <c r="F607" s="3">
        <v>42675.06</v>
      </c>
    </row>
    <row r="608" spans="1:6" x14ac:dyDescent="0.25">
      <c r="A608" s="1">
        <v>3001476</v>
      </c>
      <c r="B608" s="1" t="s">
        <v>969</v>
      </c>
      <c r="C608" s="1" t="s">
        <v>2058</v>
      </c>
      <c r="D608" s="39">
        <v>0</v>
      </c>
      <c r="E608" s="1" t="s">
        <v>3</v>
      </c>
      <c r="F608" s="39">
        <v>0</v>
      </c>
    </row>
    <row r="609" spans="1:6" x14ac:dyDescent="0.25">
      <c r="A609" s="1">
        <v>3001477</v>
      </c>
      <c r="B609" s="1" t="s">
        <v>982</v>
      </c>
      <c r="C609" s="1" t="s">
        <v>2058</v>
      </c>
      <c r="D609" s="40">
        <v>59.103999999999999</v>
      </c>
      <c r="E609" s="1" t="s">
        <v>3</v>
      </c>
      <c r="F609" s="3">
        <v>1419.88</v>
      </c>
    </row>
    <row r="610" spans="1:6" x14ac:dyDescent="0.25">
      <c r="A610" s="1">
        <v>3001478</v>
      </c>
      <c r="B610" s="1" t="s">
        <v>2510</v>
      </c>
      <c r="C610" s="1" t="s">
        <v>2058</v>
      </c>
      <c r="D610" s="39">
        <v>0</v>
      </c>
      <c r="E610" s="1" t="s">
        <v>3</v>
      </c>
      <c r="F610" s="39">
        <v>0</v>
      </c>
    </row>
    <row r="611" spans="1:6" x14ac:dyDescent="0.25">
      <c r="A611" s="1">
        <v>3001479</v>
      </c>
      <c r="B611" s="1" t="s">
        <v>974</v>
      </c>
      <c r="C611" s="1" t="s">
        <v>2058</v>
      </c>
      <c r="D611" s="40">
        <v>8713.7999999999993</v>
      </c>
      <c r="E611" s="1" t="s">
        <v>3</v>
      </c>
      <c r="F611" s="3">
        <v>213278.97</v>
      </c>
    </row>
    <row r="612" spans="1:6" x14ac:dyDescent="0.25">
      <c r="A612" s="1">
        <v>3001481</v>
      </c>
      <c r="B612" s="1" t="s">
        <v>2511</v>
      </c>
      <c r="C612" s="1" t="s">
        <v>2058</v>
      </c>
      <c r="D612" s="39">
        <v>0</v>
      </c>
      <c r="E612" s="1" t="s">
        <v>3</v>
      </c>
      <c r="F612" s="39">
        <v>0</v>
      </c>
    </row>
    <row r="613" spans="1:6" x14ac:dyDescent="0.25">
      <c r="A613" s="1">
        <v>3001482</v>
      </c>
      <c r="B613" s="1" t="s">
        <v>2512</v>
      </c>
      <c r="C613" s="1" t="s">
        <v>2058</v>
      </c>
      <c r="D613" s="39">
        <v>0</v>
      </c>
      <c r="E613" s="1" t="s">
        <v>3</v>
      </c>
      <c r="F613" s="39">
        <v>0</v>
      </c>
    </row>
    <row r="614" spans="1:6" x14ac:dyDescent="0.25">
      <c r="A614" s="1">
        <v>3001483</v>
      </c>
      <c r="B614" s="1" t="s">
        <v>2513</v>
      </c>
      <c r="C614" s="1" t="s">
        <v>2058</v>
      </c>
      <c r="D614" s="39">
        <v>0</v>
      </c>
      <c r="E614" s="1" t="s">
        <v>3</v>
      </c>
      <c r="F614" s="39">
        <v>0</v>
      </c>
    </row>
    <row r="615" spans="1:6" x14ac:dyDescent="0.25">
      <c r="A615" s="1">
        <v>3001485</v>
      </c>
      <c r="B615" s="1" t="s">
        <v>2514</v>
      </c>
      <c r="C615" s="1" t="s">
        <v>2058</v>
      </c>
      <c r="D615" s="39">
        <v>0</v>
      </c>
      <c r="E615" s="1" t="s">
        <v>1</v>
      </c>
      <c r="F615" s="39">
        <v>0</v>
      </c>
    </row>
    <row r="616" spans="1:6" x14ac:dyDescent="0.25">
      <c r="A616" s="1">
        <v>3001486</v>
      </c>
      <c r="B616" s="1" t="s">
        <v>232</v>
      </c>
      <c r="C616" s="1" t="s">
        <v>2058</v>
      </c>
      <c r="D616" s="39">
        <v>0</v>
      </c>
      <c r="E616" s="1" t="s">
        <v>1</v>
      </c>
      <c r="F616" s="39">
        <v>0</v>
      </c>
    </row>
    <row r="617" spans="1:6" x14ac:dyDescent="0.25">
      <c r="A617" s="1">
        <v>3001560</v>
      </c>
      <c r="B617" s="1" t="s">
        <v>2515</v>
      </c>
      <c r="C617" s="1" t="s">
        <v>2058</v>
      </c>
      <c r="D617" s="39">
        <v>0</v>
      </c>
      <c r="E617" s="1" t="s">
        <v>1</v>
      </c>
      <c r="F617" s="39">
        <v>0</v>
      </c>
    </row>
    <row r="618" spans="1:6" x14ac:dyDescent="0.25">
      <c r="A618" s="1">
        <v>3001574</v>
      </c>
      <c r="B618" s="1" t="s">
        <v>2516</v>
      </c>
      <c r="C618" s="1" t="s">
        <v>2058</v>
      </c>
      <c r="D618" s="39">
        <v>0</v>
      </c>
      <c r="E618" s="1" t="s">
        <v>3</v>
      </c>
      <c r="F618" s="39">
        <v>0</v>
      </c>
    </row>
    <row r="619" spans="1:6" x14ac:dyDescent="0.25">
      <c r="A619" s="1">
        <v>3001575</v>
      </c>
      <c r="B619" s="1" t="s">
        <v>2517</v>
      </c>
      <c r="C619" s="1" t="s">
        <v>2058</v>
      </c>
      <c r="D619" s="39">
        <v>0</v>
      </c>
      <c r="E619" s="1" t="s">
        <v>3</v>
      </c>
      <c r="F619" s="39">
        <v>0</v>
      </c>
    </row>
    <row r="620" spans="1:6" x14ac:dyDescent="0.25">
      <c r="A620" s="1">
        <v>3001576</v>
      </c>
      <c r="B620" s="1" t="s">
        <v>2518</v>
      </c>
      <c r="C620" s="1" t="s">
        <v>2058</v>
      </c>
      <c r="D620" s="39">
        <v>0</v>
      </c>
      <c r="E620" s="1" t="s">
        <v>3</v>
      </c>
      <c r="F620" s="39">
        <v>0</v>
      </c>
    </row>
    <row r="621" spans="1:6" x14ac:dyDescent="0.25">
      <c r="A621" s="1">
        <v>3001577</v>
      </c>
      <c r="B621" s="1" t="s">
        <v>2519</v>
      </c>
      <c r="C621" s="1" t="s">
        <v>2058</v>
      </c>
      <c r="D621" s="39">
        <v>0</v>
      </c>
      <c r="E621" s="1" t="s">
        <v>3</v>
      </c>
      <c r="F621" s="39">
        <v>0</v>
      </c>
    </row>
    <row r="622" spans="1:6" x14ac:dyDescent="0.25">
      <c r="A622" s="1">
        <v>3001578</v>
      </c>
      <c r="B622" s="1" t="s">
        <v>2520</v>
      </c>
      <c r="C622" s="1" t="s">
        <v>2058</v>
      </c>
      <c r="D622" s="39">
        <v>0</v>
      </c>
      <c r="E622" s="1" t="s">
        <v>3</v>
      </c>
      <c r="F622" s="39">
        <v>0</v>
      </c>
    </row>
    <row r="623" spans="1:6" x14ac:dyDescent="0.25">
      <c r="A623" s="1">
        <v>3001579</v>
      </c>
      <c r="B623" s="1" t="s">
        <v>2521</v>
      </c>
      <c r="C623" s="1" t="s">
        <v>2058</v>
      </c>
      <c r="D623" s="39">
        <v>0</v>
      </c>
      <c r="E623" s="1" t="s">
        <v>3</v>
      </c>
      <c r="F623" s="39">
        <v>0</v>
      </c>
    </row>
    <row r="624" spans="1:6" x14ac:dyDescent="0.25">
      <c r="A624" s="1">
        <v>3001582</v>
      </c>
      <c r="B624" s="1" t="s">
        <v>2522</v>
      </c>
      <c r="C624" s="1" t="s">
        <v>2058</v>
      </c>
      <c r="D624" s="39">
        <v>0</v>
      </c>
      <c r="E624" s="1" t="s">
        <v>3</v>
      </c>
      <c r="F624" s="39">
        <v>0</v>
      </c>
    </row>
    <row r="625" spans="1:6" x14ac:dyDescent="0.25">
      <c r="A625" s="1">
        <v>3001590</v>
      </c>
      <c r="B625" s="1" t="s">
        <v>2523</v>
      </c>
      <c r="C625" s="1" t="s">
        <v>2058</v>
      </c>
      <c r="D625" s="39">
        <v>0</v>
      </c>
      <c r="E625" s="1" t="s">
        <v>3</v>
      </c>
      <c r="F625" s="39">
        <v>0</v>
      </c>
    </row>
    <row r="626" spans="1:6" x14ac:dyDescent="0.25">
      <c r="A626" s="1">
        <v>3001600</v>
      </c>
      <c r="B626" s="1" t="s">
        <v>2524</v>
      </c>
      <c r="C626" s="1" t="s">
        <v>2058</v>
      </c>
      <c r="D626" s="39">
        <v>0</v>
      </c>
      <c r="E626" s="1" t="s">
        <v>3</v>
      </c>
      <c r="F626" s="39">
        <v>0</v>
      </c>
    </row>
    <row r="627" spans="1:6" x14ac:dyDescent="0.25">
      <c r="A627" s="1">
        <v>3001601</v>
      </c>
      <c r="B627" s="1" t="s">
        <v>2525</v>
      </c>
      <c r="C627" s="1" t="s">
        <v>2058</v>
      </c>
      <c r="D627" s="39">
        <v>0</v>
      </c>
      <c r="E627" s="1" t="s">
        <v>3</v>
      </c>
      <c r="F627" s="39">
        <v>0</v>
      </c>
    </row>
    <row r="628" spans="1:6" x14ac:dyDescent="0.25">
      <c r="A628" s="1">
        <v>3001602</v>
      </c>
      <c r="B628" s="1" t="s">
        <v>2526</v>
      </c>
      <c r="C628" s="1" t="s">
        <v>2058</v>
      </c>
      <c r="D628" s="39">
        <v>0</v>
      </c>
      <c r="E628" s="1" t="s">
        <v>3</v>
      </c>
      <c r="F628" s="39">
        <v>0</v>
      </c>
    </row>
    <row r="629" spans="1:6" x14ac:dyDescent="0.25">
      <c r="A629" s="1">
        <v>3001603</v>
      </c>
      <c r="B629" s="1" t="s">
        <v>2527</v>
      </c>
      <c r="C629" s="1" t="s">
        <v>2058</v>
      </c>
      <c r="D629" s="39">
        <v>0</v>
      </c>
      <c r="E629" s="1" t="s">
        <v>3</v>
      </c>
      <c r="F629" s="39">
        <v>0</v>
      </c>
    </row>
    <row r="630" spans="1:6" x14ac:dyDescent="0.25">
      <c r="A630" s="1">
        <v>3001604</v>
      </c>
      <c r="B630" s="1" t="s">
        <v>2528</v>
      </c>
      <c r="C630" s="1" t="s">
        <v>2058</v>
      </c>
      <c r="D630" s="39">
        <v>0</v>
      </c>
      <c r="E630" s="1" t="s">
        <v>3</v>
      </c>
      <c r="F630" s="39">
        <v>0</v>
      </c>
    </row>
    <row r="631" spans="1:6" x14ac:dyDescent="0.25">
      <c r="A631" s="1">
        <v>3001609</v>
      </c>
      <c r="B631" s="1" t="s">
        <v>65</v>
      </c>
      <c r="C631" s="1" t="s">
        <v>2058</v>
      </c>
      <c r="D631" s="39">
        <v>5391</v>
      </c>
      <c r="E631" s="1" t="s">
        <v>1</v>
      </c>
      <c r="F631" s="3">
        <v>8905.39</v>
      </c>
    </row>
    <row r="632" spans="1:6" x14ac:dyDescent="0.25">
      <c r="A632" s="1">
        <v>3001610</v>
      </c>
      <c r="B632" s="1" t="s">
        <v>75</v>
      </c>
      <c r="C632" s="1" t="s">
        <v>2058</v>
      </c>
      <c r="D632" s="39">
        <v>15838</v>
      </c>
      <c r="E632" s="1" t="s">
        <v>1</v>
      </c>
      <c r="F632" s="3">
        <v>38595.620000000003</v>
      </c>
    </row>
    <row r="633" spans="1:6" x14ac:dyDescent="0.25">
      <c r="A633" s="1">
        <v>3001611</v>
      </c>
      <c r="B633" s="1" t="s">
        <v>2529</v>
      </c>
      <c r="C633" s="1" t="s">
        <v>2058</v>
      </c>
      <c r="D633" s="39">
        <v>0</v>
      </c>
      <c r="E633" s="1" t="s">
        <v>3</v>
      </c>
      <c r="F633" s="39">
        <v>0</v>
      </c>
    </row>
    <row r="634" spans="1:6" x14ac:dyDescent="0.25">
      <c r="A634" s="1">
        <v>3001643</v>
      </c>
      <c r="B634" s="1" t="s">
        <v>378</v>
      </c>
      <c r="C634" s="1" t="s">
        <v>2058</v>
      </c>
      <c r="D634" s="39">
        <v>3113</v>
      </c>
      <c r="E634" s="1" t="s">
        <v>1</v>
      </c>
      <c r="F634" s="3">
        <v>5014.74</v>
      </c>
    </row>
    <row r="635" spans="1:6" x14ac:dyDescent="0.25">
      <c r="A635" s="1">
        <v>3001651</v>
      </c>
      <c r="B635" s="1" t="s">
        <v>2530</v>
      </c>
      <c r="C635" s="1" t="s">
        <v>2058</v>
      </c>
      <c r="D635" s="39">
        <v>0</v>
      </c>
      <c r="E635" s="1" t="s">
        <v>3</v>
      </c>
      <c r="F635" s="39">
        <v>0</v>
      </c>
    </row>
    <row r="636" spans="1:6" x14ac:dyDescent="0.25">
      <c r="A636" s="1">
        <v>3001664</v>
      </c>
      <c r="B636" s="1" t="s">
        <v>2531</v>
      </c>
      <c r="C636" s="1" t="s">
        <v>2058</v>
      </c>
      <c r="D636" s="39">
        <v>0</v>
      </c>
      <c r="E636" s="1" t="s">
        <v>3</v>
      </c>
      <c r="F636" s="39">
        <v>0</v>
      </c>
    </row>
    <row r="637" spans="1:6" x14ac:dyDescent="0.25">
      <c r="A637" s="1">
        <v>3001665</v>
      </c>
      <c r="B637" s="1" t="s">
        <v>2532</v>
      </c>
      <c r="C637" s="1" t="s">
        <v>2058</v>
      </c>
      <c r="D637" s="39">
        <v>0</v>
      </c>
      <c r="E637" s="1" t="s">
        <v>3</v>
      </c>
      <c r="F637" s="39">
        <v>0</v>
      </c>
    </row>
    <row r="638" spans="1:6" x14ac:dyDescent="0.25">
      <c r="A638" s="1">
        <v>3001666</v>
      </c>
      <c r="B638" s="1" t="s">
        <v>2533</v>
      </c>
      <c r="C638" s="1" t="s">
        <v>2058</v>
      </c>
      <c r="D638" s="39">
        <v>0</v>
      </c>
      <c r="E638" s="1" t="s">
        <v>3</v>
      </c>
      <c r="F638" s="39">
        <v>0</v>
      </c>
    </row>
    <row r="639" spans="1:6" x14ac:dyDescent="0.25">
      <c r="A639" s="1">
        <v>3001667</v>
      </c>
      <c r="B639" s="1" t="s">
        <v>2534</v>
      </c>
      <c r="C639" s="1" t="s">
        <v>2058</v>
      </c>
      <c r="D639" s="39">
        <v>0</v>
      </c>
      <c r="E639" s="1" t="s">
        <v>3</v>
      </c>
      <c r="F639" s="39">
        <v>0</v>
      </c>
    </row>
    <row r="640" spans="1:6" x14ac:dyDescent="0.25">
      <c r="A640" s="1">
        <v>3001710</v>
      </c>
      <c r="B640" s="1" t="s">
        <v>1437</v>
      </c>
      <c r="C640" s="1" t="s">
        <v>2058</v>
      </c>
      <c r="D640" s="39">
        <v>93632</v>
      </c>
      <c r="E640" s="1" t="s">
        <v>1</v>
      </c>
      <c r="F640" s="3">
        <v>35308.629999999997</v>
      </c>
    </row>
    <row r="641" spans="1:6" x14ac:dyDescent="0.25">
      <c r="A641" s="1">
        <v>3001711</v>
      </c>
      <c r="B641" s="1" t="s">
        <v>1443</v>
      </c>
      <c r="C641" s="1" t="s">
        <v>2058</v>
      </c>
      <c r="D641" s="39">
        <v>2236</v>
      </c>
      <c r="E641" s="1" t="s">
        <v>1</v>
      </c>
      <c r="F641" s="3">
        <v>2227.5</v>
      </c>
    </row>
    <row r="642" spans="1:6" x14ac:dyDescent="0.25">
      <c r="A642" s="1">
        <v>3001722</v>
      </c>
      <c r="B642" s="1" t="s">
        <v>1768</v>
      </c>
      <c r="C642" s="1" t="s">
        <v>2058</v>
      </c>
      <c r="D642" s="39">
        <v>0</v>
      </c>
      <c r="E642" s="1" t="s">
        <v>1</v>
      </c>
      <c r="F642" s="39">
        <v>0</v>
      </c>
    </row>
    <row r="643" spans="1:6" x14ac:dyDescent="0.25">
      <c r="A643" s="1">
        <v>3001731</v>
      </c>
      <c r="B643" s="1" t="s">
        <v>2535</v>
      </c>
      <c r="C643" s="1" t="s">
        <v>2058</v>
      </c>
      <c r="D643" s="39">
        <v>0</v>
      </c>
      <c r="E643" s="1" t="s">
        <v>3</v>
      </c>
      <c r="F643" s="39">
        <v>0</v>
      </c>
    </row>
    <row r="644" spans="1:6" x14ac:dyDescent="0.25">
      <c r="A644" s="1">
        <v>3001732</v>
      </c>
      <c r="B644" s="1" t="s">
        <v>1470</v>
      </c>
      <c r="C644" s="1" t="s">
        <v>2058</v>
      </c>
      <c r="D644" s="39">
        <v>113</v>
      </c>
      <c r="E644" s="1" t="s">
        <v>1</v>
      </c>
      <c r="F644" s="3">
        <v>11031.92</v>
      </c>
    </row>
    <row r="645" spans="1:6" x14ac:dyDescent="0.25">
      <c r="A645" s="1">
        <v>3001733</v>
      </c>
      <c r="B645" s="1" t="s">
        <v>1467</v>
      </c>
      <c r="C645" s="1" t="s">
        <v>2058</v>
      </c>
      <c r="D645" s="39">
        <v>123</v>
      </c>
      <c r="E645" s="1" t="s">
        <v>1</v>
      </c>
      <c r="F645" s="3">
        <v>11774.43</v>
      </c>
    </row>
    <row r="646" spans="1:6" x14ac:dyDescent="0.25">
      <c r="A646" s="1">
        <v>3001734</v>
      </c>
      <c r="B646" s="1" t="s">
        <v>2536</v>
      </c>
      <c r="C646" s="1" t="s">
        <v>2058</v>
      </c>
      <c r="D646" s="39">
        <v>0</v>
      </c>
      <c r="E646" s="1" t="s">
        <v>3</v>
      </c>
      <c r="F646" s="39">
        <v>0</v>
      </c>
    </row>
    <row r="647" spans="1:6" x14ac:dyDescent="0.25">
      <c r="A647" s="1">
        <v>3001742</v>
      </c>
      <c r="B647" s="1" t="s">
        <v>2537</v>
      </c>
      <c r="C647" s="1" t="s">
        <v>2058</v>
      </c>
      <c r="D647" s="39">
        <v>0</v>
      </c>
      <c r="E647" s="1" t="s">
        <v>3</v>
      </c>
      <c r="F647" s="39">
        <v>0</v>
      </c>
    </row>
    <row r="648" spans="1:6" x14ac:dyDescent="0.25">
      <c r="A648" s="1">
        <v>3001750</v>
      </c>
      <c r="B648" s="1" t="s">
        <v>1763</v>
      </c>
      <c r="C648" s="1" t="s">
        <v>2058</v>
      </c>
      <c r="D648" s="39">
        <v>255</v>
      </c>
      <c r="E648" s="1" t="s">
        <v>1</v>
      </c>
      <c r="F648" s="3">
        <v>600.75</v>
      </c>
    </row>
    <row r="649" spans="1:6" x14ac:dyDescent="0.25">
      <c r="A649" s="1">
        <v>3001770</v>
      </c>
      <c r="B649" s="1" t="s">
        <v>1764</v>
      </c>
      <c r="C649" s="1" t="s">
        <v>2058</v>
      </c>
      <c r="D649" s="39">
        <v>0</v>
      </c>
      <c r="E649" s="1" t="s">
        <v>1</v>
      </c>
      <c r="F649" s="39">
        <v>0</v>
      </c>
    </row>
    <row r="650" spans="1:6" x14ac:dyDescent="0.25">
      <c r="A650" s="1">
        <v>3001790</v>
      </c>
      <c r="B650" s="1" t="s">
        <v>2538</v>
      </c>
      <c r="C650" s="1" t="s">
        <v>2058</v>
      </c>
      <c r="D650" s="39">
        <v>0</v>
      </c>
      <c r="E650" s="1" t="s">
        <v>3</v>
      </c>
      <c r="F650" s="39">
        <v>0</v>
      </c>
    </row>
    <row r="651" spans="1:6" x14ac:dyDescent="0.25">
      <c r="A651" s="1">
        <v>3001852</v>
      </c>
      <c r="B651" s="1" t="s">
        <v>1757</v>
      </c>
      <c r="C651" s="1" t="s">
        <v>2058</v>
      </c>
      <c r="D651" s="39">
        <v>0</v>
      </c>
      <c r="E651" s="1" t="s">
        <v>1</v>
      </c>
      <c r="F651" s="39">
        <v>0</v>
      </c>
    </row>
    <row r="652" spans="1:6" x14ac:dyDescent="0.25">
      <c r="A652" s="1">
        <v>3001887</v>
      </c>
      <c r="B652" s="1" t="s">
        <v>2539</v>
      </c>
      <c r="C652" s="1" t="s">
        <v>2058</v>
      </c>
      <c r="D652" s="39">
        <v>0</v>
      </c>
      <c r="E652" s="1" t="s">
        <v>3</v>
      </c>
      <c r="F652" s="39">
        <v>0</v>
      </c>
    </row>
    <row r="653" spans="1:6" x14ac:dyDescent="0.25">
      <c r="A653" s="1">
        <v>3001894</v>
      </c>
      <c r="B653" s="1" t="s">
        <v>2540</v>
      </c>
      <c r="C653" s="1" t="s">
        <v>2058</v>
      </c>
      <c r="D653" s="39">
        <v>0</v>
      </c>
      <c r="E653" s="1" t="s">
        <v>1</v>
      </c>
      <c r="F653" s="39">
        <v>0</v>
      </c>
    </row>
    <row r="654" spans="1:6" x14ac:dyDescent="0.25">
      <c r="A654" s="1">
        <v>3001906</v>
      </c>
      <c r="B654" s="1" t="s">
        <v>2541</v>
      </c>
      <c r="C654" s="1" t="s">
        <v>2058</v>
      </c>
      <c r="D654" s="39">
        <v>0</v>
      </c>
      <c r="E654" s="1" t="s">
        <v>3</v>
      </c>
      <c r="F654" s="39">
        <v>0</v>
      </c>
    </row>
    <row r="655" spans="1:6" x14ac:dyDescent="0.25">
      <c r="A655" s="1">
        <v>3001908</v>
      </c>
      <c r="B655" s="1" t="s">
        <v>2542</v>
      </c>
      <c r="C655" s="1" t="s">
        <v>2058</v>
      </c>
      <c r="D655" s="39">
        <v>0</v>
      </c>
      <c r="E655" s="1" t="s">
        <v>3</v>
      </c>
      <c r="F655" s="39">
        <v>0</v>
      </c>
    </row>
    <row r="656" spans="1:6" x14ac:dyDescent="0.25">
      <c r="A656" s="1">
        <v>3001909</v>
      </c>
      <c r="B656" s="1" t="s">
        <v>2543</v>
      </c>
      <c r="C656" s="1" t="s">
        <v>2058</v>
      </c>
      <c r="D656" s="39">
        <v>0</v>
      </c>
      <c r="E656" s="1" t="s">
        <v>3</v>
      </c>
      <c r="F656" s="39">
        <v>0</v>
      </c>
    </row>
    <row r="657" spans="1:6" x14ac:dyDescent="0.25">
      <c r="A657" s="1">
        <v>3001910</v>
      </c>
      <c r="B657" s="1" t="s">
        <v>379</v>
      </c>
      <c r="C657" s="1" t="s">
        <v>2058</v>
      </c>
      <c r="D657" s="39">
        <v>0</v>
      </c>
      <c r="E657" s="1" t="s">
        <v>1</v>
      </c>
      <c r="F657" s="39">
        <v>0</v>
      </c>
    </row>
    <row r="658" spans="1:6" x14ac:dyDescent="0.25">
      <c r="A658" s="1">
        <v>3001930</v>
      </c>
      <c r="B658" s="1" t="s">
        <v>866</v>
      </c>
      <c r="C658" s="1" t="s">
        <v>2058</v>
      </c>
      <c r="D658" s="40">
        <v>7053.1639999999998</v>
      </c>
      <c r="E658" s="1" t="s">
        <v>3</v>
      </c>
      <c r="F658" s="3">
        <v>151331.98000000001</v>
      </c>
    </row>
    <row r="659" spans="1:6" x14ac:dyDescent="0.25">
      <c r="A659" s="1">
        <v>3001931</v>
      </c>
      <c r="B659" s="1" t="s">
        <v>882</v>
      </c>
      <c r="C659" s="1" t="s">
        <v>2058</v>
      </c>
      <c r="D659" s="40">
        <v>11703.03</v>
      </c>
      <c r="E659" s="1" t="s">
        <v>3</v>
      </c>
      <c r="F659" s="3">
        <v>230003.16</v>
      </c>
    </row>
    <row r="660" spans="1:6" x14ac:dyDescent="0.25">
      <c r="A660" s="1">
        <v>3001932</v>
      </c>
      <c r="B660" s="1" t="s">
        <v>878</v>
      </c>
      <c r="C660" s="1" t="s">
        <v>2058</v>
      </c>
      <c r="D660" s="40">
        <v>1976.37</v>
      </c>
      <c r="E660" s="1" t="s">
        <v>3</v>
      </c>
      <c r="F660" s="3">
        <v>41312.06</v>
      </c>
    </row>
    <row r="661" spans="1:6" x14ac:dyDescent="0.25">
      <c r="A661" s="1">
        <v>3001933</v>
      </c>
      <c r="B661" s="1" t="s">
        <v>874</v>
      </c>
      <c r="C661" s="1" t="s">
        <v>2058</v>
      </c>
      <c r="D661" s="40">
        <v>3225.96</v>
      </c>
      <c r="E661" s="1" t="s">
        <v>3</v>
      </c>
      <c r="F661" s="3">
        <v>68892.63</v>
      </c>
    </row>
    <row r="662" spans="1:6" x14ac:dyDescent="0.25">
      <c r="A662" s="1">
        <v>3001950</v>
      </c>
      <c r="B662" s="1" t="s">
        <v>380</v>
      </c>
      <c r="C662" s="1" t="s">
        <v>2058</v>
      </c>
      <c r="D662" s="39">
        <v>175</v>
      </c>
      <c r="E662" s="1" t="s">
        <v>3</v>
      </c>
      <c r="F662" s="3">
        <v>2249.4</v>
      </c>
    </row>
    <row r="663" spans="1:6" x14ac:dyDescent="0.25">
      <c r="A663" s="1">
        <v>3001951</v>
      </c>
      <c r="B663" s="1" t="s">
        <v>2544</v>
      </c>
      <c r="C663" s="1" t="s">
        <v>2058</v>
      </c>
      <c r="D663" s="39">
        <v>0</v>
      </c>
      <c r="E663" s="1" t="s">
        <v>3</v>
      </c>
      <c r="F663" s="39">
        <v>0</v>
      </c>
    </row>
    <row r="664" spans="1:6" x14ac:dyDescent="0.25">
      <c r="A664" s="1">
        <v>3001952</v>
      </c>
      <c r="B664" s="1" t="s">
        <v>2545</v>
      </c>
      <c r="C664" s="1" t="s">
        <v>2058</v>
      </c>
      <c r="D664" s="39">
        <v>0</v>
      </c>
      <c r="E664" s="1" t="s">
        <v>1</v>
      </c>
      <c r="F664" s="39">
        <v>0</v>
      </c>
    </row>
    <row r="665" spans="1:6" x14ac:dyDescent="0.25">
      <c r="A665" s="1">
        <v>3001953</v>
      </c>
      <c r="B665" s="1" t="s">
        <v>2546</v>
      </c>
      <c r="C665" s="1" t="s">
        <v>2058</v>
      </c>
      <c r="D665" s="39">
        <v>0</v>
      </c>
      <c r="E665" s="1" t="s">
        <v>1</v>
      </c>
      <c r="F665" s="39">
        <v>0</v>
      </c>
    </row>
    <row r="666" spans="1:6" x14ac:dyDescent="0.25">
      <c r="A666" s="1">
        <v>3001960</v>
      </c>
      <c r="B666" s="1" t="s">
        <v>1462</v>
      </c>
      <c r="C666" s="1" t="s">
        <v>2058</v>
      </c>
      <c r="D666" s="39">
        <v>430</v>
      </c>
      <c r="E666" s="1" t="s">
        <v>1</v>
      </c>
      <c r="F666" s="3">
        <v>16204.42</v>
      </c>
    </row>
    <row r="667" spans="1:6" x14ac:dyDescent="0.25">
      <c r="A667" s="1">
        <v>3001962</v>
      </c>
      <c r="B667" s="1" t="s">
        <v>2547</v>
      </c>
      <c r="C667" s="1" t="s">
        <v>2058</v>
      </c>
      <c r="D667" s="39">
        <v>0</v>
      </c>
      <c r="E667" s="1" t="s">
        <v>1</v>
      </c>
      <c r="F667" s="39">
        <v>0</v>
      </c>
    </row>
    <row r="668" spans="1:6" x14ac:dyDescent="0.25">
      <c r="A668" s="1">
        <v>3001963</v>
      </c>
      <c r="B668" s="1" t="s">
        <v>2548</v>
      </c>
      <c r="C668" s="1" t="s">
        <v>2058</v>
      </c>
      <c r="D668" s="39">
        <v>0</v>
      </c>
      <c r="E668" s="1" t="s">
        <v>1</v>
      </c>
      <c r="F668" s="39">
        <v>0</v>
      </c>
    </row>
    <row r="669" spans="1:6" x14ac:dyDescent="0.25">
      <c r="A669" s="1">
        <v>3001964</v>
      </c>
      <c r="B669" s="1" t="s">
        <v>2549</v>
      </c>
      <c r="C669" s="1" t="s">
        <v>2058</v>
      </c>
      <c r="D669" s="39">
        <v>0</v>
      </c>
      <c r="E669" s="1" t="s">
        <v>1</v>
      </c>
      <c r="F669" s="39">
        <v>0</v>
      </c>
    </row>
    <row r="670" spans="1:6" x14ac:dyDescent="0.25">
      <c r="A670" s="1">
        <v>3001965</v>
      </c>
      <c r="B670" s="1" t="s">
        <v>2550</v>
      </c>
      <c r="C670" s="1" t="s">
        <v>2058</v>
      </c>
      <c r="D670" s="39">
        <v>0</v>
      </c>
      <c r="E670" s="1" t="s">
        <v>1</v>
      </c>
      <c r="F670" s="39">
        <v>0</v>
      </c>
    </row>
    <row r="671" spans="1:6" x14ac:dyDescent="0.25">
      <c r="A671" s="1">
        <v>3001966</v>
      </c>
      <c r="B671" s="1" t="s">
        <v>2551</v>
      </c>
      <c r="C671" s="1" t="s">
        <v>2058</v>
      </c>
      <c r="D671" s="39">
        <v>0</v>
      </c>
      <c r="E671" s="1" t="s">
        <v>1</v>
      </c>
      <c r="F671" s="39">
        <v>0</v>
      </c>
    </row>
    <row r="672" spans="1:6" x14ac:dyDescent="0.25">
      <c r="A672" s="1">
        <v>3001967</v>
      </c>
      <c r="B672" s="1" t="s">
        <v>2552</v>
      </c>
      <c r="C672" s="1" t="s">
        <v>2058</v>
      </c>
      <c r="D672" s="39">
        <v>0</v>
      </c>
      <c r="E672" s="1" t="s">
        <v>1</v>
      </c>
      <c r="F672" s="39">
        <v>0</v>
      </c>
    </row>
    <row r="673" spans="1:6" x14ac:dyDescent="0.25">
      <c r="A673" s="1">
        <v>3001982</v>
      </c>
      <c r="B673" s="1" t="s">
        <v>2553</v>
      </c>
      <c r="C673" s="1" t="s">
        <v>2058</v>
      </c>
      <c r="D673" s="39">
        <v>0</v>
      </c>
      <c r="E673" s="1" t="s">
        <v>1</v>
      </c>
      <c r="F673" s="39">
        <v>0</v>
      </c>
    </row>
    <row r="674" spans="1:6" x14ac:dyDescent="0.25">
      <c r="A674" s="1">
        <v>3002060</v>
      </c>
      <c r="B674" s="1" t="s">
        <v>2554</v>
      </c>
      <c r="C674" s="1" t="s">
        <v>2058</v>
      </c>
      <c r="D674" s="39">
        <v>0</v>
      </c>
      <c r="E674" s="1" t="s">
        <v>3</v>
      </c>
      <c r="F674" s="39">
        <v>0</v>
      </c>
    </row>
    <row r="675" spans="1:6" x14ac:dyDescent="0.25">
      <c r="A675" s="1">
        <v>3002110</v>
      </c>
      <c r="B675" s="1" t="s">
        <v>184</v>
      </c>
      <c r="C675" s="1" t="s">
        <v>2058</v>
      </c>
      <c r="D675" s="39">
        <v>0</v>
      </c>
      <c r="E675" s="1" t="s">
        <v>1</v>
      </c>
      <c r="F675" s="39">
        <v>0</v>
      </c>
    </row>
    <row r="676" spans="1:6" x14ac:dyDescent="0.25">
      <c r="A676" s="1">
        <v>3002111</v>
      </c>
      <c r="B676" s="1" t="s">
        <v>202</v>
      </c>
      <c r="C676" s="1" t="s">
        <v>2058</v>
      </c>
      <c r="D676" s="39">
        <v>162</v>
      </c>
      <c r="E676" s="1" t="s">
        <v>1</v>
      </c>
      <c r="F676" s="3">
        <v>1600.4</v>
      </c>
    </row>
    <row r="677" spans="1:6" x14ac:dyDescent="0.25">
      <c r="A677" s="1">
        <v>3002112</v>
      </c>
      <c r="B677" s="1" t="s">
        <v>206</v>
      </c>
      <c r="C677" s="1" t="s">
        <v>2058</v>
      </c>
      <c r="D677" s="39">
        <v>0</v>
      </c>
      <c r="E677" s="1" t="s">
        <v>1</v>
      </c>
      <c r="F677" s="39">
        <v>0</v>
      </c>
    </row>
    <row r="678" spans="1:6" x14ac:dyDescent="0.25">
      <c r="A678" s="1">
        <v>3002117</v>
      </c>
      <c r="B678" s="1" t="s">
        <v>204</v>
      </c>
      <c r="C678" s="1" t="s">
        <v>2058</v>
      </c>
      <c r="D678" s="39">
        <v>0</v>
      </c>
      <c r="E678" s="1" t="s">
        <v>1</v>
      </c>
      <c r="F678" s="39">
        <v>0</v>
      </c>
    </row>
    <row r="679" spans="1:6" x14ac:dyDescent="0.25">
      <c r="A679" s="1">
        <v>3002118</v>
      </c>
      <c r="B679" s="1" t="s">
        <v>649</v>
      </c>
      <c r="C679" s="1" t="s">
        <v>2058</v>
      </c>
      <c r="D679" s="39">
        <v>0</v>
      </c>
      <c r="E679" s="1" t="s">
        <v>1</v>
      </c>
      <c r="F679" s="39">
        <v>0</v>
      </c>
    </row>
    <row r="680" spans="1:6" x14ac:dyDescent="0.25">
      <c r="A680" s="1">
        <v>3002119</v>
      </c>
      <c r="B680" s="1" t="s">
        <v>652</v>
      </c>
      <c r="C680" s="1" t="s">
        <v>2058</v>
      </c>
      <c r="D680" s="39">
        <v>0</v>
      </c>
      <c r="E680" s="1" t="s">
        <v>1</v>
      </c>
      <c r="F680" s="39">
        <v>0</v>
      </c>
    </row>
    <row r="681" spans="1:6" x14ac:dyDescent="0.25">
      <c r="A681" s="1">
        <v>3002120</v>
      </c>
      <c r="B681" s="1" t="s">
        <v>182</v>
      </c>
      <c r="C681" s="1" t="s">
        <v>2058</v>
      </c>
      <c r="D681" s="39">
        <v>0</v>
      </c>
      <c r="E681" s="1" t="s">
        <v>1</v>
      </c>
      <c r="F681" s="39">
        <v>0</v>
      </c>
    </row>
    <row r="682" spans="1:6" x14ac:dyDescent="0.25">
      <c r="A682" s="1">
        <v>3002121</v>
      </c>
      <c r="B682" s="1" t="s">
        <v>2555</v>
      </c>
      <c r="C682" s="1" t="s">
        <v>2058</v>
      </c>
      <c r="D682" s="39">
        <v>0</v>
      </c>
      <c r="E682" s="1" t="s">
        <v>3</v>
      </c>
      <c r="F682" s="39">
        <v>0</v>
      </c>
    </row>
    <row r="683" spans="1:6" x14ac:dyDescent="0.25">
      <c r="A683" s="1">
        <v>3002124</v>
      </c>
      <c r="B683" s="1" t="s">
        <v>2556</v>
      </c>
      <c r="C683" s="1" t="s">
        <v>2058</v>
      </c>
      <c r="D683" s="39">
        <v>0</v>
      </c>
      <c r="E683" s="1" t="s">
        <v>3</v>
      </c>
      <c r="F683" s="39">
        <v>0</v>
      </c>
    </row>
    <row r="684" spans="1:6" x14ac:dyDescent="0.25">
      <c r="A684" s="1">
        <v>3002126</v>
      </c>
      <c r="B684" s="1" t="s">
        <v>2557</v>
      </c>
      <c r="C684" s="1" t="s">
        <v>2058</v>
      </c>
      <c r="D684" s="39">
        <v>0</v>
      </c>
      <c r="E684" s="1" t="s">
        <v>2401</v>
      </c>
      <c r="F684" s="39">
        <v>0</v>
      </c>
    </row>
    <row r="685" spans="1:6" x14ac:dyDescent="0.25">
      <c r="A685" s="1">
        <v>3002140</v>
      </c>
      <c r="B685" s="1" t="s">
        <v>2558</v>
      </c>
      <c r="C685" s="1" t="s">
        <v>2058</v>
      </c>
      <c r="D685" s="39">
        <v>0</v>
      </c>
      <c r="E685" s="1" t="s">
        <v>3</v>
      </c>
      <c r="F685" s="39">
        <v>0</v>
      </c>
    </row>
    <row r="686" spans="1:6" x14ac:dyDescent="0.25">
      <c r="A686" s="1">
        <v>3002141</v>
      </c>
      <c r="B686" s="1" t="s">
        <v>2559</v>
      </c>
      <c r="C686" s="1" t="s">
        <v>2058</v>
      </c>
      <c r="D686" s="39">
        <v>0</v>
      </c>
      <c r="E686" s="1" t="s">
        <v>3</v>
      </c>
      <c r="F686" s="39">
        <v>0</v>
      </c>
    </row>
    <row r="687" spans="1:6" x14ac:dyDescent="0.25">
      <c r="A687" s="1">
        <v>3002210</v>
      </c>
      <c r="B687" s="1" t="s">
        <v>2560</v>
      </c>
      <c r="C687" s="1" t="s">
        <v>2058</v>
      </c>
      <c r="D687" s="39">
        <v>0</v>
      </c>
      <c r="E687" s="1" t="s">
        <v>3</v>
      </c>
      <c r="F687" s="39">
        <v>0</v>
      </c>
    </row>
    <row r="688" spans="1:6" x14ac:dyDescent="0.25">
      <c r="A688" s="1">
        <v>3002211</v>
      </c>
      <c r="B688" s="1" t="s">
        <v>2561</v>
      </c>
      <c r="C688" s="1" t="s">
        <v>2058</v>
      </c>
      <c r="D688" s="39">
        <v>0</v>
      </c>
      <c r="E688" s="1" t="s">
        <v>3</v>
      </c>
      <c r="F688" s="39">
        <v>0</v>
      </c>
    </row>
    <row r="689" spans="1:6" x14ac:dyDescent="0.25">
      <c r="A689" s="1">
        <v>3002213</v>
      </c>
      <c r="B689" s="1" t="s">
        <v>2562</v>
      </c>
      <c r="C689" s="1" t="s">
        <v>2058</v>
      </c>
      <c r="D689" s="39">
        <v>0</v>
      </c>
      <c r="E689" s="1" t="s">
        <v>3</v>
      </c>
      <c r="F689" s="39">
        <v>0</v>
      </c>
    </row>
    <row r="690" spans="1:6" x14ac:dyDescent="0.25">
      <c r="A690" s="1">
        <v>3002214</v>
      </c>
      <c r="B690" s="1" t="s">
        <v>2563</v>
      </c>
      <c r="C690" s="1" t="s">
        <v>2058</v>
      </c>
      <c r="D690" s="39">
        <v>0</v>
      </c>
      <c r="E690" s="1" t="s">
        <v>3</v>
      </c>
      <c r="F690" s="39">
        <v>0</v>
      </c>
    </row>
    <row r="691" spans="1:6" x14ac:dyDescent="0.25">
      <c r="A691" s="1">
        <v>3002265</v>
      </c>
      <c r="B691" s="1" t="s">
        <v>2564</v>
      </c>
      <c r="C691" s="1" t="s">
        <v>2058</v>
      </c>
      <c r="D691" s="39">
        <v>0</v>
      </c>
      <c r="E691" s="1" t="s">
        <v>3</v>
      </c>
      <c r="F691" s="39">
        <v>0</v>
      </c>
    </row>
    <row r="692" spans="1:6" x14ac:dyDescent="0.25">
      <c r="A692" s="1">
        <v>3002379</v>
      </c>
      <c r="B692" s="1" t="s">
        <v>2565</v>
      </c>
      <c r="C692" s="1" t="s">
        <v>2058</v>
      </c>
      <c r="D692" s="39">
        <v>0</v>
      </c>
      <c r="E692" s="1" t="s">
        <v>1</v>
      </c>
      <c r="F692" s="39">
        <v>0</v>
      </c>
    </row>
    <row r="693" spans="1:6" x14ac:dyDescent="0.25">
      <c r="A693" s="1">
        <v>3002380</v>
      </c>
      <c r="B693" s="1" t="s">
        <v>2566</v>
      </c>
      <c r="C693" s="1" t="s">
        <v>2058</v>
      </c>
      <c r="D693" s="39">
        <v>0</v>
      </c>
      <c r="E693" s="1" t="s">
        <v>1</v>
      </c>
      <c r="F693" s="39">
        <v>0</v>
      </c>
    </row>
    <row r="694" spans="1:6" x14ac:dyDescent="0.25">
      <c r="A694" s="1">
        <v>3002381</v>
      </c>
      <c r="B694" s="1" t="s">
        <v>2567</v>
      </c>
      <c r="C694" s="1" t="s">
        <v>2058</v>
      </c>
      <c r="D694" s="39">
        <v>0</v>
      </c>
      <c r="E694" s="1" t="s">
        <v>1</v>
      </c>
      <c r="F694" s="39">
        <v>0</v>
      </c>
    </row>
    <row r="695" spans="1:6" x14ac:dyDescent="0.25">
      <c r="A695" s="1">
        <v>3002382</v>
      </c>
      <c r="B695" s="1" t="s">
        <v>2568</v>
      </c>
      <c r="C695" s="1" t="s">
        <v>2058</v>
      </c>
      <c r="D695" s="39">
        <v>0</v>
      </c>
      <c r="E695" s="1" t="s">
        <v>1</v>
      </c>
      <c r="F695" s="39">
        <v>0</v>
      </c>
    </row>
    <row r="696" spans="1:6" x14ac:dyDescent="0.25">
      <c r="A696" s="1">
        <v>3002383</v>
      </c>
      <c r="B696" s="1" t="s">
        <v>2569</v>
      </c>
      <c r="C696" s="1" t="s">
        <v>2058</v>
      </c>
      <c r="D696" s="39">
        <v>0</v>
      </c>
      <c r="E696" s="1" t="s">
        <v>1</v>
      </c>
      <c r="F696" s="39">
        <v>0</v>
      </c>
    </row>
    <row r="697" spans="1:6" x14ac:dyDescent="0.25">
      <c r="A697" s="1">
        <v>3002384</v>
      </c>
      <c r="B697" s="1" t="s">
        <v>2570</v>
      </c>
      <c r="C697" s="1" t="s">
        <v>2058</v>
      </c>
      <c r="D697" s="39">
        <v>0</v>
      </c>
      <c r="E697" s="1" t="s">
        <v>1</v>
      </c>
      <c r="F697" s="39">
        <v>0</v>
      </c>
    </row>
    <row r="698" spans="1:6" x14ac:dyDescent="0.25">
      <c r="A698" s="1">
        <v>3002385</v>
      </c>
      <c r="B698" s="1" t="s">
        <v>2571</v>
      </c>
      <c r="C698" s="1" t="s">
        <v>2058</v>
      </c>
      <c r="D698" s="39">
        <v>0</v>
      </c>
      <c r="E698" s="1" t="s">
        <v>1</v>
      </c>
      <c r="F698" s="39">
        <v>0</v>
      </c>
    </row>
    <row r="699" spans="1:6" x14ac:dyDescent="0.25">
      <c r="A699" s="1">
        <v>3002386</v>
      </c>
      <c r="B699" s="1" t="s">
        <v>2572</v>
      </c>
      <c r="C699" s="1" t="s">
        <v>2058</v>
      </c>
      <c r="D699" s="39">
        <v>0</v>
      </c>
      <c r="E699" s="1" t="s">
        <v>1</v>
      </c>
      <c r="F699" s="39">
        <v>0</v>
      </c>
    </row>
    <row r="700" spans="1:6" x14ac:dyDescent="0.25">
      <c r="A700" s="1">
        <v>3002387</v>
      </c>
      <c r="B700" s="1" t="s">
        <v>187</v>
      </c>
      <c r="C700" s="1" t="s">
        <v>2058</v>
      </c>
      <c r="D700" s="39">
        <v>196</v>
      </c>
      <c r="E700" s="1" t="s">
        <v>1</v>
      </c>
      <c r="F700" s="3">
        <v>7196.65</v>
      </c>
    </row>
    <row r="701" spans="1:6" x14ac:dyDescent="0.25">
      <c r="A701" s="1">
        <v>3002510</v>
      </c>
      <c r="B701" s="1" t="s">
        <v>2573</v>
      </c>
      <c r="C701" s="1" t="s">
        <v>2058</v>
      </c>
      <c r="D701" s="39">
        <v>0</v>
      </c>
      <c r="E701" s="1" t="s">
        <v>1</v>
      </c>
      <c r="F701" s="39">
        <v>0</v>
      </c>
    </row>
    <row r="702" spans="1:6" x14ac:dyDescent="0.25">
      <c r="A702" s="1">
        <v>3002511</v>
      </c>
      <c r="B702" s="1" t="s">
        <v>2574</v>
      </c>
      <c r="C702" s="1" t="s">
        <v>2058</v>
      </c>
      <c r="D702" s="39">
        <v>0</v>
      </c>
      <c r="E702" s="1" t="s">
        <v>1</v>
      </c>
      <c r="F702" s="39">
        <v>0</v>
      </c>
    </row>
    <row r="703" spans="1:6" x14ac:dyDescent="0.25">
      <c r="A703" s="1">
        <v>3002512</v>
      </c>
      <c r="B703" s="1" t="s">
        <v>2575</v>
      </c>
      <c r="C703" s="1" t="s">
        <v>2058</v>
      </c>
      <c r="D703" s="39">
        <v>0</v>
      </c>
      <c r="E703" s="1" t="s">
        <v>1</v>
      </c>
      <c r="F703" s="39">
        <v>0</v>
      </c>
    </row>
    <row r="704" spans="1:6" x14ac:dyDescent="0.25">
      <c r="A704" s="1">
        <v>3002520</v>
      </c>
      <c r="B704" s="1" t="s">
        <v>2576</v>
      </c>
      <c r="C704" s="1" t="s">
        <v>2058</v>
      </c>
      <c r="D704" s="39">
        <v>0</v>
      </c>
      <c r="E704" s="1" t="s">
        <v>3</v>
      </c>
      <c r="F704" s="39">
        <v>0</v>
      </c>
    </row>
    <row r="705" spans="1:6" x14ac:dyDescent="0.25">
      <c r="A705" s="1">
        <v>3002524</v>
      </c>
      <c r="B705" s="1" t="s">
        <v>2577</v>
      </c>
      <c r="C705" s="1" t="s">
        <v>2058</v>
      </c>
      <c r="D705" s="39">
        <v>0</v>
      </c>
      <c r="E705" s="1" t="s">
        <v>3</v>
      </c>
      <c r="F705" s="39">
        <v>0</v>
      </c>
    </row>
    <row r="706" spans="1:6" x14ac:dyDescent="0.25">
      <c r="A706" s="1">
        <v>3002525</v>
      </c>
      <c r="B706" s="1" t="s">
        <v>2578</v>
      </c>
      <c r="C706" s="1" t="s">
        <v>2058</v>
      </c>
      <c r="D706" s="39">
        <v>0</v>
      </c>
      <c r="E706" s="1" t="s">
        <v>3</v>
      </c>
      <c r="F706" s="39">
        <v>0</v>
      </c>
    </row>
    <row r="707" spans="1:6" x14ac:dyDescent="0.25">
      <c r="A707" s="1">
        <v>3002643</v>
      </c>
      <c r="B707" s="1" t="s">
        <v>2579</v>
      </c>
      <c r="C707" s="1" t="s">
        <v>2058</v>
      </c>
      <c r="D707" s="39">
        <v>0</v>
      </c>
      <c r="E707" s="1" t="s">
        <v>1</v>
      </c>
      <c r="F707" s="39">
        <v>0</v>
      </c>
    </row>
    <row r="708" spans="1:6" x14ac:dyDescent="0.25">
      <c r="A708" s="1">
        <v>3002644</v>
      </c>
      <c r="B708" s="1" t="s">
        <v>2580</v>
      </c>
      <c r="C708" s="1" t="s">
        <v>2058</v>
      </c>
      <c r="D708" s="39">
        <v>0</v>
      </c>
      <c r="E708" s="1" t="s">
        <v>1</v>
      </c>
      <c r="F708" s="39">
        <v>0</v>
      </c>
    </row>
    <row r="709" spans="1:6" x14ac:dyDescent="0.25">
      <c r="A709" s="1">
        <v>3002646</v>
      </c>
      <c r="B709" s="1" t="s">
        <v>2581</v>
      </c>
      <c r="C709" s="1" t="s">
        <v>2058</v>
      </c>
      <c r="D709" s="39">
        <v>0</v>
      </c>
      <c r="E709" s="1" t="s">
        <v>1</v>
      </c>
      <c r="F709" s="39">
        <v>0</v>
      </c>
    </row>
    <row r="710" spans="1:6" x14ac:dyDescent="0.25">
      <c r="A710" s="1">
        <v>3002668</v>
      </c>
      <c r="B710" s="1" t="s">
        <v>2582</v>
      </c>
      <c r="C710" s="1" t="s">
        <v>2058</v>
      </c>
      <c r="D710" s="39">
        <v>0</v>
      </c>
      <c r="E710" s="1" t="s">
        <v>1</v>
      </c>
      <c r="F710" s="39">
        <v>0</v>
      </c>
    </row>
    <row r="711" spans="1:6" x14ac:dyDescent="0.25">
      <c r="A711" s="1">
        <v>3002669</v>
      </c>
      <c r="B711" s="1" t="s">
        <v>2583</v>
      </c>
      <c r="C711" s="1" t="s">
        <v>2058</v>
      </c>
      <c r="D711" s="39">
        <v>0</v>
      </c>
      <c r="E711" s="1" t="s">
        <v>1</v>
      </c>
      <c r="F711" s="39">
        <v>0</v>
      </c>
    </row>
    <row r="712" spans="1:6" x14ac:dyDescent="0.25">
      <c r="A712" s="1">
        <v>3002700</v>
      </c>
      <c r="B712" s="1" t="s">
        <v>2584</v>
      </c>
      <c r="C712" s="1" t="s">
        <v>2058</v>
      </c>
      <c r="D712" s="39">
        <v>0</v>
      </c>
      <c r="E712" s="1" t="s">
        <v>1</v>
      </c>
      <c r="F712" s="39">
        <v>0</v>
      </c>
    </row>
    <row r="713" spans="1:6" x14ac:dyDescent="0.25">
      <c r="A713" s="1">
        <v>3002701</v>
      </c>
      <c r="B713" s="1" t="s">
        <v>2585</v>
      </c>
      <c r="C713" s="1" t="s">
        <v>2058</v>
      </c>
      <c r="D713" s="39">
        <v>0</v>
      </c>
      <c r="E713" s="1" t="s">
        <v>1</v>
      </c>
      <c r="F713" s="39">
        <v>0</v>
      </c>
    </row>
    <row r="714" spans="1:6" x14ac:dyDescent="0.25">
      <c r="A714" s="1">
        <v>3002702</v>
      </c>
      <c r="B714" s="1" t="s">
        <v>2586</v>
      </c>
      <c r="C714" s="1" t="s">
        <v>2058</v>
      </c>
      <c r="D714" s="39">
        <v>0</v>
      </c>
      <c r="E714" s="1" t="s">
        <v>1</v>
      </c>
      <c r="F714" s="39">
        <v>0</v>
      </c>
    </row>
    <row r="715" spans="1:6" x14ac:dyDescent="0.25">
      <c r="A715" s="1">
        <v>3002721</v>
      </c>
      <c r="B715" s="1" t="s">
        <v>2587</v>
      </c>
      <c r="C715" s="1" t="s">
        <v>2058</v>
      </c>
      <c r="D715" s="39">
        <v>0</v>
      </c>
      <c r="E715" s="1" t="s">
        <v>3</v>
      </c>
      <c r="F715" s="39">
        <v>0</v>
      </c>
    </row>
    <row r="716" spans="1:6" x14ac:dyDescent="0.25">
      <c r="A716" s="1">
        <v>3002730</v>
      </c>
      <c r="B716" s="1" t="s">
        <v>2588</v>
      </c>
      <c r="C716" s="1" t="s">
        <v>2058</v>
      </c>
      <c r="D716" s="39">
        <v>0</v>
      </c>
      <c r="E716" s="1" t="s">
        <v>3</v>
      </c>
      <c r="F716" s="39">
        <v>0</v>
      </c>
    </row>
    <row r="717" spans="1:6" x14ac:dyDescent="0.25">
      <c r="A717" s="1">
        <v>3002731</v>
      </c>
      <c r="B717" s="1" t="s">
        <v>2589</v>
      </c>
      <c r="C717" s="1" t="s">
        <v>2058</v>
      </c>
      <c r="D717" s="39">
        <v>0</v>
      </c>
      <c r="E717" s="1" t="s">
        <v>3</v>
      </c>
      <c r="F717" s="39">
        <v>0</v>
      </c>
    </row>
    <row r="718" spans="1:6" x14ac:dyDescent="0.25">
      <c r="A718" s="1">
        <v>3002732</v>
      </c>
      <c r="B718" s="1" t="s">
        <v>2590</v>
      </c>
      <c r="C718" s="1" t="s">
        <v>2058</v>
      </c>
      <c r="D718" s="39">
        <v>0</v>
      </c>
      <c r="E718" s="1" t="s">
        <v>1</v>
      </c>
      <c r="F718" s="39">
        <v>0</v>
      </c>
    </row>
    <row r="719" spans="1:6" x14ac:dyDescent="0.25">
      <c r="A719" s="1">
        <v>3002733</v>
      </c>
      <c r="B719" s="1" t="s">
        <v>2591</v>
      </c>
      <c r="C719" s="1" t="s">
        <v>2058</v>
      </c>
      <c r="D719" s="39">
        <v>0</v>
      </c>
      <c r="E719" s="1" t="s">
        <v>1</v>
      </c>
      <c r="F719" s="39">
        <v>0</v>
      </c>
    </row>
    <row r="720" spans="1:6" x14ac:dyDescent="0.25">
      <c r="A720" s="1">
        <v>3002746</v>
      </c>
      <c r="B720" s="1" t="s">
        <v>2592</v>
      </c>
      <c r="C720" s="1" t="s">
        <v>2058</v>
      </c>
      <c r="D720" s="39">
        <v>0</v>
      </c>
      <c r="E720" s="1" t="s">
        <v>1</v>
      </c>
      <c r="F720" s="39">
        <v>0</v>
      </c>
    </row>
    <row r="721" spans="1:6" x14ac:dyDescent="0.25">
      <c r="A721" s="1">
        <v>3002750</v>
      </c>
      <c r="B721" s="1" t="s">
        <v>2593</v>
      </c>
      <c r="C721" s="1" t="s">
        <v>2058</v>
      </c>
      <c r="D721" s="39">
        <v>0</v>
      </c>
      <c r="E721" s="1" t="s">
        <v>1</v>
      </c>
      <c r="F721" s="39">
        <v>0</v>
      </c>
    </row>
    <row r="722" spans="1:6" x14ac:dyDescent="0.25">
      <c r="A722" s="1">
        <v>3002752</v>
      </c>
      <c r="B722" s="1" t="s">
        <v>2594</v>
      </c>
      <c r="C722" s="1" t="s">
        <v>2058</v>
      </c>
      <c r="D722" s="39">
        <v>0</v>
      </c>
      <c r="E722" s="1" t="s">
        <v>1</v>
      </c>
      <c r="F722" s="39">
        <v>0</v>
      </c>
    </row>
    <row r="723" spans="1:6" x14ac:dyDescent="0.25">
      <c r="A723" s="1">
        <v>3002753</v>
      </c>
      <c r="B723" s="1" t="s">
        <v>2595</v>
      </c>
      <c r="C723" s="1" t="s">
        <v>2058</v>
      </c>
      <c r="D723" s="39">
        <v>0</v>
      </c>
      <c r="E723" s="1" t="s">
        <v>1</v>
      </c>
      <c r="F723" s="39">
        <v>0</v>
      </c>
    </row>
    <row r="724" spans="1:6" x14ac:dyDescent="0.25">
      <c r="A724" s="1">
        <v>3002754</v>
      </c>
      <c r="B724" s="1" t="s">
        <v>2596</v>
      </c>
      <c r="C724" s="1" t="s">
        <v>2058</v>
      </c>
      <c r="D724" s="39">
        <v>0</v>
      </c>
      <c r="E724" s="1" t="s">
        <v>1</v>
      </c>
      <c r="F724" s="39">
        <v>0</v>
      </c>
    </row>
    <row r="725" spans="1:6" x14ac:dyDescent="0.25">
      <c r="A725" s="1">
        <v>3002755</v>
      </c>
      <c r="B725" s="1" t="s">
        <v>2597</v>
      </c>
      <c r="C725" s="1" t="s">
        <v>2058</v>
      </c>
      <c r="D725" s="39">
        <v>0</v>
      </c>
      <c r="E725" s="1" t="s">
        <v>1</v>
      </c>
      <c r="F725" s="39">
        <v>0</v>
      </c>
    </row>
    <row r="726" spans="1:6" x14ac:dyDescent="0.25">
      <c r="A726" s="1">
        <v>3002756</v>
      </c>
      <c r="B726" s="1" t="s">
        <v>2598</v>
      </c>
      <c r="C726" s="1" t="s">
        <v>2058</v>
      </c>
      <c r="D726" s="39">
        <v>0</v>
      </c>
      <c r="E726" s="1" t="s">
        <v>1</v>
      </c>
      <c r="F726" s="39">
        <v>0</v>
      </c>
    </row>
    <row r="727" spans="1:6" x14ac:dyDescent="0.25">
      <c r="A727" s="1">
        <v>3002757</v>
      </c>
      <c r="B727" s="1" t="s">
        <v>2599</v>
      </c>
      <c r="C727" s="1" t="s">
        <v>2058</v>
      </c>
      <c r="D727" s="39">
        <v>0</v>
      </c>
      <c r="E727" s="1" t="s">
        <v>1</v>
      </c>
      <c r="F727" s="39">
        <v>0</v>
      </c>
    </row>
    <row r="728" spans="1:6" x14ac:dyDescent="0.25">
      <c r="A728" s="1">
        <v>3002758</v>
      </c>
      <c r="B728" s="1" t="s">
        <v>2600</v>
      </c>
      <c r="C728" s="1" t="s">
        <v>2058</v>
      </c>
      <c r="D728" s="39">
        <v>0</v>
      </c>
      <c r="E728" s="1" t="s">
        <v>1</v>
      </c>
      <c r="F728" s="39">
        <v>0</v>
      </c>
    </row>
    <row r="729" spans="1:6" x14ac:dyDescent="0.25">
      <c r="A729" s="1">
        <v>3002759</v>
      </c>
      <c r="B729" s="1" t="s">
        <v>2601</v>
      </c>
      <c r="C729" s="1" t="s">
        <v>2058</v>
      </c>
      <c r="D729" s="39">
        <v>0</v>
      </c>
      <c r="E729" s="1" t="s">
        <v>1</v>
      </c>
      <c r="F729" s="39">
        <v>0</v>
      </c>
    </row>
    <row r="730" spans="1:6" x14ac:dyDescent="0.25">
      <c r="A730" s="1">
        <v>3002760</v>
      </c>
      <c r="B730" s="1" t="s">
        <v>2602</v>
      </c>
      <c r="C730" s="1" t="s">
        <v>2058</v>
      </c>
      <c r="D730" s="39">
        <v>0</v>
      </c>
      <c r="E730" s="1" t="s">
        <v>1</v>
      </c>
      <c r="F730" s="39">
        <v>0</v>
      </c>
    </row>
    <row r="731" spans="1:6" x14ac:dyDescent="0.25">
      <c r="A731" s="1">
        <v>3002761</v>
      </c>
      <c r="B731" s="1" t="s">
        <v>2603</v>
      </c>
      <c r="C731" s="1" t="s">
        <v>2058</v>
      </c>
      <c r="D731" s="39">
        <v>0</v>
      </c>
      <c r="E731" s="1" t="s">
        <v>1</v>
      </c>
      <c r="F731" s="39">
        <v>0</v>
      </c>
    </row>
    <row r="732" spans="1:6" x14ac:dyDescent="0.25">
      <c r="A732" s="1">
        <v>3002783</v>
      </c>
      <c r="B732" s="1" t="s">
        <v>2604</v>
      </c>
      <c r="C732" s="1" t="s">
        <v>2058</v>
      </c>
      <c r="D732" s="39">
        <v>0</v>
      </c>
      <c r="E732" s="1" t="s">
        <v>2401</v>
      </c>
      <c r="F732" s="39">
        <v>0</v>
      </c>
    </row>
    <row r="733" spans="1:6" x14ac:dyDescent="0.25">
      <c r="A733" s="1">
        <v>3002784</v>
      </c>
      <c r="B733" s="1" t="s">
        <v>2605</v>
      </c>
      <c r="C733" s="1" t="s">
        <v>2058</v>
      </c>
      <c r="D733" s="39">
        <v>0</v>
      </c>
      <c r="E733" s="1" t="s">
        <v>2401</v>
      </c>
      <c r="F733" s="39">
        <v>0</v>
      </c>
    </row>
    <row r="734" spans="1:6" x14ac:dyDescent="0.25">
      <c r="A734" s="1">
        <v>3002788</v>
      </c>
      <c r="B734" s="1" t="s">
        <v>2606</v>
      </c>
      <c r="C734" s="1" t="s">
        <v>2058</v>
      </c>
      <c r="D734" s="39">
        <v>0</v>
      </c>
      <c r="E734" s="1" t="s">
        <v>1</v>
      </c>
      <c r="F734" s="39">
        <v>0</v>
      </c>
    </row>
    <row r="735" spans="1:6" x14ac:dyDescent="0.25">
      <c r="A735" s="1">
        <v>3002934</v>
      </c>
      <c r="B735" s="1" t="s">
        <v>2607</v>
      </c>
      <c r="C735" s="1" t="s">
        <v>2058</v>
      </c>
      <c r="D735" s="39">
        <v>0</v>
      </c>
      <c r="E735" s="1" t="s">
        <v>1</v>
      </c>
      <c r="F735" s="39">
        <v>0</v>
      </c>
    </row>
    <row r="736" spans="1:6" x14ac:dyDescent="0.25">
      <c r="A736" s="1">
        <v>3002941</v>
      </c>
      <c r="B736" s="1" t="s">
        <v>1065</v>
      </c>
      <c r="C736" s="1" t="s">
        <v>2058</v>
      </c>
      <c r="D736" s="39">
        <v>268</v>
      </c>
      <c r="E736" s="1" t="s">
        <v>1</v>
      </c>
      <c r="F736" s="3">
        <v>6154.65</v>
      </c>
    </row>
    <row r="737" spans="1:6" x14ac:dyDescent="0.25">
      <c r="A737" s="1">
        <v>3002942</v>
      </c>
      <c r="B737" s="1" t="s">
        <v>1071</v>
      </c>
      <c r="C737" s="1" t="s">
        <v>2058</v>
      </c>
      <c r="D737" s="39">
        <v>170</v>
      </c>
      <c r="E737" s="1" t="s">
        <v>1</v>
      </c>
      <c r="F737" s="3">
        <v>3863.66</v>
      </c>
    </row>
    <row r="738" spans="1:6" x14ac:dyDescent="0.25">
      <c r="A738" s="1">
        <v>3002943</v>
      </c>
      <c r="B738" s="1" t="s">
        <v>1072</v>
      </c>
      <c r="C738" s="1" t="s">
        <v>2058</v>
      </c>
      <c r="D738" s="39">
        <v>138</v>
      </c>
      <c r="E738" s="1" t="s">
        <v>1</v>
      </c>
      <c r="F738" s="3">
        <v>3045.74</v>
      </c>
    </row>
    <row r="739" spans="1:6" x14ac:dyDescent="0.25">
      <c r="A739" s="1">
        <v>3002951</v>
      </c>
      <c r="B739" s="1" t="s">
        <v>2608</v>
      </c>
      <c r="C739" s="1" t="s">
        <v>2058</v>
      </c>
      <c r="D739" s="39">
        <v>0</v>
      </c>
      <c r="E739" s="1" t="s">
        <v>3</v>
      </c>
      <c r="F739" s="39">
        <v>0</v>
      </c>
    </row>
    <row r="740" spans="1:6" x14ac:dyDescent="0.25">
      <c r="A740" s="1">
        <v>3002952</v>
      </c>
      <c r="B740" s="1" t="s">
        <v>2609</v>
      </c>
      <c r="C740" s="1" t="s">
        <v>2058</v>
      </c>
      <c r="D740" s="39">
        <v>0</v>
      </c>
      <c r="E740" s="1" t="s">
        <v>3</v>
      </c>
      <c r="F740" s="39">
        <v>0</v>
      </c>
    </row>
    <row r="741" spans="1:6" x14ac:dyDescent="0.25">
      <c r="A741" s="1">
        <v>3002955</v>
      </c>
      <c r="B741" s="1" t="s">
        <v>1068</v>
      </c>
      <c r="C741" s="1" t="s">
        <v>2058</v>
      </c>
      <c r="D741" s="39">
        <v>312</v>
      </c>
      <c r="E741" s="1" t="s">
        <v>1</v>
      </c>
      <c r="F741" s="3">
        <v>7305.04</v>
      </c>
    </row>
    <row r="742" spans="1:6" x14ac:dyDescent="0.25">
      <c r="A742" s="1">
        <v>3002956</v>
      </c>
      <c r="B742" s="1" t="s">
        <v>1073</v>
      </c>
      <c r="C742" s="1" t="s">
        <v>2058</v>
      </c>
      <c r="D742" s="39">
        <v>32</v>
      </c>
      <c r="E742" s="1" t="s">
        <v>1</v>
      </c>
      <c r="F742" s="3">
        <v>722.22</v>
      </c>
    </row>
    <row r="743" spans="1:6" x14ac:dyDescent="0.25">
      <c r="A743" s="1">
        <v>3002957</v>
      </c>
      <c r="B743" s="1" t="s">
        <v>2610</v>
      </c>
      <c r="C743" s="1" t="s">
        <v>2058</v>
      </c>
      <c r="D743" s="39">
        <v>0</v>
      </c>
      <c r="E743" s="1" t="s">
        <v>1</v>
      </c>
      <c r="F743" s="39">
        <v>0</v>
      </c>
    </row>
    <row r="744" spans="1:6" x14ac:dyDescent="0.25">
      <c r="A744" s="1">
        <v>3002958</v>
      </c>
      <c r="B744" s="1" t="s">
        <v>2611</v>
      </c>
      <c r="C744" s="1" t="s">
        <v>2058</v>
      </c>
      <c r="D744" s="39">
        <v>0</v>
      </c>
      <c r="E744" s="1" t="s">
        <v>1</v>
      </c>
      <c r="F744" s="39">
        <v>0</v>
      </c>
    </row>
    <row r="745" spans="1:6" x14ac:dyDescent="0.25">
      <c r="A745" s="1">
        <v>3002959</v>
      </c>
      <c r="B745" s="1" t="s">
        <v>2612</v>
      </c>
      <c r="C745" s="1" t="s">
        <v>2058</v>
      </c>
      <c r="D745" s="39">
        <v>0</v>
      </c>
      <c r="E745" s="1" t="s">
        <v>1</v>
      </c>
      <c r="F745" s="39">
        <v>0</v>
      </c>
    </row>
    <row r="746" spans="1:6" x14ac:dyDescent="0.25">
      <c r="A746" s="1">
        <v>3002960</v>
      </c>
      <c r="B746" s="1" t="s">
        <v>2613</v>
      </c>
      <c r="C746" s="1" t="s">
        <v>2058</v>
      </c>
      <c r="D746" s="39">
        <v>0</v>
      </c>
      <c r="E746" s="1" t="s">
        <v>1</v>
      </c>
      <c r="F746" s="39">
        <v>0</v>
      </c>
    </row>
    <row r="747" spans="1:6" x14ac:dyDescent="0.25">
      <c r="A747" s="1">
        <v>3003080</v>
      </c>
      <c r="B747" s="1" t="s">
        <v>2614</v>
      </c>
      <c r="C747" s="1" t="s">
        <v>2058</v>
      </c>
      <c r="D747" s="39">
        <v>0</v>
      </c>
      <c r="E747" s="1" t="s">
        <v>3</v>
      </c>
      <c r="F747" s="39">
        <v>0</v>
      </c>
    </row>
    <row r="748" spans="1:6" x14ac:dyDescent="0.25">
      <c r="A748" s="1">
        <v>3003090</v>
      </c>
      <c r="B748" s="1" t="s">
        <v>2615</v>
      </c>
      <c r="C748" s="1" t="s">
        <v>2058</v>
      </c>
      <c r="D748" s="39">
        <v>0</v>
      </c>
      <c r="E748" s="1" t="s">
        <v>3</v>
      </c>
      <c r="F748" s="39">
        <v>0</v>
      </c>
    </row>
    <row r="749" spans="1:6" x14ac:dyDescent="0.25">
      <c r="A749" s="1">
        <v>3003123</v>
      </c>
      <c r="B749" s="1" t="s">
        <v>2616</v>
      </c>
      <c r="C749" s="1" t="s">
        <v>2058</v>
      </c>
      <c r="D749" s="39">
        <v>0</v>
      </c>
      <c r="E749" s="1" t="s">
        <v>3</v>
      </c>
      <c r="F749" s="39">
        <v>0</v>
      </c>
    </row>
    <row r="750" spans="1:6" x14ac:dyDescent="0.25">
      <c r="A750" s="1">
        <v>3003130</v>
      </c>
      <c r="B750" s="1" t="s">
        <v>2617</v>
      </c>
      <c r="C750" s="1" t="s">
        <v>2058</v>
      </c>
      <c r="D750" s="39">
        <v>0</v>
      </c>
      <c r="E750" s="1" t="s">
        <v>3</v>
      </c>
      <c r="F750" s="39">
        <v>0</v>
      </c>
    </row>
    <row r="751" spans="1:6" x14ac:dyDescent="0.25">
      <c r="A751" s="1">
        <v>3003163</v>
      </c>
      <c r="B751" s="1" t="s">
        <v>2618</v>
      </c>
      <c r="C751" s="1" t="s">
        <v>2058</v>
      </c>
      <c r="D751" s="39">
        <v>0</v>
      </c>
      <c r="E751" s="1" t="s">
        <v>1</v>
      </c>
      <c r="F751" s="39">
        <v>0</v>
      </c>
    </row>
    <row r="752" spans="1:6" x14ac:dyDescent="0.25">
      <c r="A752" s="1">
        <v>3003165</v>
      </c>
      <c r="B752" s="1" t="s">
        <v>2619</v>
      </c>
      <c r="C752" s="1" t="s">
        <v>2058</v>
      </c>
      <c r="D752" s="39">
        <v>0</v>
      </c>
      <c r="E752" s="1" t="s">
        <v>1</v>
      </c>
      <c r="F752" s="39">
        <v>0</v>
      </c>
    </row>
    <row r="753" spans="1:6" x14ac:dyDescent="0.25">
      <c r="A753" s="1">
        <v>3003181</v>
      </c>
      <c r="B753" s="1" t="s">
        <v>1139</v>
      </c>
      <c r="C753" s="1" t="s">
        <v>2058</v>
      </c>
      <c r="D753" s="39">
        <v>0</v>
      </c>
      <c r="E753" s="1" t="s">
        <v>1</v>
      </c>
      <c r="F753" s="39">
        <v>0</v>
      </c>
    </row>
    <row r="754" spans="1:6" x14ac:dyDescent="0.25">
      <c r="A754" s="1">
        <v>3003210</v>
      </c>
      <c r="B754" s="1" t="s">
        <v>2620</v>
      </c>
      <c r="C754" s="1" t="s">
        <v>2058</v>
      </c>
      <c r="D754" s="39">
        <v>0</v>
      </c>
      <c r="E754" s="1" t="s">
        <v>1</v>
      </c>
      <c r="F754" s="39">
        <v>0</v>
      </c>
    </row>
    <row r="755" spans="1:6" x14ac:dyDescent="0.25">
      <c r="A755" s="1">
        <v>3003211</v>
      </c>
      <c r="B755" s="1" t="s">
        <v>1438</v>
      </c>
      <c r="C755" s="1" t="s">
        <v>2058</v>
      </c>
      <c r="D755" s="39">
        <v>4218</v>
      </c>
      <c r="E755" s="1" t="s">
        <v>1</v>
      </c>
      <c r="F755" s="3">
        <v>3832.05</v>
      </c>
    </row>
    <row r="756" spans="1:6" x14ac:dyDescent="0.25">
      <c r="A756" s="1">
        <v>3003225</v>
      </c>
      <c r="B756" s="1" t="s">
        <v>2621</v>
      </c>
      <c r="C756" s="1" t="s">
        <v>2058</v>
      </c>
      <c r="D756" s="39">
        <v>0</v>
      </c>
      <c r="E756" s="1" t="s">
        <v>1</v>
      </c>
      <c r="F756" s="39">
        <v>0</v>
      </c>
    </row>
    <row r="757" spans="1:6" x14ac:dyDescent="0.25">
      <c r="A757" s="1">
        <v>3003227</v>
      </c>
      <c r="B757" s="1" t="s">
        <v>2622</v>
      </c>
      <c r="C757" s="1" t="s">
        <v>2058</v>
      </c>
      <c r="D757" s="39">
        <v>0</v>
      </c>
      <c r="E757" s="1" t="s">
        <v>1</v>
      </c>
      <c r="F757" s="39">
        <v>0</v>
      </c>
    </row>
    <row r="758" spans="1:6" x14ac:dyDescent="0.25">
      <c r="A758" s="1">
        <v>3003349</v>
      </c>
      <c r="B758" s="1" t="s">
        <v>2623</v>
      </c>
      <c r="C758" s="1" t="s">
        <v>2058</v>
      </c>
      <c r="D758" s="39">
        <v>0</v>
      </c>
      <c r="E758" s="1" t="s">
        <v>1</v>
      </c>
      <c r="F758" s="39">
        <v>0</v>
      </c>
    </row>
    <row r="759" spans="1:6" x14ac:dyDescent="0.25">
      <c r="A759" s="1">
        <v>3003370</v>
      </c>
      <c r="B759" s="1" t="s">
        <v>2624</v>
      </c>
      <c r="C759" s="1" t="s">
        <v>2058</v>
      </c>
      <c r="D759" s="39">
        <v>0</v>
      </c>
      <c r="E759" s="1" t="s">
        <v>1</v>
      </c>
      <c r="F759" s="39">
        <v>0</v>
      </c>
    </row>
    <row r="760" spans="1:6" x14ac:dyDescent="0.25">
      <c r="A760" s="1">
        <v>3003371</v>
      </c>
      <c r="B760" s="1" t="s">
        <v>2625</v>
      </c>
      <c r="C760" s="1" t="s">
        <v>2058</v>
      </c>
      <c r="D760" s="39">
        <v>0</v>
      </c>
      <c r="E760" s="1" t="s">
        <v>1</v>
      </c>
      <c r="F760" s="39">
        <v>0</v>
      </c>
    </row>
    <row r="761" spans="1:6" x14ac:dyDescent="0.25">
      <c r="A761" s="1">
        <v>3003372</v>
      </c>
      <c r="B761" s="1" t="s">
        <v>2626</v>
      </c>
      <c r="C761" s="1" t="s">
        <v>2058</v>
      </c>
      <c r="D761" s="39">
        <v>0</v>
      </c>
      <c r="E761" s="1" t="s">
        <v>1</v>
      </c>
      <c r="F761" s="39">
        <v>0</v>
      </c>
    </row>
    <row r="762" spans="1:6" x14ac:dyDescent="0.25">
      <c r="A762" s="1">
        <v>3003373</v>
      </c>
      <c r="B762" s="1" t="s">
        <v>2627</v>
      </c>
      <c r="C762" s="1" t="s">
        <v>2058</v>
      </c>
      <c r="D762" s="39">
        <v>0</v>
      </c>
      <c r="E762" s="1" t="s">
        <v>1</v>
      </c>
      <c r="F762" s="39">
        <v>0</v>
      </c>
    </row>
    <row r="763" spans="1:6" x14ac:dyDescent="0.25">
      <c r="A763" s="1">
        <v>3003374</v>
      </c>
      <c r="B763" s="1" t="s">
        <v>2628</v>
      </c>
      <c r="C763" s="1" t="s">
        <v>2058</v>
      </c>
      <c r="D763" s="39">
        <v>0</v>
      </c>
      <c r="E763" s="1" t="s">
        <v>1</v>
      </c>
      <c r="F763" s="39">
        <v>0</v>
      </c>
    </row>
    <row r="764" spans="1:6" x14ac:dyDescent="0.25">
      <c r="A764" s="1">
        <v>3003375</v>
      </c>
      <c r="B764" s="1" t="s">
        <v>2629</v>
      </c>
      <c r="C764" s="1" t="s">
        <v>2058</v>
      </c>
      <c r="D764" s="39">
        <v>0</v>
      </c>
      <c r="E764" s="1" t="s">
        <v>1</v>
      </c>
      <c r="F764" s="39">
        <v>0</v>
      </c>
    </row>
    <row r="765" spans="1:6" x14ac:dyDescent="0.25">
      <c r="A765" s="1">
        <v>3003376</v>
      </c>
      <c r="B765" s="1" t="s">
        <v>2630</v>
      </c>
      <c r="C765" s="1" t="s">
        <v>2058</v>
      </c>
      <c r="D765" s="39">
        <v>0</v>
      </c>
      <c r="E765" s="1" t="s">
        <v>1</v>
      </c>
      <c r="F765" s="39">
        <v>0</v>
      </c>
    </row>
    <row r="766" spans="1:6" x14ac:dyDescent="0.25">
      <c r="A766" s="1">
        <v>3003377</v>
      </c>
      <c r="B766" s="1" t="s">
        <v>2631</v>
      </c>
      <c r="C766" s="1" t="s">
        <v>2058</v>
      </c>
      <c r="D766" s="39">
        <v>0</v>
      </c>
      <c r="E766" s="1" t="s">
        <v>1</v>
      </c>
      <c r="F766" s="39">
        <v>0</v>
      </c>
    </row>
    <row r="767" spans="1:6" x14ac:dyDescent="0.25">
      <c r="A767" s="1">
        <v>3003431</v>
      </c>
      <c r="B767" s="1" t="s">
        <v>2632</v>
      </c>
      <c r="C767" s="1" t="s">
        <v>2058</v>
      </c>
      <c r="D767" s="39">
        <v>0</v>
      </c>
      <c r="E767" s="1" t="s">
        <v>3</v>
      </c>
      <c r="F767" s="39">
        <v>0</v>
      </c>
    </row>
    <row r="768" spans="1:6" x14ac:dyDescent="0.25">
      <c r="A768" s="1">
        <v>3003440</v>
      </c>
      <c r="B768" s="1" t="s">
        <v>2633</v>
      </c>
      <c r="C768" s="1" t="s">
        <v>2058</v>
      </c>
      <c r="D768" s="39">
        <v>0</v>
      </c>
      <c r="E768" s="1" t="s">
        <v>3</v>
      </c>
      <c r="F768" s="39">
        <v>0</v>
      </c>
    </row>
    <row r="769" spans="1:6" x14ac:dyDescent="0.25">
      <c r="A769" s="1">
        <v>3003441</v>
      </c>
      <c r="B769" s="1" t="s">
        <v>2634</v>
      </c>
      <c r="C769" s="1" t="s">
        <v>2058</v>
      </c>
      <c r="D769" s="39">
        <v>0</v>
      </c>
      <c r="E769" s="1" t="s">
        <v>3</v>
      </c>
      <c r="F769" s="39">
        <v>0</v>
      </c>
    </row>
    <row r="770" spans="1:6" x14ac:dyDescent="0.25">
      <c r="A770" s="1">
        <v>3003443</v>
      </c>
      <c r="B770" s="1" t="s">
        <v>2635</v>
      </c>
      <c r="C770" s="1" t="s">
        <v>2058</v>
      </c>
      <c r="D770" s="39">
        <v>0</v>
      </c>
      <c r="E770" s="1" t="s">
        <v>3</v>
      </c>
      <c r="F770" s="39">
        <v>0</v>
      </c>
    </row>
    <row r="771" spans="1:6" x14ac:dyDescent="0.25">
      <c r="A771" s="1">
        <v>3003450</v>
      </c>
      <c r="B771" s="1" t="s">
        <v>2636</v>
      </c>
      <c r="C771" s="1" t="s">
        <v>2058</v>
      </c>
      <c r="D771" s="39">
        <v>0</v>
      </c>
      <c r="E771" s="1" t="s">
        <v>3</v>
      </c>
      <c r="F771" s="39">
        <v>0</v>
      </c>
    </row>
    <row r="772" spans="1:6" x14ac:dyDescent="0.25">
      <c r="A772" s="1">
        <v>3003451</v>
      </c>
      <c r="B772" s="1" t="s">
        <v>2637</v>
      </c>
      <c r="C772" s="1" t="s">
        <v>2058</v>
      </c>
      <c r="D772" s="39">
        <v>0</v>
      </c>
      <c r="E772" s="1" t="s">
        <v>3</v>
      </c>
      <c r="F772" s="39">
        <v>0</v>
      </c>
    </row>
    <row r="773" spans="1:6" x14ac:dyDescent="0.25">
      <c r="A773" s="1">
        <v>3003452</v>
      </c>
      <c r="B773" s="1" t="s">
        <v>2638</v>
      </c>
      <c r="C773" s="1" t="s">
        <v>2058</v>
      </c>
      <c r="D773" s="39">
        <v>0</v>
      </c>
      <c r="E773" s="1" t="s">
        <v>3</v>
      </c>
      <c r="F773" s="39">
        <v>0</v>
      </c>
    </row>
    <row r="774" spans="1:6" x14ac:dyDescent="0.25">
      <c r="A774" s="1">
        <v>3003472</v>
      </c>
      <c r="B774" s="1" t="s">
        <v>2639</v>
      </c>
      <c r="C774" s="1" t="s">
        <v>2058</v>
      </c>
      <c r="D774" s="39">
        <v>0</v>
      </c>
      <c r="E774" s="1" t="s">
        <v>3</v>
      </c>
      <c r="F774" s="39">
        <v>0</v>
      </c>
    </row>
    <row r="775" spans="1:6" x14ac:dyDescent="0.25">
      <c r="A775" s="1">
        <v>3003473</v>
      </c>
      <c r="B775" s="1" t="s">
        <v>1147</v>
      </c>
      <c r="C775" s="1" t="s">
        <v>2058</v>
      </c>
      <c r="D775" s="39">
        <v>25</v>
      </c>
      <c r="E775" s="1" t="s">
        <v>3</v>
      </c>
      <c r="F775" s="3">
        <v>583.16999999999996</v>
      </c>
    </row>
    <row r="776" spans="1:6" x14ac:dyDescent="0.25">
      <c r="A776" s="1">
        <v>3003480</v>
      </c>
      <c r="B776" s="1" t="s">
        <v>2640</v>
      </c>
      <c r="C776" s="1" t="s">
        <v>2058</v>
      </c>
      <c r="D776" s="39">
        <v>0</v>
      </c>
      <c r="E776" s="1" t="s">
        <v>1</v>
      </c>
      <c r="F776" s="39">
        <v>0</v>
      </c>
    </row>
    <row r="777" spans="1:6" x14ac:dyDescent="0.25">
      <c r="A777" s="1">
        <v>3003491</v>
      </c>
      <c r="B777" s="1" t="s">
        <v>2641</v>
      </c>
      <c r="C777" s="1" t="s">
        <v>2058</v>
      </c>
      <c r="D777" s="39">
        <v>0</v>
      </c>
      <c r="E777" s="1" t="s">
        <v>1</v>
      </c>
      <c r="F777" s="39">
        <v>0</v>
      </c>
    </row>
    <row r="778" spans="1:6" x14ac:dyDescent="0.25">
      <c r="A778" s="1">
        <v>3003493</v>
      </c>
      <c r="B778" s="1" t="s">
        <v>2642</v>
      </c>
      <c r="C778" s="1" t="s">
        <v>2058</v>
      </c>
      <c r="D778" s="39">
        <v>0</v>
      </c>
      <c r="E778" s="1" t="s">
        <v>1</v>
      </c>
      <c r="F778" s="39">
        <v>0</v>
      </c>
    </row>
    <row r="779" spans="1:6" x14ac:dyDescent="0.25">
      <c r="A779" s="1">
        <v>3003495</v>
      </c>
      <c r="B779" s="1" t="s">
        <v>2643</v>
      </c>
      <c r="C779" s="1" t="s">
        <v>2058</v>
      </c>
      <c r="D779" s="39">
        <v>0</v>
      </c>
      <c r="E779" s="1" t="s">
        <v>3</v>
      </c>
      <c r="F779" s="39">
        <v>0</v>
      </c>
    </row>
    <row r="780" spans="1:6" x14ac:dyDescent="0.25">
      <c r="A780" s="1">
        <v>3003498</v>
      </c>
      <c r="B780" s="1" t="s">
        <v>2644</v>
      </c>
      <c r="C780" s="1" t="s">
        <v>2058</v>
      </c>
      <c r="D780" s="39">
        <v>0</v>
      </c>
      <c r="E780" s="1" t="s">
        <v>3</v>
      </c>
      <c r="F780" s="39">
        <v>0</v>
      </c>
    </row>
    <row r="781" spans="1:6" x14ac:dyDescent="0.25">
      <c r="A781" s="1">
        <v>3003511</v>
      </c>
      <c r="B781" s="1" t="s">
        <v>2645</v>
      </c>
      <c r="C781" s="1" t="s">
        <v>2058</v>
      </c>
      <c r="D781" s="39">
        <v>0</v>
      </c>
      <c r="E781" s="1" t="s">
        <v>1</v>
      </c>
      <c r="F781" s="39">
        <v>0</v>
      </c>
    </row>
    <row r="782" spans="1:6" x14ac:dyDescent="0.25">
      <c r="A782" s="1">
        <v>3003512</v>
      </c>
      <c r="B782" s="1" t="s">
        <v>2646</v>
      </c>
      <c r="C782" s="1" t="s">
        <v>2058</v>
      </c>
      <c r="D782" s="39">
        <v>0</v>
      </c>
      <c r="E782" s="1" t="s">
        <v>1</v>
      </c>
      <c r="F782" s="39">
        <v>0</v>
      </c>
    </row>
    <row r="783" spans="1:6" x14ac:dyDescent="0.25">
      <c r="A783" s="1">
        <v>3003658</v>
      </c>
      <c r="B783" s="1" t="s">
        <v>2647</v>
      </c>
      <c r="C783" s="1" t="s">
        <v>2058</v>
      </c>
      <c r="D783" s="39">
        <v>0</v>
      </c>
      <c r="E783" s="1" t="s">
        <v>3</v>
      </c>
      <c r="F783" s="39">
        <v>0</v>
      </c>
    </row>
    <row r="784" spans="1:6" x14ac:dyDescent="0.25">
      <c r="A784" s="1">
        <v>3003683</v>
      </c>
      <c r="B784" s="1" t="s">
        <v>2648</v>
      </c>
      <c r="C784" s="1" t="s">
        <v>2058</v>
      </c>
      <c r="D784" s="39">
        <v>0</v>
      </c>
      <c r="E784" s="1" t="s">
        <v>1</v>
      </c>
      <c r="F784" s="39">
        <v>0</v>
      </c>
    </row>
    <row r="785" spans="1:6" x14ac:dyDescent="0.25">
      <c r="A785" s="1">
        <v>3003711</v>
      </c>
      <c r="B785" s="1" t="s">
        <v>2649</v>
      </c>
      <c r="C785" s="1" t="s">
        <v>2058</v>
      </c>
      <c r="D785" s="39">
        <v>0</v>
      </c>
      <c r="E785" s="1" t="s">
        <v>1</v>
      </c>
      <c r="F785" s="39">
        <v>0</v>
      </c>
    </row>
    <row r="786" spans="1:6" x14ac:dyDescent="0.25">
      <c r="A786" s="1">
        <v>3003791</v>
      </c>
      <c r="B786" s="1" t="s">
        <v>2650</v>
      </c>
      <c r="C786" s="1" t="s">
        <v>2058</v>
      </c>
      <c r="D786" s="39">
        <v>0</v>
      </c>
      <c r="E786" s="1" t="s">
        <v>1</v>
      </c>
      <c r="F786" s="39">
        <v>0</v>
      </c>
    </row>
    <row r="787" spans="1:6" x14ac:dyDescent="0.25">
      <c r="A787" s="1">
        <v>3003792</v>
      </c>
      <c r="B787" s="1" t="s">
        <v>2651</v>
      </c>
      <c r="C787" s="1" t="s">
        <v>2058</v>
      </c>
      <c r="D787" s="39">
        <v>0</v>
      </c>
      <c r="E787" s="1" t="s">
        <v>1</v>
      </c>
      <c r="F787" s="39">
        <v>0</v>
      </c>
    </row>
    <row r="788" spans="1:6" x14ac:dyDescent="0.25">
      <c r="A788" s="1">
        <v>3003793</v>
      </c>
      <c r="B788" s="1" t="s">
        <v>2652</v>
      </c>
      <c r="C788" s="1" t="s">
        <v>2058</v>
      </c>
      <c r="D788" s="39">
        <v>0</v>
      </c>
      <c r="E788" s="1" t="s">
        <v>1</v>
      </c>
      <c r="F788" s="39">
        <v>0</v>
      </c>
    </row>
    <row r="789" spans="1:6" x14ac:dyDescent="0.25">
      <c r="A789" s="1">
        <v>3003794</v>
      </c>
      <c r="B789" s="1" t="s">
        <v>2653</v>
      </c>
      <c r="C789" s="1" t="s">
        <v>2058</v>
      </c>
      <c r="D789" s="39">
        <v>0</v>
      </c>
      <c r="E789" s="1" t="s">
        <v>1</v>
      </c>
      <c r="F789" s="39">
        <v>0</v>
      </c>
    </row>
    <row r="790" spans="1:6" x14ac:dyDescent="0.25">
      <c r="A790" s="1">
        <v>3003795</v>
      </c>
      <c r="B790" s="1" t="s">
        <v>2654</v>
      </c>
      <c r="C790" s="1" t="s">
        <v>2058</v>
      </c>
      <c r="D790" s="39">
        <v>0</v>
      </c>
      <c r="E790" s="1" t="s">
        <v>1</v>
      </c>
      <c r="F790" s="39">
        <v>0</v>
      </c>
    </row>
    <row r="791" spans="1:6" x14ac:dyDescent="0.25">
      <c r="A791" s="1">
        <v>3003820</v>
      </c>
      <c r="B791" s="1" t="s">
        <v>2655</v>
      </c>
      <c r="C791" s="1" t="s">
        <v>2058</v>
      </c>
      <c r="D791" s="39">
        <v>0</v>
      </c>
      <c r="E791" s="1" t="s">
        <v>3</v>
      </c>
      <c r="F791" s="39">
        <v>0</v>
      </c>
    </row>
    <row r="792" spans="1:6" x14ac:dyDescent="0.25">
      <c r="A792" s="1">
        <v>3003824</v>
      </c>
      <c r="B792" s="1" t="s">
        <v>2656</v>
      </c>
      <c r="C792" s="1" t="s">
        <v>2058</v>
      </c>
      <c r="D792" s="39">
        <v>0</v>
      </c>
      <c r="E792" s="1" t="s">
        <v>3</v>
      </c>
      <c r="F792" s="39">
        <v>0</v>
      </c>
    </row>
    <row r="793" spans="1:6" x14ac:dyDescent="0.25">
      <c r="A793" s="1">
        <v>3003830</v>
      </c>
      <c r="B793" s="1" t="s">
        <v>1370</v>
      </c>
      <c r="C793" s="1" t="s">
        <v>2058</v>
      </c>
      <c r="D793" s="39">
        <v>434</v>
      </c>
      <c r="E793" s="1" t="s">
        <v>1</v>
      </c>
      <c r="F793" s="3">
        <v>8421.99</v>
      </c>
    </row>
    <row r="794" spans="1:6" x14ac:dyDescent="0.25">
      <c r="A794" s="1">
        <v>3003831</v>
      </c>
      <c r="B794" s="1" t="s">
        <v>1375</v>
      </c>
      <c r="C794" s="1" t="s">
        <v>2058</v>
      </c>
      <c r="D794" s="39">
        <v>0</v>
      </c>
      <c r="E794" s="1" t="s">
        <v>1</v>
      </c>
      <c r="F794" s="39">
        <v>0</v>
      </c>
    </row>
    <row r="795" spans="1:6" x14ac:dyDescent="0.25">
      <c r="A795" s="1">
        <v>3003841</v>
      </c>
      <c r="B795" s="1" t="s">
        <v>2657</v>
      </c>
      <c r="C795" s="1" t="s">
        <v>2058</v>
      </c>
      <c r="D795" s="39">
        <v>0</v>
      </c>
      <c r="E795" s="1" t="s">
        <v>1</v>
      </c>
      <c r="F795" s="39">
        <v>0</v>
      </c>
    </row>
    <row r="796" spans="1:6" x14ac:dyDescent="0.25">
      <c r="A796" s="1">
        <v>3003860</v>
      </c>
      <c r="B796" s="1" t="s">
        <v>2658</v>
      </c>
      <c r="C796" s="1" t="s">
        <v>2058</v>
      </c>
      <c r="D796" s="39">
        <v>0</v>
      </c>
      <c r="E796" s="1" t="s">
        <v>1</v>
      </c>
      <c r="F796" s="39">
        <v>0</v>
      </c>
    </row>
    <row r="797" spans="1:6" x14ac:dyDescent="0.25">
      <c r="A797" s="1">
        <v>3003862</v>
      </c>
      <c r="B797" s="1" t="s">
        <v>1299</v>
      </c>
      <c r="C797" s="1" t="s">
        <v>2058</v>
      </c>
      <c r="D797" s="39">
        <v>0</v>
      </c>
      <c r="E797" s="1" t="s">
        <v>1</v>
      </c>
      <c r="F797" s="39">
        <v>0</v>
      </c>
    </row>
    <row r="798" spans="1:6" x14ac:dyDescent="0.25">
      <c r="A798" s="1">
        <v>3003864</v>
      </c>
      <c r="B798" s="1" t="s">
        <v>1272</v>
      </c>
      <c r="C798" s="1" t="s">
        <v>2058</v>
      </c>
      <c r="D798" s="39">
        <v>0</v>
      </c>
      <c r="E798" s="1" t="s">
        <v>1</v>
      </c>
      <c r="F798" s="39">
        <v>0</v>
      </c>
    </row>
    <row r="799" spans="1:6" x14ac:dyDescent="0.25">
      <c r="A799" s="1">
        <v>3003869</v>
      </c>
      <c r="B799" s="1" t="s">
        <v>1273</v>
      </c>
      <c r="C799" s="1" t="s">
        <v>2058</v>
      </c>
      <c r="D799" s="39">
        <v>9572</v>
      </c>
      <c r="E799" s="1" t="s">
        <v>1</v>
      </c>
      <c r="F799" s="3">
        <v>4692.1899999999996</v>
      </c>
    </row>
    <row r="800" spans="1:6" x14ac:dyDescent="0.25">
      <c r="A800" s="1">
        <v>3003891</v>
      </c>
      <c r="B800" s="1" t="s">
        <v>1300</v>
      </c>
      <c r="C800" s="1" t="s">
        <v>2058</v>
      </c>
      <c r="D800" s="39">
        <v>3114</v>
      </c>
      <c r="E800" s="1" t="s">
        <v>1</v>
      </c>
      <c r="F800" s="3">
        <v>1963.07</v>
      </c>
    </row>
    <row r="801" spans="1:6" x14ac:dyDescent="0.25">
      <c r="A801" s="1">
        <v>3003892</v>
      </c>
      <c r="B801" s="1" t="s">
        <v>1301</v>
      </c>
      <c r="C801" s="1" t="s">
        <v>2058</v>
      </c>
      <c r="D801" s="39">
        <v>7288</v>
      </c>
      <c r="E801" s="1" t="s">
        <v>1</v>
      </c>
      <c r="F801" s="3">
        <v>38489.39</v>
      </c>
    </row>
    <row r="802" spans="1:6" x14ac:dyDescent="0.25">
      <c r="A802" s="1">
        <v>3003893</v>
      </c>
      <c r="B802" s="1" t="s">
        <v>164</v>
      </c>
      <c r="C802" s="1" t="s">
        <v>2058</v>
      </c>
      <c r="D802" s="39">
        <v>2980</v>
      </c>
      <c r="E802" s="1" t="s">
        <v>1</v>
      </c>
      <c r="F802" s="3">
        <v>1570.46</v>
      </c>
    </row>
    <row r="803" spans="1:6" x14ac:dyDescent="0.25">
      <c r="A803" s="1">
        <v>3003894</v>
      </c>
      <c r="B803" s="1" t="s">
        <v>1274</v>
      </c>
      <c r="C803" s="1" t="s">
        <v>2058</v>
      </c>
      <c r="D803" s="39">
        <v>6934</v>
      </c>
      <c r="E803" s="1" t="s">
        <v>1</v>
      </c>
      <c r="F803" s="3">
        <v>26816.55</v>
      </c>
    </row>
    <row r="804" spans="1:6" x14ac:dyDescent="0.25">
      <c r="A804" s="1">
        <v>3003906</v>
      </c>
      <c r="B804" s="1" t="s">
        <v>2659</v>
      </c>
      <c r="C804" s="1" t="s">
        <v>2058</v>
      </c>
      <c r="D804" s="39">
        <v>0</v>
      </c>
      <c r="E804" s="1" t="s">
        <v>1</v>
      </c>
      <c r="F804" s="39">
        <v>0</v>
      </c>
    </row>
    <row r="805" spans="1:6" x14ac:dyDescent="0.25">
      <c r="A805" s="1">
        <v>3003935</v>
      </c>
      <c r="B805" s="1" t="s">
        <v>1284</v>
      </c>
      <c r="C805" s="1" t="s">
        <v>2058</v>
      </c>
      <c r="D805" s="39">
        <v>1156</v>
      </c>
      <c r="E805" s="1" t="s">
        <v>1</v>
      </c>
      <c r="F805" s="3">
        <v>5710.53</v>
      </c>
    </row>
    <row r="806" spans="1:6" x14ac:dyDescent="0.25">
      <c r="A806" s="1">
        <v>3003936</v>
      </c>
      <c r="B806" s="1" t="s">
        <v>1310</v>
      </c>
      <c r="C806" s="1" t="s">
        <v>2058</v>
      </c>
      <c r="D806" s="39">
        <v>1134</v>
      </c>
      <c r="E806" s="1" t="s">
        <v>1</v>
      </c>
      <c r="F806" s="3">
        <v>6309.58</v>
      </c>
    </row>
    <row r="807" spans="1:6" x14ac:dyDescent="0.25">
      <c r="A807" s="1">
        <v>3003937</v>
      </c>
      <c r="B807" s="1" t="s">
        <v>1285</v>
      </c>
      <c r="C807" s="1" t="s">
        <v>2058</v>
      </c>
      <c r="D807" s="39">
        <v>14084</v>
      </c>
      <c r="E807" s="1" t="s">
        <v>1</v>
      </c>
      <c r="F807" s="3">
        <v>7339.17</v>
      </c>
    </row>
    <row r="808" spans="1:6" x14ac:dyDescent="0.25">
      <c r="A808" s="1">
        <v>3003980</v>
      </c>
      <c r="B808" s="1" t="s">
        <v>1783</v>
      </c>
      <c r="C808" s="1" t="s">
        <v>2058</v>
      </c>
      <c r="D808" s="39">
        <v>0</v>
      </c>
      <c r="E808" s="1" t="s">
        <v>1</v>
      </c>
      <c r="F808" s="39">
        <v>0</v>
      </c>
    </row>
    <row r="809" spans="1:6" x14ac:dyDescent="0.25">
      <c r="A809" s="1">
        <v>3004181</v>
      </c>
      <c r="B809" s="1" t="s">
        <v>1289</v>
      </c>
      <c r="C809" s="1" t="s">
        <v>2058</v>
      </c>
      <c r="D809" s="39">
        <v>0</v>
      </c>
      <c r="E809" s="1" t="s">
        <v>1</v>
      </c>
      <c r="F809" s="39">
        <v>0</v>
      </c>
    </row>
    <row r="810" spans="1:6" x14ac:dyDescent="0.25">
      <c r="A810" s="1">
        <v>3004182</v>
      </c>
      <c r="B810" s="1" t="s">
        <v>1279</v>
      </c>
      <c r="C810" s="1" t="s">
        <v>2058</v>
      </c>
      <c r="D810" s="39">
        <v>756</v>
      </c>
      <c r="E810" s="1" t="s">
        <v>1</v>
      </c>
      <c r="F810" s="3">
        <v>3836.4</v>
      </c>
    </row>
    <row r="811" spans="1:6" x14ac:dyDescent="0.25">
      <c r="A811" s="1">
        <v>3004183</v>
      </c>
      <c r="B811" s="1" t="s">
        <v>1294</v>
      </c>
      <c r="C811" s="1" t="s">
        <v>2058</v>
      </c>
      <c r="D811" s="39">
        <v>0</v>
      </c>
      <c r="E811" s="1" t="s">
        <v>1</v>
      </c>
      <c r="F811" s="39">
        <v>0</v>
      </c>
    </row>
    <row r="812" spans="1:6" x14ac:dyDescent="0.25">
      <c r="A812" s="1">
        <v>3004184</v>
      </c>
      <c r="B812" s="1" t="s">
        <v>1306</v>
      </c>
      <c r="C812" s="1" t="s">
        <v>2058</v>
      </c>
      <c r="D812" s="39">
        <v>0</v>
      </c>
      <c r="E812" s="1" t="s">
        <v>1</v>
      </c>
      <c r="F812" s="39">
        <v>0</v>
      </c>
    </row>
    <row r="813" spans="1:6" x14ac:dyDescent="0.25">
      <c r="A813" s="1">
        <v>3004185</v>
      </c>
      <c r="B813" s="1" t="s">
        <v>1314</v>
      </c>
      <c r="C813" s="1" t="s">
        <v>2058</v>
      </c>
      <c r="D813" s="39">
        <v>0</v>
      </c>
      <c r="E813" s="1" t="s">
        <v>1</v>
      </c>
      <c r="F813" s="39">
        <v>0</v>
      </c>
    </row>
    <row r="814" spans="1:6" x14ac:dyDescent="0.25">
      <c r="A814" s="1">
        <v>3004186</v>
      </c>
      <c r="B814" s="1" t="s">
        <v>1318</v>
      </c>
      <c r="C814" s="1" t="s">
        <v>2058</v>
      </c>
      <c r="D814" s="39">
        <v>0</v>
      </c>
      <c r="E814" s="1" t="s">
        <v>1</v>
      </c>
      <c r="F814" s="39">
        <v>0</v>
      </c>
    </row>
    <row r="815" spans="1:6" x14ac:dyDescent="0.25">
      <c r="A815" s="1">
        <v>3004187</v>
      </c>
      <c r="B815" s="1" t="s">
        <v>1280</v>
      </c>
      <c r="C815" s="1" t="s">
        <v>2058</v>
      </c>
      <c r="D815" s="39">
        <v>15150</v>
      </c>
      <c r="E815" s="1" t="s">
        <v>1</v>
      </c>
      <c r="F815" s="3">
        <v>7926.48</v>
      </c>
    </row>
    <row r="816" spans="1:6" x14ac:dyDescent="0.25">
      <c r="A816" s="1">
        <v>3004188</v>
      </c>
      <c r="B816" s="1" t="s">
        <v>1290</v>
      </c>
      <c r="C816" s="1" t="s">
        <v>2058</v>
      </c>
      <c r="D816" s="39">
        <v>11372</v>
      </c>
      <c r="E816" s="1" t="s">
        <v>1</v>
      </c>
      <c r="F816" s="3">
        <v>5994.18</v>
      </c>
    </row>
    <row r="817" spans="1:6" x14ac:dyDescent="0.25">
      <c r="A817" s="1">
        <v>3004189</v>
      </c>
      <c r="B817" s="1" t="s">
        <v>1295</v>
      </c>
      <c r="C817" s="1" t="s">
        <v>2058</v>
      </c>
      <c r="D817" s="39">
        <v>14700</v>
      </c>
      <c r="E817" s="1" t="s">
        <v>1</v>
      </c>
      <c r="F817" s="3">
        <v>7674.87</v>
      </c>
    </row>
    <row r="818" spans="1:6" x14ac:dyDescent="0.25">
      <c r="A818" s="1">
        <v>3004212</v>
      </c>
      <c r="B818" s="1" t="s">
        <v>365</v>
      </c>
      <c r="C818" s="1" t="s">
        <v>2058</v>
      </c>
      <c r="D818" s="40">
        <v>11.32</v>
      </c>
      <c r="E818" s="1" t="s">
        <v>3</v>
      </c>
      <c r="F818" s="3">
        <v>246.78</v>
      </c>
    </row>
    <row r="819" spans="1:6" x14ac:dyDescent="0.25">
      <c r="A819" s="1">
        <v>3004213</v>
      </c>
      <c r="B819" s="1" t="s">
        <v>381</v>
      </c>
      <c r="C819" s="1" t="s">
        <v>2058</v>
      </c>
      <c r="D819" s="39">
        <v>250</v>
      </c>
      <c r="E819" s="1" t="s">
        <v>3</v>
      </c>
      <c r="F819" s="3">
        <v>5196.3500000000004</v>
      </c>
    </row>
    <row r="820" spans="1:6" x14ac:dyDescent="0.25">
      <c r="A820" s="1">
        <v>3004362</v>
      </c>
      <c r="B820" s="1" t="s">
        <v>172</v>
      </c>
      <c r="C820" s="1" t="s">
        <v>2058</v>
      </c>
      <c r="D820" s="39">
        <v>284</v>
      </c>
      <c r="E820" s="1" t="s">
        <v>1</v>
      </c>
      <c r="F820" s="3">
        <v>620.79999999999995</v>
      </c>
    </row>
    <row r="821" spans="1:6" x14ac:dyDescent="0.25">
      <c r="A821" s="1">
        <v>3004376</v>
      </c>
      <c r="B821" s="1" t="s">
        <v>1776</v>
      </c>
      <c r="C821" s="1" t="s">
        <v>2058</v>
      </c>
      <c r="D821" s="39">
        <v>0</v>
      </c>
      <c r="E821" s="1" t="s">
        <v>3</v>
      </c>
      <c r="F821" s="39">
        <v>0</v>
      </c>
    </row>
    <row r="822" spans="1:6" x14ac:dyDescent="0.25">
      <c r="A822" s="1">
        <v>3004438</v>
      </c>
      <c r="B822" s="1" t="s">
        <v>2660</v>
      </c>
      <c r="C822" s="1" t="s">
        <v>2058</v>
      </c>
      <c r="D822" s="39">
        <v>0</v>
      </c>
      <c r="E822" s="1" t="s">
        <v>1</v>
      </c>
      <c r="F822" s="39">
        <v>0</v>
      </c>
    </row>
    <row r="823" spans="1:6" x14ac:dyDescent="0.25">
      <c r="A823" s="1">
        <v>3004439</v>
      </c>
      <c r="B823" s="1" t="s">
        <v>2661</v>
      </c>
      <c r="C823" s="1" t="s">
        <v>2058</v>
      </c>
      <c r="D823" s="39">
        <v>0</v>
      </c>
      <c r="E823" s="1" t="s">
        <v>1</v>
      </c>
      <c r="F823" s="39">
        <v>0</v>
      </c>
    </row>
    <row r="824" spans="1:6" x14ac:dyDescent="0.25">
      <c r="A824" s="1">
        <v>3004442</v>
      </c>
      <c r="B824" s="1" t="s">
        <v>2662</v>
      </c>
      <c r="C824" s="1" t="s">
        <v>2058</v>
      </c>
      <c r="D824" s="39">
        <v>0</v>
      </c>
      <c r="E824" s="1" t="s">
        <v>1</v>
      </c>
      <c r="F824" s="39">
        <v>0</v>
      </c>
    </row>
    <row r="825" spans="1:6" x14ac:dyDescent="0.25">
      <c r="A825" s="1">
        <v>3004450</v>
      </c>
      <c r="B825" s="1" t="s">
        <v>2663</v>
      </c>
      <c r="C825" s="1" t="s">
        <v>2058</v>
      </c>
      <c r="D825" s="39">
        <v>0</v>
      </c>
      <c r="E825" s="1" t="s">
        <v>1</v>
      </c>
      <c r="F825" s="39">
        <v>0</v>
      </c>
    </row>
    <row r="826" spans="1:6" x14ac:dyDescent="0.25">
      <c r="A826" s="1">
        <v>3004630</v>
      </c>
      <c r="B826" s="1" t="s">
        <v>382</v>
      </c>
      <c r="C826" s="1" t="s">
        <v>2058</v>
      </c>
      <c r="D826" s="39">
        <v>4075</v>
      </c>
      <c r="E826" s="1" t="s">
        <v>1</v>
      </c>
      <c r="F826" s="3">
        <v>5569.3</v>
      </c>
    </row>
    <row r="827" spans="1:6" x14ac:dyDescent="0.25">
      <c r="A827" s="1">
        <v>3004961</v>
      </c>
      <c r="B827" s="1" t="s">
        <v>1061</v>
      </c>
      <c r="C827" s="1" t="s">
        <v>2058</v>
      </c>
      <c r="D827" s="40">
        <v>4746.1000000000004</v>
      </c>
      <c r="E827" s="1" t="s">
        <v>3</v>
      </c>
      <c r="F827" s="3">
        <v>126961.5</v>
      </c>
    </row>
    <row r="828" spans="1:6" x14ac:dyDescent="0.25">
      <c r="A828" s="1">
        <v>3005081</v>
      </c>
      <c r="B828" s="1" t="s">
        <v>1019</v>
      </c>
      <c r="C828" s="1" t="s">
        <v>2058</v>
      </c>
      <c r="D828" s="39">
        <v>0</v>
      </c>
      <c r="E828" s="1" t="s">
        <v>1</v>
      </c>
      <c r="F828" s="39">
        <v>0</v>
      </c>
    </row>
    <row r="829" spans="1:6" x14ac:dyDescent="0.25">
      <c r="A829" s="1">
        <v>3005114</v>
      </c>
      <c r="B829" s="1" t="s">
        <v>1203</v>
      </c>
      <c r="C829" s="1" t="s">
        <v>2058</v>
      </c>
      <c r="D829" s="40">
        <v>5892.3280000000004</v>
      </c>
      <c r="E829" s="1" t="s">
        <v>3</v>
      </c>
      <c r="F829" s="3">
        <v>161832.20000000001</v>
      </c>
    </row>
    <row r="830" spans="1:6" x14ac:dyDescent="0.25">
      <c r="A830" s="1">
        <v>3005122</v>
      </c>
      <c r="B830" s="1" t="s">
        <v>904</v>
      </c>
      <c r="C830" s="1" t="s">
        <v>2058</v>
      </c>
      <c r="D830" s="40">
        <v>11306.462</v>
      </c>
      <c r="E830" s="1" t="s">
        <v>3</v>
      </c>
      <c r="F830" s="3">
        <v>260942.97</v>
      </c>
    </row>
    <row r="831" spans="1:6" x14ac:dyDescent="0.25">
      <c r="A831" s="1">
        <v>3005123</v>
      </c>
      <c r="B831" s="1" t="s">
        <v>900</v>
      </c>
      <c r="C831" s="1" t="s">
        <v>2058</v>
      </c>
      <c r="D831" s="39">
        <v>15579</v>
      </c>
      <c r="E831" s="1" t="s">
        <v>3</v>
      </c>
      <c r="F831" s="3">
        <v>346330.52</v>
      </c>
    </row>
    <row r="832" spans="1:6" x14ac:dyDescent="0.25">
      <c r="A832" s="1">
        <v>3005124</v>
      </c>
      <c r="B832" s="1" t="s">
        <v>887</v>
      </c>
      <c r="C832" s="1" t="s">
        <v>2058</v>
      </c>
      <c r="D832" s="40">
        <v>21049.419000000002</v>
      </c>
      <c r="E832" s="1" t="s">
        <v>3</v>
      </c>
      <c r="F832" s="3">
        <v>471597.5</v>
      </c>
    </row>
    <row r="833" spans="1:6" x14ac:dyDescent="0.25">
      <c r="A833" s="1">
        <v>3005125</v>
      </c>
      <c r="B833" s="1" t="s">
        <v>896</v>
      </c>
      <c r="C833" s="1" t="s">
        <v>2058</v>
      </c>
      <c r="D833" s="40">
        <v>33949.444000000003</v>
      </c>
      <c r="E833" s="1" t="s">
        <v>3</v>
      </c>
      <c r="F833" s="3">
        <v>754176.71</v>
      </c>
    </row>
    <row r="834" spans="1:6" x14ac:dyDescent="0.25">
      <c r="A834" s="1">
        <v>3005132</v>
      </c>
      <c r="B834" s="1" t="s">
        <v>1197</v>
      </c>
      <c r="C834" s="1" t="s">
        <v>2058</v>
      </c>
      <c r="D834" s="39">
        <v>0</v>
      </c>
      <c r="E834" s="1" t="s">
        <v>3</v>
      </c>
      <c r="F834" s="39">
        <v>0</v>
      </c>
    </row>
    <row r="835" spans="1:6" x14ac:dyDescent="0.25">
      <c r="A835" s="1">
        <v>3005180</v>
      </c>
      <c r="B835" s="1" t="s">
        <v>2664</v>
      </c>
      <c r="C835" s="1" t="s">
        <v>2058</v>
      </c>
      <c r="D835" s="39">
        <v>0</v>
      </c>
      <c r="E835" s="1" t="s">
        <v>1</v>
      </c>
      <c r="F835" s="39">
        <v>0</v>
      </c>
    </row>
    <row r="836" spans="1:6" x14ac:dyDescent="0.25">
      <c r="A836" s="1">
        <v>3005650</v>
      </c>
      <c r="B836" s="1" t="s">
        <v>1148</v>
      </c>
      <c r="C836" s="1" t="s">
        <v>2058</v>
      </c>
      <c r="D836" s="39">
        <v>0</v>
      </c>
      <c r="E836" s="1" t="s">
        <v>3</v>
      </c>
      <c r="F836" s="39">
        <v>0</v>
      </c>
    </row>
    <row r="837" spans="1:6" x14ac:dyDescent="0.25">
      <c r="A837" s="1">
        <v>3005651</v>
      </c>
      <c r="B837" s="1" t="s">
        <v>46</v>
      </c>
      <c r="C837" s="1" t="s">
        <v>2058</v>
      </c>
      <c r="D837" s="39">
        <v>17100</v>
      </c>
      <c r="E837" s="1" t="s">
        <v>1</v>
      </c>
      <c r="F837" s="3">
        <v>137525.04</v>
      </c>
    </row>
    <row r="838" spans="1:6" x14ac:dyDescent="0.25">
      <c r="A838" s="1">
        <v>3005652</v>
      </c>
      <c r="B838" s="1" t="s">
        <v>36</v>
      </c>
      <c r="C838" s="1" t="s">
        <v>2058</v>
      </c>
      <c r="D838" s="39">
        <v>7100</v>
      </c>
      <c r="E838" s="1" t="s">
        <v>1</v>
      </c>
      <c r="F838" s="3">
        <v>56695.63</v>
      </c>
    </row>
    <row r="839" spans="1:6" x14ac:dyDescent="0.25">
      <c r="A839" s="1">
        <v>3005671</v>
      </c>
      <c r="B839" s="1" t="s">
        <v>165</v>
      </c>
      <c r="C839" s="1" t="s">
        <v>2058</v>
      </c>
      <c r="D839" s="39">
        <v>3072</v>
      </c>
      <c r="E839" s="1" t="s">
        <v>1</v>
      </c>
      <c r="F839" s="3">
        <v>6487.14</v>
      </c>
    </row>
    <row r="840" spans="1:6" x14ac:dyDescent="0.25">
      <c r="A840" s="1">
        <v>3005672</v>
      </c>
      <c r="B840" s="1" t="s">
        <v>1362</v>
      </c>
      <c r="C840" s="1" t="s">
        <v>2058</v>
      </c>
      <c r="D840" s="39">
        <v>900</v>
      </c>
      <c r="E840" s="1" t="s">
        <v>1</v>
      </c>
      <c r="F840" s="3">
        <v>1983.06</v>
      </c>
    </row>
    <row r="841" spans="1:6" x14ac:dyDescent="0.25">
      <c r="A841" s="1">
        <v>3005673</v>
      </c>
      <c r="B841" s="1" t="s">
        <v>1358</v>
      </c>
      <c r="C841" s="1" t="s">
        <v>2058</v>
      </c>
      <c r="D841" s="39">
        <v>2000</v>
      </c>
      <c r="E841" s="1" t="s">
        <v>1</v>
      </c>
      <c r="F841" s="3">
        <v>4127.2</v>
      </c>
    </row>
    <row r="842" spans="1:6" x14ac:dyDescent="0.25">
      <c r="A842" s="1">
        <v>3005674</v>
      </c>
      <c r="B842" s="1" t="s">
        <v>1354</v>
      </c>
      <c r="C842" s="1" t="s">
        <v>2058</v>
      </c>
      <c r="D842" s="39">
        <v>1644</v>
      </c>
      <c r="E842" s="1" t="s">
        <v>1</v>
      </c>
      <c r="F842" s="3">
        <v>3454.87</v>
      </c>
    </row>
    <row r="843" spans="1:6" x14ac:dyDescent="0.25">
      <c r="A843" s="1">
        <v>3005675</v>
      </c>
      <c r="B843" s="1" t="s">
        <v>1366</v>
      </c>
      <c r="C843" s="1" t="s">
        <v>2058</v>
      </c>
      <c r="D843" s="39">
        <v>0</v>
      </c>
      <c r="E843" s="1" t="s">
        <v>1</v>
      </c>
      <c r="F843" s="39">
        <v>0</v>
      </c>
    </row>
    <row r="844" spans="1:6" x14ac:dyDescent="0.25">
      <c r="A844" s="1">
        <v>3005676</v>
      </c>
      <c r="B844" s="1" t="s">
        <v>166</v>
      </c>
      <c r="C844" s="1" t="s">
        <v>2058</v>
      </c>
      <c r="D844" s="39">
        <v>21550</v>
      </c>
      <c r="E844" s="1" t="s">
        <v>1</v>
      </c>
      <c r="F844" s="3">
        <v>24625.19</v>
      </c>
    </row>
    <row r="845" spans="1:6" x14ac:dyDescent="0.25">
      <c r="A845" s="1">
        <v>3005677</v>
      </c>
      <c r="B845" s="1" t="s">
        <v>167</v>
      </c>
      <c r="C845" s="1" t="s">
        <v>2058</v>
      </c>
      <c r="D845" s="39">
        <v>25750</v>
      </c>
      <c r="E845" s="1" t="s">
        <v>1</v>
      </c>
      <c r="F845" s="3">
        <v>19732.23</v>
      </c>
    </row>
    <row r="846" spans="1:6" x14ac:dyDescent="0.25">
      <c r="A846" s="1">
        <v>3005678</v>
      </c>
      <c r="B846" s="1" t="s">
        <v>168</v>
      </c>
      <c r="C846" s="1" t="s">
        <v>2058</v>
      </c>
      <c r="D846" s="39">
        <v>22150</v>
      </c>
      <c r="E846" s="1" t="s">
        <v>1</v>
      </c>
      <c r="F846" s="3">
        <v>17022.28</v>
      </c>
    </row>
    <row r="847" spans="1:6" x14ac:dyDescent="0.25">
      <c r="A847" s="1">
        <v>3005679</v>
      </c>
      <c r="B847" s="1" t="s">
        <v>37</v>
      </c>
      <c r="C847" s="1" t="s">
        <v>2058</v>
      </c>
      <c r="D847" s="39">
        <v>9885</v>
      </c>
      <c r="E847" s="1" t="s">
        <v>1</v>
      </c>
      <c r="F847" s="3">
        <v>11684.07</v>
      </c>
    </row>
    <row r="848" spans="1:6" x14ac:dyDescent="0.25">
      <c r="A848" s="1">
        <v>3005680</v>
      </c>
      <c r="B848" s="1" t="s">
        <v>47</v>
      </c>
      <c r="C848" s="1" t="s">
        <v>2058</v>
      </c>
      <c r="D848" s="39">
        <v>14406</v>
      </c>
      <c r="E848" s="1" t="s">
        <v>1</v>
      </c>
      <c r="F848" s="3">
        <v>10584.09</v>
      </c>
    </row>
    <row r="849" spans="1:6" x14ac:dyDescent="0.25">
      <c r="A849" s="1">
        <v>3005681</v>
      </c>
      <c r="B849" s="1" t="s">
        <v>48</v>
      </c>
      <c r="C849" s="1" t="s">
        <v>2058</v>
      </c>
      <c r="D849" s="39">
        <v>3972</v>
      </c>
      <c r="E849" s="1" t="s">
        <v>1</v>
      </c>
      <c r="F849" s="3">
        <v>412.29</v>
      </c>
    </row>
    <row r="850" spans="1:6" x14ac:dyDescent="0.25">
      <c r="A850" s="1">
        <v>3005702</v>
      </c>
      <c r="B850" s="1" t="s">
        <v>66</v>
      </c>
      <c r="C850" s="1" t="s">
        <v>2058</v>
      </c>
      <c r="D850" s="39">
        <v>862</v>
      </c>
      <c r="E850" s="1" t="s">
        <v>1</v>
      </c>
      <c r="F850" s="3">
        <v>498.49</v>
      </c>
    </row>
    <row r="851" spans="1:6" x14ac:dyDescent="0.25">
      <c r="A851" s="1">
        <v>3005737</v>
      </c>
      <c r="B851" s="1" t="s">
        <v>2665</v>
      </c>
      <c r="C851" s="1" t="s">
        <v>2058</v>
      </c>
      <c r="D851" s="39">
        <v>0</v>
      </c>
      <c r="E851" s="1" t="s">
        <v>1</v>
      </c>
      <c r="F851" s="39">
        <v>0</v>
      </c>
    </row>
    <row r="852" spans="1:6" x14ac:dyDescent="0.25">
      <c r="A852" s="1">
        <v>3005738</v>
      </c>
      <c r="B852" s="1" t="s">
        <v>2666</v>
      </c>
      <c r="C852" s="1" t="s">
        <v>2058</v>
      </c>
      <c r="D852" s="39">
        <v>0</v>
      </c>
      <c r="E852" s="1" t="s">
        <v>1</v>
      </c>
      <c r="F852" s="39">
        <v>0</v>
      </c>
    </row>
    <row r="853" spans="1:6" x14ac:dyDescent="0.25">
      <c r="A853" s="1">
        <v>3005980</v>
      </c>
      <c r="B853" s="1" t="s">
        <v>1480</v>
      </c>
      <c r="C853" s="1" t="s">
        <v>2058</v>
      </c>
      <c r="D853" s="39">
        <v>0</v>
      </c>
      <c r="E853" s="1" t="s">
        <v>1</v>
      </c>
      <c r="F853" s="39">
        <v>0</v>
      </c>
    </row>
    <row r="854" spans="1:6" x14ac:dyDescent="0.25">
      <c r="A854" s="1">
        <v>3005981</v>
      </c>
      <c r="B854" s="1" t="s">
        <v>1483</v>
      </c>
      <c r="C854" s="1" t="s">
        <v>2058</v>
      </c>
      <c r="D854" s="39">
        <v>4</v>
      </c>
      <c r="E854" s="1" t="s">
        <v>1</v>
      </c>
      <c r="F854" s="3">
        <v>104.2</v>
      </c>
    </row>
    <row r="855" spans="1:6" x14ac:dyDescent="0.25">
      <c r="A855" s="1">
        <v>3005982</v>
      </c>
      <c r="B855" s="1" t="s">
        <v>1486</v>
      </c>
      <c r="C855" s="1" t="s">
        <v>2058</v>
      </c>
      <c r="D855" s="39">
        <v>0</v>
      </c>
      <c r="E855" s="1" t="s">
        <v>1</v>
      </c>
      <c r="F855" s="39">
        <v>0</v>
      </c>
    </row>
    <row r="856" spans="1:6" x14ac:dyDescent="0.25">
      <c r="A856" s="1">
        <v>3005983</v>
      </c>
      <c r="B856" s="1" t="s">
        <v>1489</v>
      </c>
      <c r="C856" s="1" t="s">
        <v>2058</v>
      </c>
      <c r="D856" s="39">
        <v>0</v>
      </c>
      <c r="E856" s="1" t="s">
        <v>1</v>
      </c>
      <c r="F856" s="39">
        <v>0</v>
      </c>
    </row>
    <row r="857" spans="1:6" x14ac:dyDescent="0.25">
      <c r="A857" s="1">
        <v>3005984</v>
      </c>
      <c r="B857" s="1" t="s">
        <v>1492</v>
      </c>
      <c r="C857" s="1" t="s">
        <v>2058</v>
      </c>
      <c r="D857" s="39">
        <v>124</v>
      </c>
      <c r="E857" s="1" t="s">
        <v>1</v>
      </c>
      <c r="F857" s="3">
        <v>6966.38</v>
      </c>
    </row>
    <row r="858" spans="1:6" x14ac:dyDescent="0.25">
      <c r="A858" s="1">
        <v>3005986</v>
      </c>
      <c r="B858" s="1" t="s">
        <v>1495</v>
      </c>
      <c r="C858" s="1" t="s">
        <v>2058</v>
      </c>
      <c r="D858" s="39">
        <v>124</v>
      </c>
      <c r="E858" s="1" t="s">
        <v>1</v>
      </c>
      <c r="F858" s="3">
        <v>6411.12</v>
      </c>
    </row>
    <row r="859" spans="1:6" x14ac:dyDescent="0.25">
      <c r="A859" s="1">
        <v>3005988</v>
      </c>
      <c r="B859" s="1" t="s">
        <v>1473</v>
      </c>
      <c r="C859" s="1" t="s">
        <v>2058</v>
      </c>
      <c r="D859" s="39">
        <v>0</v>
      </c>
      <c r="E859" s="1" t="s">
        <v>1</v>
      </c>
      <c r="F859" s="39">
        <v>0</v>
      </c>
    </row>
    <row r="860" spans="1:6" x14ac:dyDescent="0.25">
      <c r="A860" s="1">
        <v>3005989</v>
      </c>
      <c r="B860" s="1" t="s">
        <v>1477</v>
      </c>
      <c r="C860" s="1" t="s">
        <v>2058</v>
      </c>
      <c r="D860" s="39">
        <v>0</v>
      </c>
      <c r="E860" s="1" t="s">
        <v>1</v>
      </c>
      <c r="F860" s="39">
        <v>0</v>
      </c>
    </row>
    <row r="861" spans="1:6" x14ac:dyDescent="0.25">
      <c r="A861" s="1">
        <v>3005990</v>
      </c>
      <c r="B861" s="1" t="s">
        <v>1498</v>
      </c>
      <c r="C861" s="1" t="s">
        <v>2058</v>
      </c>
      <c r="D861" s="39">
        <v>345</v>
      </c>
      <c r="E861" s="1" t="s">
        <v>1</v>
      </c>
      <c r="F861" s="3">
        <v>22251.91</v>
      </c>
    </row>
    <row r="862" spans="1:6" x14ac:dyDescent="0.25">
      <c r="A862" s="1">
        <v>3005991</v>
      </c>
      <c r="B862" s="1" t="s">
        <v>1428</v>
      </c>
      <c r="C862" s="1" t="s">
        <v>2058</v>
      </c>
      <c r="D862" s="39">
        <v>301</v>
      </c>
      <c r="E862" s="1" t="s">
        <v>1</v>
      </c>
      <c r="F862" s="3">
        <v>24621.23</v>
      </c>
    </row>
    <row r="863" spans="1:6" x14ac:dyDescent="0.25">
      <c r="A863" s="1">
        <v>3005992</v>
      </c>
      <c r="B863" s="1" t="s">
        <v>1431</v>
      </c>
      <c r="C863" s="1" t="s">
        <v>2058</v>
      </c>
      <c r="D863" s="39">
        <v>297</v>
      </c>
      <c r="E863" s="1" t="s">
        <v>1</v>
      </c>
      <c r="F863" s="3">
        <v>34120.1</v>
      </c>
    </row>
    <row r="864" spans="1:6" x14ac:dyDescent="0.25">
      <c r="A864" s="1">
        <v>3006030</v>
      </c>
      <c r="B864" s="1" t="s">
        <v>1447</v>
      </c>
      <c r="C864" s="1" t="s">
        <v>2058</v>
      </c>
      <c r="D864" s="39">
        <v>16620</v>
      </c>
      <c r="E864" s="1" t="s">
        <v>1</v>
      </c>
      <c r="F864" s="3">
        <v>8537.69</v>
      </c>
    </row>
    <row r="865" spans="1:6" x14ac:dyDescent="0.25">
      <c r="A865" s="1">
        <v>3006047</v>
      </c>
      <c r="B865" s="1" t="s">
        <v>2667</v>
      </c>
      <c r="C865" s="1" t="s">
        <v>2058</v>
      </c>
      <c r="D865" s="39">
        <v>0</v>
      </c>
      <c r="E865" s="1" t="s">
        <v>1</v>
      </c>
      <c r="F865" s="39">
        <v>0</v>
      </c>
    </row>
    <row r="866" spans="1:6" x14ac:dyDescent="0.25">
      <c r="A866" s="1">
        <v>3006048</v>
      </c>
      <c r="B866" s="1" t="s">
        <v>1142</v>
      </c>
      <c r="C866" s="1" t="s">
        <v>2058</v>
      </c>
      <c r="D866" s="39">
        <v>0</v>
      </c>
      <c r="E866" s="1" t="s">
        <v>1</v>
      </c>
      <c r="F866" s="39">
        <v>0</v>
      </c>
    </row>
    <row r="867" spans="1:6" x14ac:dyDescent="0.25">
      <c r="A867" s="1">
        <v>3006085</v>
      </c>
      <c r="B867" s="1" t="s">
        <v>1451</v>
      </c>
      <c r="C867" s="1" t="s">
        <v>2058</v>
      </c>
      <c r="D867" s="39">
        <v>20616</v>
      </c>
      <c r="E867" s="1" t="s">
        <v>1</v>
      </c>
      <c r="F867" s="3">
        <v>7844.39</v>
      </c>
    </row>
    <row r="868" spans="1:6" x14ac:dyDescent="0.25">
      <c r="A868" s="1">
        <v>3006091</v>
      </c>
      <c r="B868" s="1" t="s">
        <v>1458</v>
      </c>
      <c r="C868" s="1" t="s">
        <v>2058</v>
      </c>
      <c r="D868" s="39">
        <v>21036</v>
      </c>
      <c r="E868" s="1" t="s">
        <v>1</v>
      </c>
      <c r="F868" s="3">
        <v>17642.89</v>
      </c>
    </row>
    <row r="869" spans="1:6" x14ac:dyDescent="0.25">
      <c r="A869" s="1">
        <v>3006100</v>
      </c>
      <c r="B869" s="1" t="s">
        <v>1452</v>
      </c>
      <c r="C869" s="1" t="s">
        <v>2058</v>
      </c>
      <c r="D869" s="39">
        <v>11422</v>
      </c>
      <c r="E869" s="1" t="s">
        <v>1</v>
      </c>
      <c r="F869" s="3">
        <v>12836.05</v>
      </c>
    </row>
    <row r="870" spans="1:6" x14ac:dyDescent="0.25">
      <c r="A870" s="1">
        <v>3006150</v>
      </c>
      <c r="B870" s="1" t="s">
        <v>2668</v>
      </c>
      <c r="C870" s="1" t="s">
        <v>2058</v>
      </c>
      <c r="D870" s="39">
        <v>0</v>
      </c>
      <c r="E870" s="1" t="s">
        <v>1</v>
      </c>
      <c r="F870" s="39">
        <v>0</v>
      </c>
    </row>
    <row r="871" spans="1:6" x14ac:dyDescent="0.25">
      <c r="A871" s="1">
        <v>3006152</v>
      </c>
      <c r="B871" s="1" t="s">
        <v>2669</v>
      </c>
      <c r="C871" s="1" t="s">
        <v>2058</v>
      </c>
      <c r="D871" s="39">
        <v>0</v>
      </c>
      <c r="E871" s="1" t="s">
        <v>1</v>
      </c>
      <c r="F871" s="39">
        <v>0</v>
      </c>
    </row>
    <row r="872" spans="1:6" x14ac:dyDescent="0.25">
      <c r="A872" s="1">
        <v>3006155</v>
      </c>
      <c r="B872" s="1" t="s">
        <v>2670</v>
      </c>
      <c r="C872" s="1" t="s">
        <v>2058</v>
      </c>
      <c r="D872" s="39">
        <v>544</v>
      </c>
      <c r="E872" s="1" t="s">
        <v>1</v>
      </c>
      <c r="F872" s="3">
        <v>1410.59</v>
      </c>
    </row>
    <row r="873" spans="1:6" x14ac:dyDescent="0.25">
      <c r="A873" s="1">
        <v>3006194</v>
      </c>
      <c r="B873" s="1" t="s">
        <v>1157</v>
      </c>
      <c r="C873" s="1" t="s">
        <v>2058</v>
      </c>
      <c r="D873" s="39">
        <v>0</v>
      </c>
      <c r="E873" s="1" t="s">
        <v>3</v>
      </c>
      <c r="F873" s="39">
        <v>0</v>
      </c>
    </row>
    <row r="874" spans="1:6" x14ac:dyDescent="0.25">
      <c r="A874" s="1">
        <v>3006270</v>
      </c>
      <c r="B874" s="1" t="s">
        <v>2671</v>
      </c>
      <c r="C874" s="1" t="s">
        <v>2058</v>
      </c>
      <c r="D874" s="39">
        <v>0</v>
      </c>
      <c r="E874" s="1" t="s">
        <v>1</v>
      </c>
      <c r="F874" s="39">
        <v>0</v>
      </c>
    </row>
    <row r="875" spans="1:6" x14ac:dyDescent="0.25">
      <c r="A875" s="1">
        <v>3006306</v>
      </c>
      <c r="B875" s="1" t="s">
        <v>2672</v>
      </c>
      <c r="C875" s="1" t="s">
        <v>2058</v>
      </c>
      <c r="D875" s="39">
        <v>0</v>
      </c>
      <c r="E875" s="1" t="s">
        <v>1</v>
      </c>
      <c r="F875" s="39">
        <v>0</v>
      </c>
    </row>
    <row r="876" spans="1:6" x14ac:dyDescent="0.25">
      <c r="A876" s="1">
        <v>3006307</v>
      </c>
      <c r="B876" s="1" t="s">
        <v>2673</v>
      </c>
      <c r="C876" s="1" t="s">
        <v>2058</v>
      </c>
      <c r="D876" s="39">
        <v>0</v>
      </c>
      <c r="E876" s="1" t="s">
        <v>1</v>
      </c>
      <c r="F876" s="39">
        <v>0</v>
      </c>
    </row>
    <row r="877" spans="1:6" x14ac:dyDescent="0.25">
      <c r="A877" s="1">
        <v>3006308</v>
      </c>
      <c r="B877" s="1" t="s">
        <v>2674</v>
      </c>
      <c r="C877" s="1" t="s">
        <v>2058</v>
      </c>
      <c r="D877" s="39">
        <v>0</v>
      </c>
      <c r="E877" s="1" t="s">
        <v>1</v>
      </c>
      <c r="F877" s="39">
        <v>0</v>
      </c>
    </row>
    <row r="878" spans="1:6" x14ac:dyDescent="0.25">
      <c r="A878" s="1">
        <v>4000009</v>
      </c>
      <c r="B878" s="1" t="s">
        <v>2675</v>
      </c>
      <c r="C878" s="1" t="s">
        <v>2058</v>
      </c>
      <c r="D878" s="39">
        <v>0</v>
      </c>
      <c r="E878" s="1" t="s">
        <v>1</v>
      </c>
      <c r="F878" s="39">
        <v>0</v>
      </c>
    </row>
    <row r="879" spans="1:6" x14ac:dyDescent="0.25">
      <c r="A879" s="1">
        <v>4000012</v>
      </c>
      <c r="B879" s="1" t="s">
        <v>2676</v>
      </c>
      <c r="C879" s="1" t="s">
        <v>2058</v>
      </c>
      <c r="D879" s="39">
        <v>0</v>
      </c>
      <c r="E879" s="1" t="s">
        <v>1</v>
      </c>
      <c r="F879" s="39">
        <v>0</v>
      </c>
    </row>
    <row r="880" spans="1:6" x14ac:dyDescent="0.25">
      <c r="A880" s="1">
        <v>4000013</v>
      </c>
      <c r="B880" s="1" t="s">
        <v>522</v>
      </c>
      <c r="C880" s="1" t="s">
        <v>2058</v>
      </c>
      <c r="D880" s="39">
        <v>0</v>
      </c>
      <c r="E880" s="1" t="s">
        <v>1</v>
      </c>
      <c r="F880" s="39">
        <v>0</v>
      </c>
    </row>
    <row r="881" spans="1:6" x14ac:dyDescent="0.25">
      <c r="A881" s="1">
        <v>4000017</v>
      </c>
      <c r="B881" s="1" t="s">
        <v>485</v>
      </c>
      <c r="C881" s="1" t="s">
        <v>2058</v>
      </c>
      <c r="D881" s="39">
        <v>0</v>
      </c>
      <c r="E881" s="1" t="s">
        <v>1</v>
      </c>
      <c r="F881" s="39">
        <v>0</v>
      </c>
    </row>
    <row r="882" spans="1:6" x14ac:dyDescent="0.25">
      <c r="A882" s="1">
        <v>4000018</v>
      </c>
      <c r="B882" s="1" t="s">
        <v>486</v>
      </c>
      <c r="C882" s="1" t="s">
        <v>2058</v>
      </c>
      <c r="D882" s="39">
        <v>0</v>
      </c>
      <c r="E882" s="1" t="s">
        <v>1</v>
      </c>
      <c r="F882" s="39">
        <v>0</v>
      </c>
    </row>
    <row r="883" spans="1:6" x14ac:dyDescent="0.25">
      <c r="A883" s="1">
        <v>4000022</v>
      </c>
      <c r="B883" s="1" t="s">
        <v>2677</v>
      </c>
      <c r="C883" s="1" t="s">
        <v>2058</v>
      </c>
      <c r="D883" s="39">
        <v>0</v>
      </c>
      <c r="E883" s="1" t="s">
        <v>1</v>
      </c>
      <c r="F883" s="39">
        <v>0</v>
      </c>
    </row>
    <row r="884" spans="1:6" x14ac:dyDescent="0.25">
      <c r="A884" s="1">
        <v>4000023</v>
      </c>
      <c r="B884" s="1" t="s">
        <v>2678</v>
      </c>
      <c r="C884" s="1" t="s">
        <v>2058</v>
      </c>
      <c r="D884" s="39">
        <v>0</v>
      </c>
      <c r="E884" s="1" t="s">
        <v>1</v>
      </c>
      <c r="F884" s="39">
        <v>0</v>
      </c>
    </row>
    <row r="885" spans="1:6" x14ac:dyDescent="0.25">
      <c r="A885" s="1">
        <v>4000046</v>
      </c>
      <c r="B885" s="1" t="s">
        <v>2679</v>
      </c>
      <c r="C885" s="1" t="s">
        <v>2058</v>
      </c>
      <c r="D885" s="39">
        <v>0</v>
      </c>
      <c r="E885" s="1" t="s">
        <v>1</v>
      </c>
      <c r="F885" s="39">
        <v>0</v>
      </c>
    </row>
    <row r="886" spans="1:6" x14ac:dyDescent="0.25">
      <c r="A886" s="1">
        <v>4000056</v>
      </c>
      <c r="B886" s="1" t="s">
        <v>1243</v>
      </c>
      <c r="C886" s="1" t="s">
        <v>2058</v>
      </c>
      <c r="D886" s="39">
        <v>0</v>
      </c>
      <c r="E886" s="1" t="s">
        <v>1</v>
      </c>
      <c r="F886" s="39">
        <v>0</v>
      </c>
    </row>
    <row r="887" spans="1:6" x14ac:dyDescent="0.25">
      <c r="A887" s="1">
        <v>4000070</v>
      </c>
      <c r="B887" s="1" t="s">
        <v>632</v>
      </c>
      <c r="C887" s="1" t="s">
        <v>2058</v>
      </c>
      <c r="D887" s="39">
        <v>0</v>
      </c>
      <c r="E887" s="1" t="s">
        <v>1</v>
      </c>
      <c r="F887" s="39">
        <v>0</v>
      </c>
    </row>
    <row r="888" spans="1:6" x14ac:dyDescent="0.25">
      <c r="A888" s="1">
        <v>4000071</v>
      </c>
      <c r="B888" s="1" t="s">
        <v>633</v>
      </c>
      <c r="C888" s="1" t="s">
        <v>2058</v>
      </c>
      <c r="D888" s="39">
        <v>0</v>
      </c>
      <c r="E888" s="1" t="s">
        <v>1</v>
      </c>
      <c r="F888" s="39">
        <v>0</v>
      </c>
    </row>
    <row r="889" spans="1:6" x14ac:dyDescent="0.25">
      <c r="A889" s="1">
        <v>4000080</v>
      </c>
      <c r="B889" s="1" t="s">
        <v>2680</v>
      </c>
      <c r="C889" s="1" t="s">
        <v>2058</v>
      </c>
      <c r="D889" s="39">
        <v>0</v>
      </c>
      <c r="E889" s="1" t="s">
        <v>1</v>
      </c>
      <c r="F889" s="39">
        <v>0</v>
      </c>
    </row>
    <row r="890" spans="1:6" x14ac:dyDescent="0.25">
      <c r="A890" s="1">
        <v>4000082</v>
      </c>
      <c r="B890" s="1" t="s">
        <v>2681</v>
      </c>
      <c r="C890" s="1" t="s">
        <v>2058</v>
      </c>
      <c r="D890" s="39">
        <v>0</v>
      </c>
      <c r="E890" s="1" t="s">
        <v>1</v>
      </c>
      <c r="F890" s="39">
        <v>0</v>
      </c>
    </row>
    <row r="891" spans="1:6" x14ac:dyDescent="0.25">
      <c r="A891" s="1">
        <v>4000083</v>
      </c>
      <c r="B891" s="1" t="s">
        <v>2682</v>
      </c>
      <c r="C891" s="1" t="s">
        <v>2058</v>
      </c>
      <c r="D891" s="39">
        <v>0</v>
      </c>
      <c r="E891" s="1" t="s">
        <v>1</v>
      </c>
      <c r="F891" s="39">
        <v>0</v>
      </c>
    </row>
    <row r="892" spans="1:6" x14ac:dyDescent="0.25">
      <c r="A892" s="1">
        <v>4000086</v>
      </c>
      <c r="B892" s="1" t="s">
        <v>2683</v>
      </c>
      <c r="C892" s="1" t="s">
        <v>2058</v>
      </c>
      <c r="D892" s="39">
        <v>0</v>
      </c>
      <c r="E892" s="1" t="s">
        <v>1</v>
      </c>
      <c r="F892" s="39">
        <v>0</v>
      </c>
    </row>
    <row r="893" spans="1:6" x14ac:dyDescent="0.25">
      <c r="A893" s="1">
        <v>4000087</v>
      </c>
      <c r="B893" s="1" t="s">
        <v>2684</v>
      </c>
      <c r="C893" s="1" t="s">
        <v>2058</v>
      </c>
      <c r="D893" s="39">
        <v>0</v>
      </c>
      <c r="E893" s="1" t="s">
        <v>1</v>
      </c>
      <c r="F893" s="39">
        <v>0</v>
      </c>
    </row>
    <row r="894" spans="1:6" x14ac:dyDescent="0.25">
      <c r="A894" s="1">
        <v>4000094</v>
      </c>
      <c r="B894" s="1" t="s">
        <v>2685</v>
      </c>
      <c r="C894" s="1" t="s">
        <v>2058</v>
      </c>
      <c r="D894" s="39">
        <v>0</v>
      </c>
      <c r="E894" s="1" t="s">
        <v>1</v>
      </c>
      <c r="F894" s="39">
        <v>0</v>
      </c>
    </row>
    <row r="895" spans="1:6" x14ac:dyDescent="0.25">
      <c r="A895" s="1">
        <v>4000095</v>
      </c>
      <c r="B895" s="1" t="s">
        <v>2686</v>
      </c>
      <c r="C895" s="1" t="s">
        <v>2058</v>
      </c>
      <c r="D895" s="39">
        <v>0</v>
      </c>
      <c r="E895" s="1" t="s">
        <v>1</v>
      </c>
      <c r="F895" s="39">
        <v>0</v>
      </c>
    </row>
    <row r="896" spans="1:6" x14ac:dyDescent="0.25">
      <c r="A896" s="1">
        <v>4000098</v>
      </c>
      <c r="B896" s="1" t="s">
        <v>2687</v>
      </c>
      <c r="C896" s="1" t="s">
        <v>2058</v>
      </c>
      <c r="D896" s="39">
        <v>0</v>
      </c>
      <c r="E896" s="1" t="s">
        <v>1</v>
      </c>
      <c r="F896" s="39">
        <v>0</v>
      </c>
    </row>
    <row r="897" spans="1:6" x14ac:dyDescent="0.25">
      <c r="A897" s="1">
        <v>4000117</v>
      </c>
      <c r="B897" s="1" t="s">
        <v>123</v>
      </c>
      <c r="C897" s="1" t="s">
        <v>2058</v>
      </c>
      <c r="D897" s="39">
        <v>0</v>
      </c>
      <c r="E897" s="1" t="s">
        <v>1</v>
      </c>
      <c r="F897" s="39">
        <v>0</v>
      </c>
    </row>
    <row r="898" spans="1:6" x14ac:dyDescent="0.25">
      <c r="A898" s="1">
        <v>4000120</v>
      </c>
      <c r="B898" s="1" t="s">
        <v>129</v>
      </c>
      <c r="C898" s="1" t="s">
        <v>2058</v>
      </c>
      <c r="D898" s="39">
        <v>0</v>
      </c>
      <c r="E898" s="1" t="s">
        <v>1</v>
      </c>
      <c r="F898" s="39">
        <v>0</v>
      </c>
    </row>
    <row r="899" spans="1:6" x14ac:dyDescent="0.25">
      <c r="A899" s="1">
        <v>4000121</v>
      </c>
      <c r="B899" s="1" t="s">
        <v>561</v>
      </c>
      <c r="C899" s="1" t="s">
        <v>2058</v>
      </c>
      <c r="D899" s="39">
        <v>0</v>
      </c>
      <c r="E899" s="1" t="s">
        <v>1</v>
      </c>
      <c r="F899" s="39">
        <v>0</v>
      </c>
    </row>
    <row r="900" spans="1:6" x14ac:dyDescent="0.25">
      <c r="A900" s="1">
        <v>4000122</v>
      </c>
      <c r="B900" s="1" t="s">
        <v>2688</v>
      </c>
      <c r="C900" s="1" t="s">
        <v>2058</v>
      </c>
      <c r="D900" s="39">
        <v>0</v>
      </c>
      <c r="E900" s="1" t="s">
        <v>1</v>
      </c>
      <c r="F900" s="39">
        <v>0</v>
      </c>
    </row>
    <row r="901" spans="1:6" x14ac:dyDescent="0.25">
      <c r="A901" s="1">
        <v>4000124</v>
      </c>
      <c r="B901" s="1" t="s">
        <v>514</v>
      </c>
      <c r="C901" s="1" t="s">
        <v>2058</v>
      </c>
      <c r="D901" s="39">
        <v>0</v>
      </c>
      <c r="E901" s="1" t="s">
        <v>1</v>
      </c>
      <c r="F901" s="39">
        <v>0</v>
      </c>
    </row>
    <row r="902" spans="1:6" x14ac:dyDescent="0.25">
      <c r="A902" s="1">
        <v>4000125</v>
      </c>
      <c r="B902" s="1" t="s">
        <v>515</v>
      </c>
      <c r="C902" s="1" t="s">
        <v>2058</v>
      </c>
      <c r="D902" s="39">
        <v>0</v>
      </c>
      <c r="E902" s="1" t="s">
        <v>1</v>
      </c>
      <c r="F902" s="39">
        <v>0</v>
      </c>
    </row>
    <row r="903" spans="1:6" x14ac:dyDescent="0.25">
      <c r="A903" s="1">
        <v>4000126</v>
      </c>
      <c r="B903" s="1" t="s">
        <v>529</v>
      </c>
      <c r="C903" s="1" t="s">
        <v>2058</v>
      </c>
      <c r="D903" s="39">
        <v>0</v>
      </c>
      <c r="E903" s="1" t="s">
        <v>1</v>
      </c>
      <c r="F903" s="39">
        <v>0</v>
      </c>
    </row>
    <row r="904" spans="1:6" x14ac:dyDescent="0.25">
      <c r="A904" s="1">
        <v>4000129</v>
      </c>
      <c r="B904" s="1" t="s">
        <v>501</v>
      </c>
      <c r="C904" s="1" t="s">
        <v>2058</v>
      </c>
      <c r="D904" s="39">
        <v>0</v>
      </c>
      <c r="E904" s="1" t="s">
        <v>1</v>
      </c>
      <c r="F904" s="39">
        <v>0</v>
      </c>
    </row>
    <row r="905" spans="1:6" x14ac:dyDescent="0.25">
      <c r="A905" s="1">
        <v>4000133</v>
      </c>
      <c r="B905" s="1" t="s">
        <v>1229</v>
      </c>
      <c r="C905" s="1" t="s">
        <v>2058</v>
      </c>
      <c r="D905" s="39">
        <v>0</v>
      </c>
      <c r="E905" s="1" t="s">
        <v>1</v>
      </c>
      <c r="F905" s="39">
        <v>0</v>
      </c>
    </row>
    <row r="906" spans="1:6" x14ac:dyDescent="0.25">
      <c r="A906" s="1">
        <v>4000136</v>
      </c>
      <c r="B906" s="1" t="s">
        <v>353</v>
      </c>
      <c r="C906" s="1" t="s">
        <v>2058</v>
      </c>
      <c r="D906" s="39">
        <v>0</v>
      </c>
      <c r="E906" s="1" t="s">
        <v>1</v>
      </c>
      <c r="F906" s="39">
        <v>0</v>
      </c>
    </row>
    <row r="907" spans="1:6" x14ac:dyDescent="0.25">
      <c r="A907" s="1">
        <v>4000137</v>
      </c>
      <c r="B907" s="1" t="s">
        <v>354</v>
      </c>
      <c r="C907" s="1" t="s">
        <v>2058</v>
      </c>
      <c r="D907" s="39">
        <v>0</v>
      </c>
      <c r="E907" s="1" t="s">
        <v>1</v>
      </c>
      <c r="F907" s="39">
        <v>0</v>
      </c>
    </row>
    <row r="908" spans="1:6" x14ac:dyDescent="0.25">
      <c r="A908" s="1">
        <v>4000138</v>
      </c>
      <c r="B908" s="1" t="s">
        <v>18</v>
      </c>
      <c r="C908" s="1" t="s">
        <v>2058</v>
      </c>
      <c r="D908" s="39">
        <v>0</v>
      </c>
      <c r="E908" s="1" t="s">
        <v>1</v>
      </c>
      <c r="F908" s="39">
        <v>0</v>
      </c>
    </row>
    <row r="909" spans="1:6" x14ac:dyDescent="0.25">
      <c r="A909" s="1">
        <v>4000139</v>
      </c>
      <c r="B909" s="1" t="s">
        <v>2689</v>
      </c>
      <c r="C909" s="1" t="s">
        <v>2058</v>
      </c>
      <c r="D909" s="39">
        <v>0</v>
      </c>
      <c r="E909" s="1" t="s">
        <v>1</v>
      </c>
      <c r="F909" s="39">
        <v>0</v>
      </c>
    </row>
    <row r="910" spans="1:6" x14ac:dyDescent="0.25">
      <c r="A910" s="1">
        <v>4000140</v>
      </c>
      <c r="B910" s="1" t="s">
        <v>2690</v>
      </c>
      <c r="C910" s="1" t="s">
        <v>2058</v>
      </c>
      <c r="D910" s="39">
        <v>0</v>
      </c>
      <c r="E910" s="1" t="s">
        <v>1</v>
      </c>
      <c r="F910" s="39">
        <v>0</v>
      </c>
    </row>
    <row r="911" spans="1:6" x14ac:dyDescent="0.25">
      <c r="A911" s="1">
        <v>4000141</v>
      </c>
      <c r="B911" s="1" t="s">
        <v>89</v>
      </c>
      <c r="C911" s="1" t="s">
        <v>2058</v>
      </c>
      <c r="D911" s="39">
        <v>0</v>
      </c>
      <c r="E911" s="1" t="s">
        <v>1</v>
      </c>
      <c r="F911" s="39">
        <v>0</v>
      </c>
    </row>
    <row r="912" spans="1:6" x14ac:dyDescent="0.25">
      <c r="A912" s="1">
        <v>4000180</v>
      </c>
      <c r="B912" s="1" t="s">
        <v>2691</v>
      </c>
      <c r="C912" s="1" t="s">
        <v>2058</v>
      </c>
      <c r="D912" s="39">
        <v>0</v>
      </c>
      <c r="E912" s="1" t="s">
        <v>3</v>
      </c>
      <c r="F912" s="39">
        <v>0</v>
      </c>
    </row>
    <row r="913" spans="1:6" x14ac:dyDescent="0.25">
      <c r="A913" s="1">
        <v>4000329</v>
      </c>
      <c r="B913" s="1" t="s">
        <v>2692</v>
      </c>
      <c r="C913" s="1" t="s">
        <v>2058</v>
      </c>
      <c r="D913" s="39">
        <v>0</v>
      </c>
      <c r="E913" s="1" t="s">
        <v>1</v>
      </c>
      <c r="F913" s="39">
        <v>0</v>
      </c>
    </row>
    <row r="914" spans="1:6" x14ac:dyDescent="0.25">
      <c r="A914" s="1">
        <v>4000332</v>
      </c>
      <c r="B914" s="1" t="s">
        <v>2693</v>
      </c>
      <c r="C914" s="1" t="s">
        <v>2058</v>
      </c>
      <c r="D914" s="39">
        <v>0</v>
      </c>
      <c r="E914" s="1" t="s">
        <v>1</v>
      </c>
      <c r="F914" s="39">
        <v>0</v>
      </c>
    </row>
    <row r="915" spans="1:6" x14ac:dyDescent="0.25">
      <c r="A915" s="1">
        <v>4000333</v>
      </c>
      <c r="B915" s="1" t="s">
        <v>2694</v>
      </c>
      <c r="C915" s="1" t="s">
        <v>2058</v>
      </c>
      <c r="D915" s="39">
        <v>0</v>
      </c>
      <c r="E915" s="1" t="s">
        <v>1</v>
      </c>
      <c r="F915" s="39">
        <v>0</v>
      </c>
    </row>
    <row r="916" spans="1:6" x14ac:dyDescent="0.25">
      <c r="A916" s="1">
        <v>4000542</v>
      </c>
      <c r="B916" s="1" t="s">
        <v>2695</v>
      </c>
      <c r="C916" s="1" t="s">
        <v>2058</v>
      </c>
      <c r="D916" s="39">
        <v>0</v>
      </c>
      <c r="E916" s="1" t="s">
        <v>1</v>
      </c>
      <c r="F916" s="39">
        <v>0</v>
      </c>
    </row>
    <row r="917" spans="1:6" x14ac:dyDescent="0.25">
      <c r="A917" s="1">
        <v>4000596</v>
      </c>
      <c r="B917" s="1" t="s">
        <v>2696</v>
      </c>
      <c r="C917" s="1" t="s">
        <v>2058</v>
      </c>
      <c r="D917" s="39">
        <v>0</v>
      </c>
      <c r="E917" s="1" t="s">
        <v>1</v>
      </c>
      <c r="F917" s="39">
        <v>0</v>
      </c>
    </row>
    <row r="918" spans="1:6" x14ac:dyDescent="0.25">
      <c r="A918" s="1">
        <v>4000597</v>
      </c>
      <c r="B918" s="1" t="s">
        <v>2697</v>
      </c>
      <c r="C918" s="1" t="s">
        <v>2058</v>
      </c>
      <c r="D918" s="39">
        <v>0</v>
      </c>
      <c r="E918" s="1" t="s">
        <v>1</v>
      </c>
      <c r="F918" s="39">
        <v>0</v>
      </c>
    </row>
    <row r="919" spans="1:6" x14ac:dyDescent="0.25">
      <c r="A919" s="1">
        <v>4000598</v>
      </c>
      <c r="B919" s="1" t="s">
        <v>2698</v>
      </c>
      <c r="C919" s="1" t="s">
        <v>2058</v>
      </c>
      <c r="D919" s="39">
        <v>0</v>
      </c>
      <c r="E919" s="1" t="s">
        <v>1</v>
      </c>
      <c r="F919" s="39">
        <v>0</v>
      </c>
    </row>
    <row r="920" spans="1:6" x14ac:dyDescent="0.25">
      <c r="A920" s="1">
        <v>4000701</v>
      </c>
      <c r="B920" s="1" t="s">
        <v>2699</v>
      </c>
      <c r="C920" s="1" t="s">
        <v>2058</v>
      </c>
      <c r="D920" s="39">
        <v>0</v>
      </c>
      <c r="E920" s="1" t="s">
        <v>1</v>
      </c>
      <c r="F920" s="39">
        <v>0</v>
      </c>
    </row>
    <row r="921" spans="1:6" x14ac:dyDescent="0.25">
      <c r="A921" s="1">
        <v>4000846</v>
      </c>
      <c r="B921" s="1" t="s">
        <v>2700</v>
      </c>
      <c r="C921" s="1" t="s">
        <v>2058</v>
      </c>
      <c r="D921" s="39">
        <v>0</v>
      </c>
      <c r="E921" s="1" t="s">
        <v>1</v>
      </c>
      <c r="F921" s="39">
        <v>0</v>
      </c>
    </row>
    <row r="922" spans="1:6" x14ac:dyDescent="0.25">
      <c r="A922" s="1">
        <v>4001137</v>
      </c>
      <c r="B922" s="1" t="s">
        <v>2701</v>
      </c>
      <c r="C922" s="1" t="s">
        <v>2058</v>
      </c>
      <c r="D922" s="39">
        <v>0</v>
      </c>
      <c r="E922" s="1" t="s">
        <v>1</v>
      </c>
      <c r="F922" s="39">
        <v>0</v>
      </c>
    </row>
    <row r="923" spans="1:6" x14ac:dyDescent="0.25">
      <c r="A923" s="1">
        <v>4001138</v>
      </c>
      <c r="B923" s="1" t="s">
        <v>461</v>
      </c>
      <c r="C923" s="1" t="s">
        <v>2058</v>
      </c>
      <c r="D923" s="39">
        <v>0</v>
      </c>
      <c r="E923" s="1" t="s">
        <v>1</v>
      </c>
      <c r="F923" s="39">
        <v>0</v>
      </c>
    </row>
    <row r="924" spans="1:6" x14ac:dyDescent="0.25">
      <c r="A924" s="1">
        <v>4001140</v>
      </c>
      <c r="B924" s="1" t="s">
        <v>256</v>
      </c>
      <c r="C924" s="1" t="s">
        <v>2058</v>
      </c>
      <c r="D924" s="39">
        <v>0</v>
      </c>
      <c r="E924" s="1" t="s">
        <v>1</v>
      </c>
      <c r="F924" s="39">
        <v>0</v>
      </c>
    </row>
    <row r="925" spans="1:6" x14ac:dyDescent="0.25">
      <c r="A925" s="1">
        <v>4001141</v>
      </c>
      <c r="B925" s="1" t="s">
        <v>270</v>
      </c>
      <c r="C925" s="1" t="s">
        <v>2058</v>
      </c>
      <c r="D925" s="39">
        <v>0</v>
      </c>
      <c r="E925" s="1" t="s">
        <v>1</v>
      </c>
      <c r="F925" s="39">
        <v>0</v>
      </c>
    </row>
    <row r="926" spans="1:6" x14ac:dyDescent="0.25">
      <c r="A926" s="1">
        <v>4001142</v>
      </c>
      <c r="B926" s="1" t="s">
        <v>261</v>
      </c>
      <c r="C926" s="1" t="s">
        <v>2058</v>
      </c>
      <c r="D926" s="39">
        <v>0</v>
      </c>
      <c r="E926" s="1" t="s">
        <v>1</v>
      </c>
      <c r="F926" s="39">
        <v>0</v>
      </c>
    </row>
    <row r="927" spans="1:6" x14ac:dyDescent="0.25">
      <c r="A927" s="1">
        <v>4001144</v>
      </c>
      <c r="B927" s="1" t="s">
        <v>574</v>
      </c>
      <c r="C927" s="1" t="s">
        <v>2058</v>
      </c>
      <c r="D927" s="39">
        <v>0</v>
      </c>
      <c r="E927" s="1" t="s">
        <v>1</v>
      </c>
      <c r="F927" s="39">
        <v>0</v>
      </c>
    </row>
    <row r="928" spans="1:6" x14ac:dyDescent="0.25">
      <c r="A928" s="1">
        <v>4001145</v>
      </c>
      <c r="B928" s="1" t="s">
        <v>2702</v>
      </c>
      <c r="C928" s="1" t="s">
        <v>2058</v>
      </c>
      <c r="D928" s="39">
        <v>0</v>
      </c>
      <c r="E928" s="1" t="s">
        <v>1</v>
      </c>
      <c r="F928" s="39">
        <v>0</v>
      </c>
    </row>
    <row r="929" spans="1:6" x14ac:dyDescent="0.25">
      <c r="A929" s="1">
        <v>4001146</v>
      </c>
      <c r="B929" s="1" t="s">
        <v>568</v>
      </c>
      <c r="C929" s="1" t="s">
        <v>2058</v>
      </c>
      <c r="D929" s="39">
        <v>0</v>
      </c>
      <c r="E929" s="1" t="s">
        <v>1</v>
      </c>
      <c r="F929" s="39">
        <v>0</v>
      </c>
    </row>
    <row r="930" spans="1:6" x14ac:dyDescent="0.25">
      <c r="A930" s="1">
        <v>4001149</v>
      </c>
      <c r="B930" s="1" t="s">
        <v>2703</v>
      </c>
      <c r="C930" s="1" t="s">
        <v>2058</v>
      </c>
      <c r="D930" s="39">
        <v>0</v>
      </c>
      <c r="E930" s="1" t="s">
        <v>1</v>
      </c>
      <c r="F930" s="39">
        <v>0</v>
      </c>
    </row>
    <row r="931" spans="1:6" x14ac:dyDescent="0.25">
      <c r="A931" s="1">
        <v>4001151</v>
      </c>
      <c r="B931" s="1" t="s">
        <v>584</v>
      </c>
      <c r="C931" s="1" t="s">
        <v>2058</v>
      </c>
      <c r="D931" s="39">
        <v>0</v>
      </c>
      <c r="E931" s="1" t="s">
        <v>1</v>
      </c>
      <c r="F931" s="39">
        <v>0</v>
      </c>
    </row>
    <row r="932" spans="1:6" x14ac:dyDescent="0.25">
      <c r="A932" s="1">
        <v>4001152</v>
      </c>
      <c r="B932" s="1" t="s">
        <v>2704</v>
      </c>
      <c r="C932" s="1" t="s">
        <v>2058</v>
      </c>
      <c r="D932" s="39">
        <v>0</v>
      </c>
      <c r="E932" s="1" t="s">
        <v>1</v>
      </c>
      <c r="F932" s="39">
        <v>0</v>
      </c>
    </row>
    <row r="933" spans="1:6" x14ac:dyDescent="0.25">
      <c r="A933" s="1">
        <v>4001153</v>
      </c>
      <c r="B933" s="1" t="s">
        <v>124</v>
      </c>
      <c r="C933" s="1" t="s">
        <v>2058</v>
      </c>
      <c r="D933" s="39">
        <v>0</v>
      </c>
      <c r="E933" s="1" t="s">
        <v>1</v>
      </c>
      <c r="F933" s="39">
        <v>0</v>
      </c>
    </row>
    <row r="934" spans="1:6" x14ac:dyDescent="0.25">
      <c r="A934" s="1">
        <v>4001156</v>
      </c>
      <c r="B934" s="1" t="s">
        <v>2705</v>
      </c>
      <c r="C934" s="1" t="s">
        <v>2058</v>
      </c>
      <c r="D934" s="39">
        <v>0</v>
      </c>
      <c r="E934" s="1" t="s">
        <v>1</v>
      </c>
      <c r="F934" s="39">
        <v>0</v>
      </c>
    </row>
    <row r="935" spans="1:6" x14ac:dyDescent="0.25">
      <c r="A935" s="1">
        <v>4001157</v>
      </c>
      <c r="B935" s="1" t="s">
        <v>2706</v>
      </c>
      <c r="C935" s="1" t="s">
        <v>2058</v>
      </c>
      <c r="D935" s="39">
        <v>0</v>
      </c>
      <c r="E935" s="1" t="s">
        <v>1</v>
      </c>
      <c r="F935" s="39">
        <v>0</v>
      </c>
    </row>
    <row r="936" spans="1:6" x14ac:dyDescent="0.25">
      <c r="A936" s="1">
        <v>4001158</v>
      </c>
      <c r="B936" s="1" t="s">
        <v>2707</v>
      </c>
      <c r="C936" s="1" t="s">
        <v>2058</v>
      </c>
      <c r="D936" s="39">
        <v>0</v>
      </c>
      <c r="E936" s="1" t="s">
        <v>1</v>
      </c>
      <c r="F936" s="39">
        <v>0</v>
      </c>
    </row>
    <row r="937" spans="1:6" x14ac:dyDescent="0.25">
      <c r="A937" s="1">
        <v>4001159</v>
      </c>
      <c r="B937" s="1" t="s">
        <v>251</v>
      </c>
      <c r="C937" s="1" t="s">
        <v>2058</v>
      </c>
      <c r="D937" s="39">
        <v>0</v>
      </c>
      <c r="E937" s="1" t="s">
        <v>1</v>
      </c>
      <c r="F937" s="39">
        <v>0</v>
      </c>
    </row>
    <row r="938" spans="1:6" x14ac:dyDescent="0.25">
      <c r="A938" s="1">
        <v>4001160</v>
      </c>
      <c r="B938" s="1" t="s">
        <v>2708</v>
      </c>
      <c r="C938" s="1" t="s">
        <v>2058</v>
      </c>
      <c r="D938" s="39">
        <v>0</v>
      </c>
      <c r="E938" s="1" t="s">
        <v>1</v>
      </c>
      <c r="F938" s="39">
        <v>0</v>
      </c>
    </row>
    <row r="939" spans="1:6" x14ac:dyDescent="0.25">
      <c r="A939" s="1">
        <v>4001161</v>
      </c>
      <c r="B939" s="1" t="s">
        <v>700</v>
      </c>
      <c r="C939" s="1" t="s">
        <v>2058</v>
      </c>
      <c r="D939" s="39">
        <v>0</v>
      </c>
      <c r="E939" s="1" t="s">
        <v>1</v>
      </c>
      <c r="F939" s="39">
        <v>0</v>
      </c>
    </row>
    <row r="940" spans="1:6" x14ac:dyDescent="0.25">
      <c r="A940" s="1">
        <v>4001165</v>
      </c>
      <c r="B940" s="1" t="s">
        <v>169</v>
      </c>
      <c r="C940" s="1" t="s">
        <v>2058</v>
      </c>
      <c r="D940" s="39">
        <v>219</v>
      </c>
      <c r="E940" s="1" t="s">
        <v>1</v>
      </c>
      <c r="F940" s="3">
        <v>320.44</v>
      </c>
    </row>
    <row r="941" spans="1:6" x14ac:dyDescent="0.25">
      <c r="A941" s="1">
        <v>4001166</v>
      </c>
      <c r="B941" s="1" t="s">
        <v>2709</v>
      </c>
      <c r="C941" s="1" t="s">
        <v>2058</v>
      </c>
      <c r="D941" s="39">
        <v>0</v>
      </c>
      <c r="E941" s="1" t="s">
        <v>1</v>
      </c>
      <c r="F941" s="39">
        <v>0</v>
      </c>
    </row>
    <row r="942" spans="1:6" x14ac:dyDescent="0.25">
      <c r="A942" s="1">
        <v>4001167</v>
      </c>
      <c r="B942" s="1" t="s">
        <v>2710</v>
      </c>
      <c r="C942" s="1" t="s">
        <v>2058</v>
      </c>
      <c r="D942" s="39">
        <v>0</v>
      </c>
      <c r="E942" s="1" t="s">
        <v>1</v>
      </c>
      <c r="F942" s="39">
        <v>0</v>
      </c>
    </row>
    <row r="943" spans="1:6" x14ac:dyDescent="0.25">
      <c r="A943" s="1">
        <v>4001168</v>
      </c>
      <c r="B943" s="1" t="s">
        <v>2711</v>
      </c>
      <c r="C943" s="1" t="s">
        <v>2058</v>
      </c>
      <c r="D943" s="39">
        <v>0</v>
      </c>
      <c r="E943" s="1" t="s">
        <v>1</v>
      </c>
      <c r="F943" s="39">
        <v>0</v>
      </c>
    </row>
    <row r="944" spans="1:6" x14ac:dyDescent="0.25">
      <c r="A944" s="1">
        <v>4001169</v>
      </c>
      <c r="B944" s="1" t="s">
        <v>131</v>
      </c>
      <c r="C944" s="1" t="s">
        <v>2058</v>
      </c>
      <c r="D944" s="39">
        <v>0</v>
      </c>
      <c r="E944" s="1" t="s">
        <v>1</v>
      </c>
      <c r="F944" s="39">
        <v>0</v>
      </c>
    </row>
    <row r="945" spans="1:6" x14ac:dyDescent="0.25">
      <c r="A945" s="1">
        <v>4001170</v>
      </c>
      <c r="B945" s="1" t="s">
        <v>705</v>
      </c>
      <c r="C945" s="1" t="s">
        <v>2058</v>
      </c>
      <c r="D945" s="39">
        <v>0</v>
      </c>
      <c r="E945" s="1" t="s">
        <v>1</v>
      </c>
      <c r="F945" s="39">
        <v>0</v>
      </c>
    </row>
    <row r="946" spans="1:6" x14ac:dyDescent="0.25">
      <c r="A946" s="1">
        <v>4001173</v>
      </c>
      <c r="B946" s="1" t="s">
        <v>2712</v>
      </c>
      <c r="C946" s="1" t="s">
        <v>2058</v>
      </c>
      <c r="D946" s="39">
        <v>0</v>
      </c>
      <c r="E946" s="1" t="s">
        <v>1</v>
      </c>
      <c r="F946" s="39">
        <v>0</v>
      </c>
    </row>
    <row r="947" spans="1:6" x14ac:dyDescent="0.25">
      <c r="A947" s="1">
        <v>4001174</v>
      </c>
      <c r="B947" s="1" t="s">
        <v>2713</v>
      </c>
      <c r="C947" s="1" t="s">
        <v>2058</v>
      </c>
      <c r="D947" s="39">
        <v>0</v>
      </c>
      <c r="E947" s="1" t="s">
        <v>1</v>
      </c>
      <c r="F947" s="39">
        <v>0</v>
      </c>
    </row>
    <row r="948" spans="1:6" x14ac:dyDescent="0.25">
      <c r="A948" s="1">
        <v>4001175</v>
      </c>
      <c r="B948" s="1" t="s">
        <v>247</v>
      </c>
      <c r="C948" s="1" t="s">
        <v>2058</v>
      </c>
      <c r="D948" s="39">
        <v>0</v>
      </c>
      <c r="E948" s="1" t="s">
        <v>1</v>
      </c>
      <c r="F948" s="39">
        <v>0</v>
      </c>
    </row>
    <row r="949" spans="1:6" x14ac:dyDescent="0.25">
      <c r="A949" s="1">
        <v>4001176</v>
      </c>
      <c r="B949" s="1" t="s">
        <v>2714</v>
      </c>
      <c r="C949" s="1" t="s">
        <v>2058</v>
      </c>
      <c r="D949" s="39">
        <v>0</v>
      </c>
      <c r="E949" s="1" t="s">
        <v>1</v>
      </c>
      <c r="F949" s="39">
        <v>0</v>
      </c>
    </row>
    <row r="950" spans="1:6" x14ac:dyDescent="0.25">
      <c r="A950" s="1">
        <v>4001177</v>
      </c>
      <c r="B950" s="1" t="s">
        <v>2715</v>
      </c>
      <c r="C950" s="1" t="s">
        <v>2058</v>
      </c>
      <c r="D950" s="39">
        <v>0</v>
      </c>
      <c r="E950" s="1" t="s">
        <v>1</v>
      </c>
      <c r="F950" s="39">
        <v>0</v>
      </c>
    </row>
    <row r="951" spans="1:6" x14ac:dyDescent="0.25">
      <c r="A951" s="1">
        <v>4001178</v>
      </c>
      <c r="B951" s="1" t="s">
        <v>476</v>
      </c>
      <c r="C951" s="1" t="s">
        <v>2058</v>
      </c>
      <c r="D951" s="39">
        <v>0</v>
      </c>
      <c r="E951" s="1" t="s">
        <v>1</v>
      </c>
      <c r="F951" s="39">
        <v>0</v>
      </c>
    </row>
    <row r="952" spans="1:6" x14ac:dyDescent="0.25">
      <c r="A952" s="1">
        <v>4001183</v>
      </c>
      <c r="B952" s="1" t="s">
        <v>95</v>
      </c>
      <c r="C952" s="1" t="s">
        <v>2058</v>
      </c>
      <c r="D952" s="39">
        <v>0</v>
      </c>
      <c r="E952" s="1" t="s">
        <v>1</v>
      </c>
      <c r="F952" s="39">
        <v>0</v>
      </c>
    </row>
    <row r="953" spans="1:6" x14ac:dyDescent="0.25">
      <c r="A953" s="1">
        <v>4001184</v>
      </c>
      <c r="B953" s="1" t="s">
        <v>2716</v>
      </c>
      <c r="C953" s="1" t="s">
        <v>2058</v>
      </c>
      <c r="D953" s="39">
        <v>0</v>
      </c>
      <c r="E953" s="1" t="s">
        <v>1</v>
      </c>
      <c r="F953" s="39">
        <v>0</v>
      </c>
    </row>
    <row r="954" spans="1:6" x14ac:dyDescent="0.25">
      <c r="A954" s="1">
        <v>4001185</v>
      </c>
      <c r="B954" s="1" t="s">
        <v>2717</v>
      </c>
      <c r="C954" s="1" t="s">
        <v>2058</v>
      </c>
      <c r="D954" s="39">
        <v>0</v>
      </c>
      <c r="E954" s="1" t="s">
        <v>1</v>
      </c>
      <c r="F954" s="39">
        <v>0</v>
      </c>
    </row>
    <row r="955" spans="1:6" x14ac:dyDescent="0.25">
      <c r="A955" s="1">
        <v>4001186</v>
      </c>
      <c r="B955" s="1" t="s">
        <v>471</v>
      </c>
      <c r="C955" s="1" t="s">
        <v>2058</v>
      </c>
      <c r="D955" s="39">
        <v>0</v>
      </c>
      <c r="E955" s="1" t="s">
        <v>1</v>
      </c>
      <c r="F955" s="39">
        <v>0</v>
      </c>
    </row>
    <row r="956" spans="1:6" x14ac:dyDescent="0.25">
      <c r="A956" s="1">
        <v>4001187</v>
      </c>
      <c r="B956" s="1" t="s">
        <v>474</v>
      </c>
      <c r="C956" s="1" t="s">
        <v>2058</v>
      </c>
      <c r="D956" s="39">
        <v>0</v>
      </c>
      <c r="E956" s="1" t="s">
        <v>1</v>
      </c>
      <c r="F956" s="39">
        <v>0</v>
      </c>
    </row>
    <row r="957" spans="1:6" x14ac:dyDescent="0.25">
      <c r="A957" s="1">
        <v>4001188</v>
      </c>
      <c r="B957" s="1" t="s">
        <v>2718</v>
      </c>
      <c r="C957" s="1" t="s">
        <v>2058</v>
      </c>
      <c r="D957" s="39">
        <v>0</v>
      </c>
      <c r="E957" s="1" t="s">
        <v>1</v>
      </c>
      <c r="F957" s="39">
        <v>0</v>
      </c>
    </row>
    <row r="958" spans="1:6" x14ac:dyDescent="0.25">
      <c r="A958" s="1">
        <v>4001190</v>
      </c>
      <c r="B958" s="1" t="s">
        <v>2719</v>
      </c>
      <c r="C958" s="1" t="s">
        <v>2058</v>
      </c>
      <c r="D958" s="39">
        <v>0</v>
      </c>
      <c r="E958" s="1" t="s">
        <v>1</v>
      </c>
      <c r="F958" s="39">
        <v>0</v>
      </c>
    </row>
    <row r="959" spans="1:6" x14ac:dyDescent="0.25">
      <c r="A959" s="1">
        <v>4001191</v>
      </c>
      <c r="B959" s="1" t="s">
        <v>2720</v>
      </c>
      <c r="C959" s="1" t="s">
        <v>2058</v>
      </c>
      <c r="D959" s="39">
        <v>0</v>
      </c>
      <c r="E959" s="1" t="s">
        <v>1</v>
      </c>
      <c r="F959" s="39">
        <v>0</v>
      </c>
    </row>
    <row r="960" spans="1:6" x14ac:dyDescent="0.25">
      <c r="A960" s="1">
        <v>4001192</v>
      </c>
      <c r="B960" s="1" t="s">
        <v>2721</v>
      </c>
      <c r="C960" s="1" t="s">
        <v>2058</v>
      </c>
      <c r="D960" s="39">
        <v>0</v>
      </c>
      <c r="E960" s="1" t="s">
        <v>1</v>
      </c>
      <c r="F960" s="39">
        <v>0</v>
      </c>
    </row>
    <row r="961" spans="1:6" x14ac:dyDescent="0.25">
      <c r="A961" s="1">
        <v>4001194</v>
      </c>
      <c r="B961" s="1" t="s">
        <v>2722</v>
      </c>
      <c r="C961" s="1" t="s">
        <v>2058</v>
      </c>
      <c r="D961" s="39">
        <v>0</v>
      </c>
      <c r="E961" s="1" t="s">
        <v>1</v>
      </c>
      <c r="F961" s="39">
        <v>0</v>
      </c>
    </row>
    <row r="962" spans="1:6" x14ac:dyDescent="0.25">
      <c r="A962" s="1">
        <v>4001195</v>
      </c>
      <c r="B962" s="1" t="s">
        <v>622</v>
      </c>
      <c r="C962" s="1" t="s">
        <v>2058</v>
      </c>
      <c r="D962" s="39">
        <v>0</v>
      </c>
      <c r="E962" s="1" t="s">
        <v>1</v>
      </c>
      <c r="F962" s="39">
        <v>0</v>
      </c>
    </row>
    <row r="963" spans="1:6" x14ac:dyDescent="0.25">
      <c r="A963" s="1">
        <v>4001196</v>
      </c>
      <c r="B963" s="1" t="s">
        <v>197</v>
      </c>
      <c r="C963" s="1" t="s">
        <v>2058</v>
      </c>
      <c r="D963" s="39">
        <v>0</v>
      </c>
      <c r="E963" s="1" t="s">
        <v>1</v>
      </c>
      <c r="F963" s="39">
        <v>0</v>
      </c>
    </row>
    <row r="964" spans="1:6" x14ac:dyDescent="0.25">
      <c r="A964" s="1">
        <v>4001197</v>
      </c>
      <c r="B964" s="1" t="s">
        <v>2723</v>
      </c>
      <c r="C964" s="1" t="s">
        <v>2058</v>
      </c>
      <c r="D964" s="39">
        <v>0</v>
      </c>
      <c r="E964" s="1" t="s">
        <v>1</v>
      </c>
      <c r="F964" s="39">
        <v>0</v>
      </c>
    </row>
    <row r="965" spans="1:6" x14ac:dyDescent="0.25">
      <c r="A965" s="1">
        <v>4001198</v>
      </c>
      <c r="B965" s="1" t="s">
        <v>2724</v>
      </c>
      <c r="C965" s="1" t="s">
        <v>2058</v>
      </c>
      <c r="D965" s="39">
        <v>0</v>
      </c>
      <c r="E965" s="1" t="s">
        <v>1</v>
      </c>
      <c r="F965" s="39">
        <v>0</v>
      </c>
    </row>
    <row r="966" spans="1:6" x14ac:dyDescent="0.25">
      <c r="A966" s="1">
        <v>4001199</v>
      </c>
      <c r="B966" s="1" t="s">
        <v>2725</v>
      </c>
      <c r="C966" s="1" t="s">
        <v>2058</v>
      </c>
      <c r="D966" s="39">
        <v>0</v>
      </c>
      <c r="E966" s="1" t="s">
        <v>1</v>
      </c>
      <c r="F966" s="39">
        <v>0</v>
      </c>
    </row>
    <row r="967" spans="1:6" x14ac:dyDescent="0.25">
      <c r="A967" s="1">
        <v>4001200</v>
      </c>
      <c r="B967" s="1" t="s">
        <v>640</v>
      </c>
      <c r="C967" s="1" t="s">
        <v>2058</v>
      </c>
      <c r="D967" s="39">
        <v>0</v>
      </c>
      <c r="E967" s="1" t="s">
        <v>1</v>
      </c>
      <c r="F967" s="39">
        <v>0</v>
      </c>
    </row>
    <row r="968" spans="1:6" x14ac:dyDescent="0.25">
      <c r="A968" s="1">
        <v>4001201</v>
      </c>
      <c r="B968" s="1" t="s">
        <v>608</v>
      </c>
      <c r="C968" s="1" t="s">
        <v>2058</v>
      </c>
      <c r="D968" s="39">
        <v>0</v>
      </c>
      <c r="E968" s="1" t="s">
        <v>1</v>
      </c>
      <c r="F968" s="39">
        <v>0</v>
      </c>
    </row>
    <row r="969" spans="1:6" x14ac:dyDescent="0.25">
      <c r="A969" s="1">
        <v>4001202</v>
      </c>
      <c r="B969" s="1" t="s">
        <v>2726</v>
      </c>
      <c r="C969" s="1" t="s">
        <v>2058</v>
      </c>
      <c r="D969" s="39">
        <v>0</v>
      </c>
      <c r="E969" s="1" t="s">
        <v>1</v>
      </c>
      <c r="F969" s="39">
        <v>0</v>
      </c>
    </row>
    <row r="970" spans="1:6" x14ac:dyDescent="0.25">
      <c r="A970" s="1">
        <v>4001203</v>
      </c>
      <c r="B970" s="1" t="s">
        <v>208</v>
      </c>
      <c r="C970" s="1" t="s">
        <v>2058</v>
      </c>
      <c r="D970" s="39">
        <v>0</v>
      </c>
      <c r="E970" s="1" t="s">
        <v>1</v>
      </c>
      <c r="F970" s="39">
        <v>0</v>
      </c>
    </row>
    <row r="971" spans="1:6" x14ac:dyDescent="0.25">
      <c r="A971" s="1">
        <v>4001205</v>
      </c>
      <c r="B971" s="1" t="s">
        <v>2727</v>
      </c>
      <c r="C971" s="1" t="s">
        <v>2058</v>
      </c>
      <c r="D971" s="39">
        <v>0</v>
      </c>
      <c r="E971" s="1" t="s">
        <v>1</v>
      </c>
      <c r="F971" s="39">
        <v>0</v>
      </c>
    </row>
    <row r="972" spans="1:6" x14ac:dyDescent="0.25">
      <c r="A972" s="1">
        <v>4001206</v>
      </c>
      <c r="B972" s="1" t="s">
        <v>189</v>
      </c>
      <c r="C972" s="1" t="s">
        <v>2058</v>
      </c>
      <c r="D972" s="39">
        <v>0</v>
      </c>
      <c r="E972" s="1" t="s">
        <v>1</v>
      </c>
      <c r="F972" s="39">
        <v>0</v>
      </c>
    </row>
    <row r="973" spans="1:6" x14ac:dyDescent="0.25">
      <c r="A973" s="1">
        <v>4001207</v>
      </c>
      <c r="B973" s="1" t="s">
        <v>2728</v>
      </c>
      <c r="C973" s="1" t="s">
        <v>2058</v>
      </c>
      <c r="D973" s="39">
        <v>0</v>
      </c>
      <c r="E973" s="1" t="s">
        <v>1</v>
      </c>
      <c r="F973" s="39">
        <v>0</v>
      </c>
    </row>
    <row r="974" spans="1:6" x14ac:dyDescent="0.25">
      <c r="A974" s="1">
        <v>4001208</v>
      </c>
      <c r="B974" s="1" t="s">
        <v>2729</v>
      </c>
      <c r="C974" s="1" t="s">
        <v>2058</v>
      </c>
      <c r="D974" s="39">
        <v>0</v>
      </c>
      <c r="E974" s="1" t="s">
        <v>1</v>
      </c>
      <c r="F974" s="39">
        <v>0</v>
      </c>
    </row>
    <row r="975" spans="1:6" x14ac:dyDescent="0.25">
      <c r="A975" s="1">
        <v>4001209</v>
      </c>
      <c r="B975" s="1" t="s">
        <v>266</v>
      </c>
      <c r="C975" s="1" t="s">
        <v>2058</v>
      </c>
      <c r="D975" s="39">
        <v>0</v>
      </c>
      <c r="E975" s="1" t="s">
        <v>1</v>
      </c>
      <c r="F975" s="39">
        <v>0</v>
      </c>
    </row>
    <row r="976" spans="1:6" x14ac:dyDescent="0.25">
      <c r="A976" s="1">
        <v>4001210</v>
      </c>
      <c r="B976" s="1" t="s">
        <v>2730</v>
      </c>
      <c r="C976" s="1" t="s">
        <v>2058</v>
      </c>
      <c r="D976" s="39">
        <v>0</v>
      </c>
      <c r="E976" s="1" t="s">
        <v>1</v>
      </c>
      <c r="F976" s="39">
        <v>0</v>
      </c>
    </row>
    <row r="977" spans="1:6" x14ac:dyDescent="0.25">
      <c r="A977" s="1">
        <v>4001211</v>
      </c>
      <c r="B977" s="1" t="s">
        <v>2731</v>
      </c>
      <c r="C977" s="1" t="s">
        <v>2058</v>
      </c>
      <c r="D977" s="39">
        <v>0</v>
      </c>
      <c r="E977" s="1" t="s">
        <v>1</v>
      </c>
      <c r="F977" s="39">
        <v>0</v>
      </c>
    </row>
    <row r="978" spans="1:6" x14ac:dyDescent="0.25">
      <c r="A978" s="1">
        <v>4001212</v>
      </c>
      <c r="B978" s="1" t="s">
        <v>238</v>
      </c>
      <c r="C978" s="1" t="s">
        <v>2058</v>
      </c>
      <c r="D978" s="39">
        <v>0</v>
      </c>
      <c r="E978" s="1" t="s">
        <v>1</v>
      </c>
      <c r="F978" s="39">
        <v>0</v>
      </c>
    </row>
    <row r="979" spans="1:6" x14ac:dyDescent="0.25">
      <c r="A979" s="1">
        <v>4001213</v>
      </c>
      <c r="B979" s="1" t="s">
        <v>516</v>
      </c>
      <c r="C979" s="1" t="s">
        <v>2058</v>
      </c>
      <c r="D979" s="39">
        <v>0</v>
      </c>
      <c r="E979" s="1" t="s">
        <v>1</v>
      </c>
      <c r="F979" s="39">
        <v>0</v>
      </c>
    </row>
    <row r="980" spans="1:6" x14ac:dyDescent="0.25">
      <c r="A980" s="1">
        <v>4001215</v>
      </c>
      <c r="B980" s="1" t="s">
        <v>493</v>
      </c>
      <c r="C980" s="1" t="s">
        <v>2058</v>
      </c>
      <c r="D980" s="39">
        <v>0</v>
      </c>
      <c r="E980" s="1" t="s">
        <v>1</v>
      </c>
      <c r="F980" s="39">
        <v>0</v>
      </c>
    </row>
    <row r="981" spans="1:6" x14ac:dyDescent="0.25">
      <c r="A981" s="1">
        <v>4001216</v>
      </c>
      <c r="B981" s="1" t="s">
        <v>487</v>
      </c>
      <c r="C981" s="1" t="s">
        <v>2058</v>
      </c>
      <c r="D981" s="39">
        <v>0</v>
      </c>
      <c r="E981" s="1" t="s">
        <v>1</v>
      </c>
      <c r="F981" s="39">
        <v>0</v>
      </c>
    </row>
    <row r="982" spans="1:6" x14ac:dyDescent="0.25">
      <c r="A982" s="1">
        <v>4001217</v>
      </c>
      <c r="B982" s="1" t="s">
        <v>2732</v>
      </c>
      <c r="C982" s="1" t="s">
        <v>2058</v>
      </c>
      <c r="D982" s="39">
        <v>0</v>
      </c>
      <c r="E982" s="1" t="s">
        <v>1</v>
      </c>
      <c r="F982" s="39">
        <v>0</v>
      </c>
    </row>
    <row r="983" spans="1:6" x14ac:dyDescent="0.25">
      <c r="A983" s="1">
        <v>4001218</v>
      </c>
      <c r="B983" s="1" t="s">
        <v>2733</v>
      </c>
      <c r="C983" s="1" t="s">
        <v>2058</v>
      </c>
      <c r="D983" s="39">
        <v>0</v>
      </c>
      <c r="E983" s="1" t="s">
        <v>1</v>
      </c>
      <c r="F983" s="39">
        <v>0</v>
      </c>
    </row>
    <row r="984" spans="1:6" x14ac:dyDescent="0.25">
      <c r="A984" s="1">
        <v>4001219</v>
      </c>
      <c r="B984" s="1" t="s">
        <v>614</v>
      </c>
      <c r="C984" s="1" t="s">
        <v>2058</v>
      </c>
      <c r="D984" s="39">
        <v>0</v>
      </c>
      <c r="E984" s="1" t="s">
        <v>1</v>
      </c>
      <c r="F984" s="39">
        <v>0</v>
      </c>
    </row>
    <row r="985" spans="1:6" x14ac:dyDescent="0.25">
      <c r="A985" s="1">
        <v>4001220</v>
      </c>
      <c r="B985" s="1" t="s">
        <v>523</v>
      </c>
      <c r="C985" s="1" t="s">
        <v>2058</v>
      </c>
      <c r="D985" s="39">
        <v>0</v>
      </c>
      <c r="E985" s="1" t="s">
        <v>1</v>
      </c>
      <c r="F985" s="39">
        <v>0</v>
      </c>
    </row>
    <row r="986" spans="1:6" x14ac:dyDescent="0.25">
      <c r="A986" s="1">
        <v>4001221</v>
      </c>
      <c r="B986" s="1" t="s">
        <v>716</v>
      </c>
      <c r="C986" s="1" t="s">
        <v>2058</v>
      </c>
      <c r="D986" s="39">
        <v>0</v>
      </c>
      <c r="E986" s="1" t="s">
        <v>1</v>
      </c>
      <c r="F986" s="39">
        <v>0</v>
      </c>
    </row>
    <row r="987" spans="1:6" x14ac:dyDescent="0.25">
      <c r="A987" s="1">
        <v>4001222</v>
      </c>
      <c r="B987" s="1" t="s">
        <v>2734</v>
      </c>
      <c r="C987" s="1" t="s">
        <v>2058</v>
      </c>
      <c r="D987" s="39">
        <v>0</v>
      </c>
      <c r="E987" s="1" t="s">
        <v>1</v>
      </c>
      <c r="F987" s="39">
        <v>0</v>
      </c>
    </row>
    <row r="988" spans="1:6" x14ac:dyDescent="0.25">
      <c r="A988" s="1">
        <v>4001223</v>
      </c>
      <c r="B988" s="1" t="s">
        <v>530</v>
      </c>
      <c r="C988" s="1" t="s">
        <v>2058</v>
      </c>
      <c r="D988" s="39">
        <v>0</v>
      </c>
      <c r="E988" s="1" t="s">
        <v>1</v>
      </c>
      <c r="F988" s="39">
        <v>0</v>
      </c>
    </row>
    <row r="989" spans="1:6" x14ac:dyDescent="0.25">
      <c r="A989" s="1">
        <v>4001226</v>
      </c>
      <c r="B989" s="1" t="s">
        <v>502</v>
      </c>
      <c r="C989" s="1" t="s">
        <v>2058</v>
      </c>
      <c r="D989" s="39">
        <v>0</v>
      </c>
      <c r="E989" s="1" t="s">
        <v>1</v>
      </c>
      <c r="F989" s="39">
        <v>0</v>
      </c>
    </row>
    <row r="990" spans="1:6" x14ac:dyDescent="0.25">
      <c r="A990" s="1">
        <v>4001227</v>
      </c>
      <c r="B990" s="1" t="s">
        <v>508</v>
      </c>
      <c r="C990" s="1" t="s">
        <v>2058</v>
      </c>
      <c r="D990" s="39">
        <v>0</v>
      </c>
      <c r="E990" s="1" t="s">
        <v>1</v>
      </c>
      <c r="F990" s="39">
        <v>0</v>
      </c>
    </row>
    <row r="991" spans="1:6" x14ac:dyDescent="0.25">
      <c r="A991" s="1">
        <v>4001228</v>
      </c>
      <c r="B991" s="1" t="s">
        <v>536</v>
      </c>
      <c r="C991" s="1" t="s">
        <v>2058</v>
      </c>
      <c r="D991" s="39">
        <v>0</v>
      </c>
      <c r="E991" s="1" t="s">
        <v>1</v>
      </c>
      <c r="F991" s="39">
        <v>0</v>
      </c>
    </row>
    <row r="992" spans="1:6" x14ac:dyDescent="0.25">
      <c r="A992" s="1">
        <v>4001229</v>
      </c>
      <c r="B992" s="1" t="s">
        <v>542</v>
      </c>
      <c r="C992" s="1" t="s">
        <v>2058</v>
      </c>
      <c r="D992" s="39">
        <v>0</v>
      </c>
      <c r="E992" s="1" t="s">
        <v>1</v>
      </c>
      <c r="F992" s="39">
        <v>0</v>
      </c>
    </row>
    <row r="993" spans="1:6" x14ac:dyDescent="0.25">
      <c r="A993" s="1">
        <v>4001230</v>
      </c>
      <c r="B993" s="1" t="s">
        <v>548</v>
      </c>
      <c r="C993" s="1" t="s">
        <v>2058</v>
      </c>
      <c r="D993" s="39">
        <v>0</v>
      </c>
      <c r="E993" s="1" t="s">
        <v>1</v>
      </c>
      <c r="F993" s="39">
        <v>0</v>
      </c>
    </row>
    <row r="994" spans="1:6" x14ac:dyDescent="0.25">
      <c r="A994" s="1">
        <v>4001231</v>
      </c>
      <c r="B994" s="1" t="s">
        <v>2735</v>
      </c>
      <c r="C994" s="1" t="s">
        <v>2058</v>
      </c>
      <c r="D994" s="39">
        <v>0</v>
      </c>
      <c r="E994" s="1" t="s">
        <v>1</v>
      </c>
      <c r="F994" s="39">
        <v>0</v>
      </c>
    </row>
    <row r="995" spans="1:6" x14ac:dyDescent="0.25">
      <c r="A995" s="1">
        <v>4001232</v>
      </c>
      <c r="B995" s="1" t="s">
        <v>634</v>
      </c>
      <c r="C995" s="1" t="s">
        <v>2058</v>
      </c>
      <c r="D995" s="39">
        <v>0</v>
      </c>
      <c r="E995" s="1" t="s">
        <v>1</v>
      </c>
      <c r="F995" s="39">
        <v>0</v>
      </c>
    </row>
    <row r="996" spans="1:6" x14ac:dyDescent="0.25">
      <c r="A996" s="1">
        <v>4001233</v>
      </c>
      <c r="B996" s="1" t="s">
        <v>692</v>
      </c>
      <c r="C996" s="1" t="s">
        <v>2058</v>
      </c>
      <c r="D996" s="39">
        <v>0</v>
      </c>
      <c r="E996" s="1" t="s">
        <v>1</v>
      </c>
      <c r="F996" s="39">
        <v>0</v>
      </c>
    </row>
    <row r="997" spans="1:6" x14ac:dyDescent="0.25">
      <c r="A997" s="1">
        <v>4001242</v>
      </c>
      <c r="B997" s="1" t="s">
        <v>2736</v>
      </c>
      <c r="C997" s="1" t="s">
        <v>2058</v>
      </c>
      <c r="D997" s="39">
        <v>0</v>
      </c>
      <c r="E997" s="1" t="s">
        <v>1</v>
      </c>
      <c r="F997" s="39">
        <v>0</v>
      </c>
    </row>
    <row r="998" spans="1:6" x14ac:dyDescent="0.25">
      <c r="A998" s="1">
        <v>4001244</v>
      </c>
      <c r="B998" s="1" t="s">
        <v>310</v>
      </c>
      <c r="C998" s="1" t="s">
        <v>2058</v>
      </c>
      <c r="D998" s="39">
        <v>0</v>
      </c>
      <c r="E998" s="1" t="s">
        <v>1</v>
      </c>
      <c r="F998" s="39">
        <v>0</v>
      </c>
    </row>
    <row r="999" spans="1:6" x14ac:dyDescent="0.25">
      <c r="A999" s="1">
        <v>4001245</v>
      </c>
      <c r="B999" s="1" t="s">
        <v>2737</v>
      </c>
      <c r="C999" s="1" t="s">
        <v>2058</v>
      </c>
      <c r="D999" s="39">
        <v>0</v>
      </c>
      <c r="E999" s="1" t="s">
        <v>1</v>
      </c>
      <c r="F999" s="39">
        <v>0</v>
      </c>
    </row>
    <row r="1000" spans="1:6" x14ac:dyDescent="0.25">
      <c r="A1000" s="1">
        <v>4001246</v>
      </c>
      <c r="B1000" s="1" t="s">
        <v>2738</v>
      </c>
      <c r="C1000" s="1" t="s">
        <v>2058</v>
      </c>
      <c r="D1000" s="39">
        <v>0</v>
      </c>
      <c r="E1000" s="1" t="s">
        <v>1</v>
      </c>
      <c r="F1000" s="39">
        <v>0</v>
      </c>
    </row>
    <row r="1001" spans="1:6" x14ac:dyDescent="0.25">
      <c r="A1001" s="1">
        <v>4001247</v>
      </c>
      <c r="B1001" s="1" t="s">
        <v>2739</v>
      </c>
      <c r="C1001" s="1" t="s">
        <v>2058</v>
      </c>
      <c r="D1001" s="39">
        <v>0</v>
      </c>
      <c r="E1001" s="1" t="s">
        <v>1</v>
      </c>
      <c r="F1001" s="39">
        <v>0</v>
      </c>
    </row>
    <row r="1002" spans="1:6" x14ac:dyDescent="0.25">
      <c r="A1002" s="1">
        <v>4001248</v>
      </c>
      <c r="B1002" s="1" t="s">
        <v>2740</v>
      </c>
      <c r="C1002" s="1" t="s">
        <v>2058</v>
      </c>
      <c r="D1002" s="39">
        <v>0</v>
      </c>
      <c r="E1002" s="1" t="s">
        <v>1</v>
      </c>
      <c r="F1002" s="39">
        <v>0</v>
      </c>
    </row>
    <row r="1003" spans="1:6" x14ac:dyDescent="0.25">
      <c r="A1003" s="1">
        <v>4001249</v>
      </c>
      <c r="B1003" s="1" t="s">
        <v>155</v>
      </c>
      <c r="C1003" s="1" t="s">
        <v>2058</v>
      </c>
      <c r="D1003" s="39">
        <v>0</v>
      </c>
      <c r="E1003" s="1" t="s">
        <v>1</v>
      </c>
      <c r="F1003" s="39">
        <v>0</v>
      </c>
    </row>
    <row r="1004" spans="1:6" x14ac:dyDescent="0.25">
      <c r="A1004" s="1">
        <v>4001251</v>
      </c>
      <c r="B1004" s="1" t="s">
        <v>2741</v>
      </c>
      <c r="C1004" s="1" t="s">
        <v>2058</v>
      </c>
      <c r="D1004" s="39">
        <v>0</v>
      </c>
      <c r="E1004" s="1" t="s">
        <v>1</v>
      </c>
      <c r="F1004" s="39">
        <v>0</v>
      </c>
    </row>
    <row r="1005" spans="1:6" x14ac:dyDescent="0.25">
      <c r="A1005" s="1">
        <v>4001252</v>
      </c>
      <c r="B1005" s="1" t="s">
        <v>2742</v>
      </c>
      <c r="C1005" s="1" t="s">
        <v>2058</v>
      </c>
      <c r="D1005" s="39">
        <v>0</v>
      </c>
      <c r="E1005" s="1" t="s">
        <v>1</v>
      </c>
      <c r="F1005" s="39">
        <v>0</v>
      </c>
    </row>
    <row r="1006" spans="1:6" x14ac:dyDescent="0.25">
      <c r="A1006" s="1">
        <v>4001254</v>
      </c>
      <c r="B1006" s="1" t="s">
        <v>2743</v>
      </c>
      <c r="C1006" s="1" t="s">
        <v>2058</v>
      </c>
      <c r="D1006" s="39">
        <v>0</v>
      </c>
      <c r="E1006" s="1" t="s">
        <v>1</v>
      </c>
      <c r="F1006" s="39">
        <v>0</v>
      </c>
    </row>
    <row r="1007" spans="1:6" x14ac:dyDescent="0.25">
      <c r="A1007" s="1">
        <v>4001256</v>
      </c>
      <c r="B1007" s="1" t="s">
        <v>2744</v>
      </c>
      <c r="C1007" s="1" t="s">
        <v>2058</v>
      </c>
      <c r="D1007" s="39">
        <v>0</v>
      </c>
      <c r="E1007" s="1" t="s">
        <v>1</v>
      </c>
      <c r="F1007" s="39">
        <v>0</v>
      </c>
    </row>
    <row r="1008" spans="1:6" x14ac:dyDescent="0.25">
      <c r="A1008" s="1">
        <v>4001269</v>
      </c>
      <c r="B1008" s="1" t="s">
        <v>1230</v>
      </c>
      <c r="C1008" s="1" t="s">
        <v>2058</v>
      </c>
      <c r="D1008" s="39">
        <v>0</v>
      </c>
      <c r="E1008" s="1" t="s">
        <v>1</v>
      </c>
      <c r="F1008" s="39">
        <v>0</v>
      </c>
    </row>
    <row r="1009" spans="1:6" x14ac:dyDescent="0.25">
      <c r="A1009" s="1">
        <v>4001271</v>
      </c>
      <c r="B1009" s="1" t="s">
        <v>118</v>
      </c>
      <c r="C1009" s="1" t="s">
        <v>2058</v>
      </c>
      <c r="D1009" s="39">
        <v>0</v>
      </c>
      <c r="E1009" s="1" t="s">
        <v>1</v>
      </c>
      <c r="F1009" s="39">
        <v>0</v>
      </c>
    </row>
    <row r="1010" spans="1:6" x14ac:dyDescent="0.25">
      <c r="A1010" s="1">
        <v>4001273</v>
      </c>
      <c r="B1010" s="1" t="s">
        <v>590</v>
      </c>
      <c r="C1010" s="1" t="s">
        <v>2058</v>
      </c>
      <c r="D1010" s="39">
        <v>0</v>
      </c>
      <c r="E1010" s="1" t="s">
        <v>1</v>
      </c>
      <c r="F1010" s="39">
        <v>0</v>
      </c>
    </row>
    <row r="1011" spans="1:6" x14ac:dyDescent="0.25">
      <c r="A1011" s="1">
        <v>4001275</v>
      </c>
      <c r="B1011" s="1" t="s">
        <v>2745</v>
      </c>
      <c r="C1011" s="1" t="s">
        <v>2058</v>
      </c>
      <c r="D1011" s="39">
        <v>0</v>
      </c>
      <c r="E1011" s="1" t="s">
        <v>1</v>
      </c>
      <c r="F1011" s="39">
        <v>0</v>
      </c>
    </row>
    <row r="1012" spans="1:6" x14ac:dyDescent="0.25">
      <c r="A1012" s="1">
        <v>4001278</v>
      </c>
      <c r="B1012" s="1" t="s">
        <v>2746</v>
      </c>
      <c r="C1012" s="1" t="s">
        <v>2058</v>
      </c>
      <c r="D1012" s="39">
        <v>0</v>
      </c>
      <c r="E1012" s="1" t="s">
        <v>1</v>
      </c>
      <c r="F1012" s="39">
        <v>0</v>
      </c>
    </row>
    <row r="1013" spans="1:6" x14ac:dyDescent="0.25">
      <c r="A1013" s="1">
        <v>4001280</v>
      </c>
      <c r="B1013" s="1" t="s">
        <v>2747</v>
      </c>
      <c r="C1013" s="1" t="s">
        <v>2058</v>
      </c>
      <c r="D1013" s="39">
        <v>0</v>
      </c>
      <c r="E1013" s="1" t="s">
        <v>1</v>
      </c>
      <c r="F1013" s="39">
        <v>0</v>
      </c>
    </row>
    <row r="1014" spans="1:6" x14ac:dyDescent="0.25">
      <c r="A1014" s="1">
        <v>4001281</v>
      </c>
      <c r="B1014" s="1" t="s">
        <v>159</v>
      </c>
      <c r="C1014" s="1" t="s">
        <v>2058</v>
      </c>
      <c r="D1014" s="39">
        <v>0</v>
      </c>
      <c r="E1014" s="1" t="s">
        <v>1</v>
      </c>
      <c r="F1014" s="39">
        <v>0</v>
      </c>
    </row>
    <row r="1015" spans="1:6" x14ac:dyDescent="0.25">
      <c r="A1015" s="1">
        <v>4001283</v>
      </c>
      <c r="B1015" s="1" t="s">
        <v>602</v>
      </c>
      <c r="C1015" s="1" t="s">
        <v>2058</v>
      </c>
      <c r="D1015" s="39">
        <v>0</v>
      </c>
      <c r="E1015" s="1" t="s">
        <v>1</v>
      </c>
      <c r="F1015" s="39">
        <v>0</v>
      </c>
    </row>
    <row r="1016" spans="1:6" x14ac:dyDescent="0.25">
      <c r="A1016" s="1">
        <v>4001285</v>
      </c>
      <c r="B1016" s="1" t="s">
        <v>84</v>
      </c>
      <c r="C1016" s="1" t="s">
        <v>2058</v>
      </c>
      <c r="D1016" s="39">
        <v>0</v>
      </c>
      <c r="E1016" s="1" t="s">
        <v>1</v>
      </c>
      <c r="F1016" s="39">
        <v>0</v>
      </c>
    </row>
    <row r="1017" spans="1:6" x14ac:dyDescent="0.25">
      <c r="A1017" s="1">
        <v>4001291</v>
      </c>
      <c r="B1017" s="1" t="s">
        <v>173</v>
      </c>
      <c r="C1017" s="1" t="s">
        <v>2058</v>
      </c>
      <c r="D1017" s="39">
        <v>0</v>
      </c>
      <c r="E1017" s="1" t="s">
        <v>1</v>
      </c>
      <c r="F1017" s="39">
        <v>0</v>
      </c>
    </row>
    <row r="1018" spans="1:6" x14ac:dyDescent="0.25">
      <c r="A1018" s="1">
        <v>4001292</v>
      </c>
      <c r="B1018" s="1" t="s">
        <v>2748</v>
      </c>
      <c r="C1018" s="1" t="s">
        <v>2058</v>
      </c>
      <c r="D1018" s="39">
        <v>0</v>
      </c>
      <c r="E1018" s="1" t="s">
        <v>1</v>
      </c>
      <c r="F1018" s="39">
        <v>0</v>
      </c>
    </row>
    <row r="1019" spans="1:6" x14ac:dyDescent="0.25">
      <c r="A1019" s="1">
        <v>4001294</v>
      </c>
      <c r="B1019" s="1" t="s">
        <v>300</v>
      </c>
      <c r="C1019" s="1" t="s">
        <v>2058</v>
      </c>
      <c r="D1019" s="39">
        <v>0</v>
      </c>
      <c r="E1019" s="1" t="s">
        <v>1</v>
      </c>
      <c r="F1019" s="39">
        <v>0</v>
      </c>
    </row>
    <row r="1020" spans="1:6" x14ac:dyDescent="0.25">
      <c r="A1020" s="1">
        <v>4001296</v>
      </c>
      <c r="B1020" s="1" t="s">
        <v>305</v>
      </c>
      <c r="C1020" s="1" t="s">
        <v>2058</v>
      </c>
      <c r="D1020" s="39">
        <v>0</v>
      </c>
      <c r="E1020" s="1" t="s">
        <v>1</v>
      </c>
      <c r="F1020" s="39">
        <v>0</v>
      </c>
    </row>
    <row r="1021" spans="1:6" x14ac:dyDescent="0.25">
      <c r="A1021" s="1">
        <v>4001304</v>
      </c>
      <c r="B1021" s="1" t="s">
        <v>102</v>
      </c>
      <c r="C1021" s="1" t="s">
        <v>2058</v>
      </c>
      <c r="D1021" s="39">
        <v>0</v>
      </c>
      <c r="E1021" s="1" t="s">
        <v>1</v>
      </c>
      <c r="F1021" s="39">
        <v>0</v>
      </c>
    </row>
    <row r="1022" spans="1:6" x14ac:dyDescent="0.25">
      <c r="A1022" s="1">
        <v>4001306</v>
      </c>
      <c r="B1022" s="1" t="s">
        <v>107</v>
      </c>
      <c r="C1022" s="1" t="s">
        <v>2058</v>
      </c>
      <c r="D1022" s="39">
        <v>0</v>
      </c>
      <c r="E1022" s="1" t="s">
        <v>1</v>
      </c>
      <c r="F1022" s="39">
        <v>0</v>
      </c>
    </row>
    <row r="1023" spans="1:6" x14ac:dyDescent="0.25">
      <c r="A1023" s="1">
        <v>4001308</v>
      </c>
      <c r="B1023" s="1" t="s">
        <v>2749</v>
      </c>
      <c r="C1023" s="1" t="s">
        <v>2058</v>
      </c>
      <c r="D1023" s="39">
        <v>0</v>
      </c>
      <c r="E1023" s="1" t="s">
        <v>1</v>
      </c>
      <c r="F1023" s="39">
        <v>0</v>
      </c>
    </row>
    <row r="1024" spans="1:6" x14ac:dyDescent="0.25">
      <c r="A1024" s="1">
        <v>4001313</v>
      </c>
      <c r="B1024" s="1" t="s">
        <v>213</v>
      </c>
      <c r="C1024" s="1" t="s">
        <v>2058</v>
      </c>
      <c r="D1024" s="39">
        <v>0</v>
      </c>
      <c r="E1024" s="1" t="s">
        <v>1</v>
      </c>
      <c r="F1024" s="39">
        <v>0</v>
      </c>
    </row>
    <row r="1025" spans="1:6" x14ac:dyDescent="0.25">
      <c r="A1025" s="1">
        <v>4001314</v>
      </c>
      <c r="B1025" s="1" t="s">
        <v>2750</v>
      </c>
      <c r="C1025" s="1" t="s">
        <v>2058</v>
      </c>
      <c r="D1025" s="39">
        <v>0</v>
      </c>
      <c r="E1025" s="1" t="s">
        <v>1</v>
      </c>
      <c r="F1025" s="39">
        <v>0</v>
      </c>
    </row>
    <row r="1026" spans="1:6" x14ac:dyDescent="0.25">
      <c r="A1026" s="1">
        <v>4001315</v>
      </c>
      <c r="B1026" s="1" t="s">
        <v>219</v>
      </c>
      <c r="C1026" s="1" t="s">
        <v>2058</v>
      </c>
      <c r="D1026" s="39">
        <v>0</v>
      </c>
      <c r="E1026" s="1" t="s">
        <v>1</v>
      </c>
      <c r="F1026" s="39">
        <v>0</v>
      </c>
    </row>
    <row r="1027" spans="1:6" x14ac:dyDescent="0.25">
      <c r="A1027" s="1">
        <v>4001317</v>
      </c>
      <c r="B1027" s="1" t="s">
        <v>224</v>
      </c>
      <c r="C1027" s="1" t="s">
        <v>2058</v>
      </c>
      <c r="D1027" s="39">
        <v>0</v>
      </c>
      <c r="E1027" s="1" t="s">
        <v>1</v>
      </c>
      <c r="F1027" s="39">
        <v>0</v>
      </c>
    </row>
    <row r="1028" spans="1:6" x14ac:dyDescent="0.25">
      <c r="A1028" s="1">
        <v>4001319</v>
      </c>
      <c r="B1028" s="1" t="s">
        <v>2751</v>
      </c>
      <c r="C1028" s="1" t="s">
        <v>2058</v>
      </c>
      <c r="D1028" s="39">
        <v>0</v>
      </c>
      <c r="E1028" s="1" t="s">
        <v>1</v>
      </c>
      <c r="F1028" s="39">
        <v>0</v>
      </c>
    </row>
    <row r="1029" spans="1:6" x14ac:dyDescent="0.25">
      <c r="A1029" s="1">
        <v>4001320</v>
      </c>
      <c r="B1029" s="1" t="s">
        <v>229</v>
      </c>
      <c r="C1029" s="1" t="s">
        <v>2058</v>
      </c>
      <c r="D1029" s="39">
        <v>0</v>
      </c>
      <c r="E1029" s="1" t="s">
        <v>1</v>
      </c>
      <c r="F1029" s="39">
        <v>0</v>
      </c>
    </row>
    <row r="1030" spans="1:6" x14ac:dyDescent="0.25">
      <c r="A1030" s="1">
        <v>4001322</v>
      </c>
      <c r="B1030" s="1" t="s">
        <v>2752</v>
      </c>
      <c r="C1030" s="1" t="s">
        <v>2058</v>
      </c>
      <c r="D1030" s="39">
        <v>0</v>
      </c>
      <c r="E1030" s="1" t="s">
        <v>1</v>
      </c>
      <c r="F1030" s="39">
        <v>0</v>
      </c>
    </row>
    <row r="1031" spans="1:6" x14ac:dyDescent="0.25">
      <c r="A1031" s="1">
        <v>4001323</v>
      </c>
      <c r="B1031" s="1" t="s">
        <v>2753</v>
      </c>
      <c r="C1031" s="1" t="s">
        <v>2058</v>
      </c>
      <c r="D1031" s="39">
        <v>0</v>
      </c>
      <c r="E1031" s="1" t="s">
        <v>1</v>
      </c>
      <c r="F1031" s="39">
        <v>0</v>
      </c>
    </row>
    <row r="1032" spans="1:6" x14ac:dyDescent="0.25">
      <c r="A1032" s="1">
        <v>4001324</v>
      </c>
      <c r="B1032" s="1" t="s">
        <v>2754</v>
      </c>
      <c r="C1032" s="1" t="s">
        <v>2058</v>
      </c>
      <c r="D1032" s="39">
        <v>0</v>
      </c>
      <c r="E1032" s="1" t="s">
        <v>1</v>
      </c>
      <c r="F1032" s="39">
        <v>0</v>
      </c>
    </row>
    <row r="1033" spans="1:6" x14ac:dyDescent="0.25">
      <c r="A1033" s="1">
        <v>4001325</v>
      </c>
      <c r="B1033" s="1" t="s">
        <v>242</v>
      </c>
      <c r="C1033" s="1" t="s">
        <v>2058</v>
      </c>
      <c r="D1033" s="39">
        <v>0</v>
      </c>
      <c r="E1033" s="1" t="s">
        <v>1</v>
      </c>
      <c r="F1033" s="39">
        <v>0</v>
      </c>
    </row>
    <row r="1034" spans="1:6" x14ac:dyDescent="0.25">
      <c r="A1034" s="1">
        <v>4001326</v>
      </c>
      <c r="B1034" s="1" t="s">
        <v>2755</v>
      </c>
      <c r="C1034" s="1" t="s">
        <v>2058</v>
      </c>
      <c r="D1034" s="39">
        <v>0</v>
      </c>
      <c r="E1034" s="1" t="s">
        <v>1</v>
      </c>
      <c r="F1034" s="39">
        <v>0</v>
      </c>
    </row>
    <row r="1035" spans="1:6" x14ac:dyDescent="0.25">
      <c r="A1035" s="1">
        <v>4001328</v>
      </c>
      <c r="B1035" s="1" t="s">
        <v>2756</v>
      </c>
      <c r="C1035" s="1" t="s">
        <v>2058</v>
      </c>
      <c r="D1035" s="39">
        <v>0</v>
      </c>
      <c r="E1035" s="1" t="s">
        <v>1</v>
      </c>
      <c r="F1035" s="39">
        <v>0</v>
      </c>
    </row>
    <row r="1036" spans="1:6" x14ac:dyDescent="0.25">
      <c r="A1036" s="1">
        <v>4001329</v>
      </c>
      <c r="B1036" s="1" t="s">
        <v>285</v>
      </c>
      <c r="C1036" s="1" t="s">
        <v>2058</v>
      </c>
      <c r="D1036" s="39">
        <v>0</v>
      </c>
      <c r="E1036" s="1" t="s">
        <v>1</v>
      </c>
      <c r="F1036" s="39">
        <v>0</v>
      </c>
    </row>
    <row r="1037" spans="1:6" x14ac:dyDescent="0.25">
      <c r="A1037" s="1">
        <v>4001331</v>
      </c>
      <c r="B1037" s="1" t="s">
        <v>2757</v>
      </c>
      <c r="C1037" s="1" t="s">
        <v>2058</v>
      </c>
      <c r="D1037" s="39">
        <v>0</v>
      </c>
      <c r="E1037" s="1" t="s">
        <v>1</v>
      </c>
      <c r="F1037" s="39">
        <v>0</v>
      </c>
    </row>
    <row r="1038" spans="1:6" x14ac:dyDescent="0.25">
      <c r="A1038" s="1">
        <v>4001333</v>
      </c>
      <c r="B1038" s="1" t="s">
        <v>2758</v>
      </c>
      <c r="C1038" s="1" t="s">
        <v>2058</v>
      </c>
      <c r="D1038" s="39">
        <v>0</v>
      </c>
      <c r="E1038" s="1" t="s">
        <v>1</v>
      </c>
      <c r="F1038" s="39">
        <v>0</v>
      </c>
    </row>
    <row r="1039" spans="1:6" x14ac:dyDescent="0.25">
      <c r="A1039" s="1">
        <v>4001336</v>
      </c>
      <c r="B1039" s="1" t="s">
        <v>2759</v>
      </c>
      <c r="C1039" s="1" t="s">
        <v>2058</v>
      </c>
      <c r="D1039" s="39">
        <v>0</v>
      </c>
      <c r="E1039" s="1" t="s">
        <v>1</v>
      </c>
      <c r="F1039" s="39">
        <v>0</v>
      </c>
    </row>
    <row r="1040" spans="1:6" x14ac:dyDescent="0.25">
      <c r="A1040" s="1">
        <v>4001340</v>
      </c>
      <c r="B1040" s="1" t="s">
        <v>19</v>
      </c>
      <c r="C1040" s="1" t="s">
        <v>2058</v>
      </c>
      <c r="D1040" s="39">
        <v>0</v>
      </c>
      <c r="E1040" s="1" t="s">
        <v>1</v>
      </c>
      <c r="F1040" s="39">
        <v>0</v>
      </c>
    </row>
    <row r="1041" spans="1:6" x14ac:dyDescent="0.25">
      <c r="A1041" s="1">
        <v>4001345</v>
      </c>
      <c r="B1041" s="1" t="s">
        <v>2760</v>
      </c>
      <c r="C1041" s="1" t="s">
        <v>2058</v>
      </c>
      <c r="D1041" s="39">
        <v>0</v>
      </c>
      <c r="E1041" s="1" t="s">
        <v>1</v>
      </c>
      <c r="F1041" s="39">
        <v>0</v>
      </c>
    </row>
    <row r="1042" spans="1:6" x14ac:dyDescent="0.25">
      <c r="A1042" s="1">
        <v>4001356</v>
      </c>
      <c r="B1042" s="1" t="s">
        <v>76</v>
      </c>
      <c r="C1042" s="1" t="s">
        <v>2058</v>
      </c>
      <c r="D1042" s="39">
        <v>1192</v>
      </c>
      <c r="E1042" s="1" t="s">
        <v>1</v>
      </c>
      <c r="F1042" s="3">
        <v>4275.9399999999996</v>
      </c>
    </row>
    <row r="1043" spans="1:6" x14ac:dyDescent="0.25">
      <c r="A1043" s="1">
        <v>4001357</v>
      </c>
      <c r="B1043" s="1" t="s">
        <v>315</v>
      </c>
      <c r="C1043" s="1" t="s">
        <v>2058</v>
      </c>
      <c r="D1043" s="39">
        <v>0</v>
      </c>
      <c r="E1043" s="1" t="s">
        <v>1</v>
      </c>
      <c r="F1043" s="39">
        <v>0</v>
      </c>
    </row>
    <row r="1044" spans="1:6" x14ac:dyDescent="0.25">
      <c r="A1044" s="1">
        <v>4001358</v>
      </c>
      <c r="B1044" s="1" t="s">
        <v>320</v>
      </c>
      <c r="C1044" s="1" t="s">
        <v>2058</v>
      </c>
      <c r="D1044" s="39">
        <v>0</v>
      </c>
      <c r="E1044" s="1" t="s">
        <v>1</v>
      </c>
      <c r="F1044" s="39">
        <v>0</v>
      </c>
    </row>
    <row r="1045" spans="1:6" x14ac:dyDescent="0.25">
      <c r="A1045" s="1">
        <v>4001359</v>
      </c>
      <c r="B1045" s="1" t="s">
        <v>1439</v>
      </c>
      <c r="C1045" s="1" t="s">
        <v>2058</v>
      </c>
      <c r="D1045" s="39">
        <v>1562</v>
      </c>
      <c r="E1045" s="1" t="s">
        <v>1</v>
      </c>
      <c r="F1045" s="3">
        <v>275.69</v>
      </c>
    </row>
    <row r="1046" spans="1:6" x14ac:dyDescent="0.25">
      <c r="A1046" s="1">
        <v>4001360</v>
      </c>
      <c r="B1046" s="1" t="s">
        <v>79</v>
      </c>
      <c r="C1046" s="1" t="s">
        <v>2058</v>
      </c>
      <c r="D1046" s="39">
        <v>560</v>
      </c>
      <c r="E1046" s="1" t="s">
        <v>1</v>
      </c>
      <c r="F1046" s="3">
        <v>1941.02</v>
      </c>
    </row>
    <row r="1047" spans="1:6" x14ac:dyDescent="0.25">
      <c r="A1047" s="1">
        <v>4001362</v>
      </c>
      <c r="B1047" s="1" t="s">
        <v>90</v>
      </c>
      <c r="C1047" s="1" t="s">
        <v>2058</v>
      </c>
      <c r="D1047" s="39">
        <v>0</v>
      </c>
      <c r="E1047" s="1" t="s">
        <v>1</v>
      </c>
      <c r="F1047" s="39">
        <v>0</v>
      </c>
    </row>
    <row r="1048" spans="1:6" x14ac:dyDescent="0.25">
      <c r="A1048" s="1">
        <v>4001367</v>
      </c>
      <c r="B1048" s="1" t="s">
        <v>290</v>
      </c>
      <c r="C1048" s="1" t="s">
        <v>2058</v>
      </c>
      <c r="D1048" s="39">
        <v>0</v>
      </c>
      <c r="E1048" s="1" t="s">
        <v>1</v>
      </c>
      <c r="F1048" s="39">
        <v>0</v>
      </c>
    </row>
    <row r="1049" spans="1:6" x14ac:dyDescent="0.25">
      <c r="A1049" s="1">
        <v>4001368</v>
      </c>
      <c r="B1049" s="1" t="s">
        <v>295</v>
      </c>
      <c r="C1049" s="1" t="s">
        <v>2058</v>
      </c>
      <c r="D1049" s="39">
        <v>0</v>
      </c>
      <c r="E1049" s="1" t="s">
        <v>1</v>
      </c>
      <c r="F1049" s="39">
        <v>0</v>
      </c>
    </row>
    <row r="1050" spans="1:6" x14ac:dyDescent="0.25">
      <c r="A1050" s="1">
        <v>4001369</v>
      </c>
      <c r="B1050" s="1" t="s">
        <v>113</v>
      </c>
      <c r="C1050" s="1" t="s">
        <v>2058</v>
      </c>
      <c r="D1050" s="39">
        <v>0</v>
      </c>
      <c r="E1050" s="1" t="s">
        <v>1</v>
      </c>
      <c r="F1050" s="39">
        <v>0</v>
      </c>
    </row>
    <row r="1051" spans="1:6" x14ac:dyDescent="0.25">
      <c r="A1051" s="1">
        <v>4001372</v>
      </c>
      <c r="B1051" s="1" t="s">
        <v>2761</v>
      </c>
      <c r="C1051" s="1" t="s">
        <v>2058</v>
      </c>
      <c r="D1051" s="39">
        <v>0</v>
      </c>
      <c r="E1051" s="1" t="s">
        <v>1</v>
      </c>
      <c r="F1051" s="39">
        <v>0</v>
      </c>
    </row>
    <row r="1052" spans="1:6" x14ac:dyDescent="0.25">
      <c r="A1052" s="1">
        <v>4001378</v>
      </c>
      <c r="B1052" s="1" t="s">
        <v>2762</v>
      </c>
      <c r="C1052" s="1" t="s">
        <v>2058</v>
      </c>
      <c r="D1052" s="39">
        <v>0</v>
      </c>
      <c r="E1052" s="1" t="s">
        <v>1</v>
      </c>
      <c r="F1052" s="39">
        <v>0</v>
      </c>
    </row>
    <row r="1053" spans="1:6" x14ac:dyDescent="0.25">
      <c r="A1053" s="1">
        <v>4001379</v>
      </c>
      <c r="B1053" s="1" t="s">
        <v>280</v>
      </c>
      <c r="C1053" s="1" t="s">
        <v>2058</v>
      </c>
      <c r="D1053" s="39">
        <v>0</v>
      </c>
      <c r="E1053" s="1" t="s">
        <v>1</v>
      </c>
      <c r="F1053" s="39">
        <v>0</v>
      </c>
    </row>
    <row r="1054" spans="1:6" x14ac:dyDescent="0.25">
      <c r="A1054" s="1">
        <v>4001382</v>
      </c>
      <c r="B1054" s="1" t="s">
        <v>330</v>
      </c>
      <c r="C1054" s="1" t="s">
        <v>2058</v>
      </c>
      <c r="D1054" s="39">
        <v>0</v>
      </c>
      <c r="E1054" s="1" t="s">
        <v>1</v>
      </c>
      <c r="F1054" s="39">
        <v>0</v>
      </c>
    </row>
    <row r="1055" spans="1:6" x14ac:dyDescent="0.25">
      <c r="A1055" s="1">
        <v>4001383</v>
      </c>
      <c r="B1055" s="1" t="s">
        <v>334</v>
      </c>
      <c r="C1055" s="1" t="s">
        <v>2058</v>
      </c>
      <c r="D1055" s="39">
        <v>0</v>
      </c>
      <c r="E1055" s="1" t="s">
        <v>1</v>
      </c>
      <c r="F1055" s="39">
        <v>0</v>
      </c>
    </row>
    <row r="1056" spans="1:6" x14ac:dyDescent="0.25">
      <c r="A1056" s="1">
        <v>4001384</v>
      </c>
      <c r="B1056" s="1" t="s">
        <v>338</v>
      </c>
      <c r="C1056" s="1" t="s">
        <v>2058</v>
      </c>
      <c r="D1056" s="39">
        <v>0</v>
      </c>
      <c r="E1056" s="1" t="s">
        <v>1</v>
      </c>
      <c r="F1056" s="39">
        <v>0</v>
      </c>
    </row>
    <row r="1057" spans="1:6" x14ac:dyDescent="0.25">
      <c r="A1057" s="1">
        <v>4001385</v>
      </c>
      <c r="B1057" s="1" t="s">
        <v>345</v>
      </c>
      <c r="C1057" s="1" t="s">
        <v>2058</v>
      </c>
      <c r="D1057" s="39">
        <v>0</v>
      </c>
      <c r="E1057" s="1" t="s">
        <v>1</v>
      </c>
      <c r="F1057" s="39">
        <v>0</v>
      </c>
    </row>
    <row r="1058" spans="1:6" x14ac:dyDescent="0.25">
      <c r="A1058" s="1">
        <v>4001386</v>
      </c>
      <c r="B1058" s="1" t="s">
        <v>349</v>
      </c>
      <c r="C1058" s="1" t="s">
        <v>2058</v>
      </c>
      <c r="D1058" s="39">
        <v>0</v>
      </c>
      <c r="E1058" s="1" t="s">
        <v>1</v>
      </c>
      <c r="F1058" s="39">
        <v>0</v>
      </c>
    </row>
    <row r="1059" spans="1:6" x14ac:dyDescent="0.25">
      <c r="A1059" s="1">
        <v>4001387</v>
      </c>
      <c r="B1059" s="1" t="s">
        <v>2763</v>
      </c>
      <c r="C1059" s="1" t="s">
        <v>2058</v>
      </c>
      <c r="D1059" s="39">
        <v>0</v>
      </c>
      <c r="E1059" s="1" t="s">
        <v>1</v>
      </c>
      <c r="F1059" s="39">
        <v>0</v>
      </c>
    </row>
    <row r="1060" spans="1:6" x14ac:dyDescent="0.25">
      <c r="A1060" s="1">
        <v>4001389</v>
      </c>
      <c r="B1060" s="1" t="s">
        <v>275</v>
      </c>
      <c r="C1060" s="1" t="s">
        <v>2058</v>
      </c>
      <c r="D1060" s="39">
        <v>0</v>
      </c>
      <c r="E1060" s="1" t="s">
        <v>1</v>
      </c>
      <c r="F1060" s="39">
        <v>0</v>
      </c>
    </row>
    <row r="1061" spans="1:6" x14ac:dyDescent="0.25">
      <c r="A1061" s="1">
        <v>4001391</v>
      </c>
      <c r="B1061" s="1" t="s">
        <v>315</v>
      </c>
      <c r="C1061" s="1" t="s">
        <v>2058</v>
      </c>
      <c r="D1061" s="39">
        <v>0</v>
      </c>
      <c r="E1061" s="1" t="s">
        <v>1</v>
      </c>
      <c r="F1061" s="39">
        <v>0</v>
      </c>
    </row>
    <row r="1062" spans="1:6" x14ac:dyDescent="0.25">
      <c r="A1062" s="1">
        <v>4001392</v>
      </c>
      <c r="B1062" s="1" t="s">
        <v>355</v>
      </c>
      <c r="C1062" s="1" t="s">
        <v>2058</v>
      </c>
      <c r="D1062" s="39">
        <v>0</v>
      </c>
      <c r="E1062" s="1" t="s">
        <v>1</v>
      </c>
      <c r="F1062" s="39">
        <v>0</v>
      </c>
    </row>
    <row r="1063" spans="1:6" x14ac:dyDescent="0.25">
      <c r="A1063" s="1">
        <v>4001393</v>
      </c>
      <c r="B1063" s="1" t="s">
        <v>2764</v>
      </c>
      <c r="C1063" s="1" t="s">
        <v>2058</v>
      </c>
      <c r="D1063" s="39">
        <v>0</v>
      </c>
      <c r="E1063" s="1" t="s">
        <v>1</v>
      </c>
      <c r="F1063" s="39">
        <v>0</v>
      </c>
    </row>
    <row r="1064" spans="1:6" x14ac:dyDescent="0.25">
      <c r="A1064" s="1">
        <v>4001394</v>
      </c>
      <c r="B1064" s="1" t="s">
        <v>2765</v>
      </c>
      <c r="C1064" s="1" t="s">
        <v>2058</v>
      </c>
      <c r="D1064" s="39">
        <v>0</v>
      </c>
      <c r="E1064" s="1" t="s">
        <v>1</v>
      </c>
      <c r="F1064" s="39">
        <v>0</v>
      </c>
    </row>
    <row r="1065" spans="1:6" x14ac:dyDescent="0.25">
      <c r="A1065" s="1">
        <v>4001395</v>
      </c>
      <c r="B1065" s="1" t="s">
        <v>2766</v>
      </c>
      <c r="C1065" s="1" t="s">
        <v>2058</v>
      </c>
      <c r="D1065" s="39">
        <v>0</v>
      </c>
      <c r="E1065" s="1" t="s">
        <v>1</v>
      </c>
      <c r="F1065" s="39">
        <v>0</v>
      </c>
    </row>
    <row r="1066" spans="1:6" x14ac:dyDescent="0.25">
      <c r="A1066" s="1">
        <v>4001396</v>
      </c>
      <c r="B1066" s="1" t="s">
        <v>2767</v>
      </c>
      <c r="C1066" s="1" t="s">
        <v>2058</v>
      </c>
      <c r="D1066" s="39">
        <v>0</v>
      </c>
      <c r="E1066" s="1" t="s">
        <v>1</v>
      </c>
      <c r="F1066" s="39">
        <v>0</v>
      </c>
    </row>
    <row r="1067" spans="1:6" x14ac:dyDescent="0.25">
      <c r="A1067" s="1">
        <v>4001400</v>
      </c>
      <c r="B1067" s="1" t="s">
        <v>234</v>
      </c>
      <c r="C1067" s="1" t="s">
        <v>2058</v>
      </c>
      <c r="D1067" s="39">
        <v>0</v>
      </c>
      <c r="E1067" s="1" t="s">
        <v>1</v>
      </c>
      <c r="F1067" s="39">
        <v>0</v>
      </c>
    </row>
    <row r="1068" spans="1:6" x14ac:dyDescent="0.25">
      <c r="A1068" s="1">
        <v>4001402</v>
      </c>
      <c r="B1068" s="1" t="s">
        <v>2768</v>
      </c>
      <c r="C1068" s="1" t="s">
        <v>2058</v>
      </c>
      <c r="D1068" s="39">
        <v>0</v>
      </c>
      <c r="E1068" s="1" t="s">
        <v>1</v>
      </c>
      <c r="F1068" s="39">
        <v>0</v>
      </c>
    </row>
    <row r="1069" spans="1:6" x14ac:dyDescent="0.25">
      <c r="A1069" s="1">
        <v>4001403</v>
      </c>
      <c r="B1069" s="1" t="s">
        <v>67</v>
      </c>
      <c r="C1069" s="1" t="s">
        <v>2058</v>
      </c>
      <c r="D1069" s="39">
        <v>118</v>
      </c>
      <c r="E1069" s="1" t="s">
        <v>1</v>
      </c>
      <c r="F1069" s="3">
        <v>326.77</v>
      </c>
    </row>
    <row r="1070" spans="1:6" x14ac:dyDescent="0.25">
      <c r="A1070" s="1">
        <v>4001404</v>
      </c>
      <c r="B1070" s="1" t="s">
        <v>72</v>
      </c>
      <c r="C1070" s="1" t="s">
        <v>2058</v>
      </c>
      <c r="D1070" s="39">
        <v>950</v>
      </c>
      <c r="E1070" s="1" t="s">
        <v>1</v>
      </c>
      <c r="F1070" s="3">
        <v>3957.04</v>
      </c>
    </row>
    <row r="1071" spans="1:6" x14ac:dyDescent="0.25">
      <c r="A1071" s="1">
        <v>4001816</v>
      </c>
      <c r="B1071" s="1" t="s">
        <v>2769</v>
      </c>
      <c r="C1071" s="1" t="s">
        <v>2058</v>
      </c>
      <c r="D1071" s="39">
        <v>0</v>
      </c>
      <c r="E1071" s="1" t="s">
        <v>1</v>
      </c>
      <c r="F1071" s="39">
        <v>0</v>
      </c>
    </row>
    <row r="1072" spans="1:6" x14ac:dyDescent="0.25">
      <c r="A1072" s="1">
        <v>4002270</v>
      </c>
      <c r="B1072" s="1" t="s">
        <v>2770</v>
      </c>
      <c r="C1072" s="1" t="s">
        <v>2058</v>
      </c>
      <c r="D1072" s="39">
        <v>0</v>
      </c>
      <c r="E1072" s="1" t="s">
        <v>1</v>
      </c>
      <c r="F1072" s="39">
        <v>0</v>
      </c>
    </row>
    <row r="1073" spans="1:6" x14ac:dyDescent="0.25">
      <c r="A1073" s="1">
        <v>4002271</v>
      </c>
      <c r="B1073" s="1" t="s">
        <v>2771</v>
      </c>
      <c r="C1073" s="1" t="s">
        <v>2058</v>
      </c>
      <c r="D1073" s="39">
        <v>0</v>
      </c>
      <c r="E1073" s="1" t="s">
        <v>1</v>
      </c>
      <c r="F1073" s="39">
        <v>0</v>
      </c>
    </row>
    <row r="1074" spans="1:6" x14ac:dyDescent="0.25">
      <c r="A1074" s="1">
        <v>4002272</v>
      </c>
      <c r="B1074" s="1" t="s">
        <v>2772</v>
      </c>
      <c r="C1074" s="1" t="s">
        <v>2058</v>
      </c>
      <c r="D1074" s="39">
        <v>0</v>
      </c>
      <c r="E1074" s="1" t="s">
        <v>1</v>
      </c>
      <c r="F1074" s="39">
        <v>0</v>
      </c>
    </row>
    <row r="1075" spans="1:6" x14ac:dyDescent="0.25">
      <c r="A1075" s="1">
        <v>4002279</v>
      </c>
      <c r="B1075" s="1" t="s">
        <v>2773</v>
      </c>
      <c r="C1075" s="1" t="s">
        <v>2058</v>
      </c>
      <c r="D1075" s="39">
        <v>0</v>
      </c>
      <c r="E1075" s="1" t="s">
        <v>1</v>
      </c>
      <c r="F1075" s="39">
        <v>0</v>
      </c>
    </row>
    <row r="1076" spans="1:6" x14ac:dyDescent="0.25">
      <c r="A1076" s="1">
        <v>4002280</v>
      </c>
      <c r="B1076" s="1" t="s">
        <v>2774</v>
      </c>
      <c r="C1076" s="1" t="s">
        <v>2058</v>
      </c>
      <c r="D1076" s="39">
        <v>0</v>
      </c>
      <c r="E1076" s="1" t="s">
        <v>1</v>
      </c>
      <c r="F1076" s="39">
        <v>0</v>
      </c>
    </row>
    <row r="1077" spans="1:6" x14ac:dyDescent="0.25">
      <c r="A1077" s="1">
        <v>4002281</v>
      </c>
      <c r="B1077" s="1" t="s">
        <v>2775</v>
      </c>
      <c r="C1077" s="1" t="s">
        <v>2058</v>
      </c>
      <c r="D1077" s="39">
        <v>0</v>
      </c>
      <c r="E1077" s="1" t="s">
        <v>1</v>
      </c>
      <c r="F1077" s="39">
        <v>0</v>
      </c>
    </row>
    <row r="1078" spans="1:6" x14ac:dyDescent="0.25">
      <c r="A1078" s="1">
        <v>4002282</v>
      </c>
      <c r="B1078" s="1" t="s">
        <v>2776</v>
      </c>
      <c r="C1078" s="1" t="s">
        <v>2058</v>
      </c>
      <c r="D1078" s="39">
        <v>0</v>
      </c>
      <c r="E1078" s="1" t="s">
        <v>1</v>
      </c>
      <c r="F1078" s="39">
        <v>0</v>
      </c>
    </row>
    <row r="1079" spans="1:6" x14ac:dyDescent="0.25">
      <c r="A1079" s="1">
        <v>4002284</v>
      </c>
      <c r="B1079" s="1" t="s">
        <v>2777</v>
      </c>
      <c r="C1079" s="1" t="s">
        <v>2058</v>
      </c>
      <c r="D1079" s="39">
        <v>0</v>
      </c>
      <c r="E1079" s="1" t="s">
        <v>1</v>
      </c>
      <c r="F1079" s="39">
        <v>0</v>
      </c>
    </row>
    <row r="1080" spans="1:6" x14ac:dyDescent="0.25">
      <c r="A1080" s="1">
        <v>4002285</v>
      </c>
      <c r="B1080" s="1" t="s">
        <v>2778</v>
      </c>
      <c r="C1080" s="1" t="s">
        <v>2058</v>
      </c>
      <c r="D1080" s="39">
        <v>0</v>
      </c>
      <c r="E1080" s="1" t="s">
        <v>1</v>
      </c>
      <c r="F1080" s="39">
        <v>0</v>
      </c>
    </row>
    <row r="1081" spans="1:6" x14ac:dyDescent="0.25">
      <c r="A1081" s="1">
        <v>4002286</v>
      </c>
      <c r="B1081" s="1" t="s">
        <v>2779</v>
      </c>
      <c r="C1081" s="1" t="s">
        <v>2058</v>
      </c>
      <c r="D1081" s="39">
        <v>0</v>
      </c>
      <c r="E1081" s="1" t="s">
        <v>1</v>
      </c>
      <c r="F1081" s="39">
        <v>0</v>
      </c>
    </row>
    <row r="1082" spans="1:6" x14ac:dyDescent="0.25">
      <c r="A1082" s="1">
        <v>4002287</v>
      </c>
      <c r="B1082" s="1" t="s">
        <v>2780</v>
      </c>
      <c r="C1082" s="1" t="s">
        <v>2058</v>
      </c>
      <c r="D1082" s="39">
        <v>0</v>
      </c>
      <c r="E1082" s="1" t="s">
        <v>1</v>
      </c>
      <c r="F1082" s="39">
        <v>0</v>
      </c>
    </row>
    <row r="1083" spans="1:6" x14ac:dyDescent="0.25">
      <c r="A1083" s="1">
        <v>4002288</v>
      </c>
      <c r="B1083" s="1" t="s">
        <v>2781</v>
      </c>
      <c r="C1083" s="1" t="s">
        <v>2058</v>
      </c>
      <c r="D1083" s="39">
        <v>0</v>
      </c>
      <c r="E1083" s="1" t="s">
        <v>1</v>
      </c>
      <c r="F1083" s="39">
        <v>0</v>
      </c>
    </row>
    <row r="1084" spans="1:6" x14ac:dyDescent="0.25">
      <c r="A1084" s="1">
        <v>4002289</v>
      </c>
      <c r="B1084" s="1" t="s">
        <v>2782</v>
      </c>
      <c r="C1084" s="1" t="s">
        <v>2058</v>
      </c>
      <c r="D1084" s="39">
        <v>0</v>
      </c>
      <c r="E1084" s="1" t="s">
        <v>1</v>
      </c>
      <c r="F1084" s="39">
        <v>0</v>
      </c>
    </row>
    <row r="1085" spans="1:6" x14ac:dyDescent="0.25">
      <c r="A1085" s="1">
        <v>4002290</v>
      </c>
      <c r="B1085" s="1" t="s">
        <v>2783</v>
      </c>
      <c r="C1085" s="1" t="s">
        <v>2058</v>
      </c>
      <c r="D1085" s="39">
        <v>0</v>
      </c>
      <c r="E1085" s="1" t="s">
        <v>1</v>
      </c>
      <c r="F1085" s="39">
        <v>0</v>
      </c>
    </row>
    <row r="1086" spans="1:6" x14ac:dyDescent="0.25">
      <c r="A1086" s="1">
        <v>4002291</v>
      </c>
      <c r="B1086" s="1" t="s">
        <v>2784</v>
      </c>
      <c r="C1086" s="1" t="s">
        <v>2058</v>
      </c>
      <c r="D1086" s="39">
        <v>0</v>
      </c>
      <c r="E1086" s="1" t="s">
        <v>1</v>
      </c>
      <c r="F1086" s="39">
        <v>0</v>
      </c>
    </row>
    <row r="1087" spans="1:6" x14ac:dyDescent="0.25">
      <c r="A1087" s="1">
        <v>4002292</v>
      </c>
      <c r="B1087" s="1" t="s">
        <v>2785</v>
      </c>
      <c r="C1087" s="1" t="s">
        <v>2058</v>
      </c>
      <c r="D1087" s="39">
        <v>0</v>
      </c>
      <c r="E1087" s="1" t="s">
        <v>1</v>
      </c>
      <c r="F1087" s="39">
        <v>0</v>
      </c>
    </row>
    <row r="1088" spans="1:6" x14ac:dyDescent="0.25">
      <c r="A1088" s="1">
        <v>4002293</v>
      </c>
      <c r="B1088" s="1" t="s">
        <v>2786</v>
      </c>
      <c r="C1088" s="1" t="s">
        <v>2058</v>
      </c>
      <c r="D1088" s="39">
        <v>0</v>
      </c>
      <c r="E1088" s="1" t="s">
        <v>1</v>
      </c>
      <c r="F1088" s="39">
        <v>0</v>
      </c>
    </row>
    <row r="1089" spans="1:6" x14ac:dyDescent="0.25">
      <c r="A1089" s="1">
        <v>4002294</v>
      </c>
      <c r="B1089" s="1" t="s">
        <v>2787</v>
      </c>
      <c r="C1089" s="1" t="s">
        <v>2058</v>
      </c>
      <c r="D1089" s="39">
        <v>0</v>
      </c>
      <c r="E1089" s="1" t="s">
        <v>1</v>
      </c>
      <c r="F1089" s="39">
        <v>0</v>
      </c>
    </row>
    <row r="1090" spans="1:6" x14ac:dyDescent="0.25">
      <c r="A1090" s="1">
        <v>4002295</v>
      </c>
      <c r="B1090" s="1" t="s">
        <v>2788</v>
      </c>
      <c r="C1090" s="1" t="s">
        <v>2058</v>
      </c>
      <c r="D1090" s="39">
        <v>0</v>
      </c>
      <c r="E1090" s="1" t="s">
        <v>1</v>
      </c>
      <c r="F1090" s="39">
        <v>0</v>
      </c>
    </row>
    <row r="1091" spans="1:6" x14ac:dyDescent="0.25">
      <c r="A1091" s="1">
        <v>4002297</v>
      </c>
      <c r="B1091" s="1" t="s">
        <v>2789</v>
      </c>
      <c r="C1091" s="1" t="s">
        <v>2058</v>
      </c>
      <c r="D1091" s="39">
        <v>0</v>
      </c>
      <c r="E1091" s="1" t="s">
        <v>1</v>
      </c>
      <c r="F1091" s="39">
        <v>0</v>
      </c>
    </row>
    <row r="1092" spans="1:6" x14ac:dyDescent="0.25">
      <c r="A1092" s="1">
        <v>4002298</v>
      </c>
      <c r="B1092" s="1" t="s">
        <v>2790</v>
      </c>
      <c r="C1092" s="1" t="s">
        <v>2058</v>
      </c>
      <c r="D1092" s="39">
        <v>0</v>
      </c>
      <c r="E1092" s="1" t="s">
        <v>1</v>
      </c>
      <c r="F1092" s="39">
        <v>0</v>
      </c>
    </row>
    <row r="1093" spans="1:6" x14ac:dyDescent="0.25">
      <c r="A1093" s="1">
        <v>4002299</v>
      </c>
      <c r="B1093" s="1" t="s">
        <v>2791</v>
      </c>
      <c r="C1093" s="1" t="s">
        <v>2058</v>
      </c>
      <c r="D1093" s="39">
        <v>0</v>
      </c>
      <c r="E1093" s="1" t="s">
        <v>1</v>
      </c>
      <c r="F1093" s="39">
        <v>0</v>
      </c>
    </row>
    <row r="1094" spans="1:6" x14ac:dyDescent="0.25">
      <c r="A1094" s="1">
        <v>4002300</v>
      </c>
      <c r="B1094" s="1" t="s">
        <v>2792</v>
      </c>
      <c r="C1094" s="1" t="s">
        <v>2058</v>
      </c>
      <c r="D1094" s="39">
        <v>0</v>
      </c>
      <c r="E1094" s="1" t="s">
        <v>1</v>
      </c>
      <c r="F1094" s="39">
        <v>0</v>
      </c>
    </row>
    <row r="1095" spans="1:6" x14ac:dyDescent="0.25">
      <c r="A1095" s="1">
        <v>4002301</v>
      </c>
      <c r="B1095" s="1" t="s">
        <v>2793</v>
      </c>
      <c r="C1095" s="1" t="s">
        <v>2058</v>
      </c>
      <c r="D1095" s="39">
        <v>0</v>
      </c>
      <c r="E1095" s="1" t="s">
        <v>1</v>
      </c>
      <c r="F1095" s="39">
        <v>0</v>
      </c>
    </row>
    <row r="1096" spans="1:6" x14ac:dyDescent="0.25">
      <c r="A1096" s="1">
        <v>4002302</v>
      </c>
      <c r="B1096" s="1" t="s">
        <v>2794</v>
      </c>
      <c r="C1096" s="1" t="s">
        <v>2058</v>
      </c>
      <c r="D1096" s="39">
        <v>0</v>
      </c>
      <c r="E1096" s="1" t="s">
        <v>1</v>
      </c>
      <c r="F1096" s="39">
        <v>0</v>
      </c>
    </row>
    <row r="1097" spans="1:6" x14ac:dyDescent="0.25">
      <c r="A1097" s="1">
        <v>4002303</v>
      </c>
      <c r="B1097" s="1" t="s">
        <v>2795</v>
      </c>
      <c r="C1097" s="1" t="s">
        <v>2058</v>
      </c>
      <c r="D1097" s="39">
        <v>0</v>
      </c>
      <c r="E1097" s="1" t="s">
        <v>1</v>
      </c>
      <c r="F1097" s="39">
        <v>0</v>
      </c>
    </row>
    <row r="1098" spans="1:6" x14ac:dyDescent="0.25">
      <c r="A1098" s="1">
        <v>4002304</v>
      </c>
      <c r="B1098" s="1" t="s">
        <v>2796</v>
      </c>
      <c r="C1098" s="1" t="s">
        <v>2058</v>
      </c>
      <c r="D1098" s="39">
        <v>0</v>
      </c>
      <c r="E1098" s="1" t="s">
        <v>1</v>
      </c>
      <c r="F1098" s="39">
        <v>0</v>
      </c>
    </row>
    <row r="1099" spans="1:6" x14ac:dyDescent="0.25">
      <c r="A1099" s="1">
        <v>4002305</v>
      </c>
      <c r="B1099" s="1" t="s">
        <v>2797</v>
      </c>
      <c r="C1099" s="1" t="s">
        <v>2058</v>
      </c>
      <c r="D1099" s="39">
        <v>0</v>
      </c>
      <c r="E1099" s="1" t="s">
        <v>1</v>
      </c>
      <c r="F1099" s="39">
        <v>0</v>
      </c>
    </row>
    <row r="1100" spans="1:6" x14ac:dyDescent="0.25">
      <c r="A1100" s="1">
        <v>4002306</v>
      </c>
      <c r="B1100" s="1" t="s">
        <v>2798</v>
      </c>
      <c r="C1100" s="1" t="s">
        <v>2058</v>
      </c>
      <c r="D1100" s="39">
        <v>0</v>
      </c>
      <c r="E1100" s="1" t="s">
        <v>1</v>
      </c>
      <c r="F1100" s="39">
        <v>0</v>
      </c>
    </row>
    <row r="1101" spans="1:6" x14ac:dyDescent="0.25">
      <c r="A1101" s="1">
        <v>4002307</v>
      </c>
      <c r="B1101" s="1" t="s">
        <v>2799</v>
      </c>
      <c r="C1101" s="1" t="s">
        <v>2058</v>
      </c>
      <c r="D1101" s="39">
        <v>0</v>
      </c>
      <c r="E1101" s="1" t="s">
        <v>1</v>
      </c>
      <c r="F1101" s="39">
        <v>0</v>
      </c>
    </row>
    <row r="1102" spans="1:6" x14ac:dyDescent="0.25">
      <c r="A1102" s="1">
        <v>4002308</v>
      </c>
      <c r="B1102" s="1" t="s">
        <v>2800</v>
      </c>
      <c r="C1102" s="1" t="s">
        <v>2058</v>
      </c>
      <c r="D1102" s="39">
        <v>0</v>
      </c>
      <c r="E1102" s="1" t="s">
        <v>1</v>
      </c>
      <c r="F1102" s="39">
        <v>0</v>
      </c>
    </row>
    <row r="1103" spans="1:6" x14ac:dyDescent="0.25">
      <c r="A1103" s="1">
        <v>4002309</v>
      </c>
      <c r="B1103" s="1" t="s">
        <v>2801</v>
      </c>
      <c r="C1103" s="1" t="s">
        <v>2058</v>
      </c>
      <c r="D1103" s="39">
        <v>0</v>
      </c>
      <c r="E1103" s="1" t="s">
        <v>1</v>
      </c>
      <c r="F1103" s="39">
        <v>0</v>
      </c>
    </row>
    <row r="1104" spans="1:6" x14ac:dyDescent="0.25">
      <c r="A1104" s="1">
        <v>4002310</v>
      </c>
      <c r="B1104" s="1" t="s">
        <v>2802</v>
      </c>
      <c r="C1104" s="1" t="s">
        <v>2058</v>
      </c>
      <c r="D1104" s="39">
        <v>0</v>
      </c>
      <c r="E1104" s="1" t="s">
        <v>1</v>
      </c>
      <c r="F1104" s="39">
        <v>0</v>
      </c>
    </row>
    <row r="1105" spans="1:6" x14ac:dyDescent="0.25">
      <c r="A1105" s="1">
        <v>4002311</v>
      </c>
      <c r="B1105" s="1" t="s">
        <v>2803</v>
      </c>
      <c r="C1105" s="1" t="s">
        <v>2058</v>
      </c>
      <c r="D1105" s="39">
        <v>0</v>
      </c>
      <c r="E1105" s="1" t="s">
        <v>1</v>
      </c>
      <c r="F1105" s="39">
        <v>0</v>
      </c>
    </row>
    <row r="1106" spans="1:6" x14ac:dyDescent="0.25">
      <c r="A1106" s="1">
        <v>4002312</v>
      </c>
      <c r="B1106" s="1" t="s">
        <v>2804</v>
      </c>
      <c r="C1106" s="1" t="s">
        <v>2058</v>
      </c>
      <c r="D1106" s="39">
        <v>0</v>
      </c>
      <c r="E1106" s="1" t="s">
        <v>1</v>
      </c>
      <c r="F1106" s="39">
        <v>0</v>
      </c>
    </row>
    <row r="1107" spans="1:6" x14ac:dyDescent="0.25">
      <c r="A1107" s="1">
        <v>4002313</v>
      </c>
      <c r="B1107" s="1" t="s">
        <v>2805</v>
      </c>
      <c r="C1107" s="1" t="s">
        <v>2058</v>
      </c>
      <c r="D1107" s="39">
        <v>0</v>
      </c>
      <c r="E1107" s="1" t="s">
        <v>1</v>
      </c>
      <c r="F1107" s="39">
        <v>0</v>
      </c>
    </row>
    <row r="1108" spans="1:6" x14ac:dyDescent="0.25">
      <c r="A1108" s="1">
        <v>4002314</v>
      </c>
      <c r="B1108" s="1" t="s">
        <v>2806</v>
      </c>
      <c r="C1108" s="1" t="s">
        <v>2058</v>
      </c>
      <c r="D1108" s="39">
        <v>0</v>
      </c>
      <c r="E1108" s="1" t="s">
        <v>1</v>
      </c>
      <c r="F1108" s="39">
        <v>0</v>
      </c>
    </row>
    <row r="1109" spans="1:6" x14ac:dyDescent="0.25">
      <c r="A1109" s="1">
        <v>4002315</v>
      </c>
      <c r="B1109" s="1" t="s">
        <v>2807</v>
      </c>
      <c r="C1109" s="1" t="s">
        <v>2058</v>
      </c>
      <c r="D1109" s="39">
        <v>0</v>
      </c>
      <c r="E1109" s="1" t="s">
        <v>1</v>
      </c>
      <c r="F1109" s="39">
        <v>0</v>
      </c>
    </row>
    <row r="1110" spans="1:6" x14ac:dyDescent="0.25">
      <c r="A1110" s="1">
        <v>4002316</v>
      </c>
      <c r="B1110" s="1" t="s">
        <v>2808</v>
      </c>
      <c r="C1110" s="1" t="s">
        <v>2058</v>
      </c>
      <c r="D1110" s="39">
        <v>0</v>
      </c>
      <c r="E1110" s="1" t="s">
        <v>1</v>
      </c>
      <c r="F1110" s="39">
        <v>0</v>
      </c>
    </row>
    <row r="1111" spans="1:6" x14ac:dyDescent="0.25">
      <c r="A1111" s="1">
        <v>4002347</v>
      </c>
      <c r="B1111" s="1" t="s">
        <v>488</v>
      </c>
      <c r="C1111" s="1" t="s">
        <v>2058</v>
      </c>
      <c r="D1111" s="39">
        <v>0</v>
      </c>
      <c r="E1111" s="1" t="s">
        <v>1</v>
      </c>
      <c r="F1111" s="39">
        <v>0</v>
      </c>
    </row>
    <row r="1112" spans="1:6" x14ac:dyDescent="0.25">
      <c r="A1112" s="1">
        <v>4002348</v>
      </c>
      <c r="B1112" s="1" t="s">
        <v>494</v>
      </c>
      <c r="C1112" s="1" t="s">
        <v>2058</v>
      </c>
      <c r="D1112" s="39">
        <v>0</v>
      </c>
      <c r="E1112" s="1" t="s">
        <v>1</v>
      </c>
      <c r="F1112" s="39">
        <v>0</v>
      </c>
    </row>
    <row r="1113" spans="1:6" x14ac:dyDescent="0.25">
      <c r="A1113" s="1">
        <v>4002349</v>
      </c>
      <c r="B1113" s="1" t="s">
        <v>503</v>
      </c>
      <c r="C1113" s="1" t="s">
        <v>2058</v>
      </c>
      <c r="D1113" s="39">
        <v>0</v>
      </c>
      <c r="E1113" s="1" t="s">
        <v>1</v>
      </c>
      <c r="F1113" s="39">
        <v>0</v>
      </c>
    </row>
    <row r="1114" spans="1:6" x14ac:dyDescent="0.25">
      <c r="A1114" s="1">
        <v>4002353</v>
      </c>
      <c r="B1114" s="1" t="s">
        <v>509</v>
      </c>
      <c r="C1114" s="1" t="s">
        <v>2058</v>
      </c>
      <c r="D1114" s="39">
        <v>0</v>
      </c>
      <c r="E1114" s="1" t="s">
        <v>1</v>
      </c>
      <c r="F1114" s="39">
        <v>0</v>
      </c>
    </row>
    <row r="1115" spans="1:6" x14ac:dyDescent="0.25">
      <c r="A1115" s="1">
        <v>4002358</v>
      </c>
      <c r="B1115" s="1" t="s">
        <v>517</v>
      </c>
      <c r="C1115" s="1" t="s">
        <v>2058</v>
      </c>
      <c r="D1115" s="39">
        <v>0</v>
      </c>
      <c r="E1115" s="1" t="s">
        <v>1</v>
      </c>
      <c r="F1115" s="39">
        <v>0</v>
      </c>
    </row>
    <row r="1116" spans="1:6" x14ac:dyDescent="0.25">
      <c r="A1116" s="1">
        <v>4002360</v>
      </c>
      <c r="B1116" s="1" t="s">
        <v>20</v>
      </c>
      <c r="C1116" s="1" t="s">
        <v>2058</v>
      </c>
      <c r="D1116" s="39">
        <v>0</v>
      </c>
      <c r="E1116" s="1" t="s">
        <v>1</v>
      </c>
      <c r="F1116" s="39">
        <v>0</v>
      </c>
    </row>
    <row r="1117" spans="1:6" x14ac:dyDescent="0.25">
      <c r="A1117" s="1">
        <v>4002364</v>
      </c>
      <c r="B1117" s="1" t="s">
        <v>524</v>
      </c>
      <c r="C1117" s="1" t="s">
        <v>2058</v>
      </c>
      <c r="D1117" s="39">
        <v>0</v>
      </c>
      <c r="E1117" s="1" t="s">
        <v>1</v>
      </c>
      <c r="F1117" s="39">
        <v>0</v>
      </c>
    </row>
    <row r="1118" spans="1:6" x14ac:dyDescent="0.25">
      <c r="A1118" s="1">
        <v>4002365</v>
      </c>
      <c r="B1118" s="1" t="s">
        <v>2809</v>
      </c>
      <c r="C1118" s="1" t="s">
        <v>2058</v>
      </c>
      <c r="D1118" s="39">
        <v>0</v>
      </c>
      <c r="E1118" s="1" t="s">
        <v>1</v>
      </c>
      <c r="F1118" s="39">
        <v>0</v>
      </c>
    </row>
    <row r="1119" spans="1:6" x14ac:dyDescent="0.25">
      <c r="A1119" s="1">
        <v>4002366</v>
      </c>
      <c r="B1119" s="1" t="s">
        <v>26</v>
      </c>
      <c r="C1119" s="1" t="s">
        <v>2058</v>
      </c>
      <c r="D1119" s="39">
        <v>0</v>
      </c>
      <c r="E1119" s="1" t="s">
        <v>1</v>
      </c>
      <c r="F1119" s="39">
        <v>0</v>
      </c>
    </row>
    <row r="1120" spans="1:6" x14ac:dyDescent="0.25">
      <c r="A1120" s="1">
        <v>4002368</v>
      </c>
      <c r="B1120" s="1" t="s">
        <v>31</v>
      </c>
      <c r="C1120" s="1" t="s">
        <v>2058</v>
      </c>
      <c r="D1120" s="39">
        <v>0</v>
      </c>
      <c r="E1120" s="1" t="s">
        <v>1</v>
      </c>
      <c r="F1120" s="39">
        <v>0</v>
      </c>
    </row>
    <row r="1121" spans="1:6" x14ac:dyDescent="0.25">
      <c r="A1121" s="1">
        <v>4002369</v>
      </c>
      <c r="B1121" s="1" t="s">
        <v>2810</v>
      </c>
      <c r="C1121" s="1" t="s">
        <v>2058</v>
      </c>
      <c r="D1121" s="39">
        <v>0</v>
      </c>
      <c r="E1121" s="1" t="s">
        <v>1</v>
      </c>
      <c r="F1121" s="39">
        <v>0</v>
      </c>
    </row>
    <row r="1122" spans="1:6" x14ac:dyDescent="0.25">
      <c r="A1122" s="1">
        <v>4002370</v>
      </c>
      <c r="B1122" s="1" t="s">
        <v>38</v>
      </c>
      <c r="C1122" s="1" t="s">
        <v>2058</v>
      </c>
      <c r="D1122" s="39">
        <v>9400</v>
      </c>
      <c r="E1122" s="1" t="s">
        <v>1</v>
      </c>
      <c r="F1122" s="3">
        <v>599.72</v>
      </c>
    </row>
    <row r="1123" spans="1:6" x14ac:dyDescent="0.25">
      <c r="A1123" s="1">
        <v>4002371</v>
      </c>
      <c r="B1123" s="1" t="s">
        <v>42</v>
      </c>
      <c r="C1123" s="1" t="s">
        <v>2058</v>
      </c>
      <c r="D1123" s="39">
        <v>0</v>
      </c>
      <c r="E1123" s="1" t="s">
        <v>1</v>
      </c>
      <c r="F1123" s="39">
        <v>0</v>
      </c>
    </row>
    <row r="1124" spans="1:6" x14ac:dyDescent="0.25">
      <c r="A1124" s="1">
        <v>4002372</v>
      </c>
      <c r="B1124" s="1" t="s">
        <v>2811</v>
      </c>
      <c r="C1124" s="1" t="s">
        <v>2058</v>
      </c>
      <c r="D1124" s="39">
        <v>0</v>
      </c>
      <c r="E1124" s="1" t="s">
        <v>1</v>
      </c>
      <c r="F1124" s="39">
        <v>0</v>
      </c>
    </row>
    <row r="1125" spans="1:6" x14ac:dyDescent="0.25">
      <c r="A1125" s="1">
        <v>4002373</v>
      </c>
      <c r="B1125" s="1" t="s">
        <v>49</v>
      </c>
      <c r="C1125" s="1" t="s">
        <v>2058</v>
      </c>
      <c r="D1125" s="39">
        <v>11913</v>
      </c>
      <c r="E1125" s="1" t="s">
        <v>1</v>
      </c>
      <c r="F1125" s="3">
        <v>866.08</v>
      </c>
    </row>
    <row r="1126" spans="1:6" x14ac:dyDescent="0.25">
      <c r="A1126" s="1">
        <v>4002374</v>
      </c>
      <c r="B1126" s="1" t="s">
        <v>531</v>
      </c>
      <c r="C1126" s="1" t="s">
        <v>2058</v>
      </c>
      <c r="D1126" s="39">
        <v>0</v>
      </c>
      <c r="E1126" s="1" t="s">
        <v>1</v>
      </c>
      <c r="F1126" s="39">
        <v>0</v>
      </c>
    </row>
    <row r="1127" spans="1:6" x14ac:dyDescent="0.25">
      <c r="A1127" s="1">
        <v>4002378</v>
      </c>
      <c r="B1127" s="1" t="s">
        <v>51</v>
      </c>
      <c r="C1127" s="1" t="s">
        <v>2058</v>
      </c>
      <c r="D1127" s="39">
        <v>0</v>
      </c>
      <c r="E1127" s="1" t="s">
        <v>1</v>
      </c>
      <c r="F1127" s="39">
        <v>0</v>
      </c>
    </row>
    <row r="1128" spans="1:6" x14ac:dyDescent="0.25">
      <c r="A1128" s="1">
        <v>4002379</v>
      </c>
      <c r="B1128" s="1" t="s">
        <v>56</v>
      </c>
      <c r="C1128" s="1" t="s">
        <v>2058</v>
      </c>
      <c r="D1128" s="39">
        <v>0</v>
      </c>
      <c r="E1128" s="1" t="s">
        <v>1</v>
      </c>
      <c r="F1128" s="39">
        <v>0</v>
      </c>
    </row>
    <row r="1129" spans="1:6" x14ac:dyDescent="0.25">
      <c r="A1129" s="1">
        <v>4002380</v>
      </c>
      <c r="B1129" s="1" t="s">
        <v>68</v>
      </c>
      <c r="C1129" s="1" t="s">
        <v>2058</v>
      </c>
      <c r="D1129" s="39">
        <v>7256</v>
      </c>
      <c r="E1129" s="1" t="s">
        <v>1</v>
      </c>
      <c r="F1129" s="3">
        <v>351.92</v>
      </c>
    </row>
    <row r="1130" spans="1:6" x14ac:dyDescent="0.25">
      <c r="A1130" s="1">
        <v>4002381</v>
      </c>
      <c r="B1130" s="1" t="s">
        <v>537</v>
      </c>
      <c r="C1130" s="1" t="s">
        <v>2058</v>
      </c>
      <c r="D1130" s="39">
        <v>0</v>
      </c>
      <c r="E1130" s="1" t="s">
        <v>1</v>
      </c>
      <c r="F1130" s="39">
        <v>0</v>
      </c>
    </row>
    <row r="1131" spans="1:6" x14ac:dyDescent="0.25">
      <c r="A1131" s="1">
        <v>4002382</v>
      </c>
      <c r="B1131" s="1" t="s">
        <v>543</v>
      </c>
      <c r="C1131" s="1" t="s">
        <v>2058</v>
      </c>
      <c r="D1131" s="39">
        <v>0</v>
      </c>
      <c r="E1131" s="1" t="s">
        <v>1</v>
      </c>
      <c r="F1131" s="39">
        <v>0</v>
      </c>
    </row>
    <row r="1132" spans="1:6" x14ac:dyDescent="0.25">
      <c r="A1132" s="1">
        <v>4002383</v>
      </c>
      <c r="B1132" s="1" t="s">
        <v>549</v>
      </c>
      <c r="C1132" s="1" t="s">
        <v>2058</v>
      </c>
      <c r="D1132" s="39">
        <v>0</v>
      </c>
      <c r="E1132" s="1" t="s">
        <v>1</v>
      </c>
      <c r="F1132" s="39">
        <v>0</v>
      </c>
    </row>
    <row r="1133" spans="1:6" x14ac:dyDescent="0.25">
      <c r="A1133" s="1">
        <v>4002384</v>
      </c>
      <c r="B1133" s="1" t="s">
        <v>556</v>
      </c>
      <c r="C1133" s="1" t="s">
        <v>2058</v>
      </c>
      <c r="D1133" s="39">
        <v>0</v>
      </c>
      <c r="E1133" s="1" t="s">
        <v>1</v>
      </c>
      <c r="F1133" s="39">
        <v>0</v>
      </c>
    </row>
    <row r="1134" spans="1:6" x14ac:dyDescent="0.25">
      <c r="A1134" s="1">
        <v>4002385</v>
      </c>
      <c r="B1134" s="1" t="s">
        <v>73</v>
      </c>
      <c r="C1134" s="1" t="s">
        <v>2058</v>
      </c>
      <c r="D1134" s="39">
        <v>7300</v>
      </c>
      <c r="E1134" s="1" t="s">
        <v>1</v>
      </c>
      <c r="F1134" s="3">
        <v>339.45</v>
      </c>
    </row>
    <row r="1135" spans="1:6" x14ac:dyDescent="0.25">
      <c r="A1135" s="1">
        <v>4002386</v>
      </c>
      <c r="B1135" s="1" t="s">
        <v>77</v>
      </c>
      <c r="C1135" s="1" t="s">
        <v>2058</v>
      </c>
      <c r="D1135" s="39">
        <v>5972</v>
      </c>
      <c r="E1135" s="1" t="s">
        <v>1</v>
      </c>
      <c r="F1135" s="3">
        <v>183.34</v>
      </c>
    </row>
    <row r="1136" spans="1:6" x14ac:dyDescent="0.25">
      <c r="A1136" s="1">
        <v>4002387</v>
      </c>
      <c r="B1136" s="1" t="s">
        <v>80</v>
      </c>
      <c r="C1136" s="1" t="s">
        <v>2058</v>
      </c>
      <c r="D1136" s="39">
        <v>8800</v>
      </c>
      <c r="E1136" s="1" t="s">
        <v>1</v>
      </c>
      <c r="F1136" s="3">
        <v>601.91999999999996</v>
      </c>
    </row>
    <row r="1137" spans="1:6" x14ac:dyDescent="0.25">
      <c r="A1137" s="1">
        <v>4002388</v>
      </c>
      <c r="B1137" s="1" t="s">
        <v>562</v>
      </c>
      <c r="C1137" s="1" t="s">
        <v>2058</v>
      </c>
      <c r="D1137" s="39">
        <v>0</v>
      </c>
      <c r="E1137" s="1" t="s">
        <v>1</v>
      </c>
      <c r="F1137" s="39">
        <v>0</v>
      </c>
    </row>
    <row r="1138" spans="1:6" x14ac:dyDescent="0.25">
      <c r="A1138" s="1">
        <v>4002389</v>
      </c>
      <c r="B1138" s="1" t="s">
        <v>569</v>
      </c>
      <c r="C1138" s="1" t="s">
        <v>2058</v>
      </c>
      <c r="D1138" s="39">
        <v>0</v>
      </c>
      <c r="E1138" s="1" t="s">
        <v>1</v>
      </c>
      <c r="F1138" s="39">
        <v>0</v>
      </c>
    </row>
    <row r="1139" spans="1:6" x14ac:dyDescent="0.25">
      <c r="A1139" s="1">
        <v>4002390</v>
      </c>
      <c r="B1139" s="1" t="s">
        <v>2812</v>
      </c>
      <c r="C1139" s="1" t="s">
        <v>2058</v>
      </c>
      <c r="D1139" s="39">
        <v>0</v>
      </c>
      <c r="E1139" s="1" t="s">
        <v>1</v>
      </c>
      <c r="F1139" s="39">
        <v>0</v>
      </c>
    </row>
    <row r="1140" spans="1:6" x14ac:dyDescent="0.25">
      <c r="A1140" s="1">
        <v>4002391</v>
      </c>
      <c r="B1140" s="1" t="s">
        <v>575</v>
      </c>
      <c r="C1140" s="1" t="s">
        <v>2058</v>
      </c>
      <c r="D1140" s="39">
        <v>0</v>
      </c>
      <c r="E1140" s="1" t="s">
        <v>1</v>
      </c>
      <c r="F1140" s="39">
        <v>0</v>
      </c>
    </row>
    <row r="1141" spans="1:6" x14ac:dyDescent="0.25">
      <c r="A1141" s="1">
        <v>4002396</v>
      </c>
      <c r="B1141" s="1" t="s">
        <v>2813</v>
      </c>
      <c r="C1141" s="1" t="s">
        <v>2058</v>
      </c>
      <c r="D1141" s="39">
        <v>0</v>
      </c>
      <c r="E1141" s="1" t="s">
        <v>1</v>
      </c>
      <c r="F1141" s="39">
        <v>0</v>
      </c>
    </row>
    <row r="1142" spans="1:6" x14ac:dyDescent="0.25">
      <c r="A1142" s="1">
        <v>4002398</v>
      </c>
      <c r="B1142" s="1" t="s">
        <v>2814</v>
      </c>
      <c r="C1142" s="1" t="s">
        <v>2058</v>
      </c>
      <c r="D1142" s="39">
        <v>0</v>
      </c>
      <c r="E1142" s="1" t="s">
        <v>1</v>
      </c>
      <c r="F1142" s="39">
        <v>0</v>
      </c>
    </row>
    <row r="1143" spans="1:6" x14ac:dyDescent="0.25">
      <c r="A1143" s="1">
        <v>4002399</v>
      </c>
      <c r="B1143" s="1" t="s">
        <v>2815</v>
      </c>
      <c r="C1143" s="1" t="s">
        <v>2058</v>
      </c>
      <c r="D1143" s="39">
        <v>0</v>
      </c>
      <c r="E1143" s="1" t="s">
        <v>1</v>
      </c>
      <c r="F1143" s="39">
        <v>0</v>
      </c>
    </row>
    <row r="1144" spans="1:6" x14ac:dyDescent="0.25">
      <c r="A1144" s="1">
        <v>4002404</v>
      </c>
      <c r="B1144" s="1" t="s">
        <v>2816</v>
      </c>
      <c r="C1144" s="1" t="s">
        <v>2058</v>
      </c>
      <c r="D1144" s="39">
        <v>0</v>
      </c>
      <c r="E1144" s="1" t="s">
        <v>1</v>
      </c>
      <c r="F1144" s="39">
        <v>0</v>
      </c>
    </row>
    <row r="1145" spans="1:6" x14ac:dyDescent="0.25">
      <c r="A1145" s="1">
        <v>4002405</v>
      </c>
      <c r="B1145" s="1" t="s">
        <v>609</v>
      </c>
      <c r="C1145" s="1" t="s">
        <v>2058</v>
      </c>
      <c r="D1145" s="39">
        <v>0</v>
      </c>
      <c r="E1145" s="1" t="s">
        <v>1</v>
      </c>
      <c r="F1145" s="39">
        <v>0</v>
      </c>
    </row>
    <row r="1146" spans="1:6" x14ac:dyDescent="0.25">
      <c r="A1146" s="1">
        <v>4002406</v>
      </c>
      <c r="B1146" s="1" t="s">
        <v>615</v>
      </c>
      <c r="C1146" s="1" t="s">
        <v>2058</v>
      </c>
      <c r="D1146" s="39">
        <v>0</v>
      </c>
      <c r="E1146" s="1" t="s">
        <v>1</v>
      </c>
      <c r="F1146" s="39">
        <v>0</v>
      </c>
    </row>
    <row r="1147" spans="1:6" x14ac:dyDescent="0.25">
      <c r="A1147" s="1">
        <v>4002407</v>
      </c>
      <c r="B1147" s="1" t="s">
        <v>91</v>
      </c>
      <c r="C1147" s="1" t="s">
        <v>2058</v>
      </c>
      <c r="D1147" s="39">
        <v>0</v>
      </c>
      <c r="E1147" s="1" t="s">
        <v>1</v>
      </c>
      <c r="F1147" s="39">
        <v>0</v>
      </c>
    </row>
    <row r="1148" spans="1:6" x14ac:dyDescent="0.25">
      <c r="A1148" s="1">
        <v>4002408</v>
      </c>
      <c r="B1148" s="1" t="s">
        <v>96</v>
      </c>
      <c r="C1148" s="1" t="s">
        <v>2058</v>
      </c>
      <c r="D1148" s="39">
        <v>0</v>
      </c>
      <c r="E1148" s="1" t="s">
        <v>1</v>
      </c>
      <c r="F1148" s="39">
        <v>0</v>
      </c>
    </row>
    <row r="1149" spans="1:6" x14ac:dyDescent="0.25">
      <c r="A1149" s="1">
        <v>4002409</v>
      </c>
      <c r="B1149" s="1" t="s">
        <v>103</v>
      </c>
      <c r="C1149" s="1" t="s">
        <v>2058</v>
      </c>
      <c r="D1149" s="39">
        <v>0</v>
      </c>
      <c r="E1149" s="1" t="s">
        <v>1</v>
      </c>
      <c r="F1149" s="39">
        <v>0</v>
      </c>
    </row>
    <row r="1150" spans="1:6" x14ac:dyDescent="0.25">
      <c r="A1150" s="1">
        <v>4002410</v>
      </c>
      <c r="B1150" s="1" t="s">
        <v>108</v>
      </c>
      <c r="C1150" s="1" t="s">
        <v>2058</v>
      </c>
      <c r="D1150" s="39">
        <v>0</v>
      </c>
      <c r="E1150" s="1" t="s">
        <v>1</v>
      </c>
      <c r="F1150" s="39">
        <v>0</v>
      </c>
    </row>
    <row r="1151" spans="1:6" x14ac:dyDescent="0.25">
      <c r="A1151" s="1">
        <v>4002411</v>
      </c>
      <c r="B1151" s="1" t="s">
        <v>114</v>
      </c>
      <c r="C1151" s="1" t="s">
        <v>2058</v>
      </c>
      <c r="D1151" s="39">
        <v>0</v>
      </c>
      <c r="E1151" s="1" t="s">
        <v>1</v>
      </c>
      <c r="F1151" s="39">
        <v>0</v>
      </c>
    </row>
    <row r="1152" spans="1:6" x14ac:dyDescent="0.25">
      <c r="A1152" s="1">
        <v>4002412</v>
      </c>
      <c r="B1152" s="1" t="s">
        <v>119</v>
      </c>
      <c r="C1152" s="1" t="s">
        <v>2058</v>
      </c>
      <c r="D1152" s="39">
        <v>0</v>
      </c>
      <c r="E1152" s="1" t="s">
        <v>1</v>
      </c>
      <c r="F1152" s="39">
        <v>0</v>
      </c>
    </row>
    <row r="1153" spans="1:6" x14ac:dyDescent="0.25">
      <c r="A1153" s="1">
        <v>4002413</v>
      </c>
      <c r="B1153" s="1" t="s">
        <v>1231</v>
      </c>
      <c r="C1153" s="1" t="s">
        <v>2058</v>
      </c>
      <c r="D1153" s="39">
        <v>0</v>
      </c>
      <c r="E1153" s="1" t="s">
        <v>1</v>
      </c>
      <c r="F1153" s="39">
        <v>0</v>
      </c>
    </row>
    <row r="1154" spans="1:6" x14ac:dyDescent="0.25">
      <c r="A1154" s="1">
        <v>4002414</v>
      </c>
      <c r="B1154" s="1" t="s">
        <v>125</v>
      </c>
      <c r="C1154" s="1" t="s">
        <v>2058</v>
      </c>
      <c r="D1154" s="39">
        <v>0</v>
      </c>
      <c r="E1154" s="1" t="s">
        <v>1</v>
      </c>
      <c r="F1154" s="39">
        <v>0</v>
      </c>
    </row>
    <row r="1155" spans="1:6" x14ac:dyDescent="0.25">
      <c r="A1155" s="1">
        <v>4002416</v>
      </c>
      <c r="B1155" s="1" t="s">
        <v>2817</v>
      </c>
      <c r="C1155" s="1" t="s">
        <v>2058</v>
      </c>
      <c r="D1155" s="39">
        <v>0</v>
      </c>
      <c r="E1155" s="1" t="s">
        <v>1</v>
      </c>
      <c r="F1155" s="39">
        <v>0</v>
      </c>
    </row>
    <row r="1156" spans="1:6" x14ac:dyDescent="0.25">
      <c r="A1156" s="1">
        <v>4002417</v>
      </c>
      <c r="B1156" s="1" t="s">
        <v>132</v>
      </c>
      <c r="C1156" s="1" t="s">
        <v>2058</v>
      </c>
      <c r="D1156" s="39">
        <v>0</v>
      </c>
      <c r="E1156" s="1" t="s">
        <v>1</v>
      </c>
      <c r="F1156" s="39">
        <v>0</v>
      </c>
    </row>
    <row r="1157" spans="1:6" x14ac:dyDescent="0.25">
      <c r="A1157" s="1">
        <v>4002418</v>
      </c>
      <c r="B1157" s="1" t="s">
        <v>136</v>
      </c>
      <c r="C1157" s="1" t="s">
        <v>2058</v>
      </c>
      <c r="D1157" s="39">
        <v>0</v>
      </c>
      <c r="E1157" s="1" t="s">
        <v>1</v>
      </c>
      <c r="F1157" s="39">
        <v>0</v>
      </c>
    </row>
    <row r="1158" spans="1:6" x14ac:dyDescent="0.25">
      <c r="A1158" s="1">
        <v>4002423</v>
      </c>
      <c r="B1158" s="1" t="s">
        <v>2818</v>
      </c>
      <c r="C1158" s="1" t="s">
        <v>2058</v>
      </c>
      <c r="D1158" s="39">
        <v>0</v>
      </c>
      <c r="E1158" s="1" t="s">
        <v>1</v>
      </c>
      <c r="F1158" s="39">
        <v>0</v>
      </c>
    </row>
    <row r="1159" spans="1:6" x14ac:dyDescent="0.25">
      <c r="A1159" s="1">
        <v>4002425</v>
      </c>
      <c r="B1159" s="1" t="s">
        <v>2819</v>
      </c>
      <c r="C1159" s="1" t="s">
        <v>2058</v>
      </c>
      <c r="D1159" s="39">
        <v>0</v>
      </c>
      <c r="E1159" s="1" t="s">
        <v>1</v>
      </c>
      <c r="F1159" s="39">
        <v>0</v>
      </c>
    </row>
    <row r="1160" spans="1:6" x14ac:dyDescent="0.25">
      <c r="A1160" s="1">
        <v>4002427</v>
      </c>
      <c r="B1160" s="1" t="s">
        <v>2820</v>
      </c>
      <c r="C1160" s="1" t="s">
        <v>2058</v>
      </c>
      <c r="D1160" s="39">
        <v>0</v>
      </c>
      <c r="E1160" s="1" t="s">
        <v>1</v>
      </c>
      <c r="F1160" s="39">
        <v>0</v>
      </c>
    </row>
    <row r="1161" spans="1:6" x14ac:dyDescent="0.25">
      <c r="A1161" s="1">
        <v>4002429</v>
      </c>
      <c r="B1161" s="1" t="s">
        <v>2821</v>
      </c>
      <c r="C1161" s="1" t="s">
        <v>2058</v>
      </c>
      <c r="D1161" s="39">
        <v>0</v>
      </c>
      <c r="E1161" s="1" t="s">
        <v>1</v>
      </c>
      <c r="F1161" s="39">
        <v>0</v>
      </c>
    </row>
    <row r="1162" spans="1:6" x14ac:dyDescent="0.25">
      <c r="A1162" s="1">
        <v>4002431</v>
      </c>
      <c r="B1162" s="1" t="s">
        <v>2822</v>
      </c>
      <c r="C1162" s="1" t="s">
        <v>2058</v>
      </c>
      <c r="D1162" s="39">
        <v>0</v>
      </c>
      <c r="E1162" s="1" t="s">
        <v>1</v>
      </c>
      <c r="F1162" s="39">
        <v>0</v>
      </c>
    </row>
    <row r="1163" spans="1:6" x14ac:dyDescent="0.25">
      <c r="A1163" s="1">
        <v>4002432</v>
      </c>
      <c r="B1163" s="1" t="s">
        <v>2823</v>
      </c>
      <c r="C1163" s="1" t="s">
        <v>2058</v>
      </c>
      <c r="D1163" s="39">
        <v>0</v>
      </c>
      <c r="E1163" s="1" t="s">
        <v>1</v>
      </c>
      <c r="F1163" s="39">
        <v>0</v>
      </c>
    </row>
    <row r="1164" spans="1:6" x14ac:dyDescent="0.25">
      <c r="A1164" s="1">
        <v>4002433</v>
      </c>
      <c r="B1164" s="1" t="s">
        <v>160</v>
      </c>
      <c r="C1164" s="1" t="s">
        <v>2058</v>
      </c>
      <c r="D1164" s="39">
        <v>0</v>
      </c>
      <c r="E1164" s="1" t="s">
        <v>1</v>
      </c>
      <c r="F1164" s="39">
        <v>0</v>
      </c>
    </row>
    <row r="1165" spans="1:6" x14ac:dyDescent="0.25">
      <c r="A1165" s="1">
        <v>4002435</v>
      </c>
      <c r="B1165" s="1" t="s">
        <v>170</v>
      </c>
      <c r="C1165" s="1" t="s">
        <v>2058</v>
      </c>
      <c r="D1165" s="39">
        <v>7900</v>
      </c>
      <c r="E1165" s="1" t="s">
        <v>1</v>
      </c>
      <c r="F1165" s="3">
        <v>290.72000000000003</v>
      </c>
    </row>
    <row r="1166" spans="1:6" x14ac:dyDescent="0.25">
      <c r="A1166" s="1">
        <v>4002436</v>
      </c>
      <c r="B1166" s="1" t="s">
        <v>174</v>
      </c>
      <c r="C1166" s="1" t="s">
        <v>2058</v>
      </c>
      <c r="D1166" s="39">
        <v>0</v>
      </c>
      <c r="E1166" s="1" t="s">
        <v>1</v>
      </c>
      <c r="F1166" s="39">
        <v>0</v>
      </c>
    </row>
    <row r="1167" spans="1:6" x14ac:dyDescent="0.25">
      <c r="A1167" s="1">
        <v>4002439</v>
      </c>
      <c r="B1167" s="1" t="s">
        <v>178</v>
      </c>
      <c r="C1167" s="1" t="s">
        <v>2058</v>
      </c>
      <c r="D1167" s="39">
        <v>27288</v>
      </c>
      <c r="E1167" s="1" t="s">
        <v>1</v>
      </c>
      <c r="F1167" s="3">
        <v>990.55</v>
      </c>
    </row>
    <row r="1168" spans="1:6" x14ac:dyDescent="0.25">
      <c r="A1168" s="1">
        <v>4002441</v>
      </c>
      <c r="B1168" s="1" t="s">
        <v>635</v>
      </c>
      <c r="C1168" s="1" t="s">
        <v>2058</v>
      </c>
      <c r="D1168" s="39">
        <v>0</v>
      </c>
      <c r="E1168" s="1" t="s">
        <v>1</v>
      </c>
      <c r="F1168" s="39">
        <v>0</v>
      </c>
    </row>
    <row r="1169" spans="1:6" x14ac:dyDescent="0.25">
      <c r="A1169" s="1">
        <v>4002442</v>
      </c>
      <c r="B1169" s="1" t="s">
        <v>2824</v>
      </c>
      <c r="C1169" s="1" t="s">
        <v>2058</v>
      </c>
      <c r="D1169" s="39">
        <v>0</v>
      </c>
      <c r="E1169" s="1" t="s">
        <v>1</v>
      </c>
      <c r="F1169" s="39">
        <v>0</v>
      </c>
    </row>
    <row r="1170" spans="1:6" x14ac:dyDescent="0.25">
      <c r="A1170" s="1">
        <v>4002443</v>
      </c>
      <c r="B1170" s="1" t="s">
        <v>641</v>
      </c>
      <c r="C1170" s="1" t="s">
        <v>2058</v>
      </c>
      <c r="D1170" s="39">
        <v>0</v>
      </c>
      <c r="E1170" s="1" t="s">
        <v>1</v>
      </c>
      <c r="F1170" s="39">
        <v>0</v>
      </c>
    </row>
    <row r="1171" spans="1:6" x14ac:dyDescent="0.25">
      <c r="A1171" s="1">
        <v>4002444</v>
      </c>
      <c r="B1171" s="1" t="s">
        <v>2825</v>
      </c>
      <c r="C1171" s="1" t="s">
        <v>2058</v>
      </c>
      <c r="D1171" s="39">
        <v>0</v>
      </c>
      <c r="E1171" s="1" t="s">
        <v>1</v>
      </c>
      <c r="F1171" s="39">
        <v>0</v>
      </c>
    </row>
    <row r="1172" spans="1:6" x14ac:dyDescent="0.25">
      <c r="A1172" s="1">
        <v>4002445</v>
      </c>
      <c r="B1172" s="1" t="s">
        <v>2826</v>
      </c>
      <c r="C1172" s="1" t="s">
        <v>2058</v>
      </c>
      <c r="D1172" s="39">
        <v>0</v>
      </c>
      <c r="E1172" s="1" t="s">
        <v>1</v>
      </c>
      <c r="F1172" s="39">
        <v>0</v>
      </c>
    </row>
    <row r="1173" spans="1:6" x14ac:dyDescent="0.25">
      <c r="A1173" s="1">
        <v>4002447</v>
      </c>
      <c r="B1173" s="1" t="s">
        <v>2827</v>
      </c>
      <c r="C1173" s="1" t="s">
        <v>2058</v>
      </c>
      <c r="D1173" s="39">
        <v>0</v>
      </c>
      <c r="E1173" s="1" t="s">
        <v>1</v>
      </c>
      <c r="F1173" s="39">
        <v>0</v>
      </c>
    </row>
    <row r="1174" spans="1:6" x14ac:dyDescent="0.25">
      <c r="A1174" s="1">
        <v>4002448</v>
      </c>
      <c r="B1174" s="1" t="s">
        <v>2828</v>
      </c>
      <c r="C1174" s="1" t="s">
        <v>2058</v>
      </c>
      <c r="D1174" s="39">
        <v>0</v>
      </c>
      <c r="E1174" s="1" t="s">
        <v>1</v>
      </c>
      <c r="F1174" s="39">
        <v>0</v>
      </c>
    </row>
    <row r="1175" spans="1:6" x14ac:dyDescent="0.25">
      <c r="A1175" s="1">
        <v>4002449</v>
      </c>
      <c r="B1175" s="1" t="s">
        <v>190</v>
      </c>
      <c r="C1175" s="1" t="s">
        <v>2058</v>
      </c>
      <c r="D1175" s="39">
        <v>0</v>
      </c>
      <c r="E1175" s="1" t="s">
        <v>1</v>
      </c>
      <c r="F1175" s="39">
        <v>0</v>
      </c>
    </row>
    <row r="1176" spans="1:6" x14ac:dyDescent="0.25">
      <c r="A1176" s="1">
        <v>4002450</v>
      </c>
      <c r="B1176" s="1" t="s">
        <v>198</v>
      </c>
      <c r="C1176" s="1" t="s">
        <v>2058</v>
      </c>
      <c r="D1176" s="39">
        <v>0</v>
      </c>
      <c r="E1176" s="1" t="s">
        <v>1</v>
      </c>
      <c r="F1176" s="39">
        <v>0</v>
      </c>
    </row>
    <row r="1177" spans="1:6" x14ac:dyDescent="0.25">
      <c r="A1177" s="1">
        <v>4002452</v>
      </c>
      <c r="B1177" s="1" t="s">
        <v>2829</v>
      </c>
      <c r="C1177" s="1" t="s">
        <v>2058</v>
      </c>
      <c r="D1177" s="39">
        <v>0</v>
      </c>
      <c r="E1177" s="1" t="s">
        <v>1</v>
      </c>
      <c r="F1177" s="39">
        <v>0</v>
      </c>
    </row>
    <row r="1178" spans="1:6" x14ac:dyDescent="0.25">
      <c r="A1178" s="1">
        <v>4002453</v>
      </c>
      <c r="B1178" s="1" t="s">
        <v>2830</v>
      </c>
      <c r="C1178" s="1" t="s">
        <v>2058</v>
      </c>
      <c r="D1178" s="39">
        <v>0</v>
      </c>
      <c r="E1178" s="1" t="s">
        <v>1</v>
      </c>
      <c r="F1178" s="39">
        <v>0</v>
      </c>
    </row>
    <row r="1179" spans="1:6" x14ac:dyDescent="0.25">
      <c r="A1179" s="1">
        <v>4002463</v>
      </c>
      <c r="B1179" s="1" t="s">
        <v>693</v>
      </c>
      <c r="C1179" s="1" t="s">
        <v>2058</v>
      </c>
      <c r="D1179" s="39">
        <v>0</v>
      </c>
      <c r="E1179" s="1" t="s">
        <v>1</v>
      </c>
      <c r="F1179" s="39">
        <v>0</v>
      </c>
    </row>
    <row r="1180" spans="1:6" x14ac:dyDescent="0.25">
      <c r="A1180" s="1">
        <v>4002464</v>
      </c>
      <c r="B1180" s="1" t="s">
        <v>2831</v>
      </c>
      <c r="C1180" s="1" t="s">
        <v>2058</v>
      </c>
      <c r="D1180" s="39">
        <v>0</v>
      </c>
      <c r="E1180" s="1" t="s">
        <v>1</v>
      </c>
      <c r="F1180" s="39">
        <v>0</v>
      </c>
    </row>
    <row r="1181" spans="1:6" x14ac:dyDescent="0.25">
      <c r="A1181" s="1">
        <v>4002465</v>
      </c>
      <c r="B1181" s="1" t="s">
        <v>2832</v>
      </c>
      <c r="C1181" s="1" t="s">
        <v>2058</v>
      </c>
      <c r="D1181" s="39">
        <v>0</v>
      </c>
      <c r="E1181" s="1" t="s">
        <v>1</v>
      </c>
      <c r="F1181" s="39">
        <v>0</v>
      </c>
    </row>
    <row r="1182" spans="1:6" x14ac:dyDescent="0.25">
      <c r="A1182" s="1">
        <v>4002466</v>
      </c>
      <c r="B1182" s="1" t="s">
        <v>2833</v>
      </c>
      <c r="C1182" s="1" t="s">
        <v>2058</v>
      </c>
      <c r="D1182" s="39">
        <v>0</v>
      </c>
      <c r="E1182" s="1" t="s">
        <v>1</v>
      </c>
      <c r="F1182" s="39">
        <v>0</v>
      </c>
    </row>
    <row r="1183" spans="1:6" x14ac:dyDescent="0.25">
      <c r="A1183" s="1">
        <v>4002467</v>
      </c>
      <c r="B1183" s="1" t="s">
        <v>316</v>
      </c>
      <c r="C1183" s="1" t="s">
        <v>2058</v>
      </c>
      <c r="D1183" s="39">
        <v>0</v>
      </c>
      <c r="E1183" s="1" t="s">
        <v>1</v>
      </c>
      <c r="F1183" s="39">
        <v>0</v>
      </c>
    </row>
    <row r="1184" spans="1:6" x14ac:dyDescent="0.25">
      <c r="A1184" s="1">
        <v>4002468</v>
      </c>
      <c r="B1184" s="1" t="s">
        <v>321</v>
      </c>
      <c r="C1184" s="1" t="s">
        <v>2058</v>
      </c>
      <c r="D1184" s="39">
        <v>0</v>
      </c>
      <c r="E1184" s="1" t="s">
        <v>1</v>
      </c>
      <c r="F1184" s="39">
        <v>0</v>
      </c>
    </row>
    <row r="1185" spans="1:6" x14ac:dyDescent="0.25">
      <c r="A1185" s="1">
        <v>4002469</v>
      </c>
      <c r="B1185" s="1" t="s">
        <v>2834</v>
      </c>
      <c r="C1185" s="1" t="s">
        <v>2058</v>
      </c>
      <c r="D1185" s="39">
        <v>0</v>
      </c>
      <c r="E1185" s="1" t="s">
        <v>1</v>
      </c>
      <c r="F1185" s="39">
        <v>0</v>
      </c>
    </row>
    <row r="1186" spans="1:6" x14ac:dyDescent="0.25">
      <c r="A1186" s="1">
        <v>4002470</v>
      </c>
      <c r="B1186" s="1" t="s">
        <v>2835</v>
      </c>
      <c r="C1186" s="1" t="s">
        <v>2058</v>
      </c>
      <c r="D1186" s="39">
        <v>0</v>
      </c>
      <c r="E1186" s="1" t="s">
        <v>1</v>
      </c>
      <c r="F1186" s="39">
        <v>0</v>
      </c>
    </row>
    <row r="1187" spans="1:6" x14ac:dyDescent="0.25">
      <c r="A1187" s="1">
        <v>4002471</v>
      </c>
      <c r="B1187" s="1" t="s">
        <v>2836</v>
      </c>
      <c r="C1187" s="1" t="s">
        <v>2058</v>
      </c>
      <c r="D1187" s="39">
        <v>0</v>
      </c>
      <c r="E1187" s="1" t="s">
        <v>1</v>
      </c>
      <c r="F1187" s="39">
        <v>0</v>
      </c>
    </row>
    <row r="1188" spans="1:6" x14ac:dyDescent="0.25">
      <c r="A1188" s="1">
        <v>4002472</v>
      </c>
      <c r="B1188" s="1" t="s">
        <v>356</v>
      </c>
      <c r="C1188" s="1" t="s">
        <v>2058</v>
      </c>
      <c r="D1188" s="39">
        <v>0</v>
      </c>
      <c r="E1188" s="1" t="s">
        <v>1</v>
      </c>
      <c r="F1188" s="39">
        <v>0</v>
      </c>
    </row>
    <row r="1189" spans="1:6" x14ac:dyDescent="0.25">
      <c r="A1189" s="1">
        <v>4002473</v>
      </c>
      <c r="B1189" s="1" t="s">
        <v>2837</v>
      </c>
      <c r="C1189" s="1" t="s">
        <v>2058</v>
      </c>
      <c r="D1189" s="39">
        <v>0</v>
      </c>
      <c r="E1189" s="1" t="s">
        <v>1</v>
      </c>
      <c r="F1189" s="39">
        <v>0</v>
      </c>
    </row>
    <row r="1190" spans="1:6" x14ac:dyDescent="0.25">
      <c r="A1190" s="1">
        <v>4002474</v>
      </c>
      <c r="B1190" s="1" t="s">
        <v>366</v>
      </c>
      <c r="C1190" s="1" t="s">
        <v>2058</v>
      </c>
      <c r="D1190" s="39">
        <v>29900</v>
      </c>
      <c r="E1190" s="1" t="s">
        <v>1</v>
      </c>
      <c r="F1190" s="3">
        <v>1363.44</v>
      </c>
    </row>
    <row r="1191" spans="1:6" x14ac:dyDescent="0.25">
      <c r="A1191" s="1">
        <v>4002476</v>
      </c>
      <c r="B1191" s="1" t="s">
        <v>383</v>
      </c>
      <c r="C1191" s="1" t="s">
        <v>2058</v>
      </c>
      <c r="D1191" s="39">
        <v>15120</v>
      </c>
      <c r="E1191" s="1" t="s">
        <v>1</v>
      </c>
      <c r="F1191" s="3">
        <v>698.55</v>
      </c>
    </row>
    <row r="1192" spans="1:6" x14ac:dyDescent="0.25">
      <c r="A1192" s="1">
        <v>4002546</v>
      </c>
      <c r="B1192" s="1" t="s">
        <v>179</v>
      </c>
      <c r="C1192" s="1" t="s">
        <v>2058</v>
      </c>
      <c r="D1192" s="39">
        <v>353630</v>
      </c>
      <c r="E1192" s="1" t="s">
        <v>1</v>
      </c>
      <c r="F1192" s="3">
        <v>13756.21</v>
      </c>
    </row>
    <row r="1193" spans="1:6" x14ac:dyDescent="0.25">
      <c r="A1193" s="1">
        <v>4002582</v>
      </c>
      <c r="B1193" s="1" t="s">
        <v>2838</v>
      </c>
      <c r="C1193" s="1" t="s">
        <v>2058</v>
      </c>
      <c r="D1193" s="39">
        <v>0</v>
      </c>
      <c r="E1193" s="1" t="s">
        <v>1</v>
      </c>
      <c r="F1193" s="39">
        <v>0</v>
      </c>
    </row>
    <row r="1194" spans="1:6" x14ac:dyDescent="0.25">
      <c r="A1194" s="1">
        <v>4002731</v>
      </c>
      <c r="B1194" s="1" t="s">
        <v>694</v>
      </c>
      <c r="C1194" s="1" t="s">
        <v>2058</v>
      </c>
      <c r="D1194" s="39">
        <v>0</v>
      </c>
      <c r="E1194" s="1" t="s">
        <v>3</v>
      </c>
      <c r="F1194" s="39">
        <v>0</v>
      </c>
    </row>
    <row r="1195" spans="1:6" x14ac:dyDescent="0.25">
      <c r="A1195" s="1">
        <v>4002734</v>
      </c>
      <c r="B1195" s="1" t="s">
        <v>257</v>
      </c>
      <c r="C1195" s="1" t="s">
        <v>2058</v>
      </c>
      <c r="D1195" s="39">
        <v>0</v>
      </c>
      <c r="E1195" s="1" t="s">
        <v>3</v>
      </c>
      <c r="F1195" s="39">
        <v>0</v>
      </c>
    </row>
    <row r="1196" spans="1:6" x14ac:dyDescent="0.25">
      <c r="A1196" s="1">
        <v>4002735</v>
      </c>
      <c r="B1196" s="1" t="s">
        <v>262</v>
      </c>
      <c r="C1196" s="1" t="s">
        <v>2058</v>
      </c>
      <c r="D1196" s="39">
        <v>0</v>
      </c>
      <c r="E1196" s="1" t="s">
        <v>3</v>
      </c>
      <c r="F1196" s="39">
        <v>0</v>
      </c>
    </row>
    <row r="1197" spans="1:6" x14ac:dyDescent="0.25">
      <c r="A1197" s="1">
        <v>4002748</v>
      </c>
      <c r="B1197" s="1" t="s">
        <v>695</v>
      </c>
      <c r="C1197" s="1" t="s">
        <v>2058</v>
      </c>
      <c r="D1197" s="39">
        <v>0</v>
      </c>
      <c r="E1197" s="1" t="s">
        <v>3</v>
      </c>
      <c r="F1197" s="39">
        <v>0</v>
      </c>
    </row>
    <row r="1198" spans="1:6" x14ac:dyDescent="0.25">
      <c r="A1198" s="1">
        <v>4002775</v>
      </c>
      <c r="B1198" s="1" t="s">
        <v>2839</v>
      </c>
      <c r="C1198" s="1" t="s">
        <v>2058</v>
      </c>
      <c r="D1198" s="39">
        <v>0</v>
      </c>
      <c r="E1198" s="1" t="s">
        <v>3</v>
      </c>
      <c r="F1198" s="39">
        <v>0</v>
      </c>
    </row>
    <row r="1199" spans="1:6" x14ac:dyDescent="0.25">
      <c r="A1199" s="1">
        <v>4002821</v>
      </c>
      <c r="B1199" s="1" t="s">
        <v>2840</v>
      </c>
      <c r="C1199" s="1" t="s">
        <v>2058</v>
      </c>
      <c r="D1199" s="39">
        <v>0</v>
      </c>
      <c r="E1199" s="1" t="s">
        <v>2</v>
      </c>
      <c r="F1199" s="39">
        <v>0</v>
      </c>
    </row>
    <row r="1200" spans="1:6" x14ac:dyDescent="0.25">
      <c r="A1200" s="1">
        <v>4002826</v>
      </c>
      <c r="B1200" s="1" t="s">
        <v>4</v>
      </c>
      <c r="C1200" s="1" t="s">
        <v>2058</v>
      </c>
      <c r="D1200" s="39">
        <v>0</v>
      </c>
      <c r="E1200" s="1" t="s">
        <v>1</v>
      </c>
      <c r="F1200" s="39">
        <v>0</v>
      </c>
    </row>
    <row r="1201" spans="1:6" x14ac:dyDescent="0.25">
      <c r="A1201" s="1">
        <v>4002827</v>
      </c>
      <c r="B1201" s="1" t="s">
        <v>0</v>
      </c>
      <c r="C1201" s="1" t="s">
        <v>2058</v>
      </c>
      <c r="D1201" s="39">
        <v>0</v>
      </c>
      <c r="E1201" s="1" t="s">
        <v>2</v>
      </c>
      <c r="F1201" s="39">
        <v>0</v>
      </c>
    </row>
    <row r="1202" spans="1:6" x14ac:dyDescent="0.25">
      <c r="A1202" s="1">
        <v>4003056</v>
      </c>
      <c r="B1202" s="1" t="s">
        <v>2841</v>
      </c>
      <c r="C1202" s="1" t="s">
        <v>2058</v>
      </c>
      <c r="D1202" s="39">
        <v>0</v>
      </c>
      <c r="E1202" s="1" t="s">
        <v>1</v>
      </c>
      <c r="F1202" s="39">
        <v>0</v>
      </c>
    </row>
    <row r="1203" spans="1:6" x14ac:dyDescent="0.25">
      <c r="A1203" s="1">
        <v>4003057</v>
      </c>
      <c r="B1203" s="1" t="s">
        <v>2842</v>
      </c>
      <c r="C1203" s="1" t="s">
        <v>2058</v>
      </c>
      <c r="D1203" s="39">
        <v>0</v>
      </c>
      <c r="E1203" s="1" t="s">
        <v>1</v>
      </c>
      <c r="F1203" s="39">
        <v>0</v>
      </c>
    </row>
    <row r="1204" spans="1:6" x14ac:dyDescent="0.25">
      <c r="A1204" s="1">
        <v>4003058</v>
      </c>
      <c r="B1204" s="1" t="s">
        <v>2843</v>
      </c>
      <c r="C1204" s="1" t="s">
        <v>2058</v>
      </c>
      <c r="D1204" s="39">
        <v>0</v>
      </c>
      <c r="E1204" s="1" t="s">
        <v>1</v>
      </c>
      <c r="F1204" s="39">
        <v>0</v>
      </c>
    </row>
    <row r="1205" spans="1:6" x14ac:dyDescent="0.25">
      <c r="A1205" s="1">
        <v>4003059</v>
      </c>
      <c r="B1205" s="1" t="s">
        <v>225</v>
      </c>
      <c r="C1205" s="1" t="s">
        <v>2058</v>
      </c>
      <c r="D1205" s="39">
        <v>0</v>
      </c>
      <c r="E1205" s="1" t="s">
        <v>1</v>
      </c>
      <c r="F1205" s="39">
        <v>0</v>
      </c>
    </row>
    <row r="1206" spans="1:6" x14ac:dyDescent="0.25">
      <c r="A1206" s="1">
        <v>4003060</v>
      </c>
      <c r="B1206" s="1" t="s">
        <v>230</v>
      </c>
      <c r="C1206" s="1" t="s">
        <v>2058</v>
      </c>
      <c r="D1206" s="39">
        <v>0</v>
      </c>
      <c r="E1206" s="1" t="s">
        <v>1</v>
      </c>
      <c r="F1206" s="39">
        <v>0</v>
      </c>
    </row>
    <row r="1207" spans="1:6" x14ac:dyDescent="0.25">
      <c r="A1207" s="1">
        <v>4003061</v>
      </c>
      <c r="B1207" s="1" t="s">
        <v>2844</v>
      </c>
      <c r="C1207" s="1" t="s">
        <v>2058</v>
      </c>
      <c r="D1207" s="39">
        <v>0</v>
      </c>
      <c r="E1207" s="1" t="s">
        <v>1</v>
      </c>
      <c r="F1207" s="39">
        <v>0</v>
      </c>
    </row>
    <row r="1208" spans="1:6" x14ac:dyDescent="0.25">
      <c r="A1208" s="1">
        <v>4003062</v>
      </c>
      <c r="B1208" s="1" t="s">
        <v>2845</v>
      </c>
      <c r="C1208" s="1" t="s">
        <v>2058</v>
      </c>
      <c r="D1208" s="39">
        <v>0</v>
      </c>
      <c r="E1208" s="1" t="s">
        <v>1</v>
      </c>
      <c r="F1208" s="39">
        <v>0</v>
      </c>
    </row>
    <row r="1209" spans="1:6" x14ac:dyDescent="0.25">
      <c r="A1209" s="1">
        <v>4003063</v>
      </c>
      <c r="B1209" s="1" t="s">
        <v>2846</v>
      </c>
      <c r="C1209" s="1" t="s">
        <v>2058</v>
      </c>
      <c r="D1209" s="39">
        <v>0</v>
      </c>
      <c r="E1209" s="1" t="s">
        <v>1</v>
      </c>
      <c r="F1209" s="39">
        <v>0</v>
      </c>
    </row>
    <row r="1210" spans="1:6" x14ac:dyDescent="0.25">
      <c r="A1210" s="1">
        <v>4003064</v>
      </c>
      <c r="B1210" s="1" t="s">
        <v>2847</v>
      </c>
      <c r="C1210" s="1" t="s">
        <v>2058</v>
      </c>
      <c r="D1210" s="39">
        <v>0</v>
      </c>
      <c r="E1210" s="1" t="s">
        <v>1</v>
      </c>
      <c r="F1210" s="39">
        <v>0</v>
      </c>
    </row>
    <row r="1211" spans="1:6" x14ac:dyDescent="0.25">
      <c r="A1211" s="1">
        <v>4003065</v>
      </c>
      <c r="B1211" s="1" t="s">
        <v>276</v>
      </c>
      <c r="C1211" s="1" t="s">
        <v>2058</v>
      </c>
      <c r="D1211" s="39">
        <v>0</v>
      </c>
      <c r="E1211" s="1" t="s">
        <v>1</v>
      </c>
      <c r="F1211" s="39">
        <v>0</v>
      </c>
    </row>
    <row r="1212" spans="1:6" x14ac:dyDescent="0.25">
      <c r="A1212" s="1">
        <v>4003066</v>
      </c>
      <c r="B1212" s="1" t="s">
        <v>2848</v>
      </c>
      <c r="C1212" s="1" t="s">
        <v>2058</v>
      </c>
      <c r="D1212" s="39">
        <v>0</v>
      </c>
      <c r="E1212" s="1" t="s">
        <v>1</v>
      </c>
      <c r="F1212" s="39">
        <v>0</v>
      </c>
    </row>
    <row r="1213" spans="1:6" x14ac:dyDescent="0.25">
      <c r="A1213" s="1">
        <v>4003068</v>
      </c>
      <c r="B1213" s="1" t="s">
        <v>281</v>
      </c>
      <c r="C1213" s="1" t="s">
        <v>2058</v>
      </c>
      <c r="D1213" s="39">
        <v>0</v>
      </c>
      <c r="E1213" s="1" t="s">
        <v>1</v>
      </c>
      <c r="F1213" s="39">
        <v>0</v>
      </c>
    </row>
    <row r="1214" spans="1:6" x14ac:dyDescent="0.25">
      <c r="A1214" s="1">
        <v>4003069</v>
      </c>
      <c r="B1214" s="1" t="s">
        <v>2849</v>
      </c>
      <c r="C1214" s="1" t="s">
        <v>2058</v>
      </c>
      <c r="D1214" s="39">
        <v>0</v>
      </c>
      <c r="E1214" s="1" t="s">
        <v>1</v>
      </c>
      <c r="F1214" s="39">
        <v>0</v>
      </c>
    </row>
    <row r="1215" spans="1:6" x14ac:dyDescent="0.25">
      <c r="A1215" s="1">
        <v>4003070</v>
      </c>
      <c r="B1215" s="1" t="s">
        <v>286</v>
      </c>
      <c r="C1215" s="1" t="s">
        <v>2058</v>
      </c>
      <c r="D1215" s="39">
        <v>0</v>
      </c>
      <c r="E1215" s="1" t="s">
        <v>1</v>
      </c>
      <c r="F1215" s="39">
        <v>0</v>
      </c>
    </row>
    <row r="1216" spans="1:6" x14ac:dyDescent="0.25">
      <c r="A1216" s="1">
        <v>4003071</v>
      </c>
      <c r="B1216" s="1" t="s">
        <v>291</v>
      </c>
      <c r="C1216" s="1" t="s">
        <v>2058</v>
      </c>
      <c r="D1216" s="39">
        <v>0</v>
      </c>
      <c r="E1216" s="1" t="s">
        <v>1</v>
      </c>
      <c r="F1216" s="39">
        <v>0</v>
      </c>
    </row>
    <row r="1217" spans="1:6" x14ac:dyDescent="0.25">
      <c r="A1217" s="1">
        <v>4003073</v>
      </c>
      <c r="B1217" s="1" t="s">
        <v>296</v>
      </c>
      <c r="C1217" s="1" t="s">
        <v>2058</v>
      </c>
      <c r="D1217" s="39">
        <v>0</v>
      </c>
      <c r="E1217" s="1" t="s">
        <v>1</v>
      </c>
      <c r="F1217" s="39">
        <v>0</v>
      </c>
    </row>
    <row r="1218" spans="1:6" x14ac:dyDescent="0.25">
      <c r="A1218" s="1">
        <v>4003074</v>
      </c>
      <c r="B1218" s="1" t="s">
        <v>301</v>
      </c>
      <c r="C1218" s="1" t="s">
        <v>2058</v>
      </c>
      <c r="D1218" s="39">
        <v>0</v>
      </c>
      <c r="E1218" s="1" t="s">
        <v>1</v>
      </c>
      <c r="F1218" s="39">
        <v>0</v>
      </c>
    </row>
    <row r="1219" spans="1:6" x14ac:dyDescent="0.25">
      <c r="A1219" s="1">
        <v>4003075</v>
      </c>
      <c r="B1219" s="1" t="s">
        <v>306</v>
      </c>
      <c r="C1219" s="1" t="s">
        <v>2058</v>
      </c>
      <c r="D1219" s="39">
        <v>0</v>
      </c>
      <c r="E1219" s="1" t="s">
        <v>1</v>
      </c>
      <c r="F1219" s="39">
        <v>0</v>
      </c>
    </row>
    <row r="1220" spans="1:6" x14ac:dyDescent="0.25">
      <c r="A1220" s="1">
        <v>4003076</v>
      </c>
      <c r="B1220" s="1" t="s">
        <v>311</v>
      </c>
      <c r="C1220" s="1" t="s">
        <v>2058</v>
      </c>
      <c r="D1220" s="39">
        <v>0</v>
      </c>
      <c r="E1220" s="1" t="s">
        <v>1</v>
      </c>
      <c r="F1220" s="39">
        <v>0</v>
      </c>
    </row>
    <row r="1221" spans="1:6" x14ac:dyDescent="0.25">
      <c r="A1221" s="1">
        <v>4003077</v>
      </c>
      <c r="B1221" s="1" t="s">
        <v>325</v>
      </c>
      <c r="C1221" s="1" t="s">
        <v>2058</v>
      </c>
      <c r="D1221" s="39">
        <v>0</v>
      </c>
      <c r="E1221" s="1" t="s">
        <v>1</v>
      </c>
      <c r="F1221" s="39">
        <v>0</v>
      </c>
    </row>
    <row r="1222" spans="1:6" x14ac:dyDescent="0.25">
      <c r="A1222" s="1">
        <v>4003561</v>
      </c>
      <c r="B1222" s="1" t="s">
        <v>2850</v>
      </c>
      <c r="C1222" s="1" t="s">
        <v>2058</v>
      </c>
      <c r="D1222" s="39">
        <v>0</v>
      </c>
      <c r="E1222" s="1" t="s">
        <v>1</v>
      </c>
      <c r="F1222" s="39">
        <v>0</v>
      </c>
    </row>
    <row r="1223" spans="1:6" x14ac:dyDescent="0.25">
      <c r="A1223" s="1">
        <v>4003562</v>
      </c>
      <c r="B1223" s="1" t="s">
        <v>2851</v>
      </c>
      <c r="C1223" s="1" t="s">
        <v>2058</v>
      </c>
      <c r="D1223" s="39">
        <v>0</v>
      </c>
      <c r="E1223" s="1" t="s">
        <v>1</v>
      </c>
      <c r="F1223" s="39">
        <v>0</v>
      </c>
    </row>
    <row r="1224" spans="1:6" x14ac:dyDescent="0.25">
      <c r="A1224" s="1">
        <v>4003563</v>
      </c>
      <c r="B1224" s="1" t="s">
        <v>2852</v>
      </c>
      <c r="C1224" s="1" t="s">
        <v>2058</v>
      </c>
      <c r="D1224" s="39">
        <v>0</v>
      </c>
      <c r="E1224" s="1" t="s">
        <v>1</v>
      </c>
      <c r="F1224" s="39">
        <v>0</v>
      </c>
    </row>
    <row r="1225" spans="1:6" x14ac:dyDescent="0.25">
      <c r="A1225" s="1">
        <v>4003566</v>
      </c>
      <c r="B1225" s="1" t="s">
        <v>2853</v>
      </c>
      <c r="C1225" s="1" t="s">
        <v>2058</v>
      </c>
      <c r="D1225" s="39">
        <v>0</v>
      </c>
      <c r="E1225" s="1" t="s">
        <v>1</v>
      </c>
      <c r="F1225" s="39">
        <v>0</v>
      </c>
    </row>
    <row r="1226" spans="1:6" x14ac:dyDescent="0.25">
      <c r="A1226" s="1">
        <v>4003568</v>
      </c>
      <c r="B1226" s="1" t="s">
        <v>656</v>
      </c>
      <c r="C1226" s="1" t="s">
        <v>2058</v>
      </c>
      <c r="D1226" s="39">
        <v>1734</v>
      </c>
      <c r="E1226" s="1" t="s">
        <v>1</v>
      </c>
      <c r="F1226" s="3">
        <v>17216.89</v>
      </c>
    </row>
    <row r="1227" spans="1:6" x14ac:dyDescent="0.25">
      <c r="A1227" s="1">
        <v>4003583</v>
      </c>
      <c r="B1227" s="1" t="s">
        <v>39</v>
      </c>
      <c r="C1227" s="1" t="s">
        <v>2058</v>
      </c>
      <c r="D1227" s="39">
        <v>297</v>
      </c>
      <c r="E1227" s="1" t="s">
        <v>1</v>
      </c>
      <c r="F1227" s="3">
        <v>48.17</v>
      </c>
    </row>
    <row r="1228" spans="1:6" x14ac:dyDescent="0.25">
      <c r="A1228" s="1">
        <v>4003584</v>
      </c>
      <c r="B1228" s="1" t="s">
        <v>2854</v>
      </c>
      <c r="C1228" s="1" t="s">
        <v>2058</v>
      </c>
      <c r="D1228" s="39">
        <v>0</v>
      </c>
      <c r="E1228" s="1" t="s">
        <v>1</v>
      </c>
      <c r="F1228" s="39">
        <v>0</v>
      </c>
    </row>
    <row r="1229" spans="1:6" x14ac:dyDescent="0.25">
      <c r="A1229" s="1">
        <v>4003592</v>
      </c>
      <c r="B1229" s="1" t="s">
        <v>2855</v>
      </c>
      <c r="C1229" s="1" t="s">
        <v>2058</v>
      </c>
      <c r="D1229" s="39">
        <v>0</v>
      </c>
      <c r="E1229" s="1" t="s">
        <v>1</v>
      </c>
      <c r="F1229" s="39">
        <v>0</v>
      </c>
    </row>
    <row r="1230" spans="1:6" x14ac:dyDescent="0.25">
      <c r="A1230" s="1">
        <v>4003593</v>
      </c>
      <c r="B1230" s="1" t="s">
        <v>40</v>
      </c>
      <c r="C1230" s="1" t="s">
        <v>2058</v>
      </c>
      <c r="D1230" s="39">
        <v>0</v>
      </c>
      <c r="E1230" s="1" t="s">
        <v>1</v>
      </c>
      <c r="F1230" s="39">
        <v>0</v>
      </c>
    </row>
    <row r="1231" spans="1:6" x14ac:dyDescent="0.25">
      <c r="A1231" s="1">
        <v>4003594</v>
      </c>
      <c r="B1231" s="1" t="s">
        <v>472</v>
      </c>
      <c r="C1231" s="1" t="s">
        <v>2058</v>
      </c>
      <c r="D1231" s="39">
        <v>2070</v>
      </c>
      <c r="E1231" s="1" t="s">
        <v>1</v>
      </c>
      <c r="F1231" s="3">
        <v>1653.1</v>
      </c>
    </row>
    <row r="1232" spans="1:6" x14ac:dyDescent="0.25">
      <c r="A1232" s="1">
        <v>4003598</v>
      </c>
      <c r="B1232" s="1" t="s">
        <v>2856</v>
      </c>
      <c r="C1232" s="1" t="s">
        <v>2058</v>
      </c>
      <c r="D1232" s="39">
        <v>0</v>
      </c>
      <c r="E1232" s="1" t="s">
        <v>1</v>
      </c>
      <c r="F1232" s="39">
        <v>0</v>
      </c>
    </row>
    <row r="1233" spans="1:6" x14ac:dyDescent="0.25">
      <c r="A1233" s="1">
        <v>4003601</v>
      </c>
      <c r="B1233" s="1" t="s">
        <v>2857</v>
      </c>
      <c r="C1233" s="1" t="s">
        <v>2058</v>
      </c>
      <c r="D1233" s="39">
        <v>0</v>
      </c>
      <c r="E1233" s="1" t="s">
        <v>1</v>
      </c>
      <c r="F1233" s="39">
        <v>0</v>
      </c>
    </row>
    <row r="1234" spans="1:6" x14ac:dyDescent="0.25">
      <c r="A1234" s="1">
        <v>4003602</v>
      </c>
      <c r="B1234" s="1" t="s">
        <v>2858</v>
      </c>
      <c r="C1234" s="1" t="s">
        <v>2058</v>
      </c>
      <c r="D1234" s="39">
        <v>0</v>
      </c>
      <c r="E1234" s="1" t="s">
        <v>1</v>
      </c>
      <c r="F1234" s="39">
        <v>0</v>
      </c>
    </row>
    <row r="1235" spans="1:6" x14ac:dyDescent="0.25">
      <c r="A1235" s="1">
        <v>4003609</v>
      </c>
      <c r="B1235" s="1" t="s">
        <v>2859</v>
      </c>
      <c r="C1235" s="1" t="s">
        <v>2058</v>
      </c>
      <c r="D1235" s="39">
        <v>0</v>
      </c>
      <c r="E1235" s="1" t="s">
        <v>1</v>
      </c>
      <c r="F1235" s="39">
        <v>0</v>
      </c>
    </row>
    <row r="1236" spans="1:6" x14ac:dyDescent="0.25">
      <c r="A1236" s="1">
        <v>4003613</v>
      </c>
      <c r="B1236" s="1" t="s">
        <v>2860</v>
      </c>
      <c r="C1236" s="1" t="s">
        <v>2058</v>
      </c>
      <c r="D1236" s="39">
        <v>0</v>
      </c>
      <c r="E1236" s="1" t="s">
        <v>1</v>
      </c>
      <c r="F1236" s="39">
        <v>0</v>
      </c>
    </row>
    <row r="1237" spans="1:6" x14ac:dyDescent="0.25">
      <c r="A1237" s="1">
        <v>4003614</v>
      </c>
      <c r="B1237" s="1" t="s">
        <v>2861</v>
      </c>
      <c r="C1237" s="1" t="s">
        <v>2058</v>
      </c>
      <c r="D1237" s="39">
        <v>0</v>
      </c>
      <c r="E1237" s="1" t="s">
        <v>1</v>
      </c>
      <c r="F1237" s="39">
        <v>0</v>
      </c>
    </row>
    <row r="1238" spans="1:6" x14ac:dyDescent="0.25">
      <c r="A1238" s="1">
        <v>4003628</v>
      </c>
      <c r="B1238" s="1" t="s">
        <v>2862</v>
      </c>
      <c r="C1238" s="1" t="s">
        <v>2058</v>
      </c>
      <c r="D1238" s="39">
        <v>0</v>
      </c>
      <c r="E1238" s="1" t="s">
        <v>1</v>
      </c>
      <c r="F1238" s="39">
        <v>0</v>
      </c>
    </row>
    <row r="1239" spans="1:6" x14ac:dyDescent="0.25">
      <c r="A1239" s="1">
        <v>4003630</v>
      </c>
      <c r="B1239" s="1" t="s">
        <v>2863</v>
      </c>
      <c r="C1239" s="1" t="s">
        <v>2058</v>
      </c>
      <c r="D1239" s="39">
        <v>0</v>
      </c>
      <c r="E1239" s="1" t="s">
        <v>1</v>
      </c>
      <c r="F1239" s="39">
        <v>0</v>
      </c>
    </row>
    <row r="1240" spans="1:6" x14ac:dyDescent="0.25">
      <c r="A1240" s="1">
        <v>4003636</v>
      </c>
      <c r="B1240" s="1" t="s">
        <v>2864</v>
      </c>
      <c r="C1240" s="1" t="s">
        <v>2058</v>
      </c>
      <c r="D1240" s="39">
        <v>0</v>
      </c>
      <c r="E1240" s="1" t="s">
        <v>1</v>
      </c>
      <c r="F1240" s="39">
        <v>0</v>
      </c>
    </row>
    <row r="1241" spans="1:6" x14ac:dyDescent="0.25">
      <c r="A1241" s="1">
        <v>4003639</v>
      </c>
      <c r="B1241" s="1" t="s">
        <v>585</v>
      </c>
      <c r="C1241" s="1" t="s">
        <v>2058</v>
      </c>
      <c r="D1241" s="39">
        <v>0</v>
      </c>
      <c r="E1241" s="1" t="s">
        <v>1</v>
      </c>
      <c r="F1241" s="39">
        <v>0</v>
      </c>
    </row>
    <row r="1242" spans="1:6" x14ac:dyDescent="0.25">
      <c r="A1242" s="1">
        <v>4003640</v>
      </c>
      <c r="B1242" s="1" t="s">
        <v>591</v>
      </c>
      <c r="C1242" s="1" t="s">
        <v>2058</v>
      </c>
      <c r="D1242" s="39">
        <v>0</v>
      </c>
      <c r="E1242" s="1" t="s">
        <v>1</v>
      </c>
      <c r="F1242" s="39">
        <v>0</v>
      </c>
    </row>
    <row r="1243" spans="1:6" x14ac:dyDescent="0.25">
      <c r="A1243" s="1">
        <v>4003641</v>
      </c>
      <c r="B1243" s="1" t="s">
        <v>596</v>
      </c>
      <c r="C1243" s="1" t="s">
        <v>2058</v>
      </c>
      <c r="D1243" s="39">
        <v>0</v>
      </c>
      <c r="E1243" s="1" t="s">
        <v>1</v>
      </c>
      <c r="F1243" s="39">
        <v>0</v>
      </c>
    </row>
    <row r="1244" spans="1:6" x14ac:dyDescent="0.25">
      <c r="A1244" s="1">
        <v>4003642</v>
      </c>
      <c r="B1244" s="1" t="s">
        <v>751</v>
      </c>
      <c r="C1244" s="1" t="s">
        <v>2058</v>
      </c>
      <c r="D1244" s="39">
        <v>2818</v>
      </c>
      <c r="E1244" s="1" t="s">
        <v>1</v>
      </c>
      <c r="F1244" s="3">
        <v>6937.07</v>
      </c>
    </row>
    <row r="1245" spans="1:6" x14ac:dyDescent="0.25">
      <c r="A1245" s="1">
        <v>4003643</v>
      </c>
      <c r="B1245" s="1" t="s">
        <v>603</v>
      </c>
      <c r="C1245" s="1" t="s">
        <v>2058</v>
      </c>
      <c r="D1245" s="39">
        <v>0</v>
      </c>
      <c r="E1245" s="1" t="s">
        <v>1</v>
      </c>
      <c r="F1245" s="39">
        <v>0</v>
      </c>
    </row>
    <row r="1246" spans="1:6" x14ac:dyDescent="0.25">
      <c r="A1246" s="1">
        <v>4003644</v>
      </c>
      <c r="B1246" s="1" t="s">
        <v>85</v>
      </c>
      <c r="C1246" s="1" t="s">
        <v>2058</v>
      </c>
      <c r="D1246" s="39">
        <v>0</v>
      </c>
      <c r="E1246" s="1" t="s">
        <v>1</v>
      </c>
      <c r="F1246" s="39">
        <v>0</v>
      </c>
    </row>
    <row r="1247" spans="1:6" x14ac:dyDescent="0.25">
      <c r="A1247" s="1">
        <v>4003647</v>
      </c>
      <c r="B1247" s="1" t="s">
        <v>2865</v>
      </c>
      <c r="C1247" s="1" t="s">
        <v>2058</v>
      </c>
      <c r="D1247" s="39">
        <v>0</v>
      </c>
      <c r="E1247" s="1" t="s">
        <v>1</v>
      </c>
      <c r="F1247" s="39">
        <v>0</v>
      </c>
    </row>
    <row r="1248" spans="1:6" x14ac:dyDescent="0.25">
      <c r="A1248" s="1">
        <v>4003648</v>
      </c>
      <c r="B1248" s="1" t="s">
        <v>2866</v>
      </c>
      <c r="C1248" s="1" t="s">
        <v>2058</v>
      </c>
      <c r="D1248" s="39">
        <v>0</v>
      </c>
      <c r="E1248" s="1" t="s">
        <v>1</v>
      </c>
      <c r="F1248" s="39">
        <v>0</v>
      </c>
    </row>
    <row r="1249" spans="1:6" x14ac:dyDescent="0.25">
      <c r="A1249" s="1">
        <v>4003765</v>
      </c>
      <c r="B1249" s="1" t="s">
        <v>2867</v>
      </c>
      <c r="C1249" s="1" t="s">
        <v>2058</v>
      </c>
      <c r="D1249" s="39">
        <v>0</v>
      </c>
      <c r="E1249" s="1" t="s">
        <v>1</v>
      </c>
      <c r="F1249" s="39">
        <v>0</v>
      </c>
    </row>
    <row r="1250" spans="1:6" x14ac:dyDescent="0.25">
      <c r="A1250" s="1">
        <v>4003766</v>
      </c>
      <c r="B1250" s="1" t="s">
        <v>2868</v>
      </c>
      <c r="C1250" s="1" t="s">
        <v>2058</v>
      </c>
      <c r="D1250" s="39">
        <v>0</v>
      </c>
      <c r="E1250" s="1" t="s">
        <v>1</v>
      </c>
      <c r="F1250" s="39">
        <v>0</v>
      </c>
    </row>
    <row r="1251" spans="1:6" x14ac:dyDescent="0.25">
      <c r="A1251" s="1">
        <v>4003771</v>
      </c>
      <c r="B1251" s="1" t="s">
        <v>2869</v>
      </c>
      <c r="C1251" s="1" t="s">
        <v>2058</v>
      </c>
      <c r="D1251" s="39">
        <v>0</v>
      </c>
      <c r="E1251" s="1" t="s">
        <v>1</v>
      </c>
      <c r="F1251" s="39">
        <v>0</v>
      </c>
    </row>
    <row r="1252" spans="1:6" x14ac:dyDescent="0.25">
      <c r="A1252" s="1">
        <v>4003870</v>
      </c>
      <c r="B1252" s="1" t="s">
        <v>457</v>
      </c>
      <c r="C1252" s="1" t="s">
        <v>2058</v>
      </c>
      <c r="D1252" s="39">
        <v>0</v>
      </c>
      <c r="E1252" s="1" t="s">
        <v>1</v>
      </c>
      <c r="F1252" s="39">
        <v>0</v>
      </c>
    </row>
    <row r="1253" spans="1:6" x14ac:dyDescent="0.25">
      <c r="A1253" s="1">
        <v>4003871</v>
      </c>
      <c r="B1253" s="1" t="s">
        <v>1244</v>
      </c>
      <c r="C1253" s="1" t="s">
        <v>2058</v>
      </c>
      <c r="D1253" s="39">
        <v>0</v>
      </c>
      <c r="E1253" s="1" t="s">
        <v>1</v>
      </c>
      <c r="F1253" s="39">
        <v>0</v>
      </c>
    </row>
    <row r="1254" spans="1:6" x14ac:dyDescent="0.25">
      <c r="A1254" s="1">
        <v>4003872</v>
      </c>
      <c r="B1254" s="1" t="s">
        <v>2870</v>
      </c>
      <c r="C1254" s="1" t="s">
        <v>2058</v>
      </c>
      <c r="D1254" s="39">
        <v>0</v>
      </c>
      <c r="E1254" s="1" t="s">
        <v>1</v>
      </c>
      <c r="F1254" s="39">
        <v>0</v>
      </c>
    </row>
    <row r="1255" spans="1:6" x14ac:dyDescent="0.25">
      <c r="A1255" s="1">
        <v>4003873</v>
      </c>
      <c r="B1255" s="1" t="s">
        <v>326</v>
      </c>
      <c r="C1255" s="1" t="s">
        <v>2058</v>
      </c>
      <c r="D1255" s="39">
        <v>0</v>
      </c>
      <c r="E1255" s="1" t="s">
        <v>1</v>
      </c>
      <c r="F1255" s="39">
        <v>0</v>
      </c>
    </row>
    <row r="1256" spans="1:6" x14ac:dyDescent="0.25">
      <c r="A1256" s="1">
        <v>4003874</v>
      </c>
      <c r="B1256" s="1" t="s">
        <v>563</v>
      </c>
      <c r="C1256" s="1" t="s">
        <v>2058</v>
      </c>
      <c r="D1256" s="39">
        <v>0</v>
      </c>
      <c r="E1256" s="1" t="s">
        <v>1</v>
      </c>
      <c r="F1256" s="39">
        <v>0</v>
      </c>
    </row>
    <row r="1257" spans="1:6" x14ac:dyDescent="0.25">
      <c r="A1257" s="1">
        <v>4003875</v>
      </c>
      <c r="B1257" s="1" t="s">
        <v>2871</v>
      </c>
      <c r="C1257" s="1" t="s">
        <v>2058</v>
      </c>
      <c r="D1257" s="39">
        <v>0</v>
      </c>
      <c r="E1257" s="1" t="s">
        <v>1</v>
      </c>
      <c r="F1257" s="39">
        <v>0</v>
      </c>
    </row>
    <row r="1258" spans="1:6" x14ac:dyDescent="0.25">
      <c r="A1258" s="1">
        <v>4003876</v>
      </c>
      <c r="B1258" s="1" t="s">
        <v>2872</v>
      </c>
      <c r="C1258" s="1" t="s">
        <v>2058</v>
      </c>
      <c r="D1258" s="39">
        <v>0</v>
      </c>
      <c r="E1258" s="1" t="s">
        <v>1</v>
      </c>
      <c r="F1258" s="39">
        <v>0</v>
      </c>
    </row>
    <row r="1259" spans="1:6" x14ac:dyDescent="0.25">
      <c r="A1259" s="1">
        <v>4003877</v>
      </c>
      <c r="B1259" s="1" t="s">
        <v>2873</v>
      </c>
      <c r="C1259" s="1" t="s">
        <v>2058</v>
      </c>
      <c r="D1259" s="39">
        <v>0</v>
      </c>
      <c r="E1259" s="1" t="s">
        <v>1</v>
      </c>
      <c r="F1259" s="39">
        <v>0</v>
      </c>
    </row>
    <row r="1260" spans="1:6" x14ac:dyDescent="0.25">
      <c r="A1260" s="1">
        <v>4003878</v>
      </c>
      <c r="B1260" s="1" t="s">
        <v>2874</v>
      </c>
      <c r="C1260" s="1" t="s">
        <v>2058</v>
      </c>
      <c r="D1260" s="39">
        <v>0</v>
      </c>
      <c r="E1260" s="1" t="s">
        <v>1</v>
      </c>
      <c r="F1260" s="39">
        <v>0</v>
      </c>
    </row>
    <row r="1261" spans="1:6" x14ac:dyDescent="0.25">
      <c r="A1261" s="1">
        <v>4003879</v>
      </c>
      <c r="B1261" s="1" t="s">
        <v>1149</v>
      </c>
      <c r="C1261" s="1" t="s">
        <v>2058</v>
      </c>
      <c r="D1261" s="39">
        <v>0</v>
      </c>
      <c r="E1261" s="1" t="s">
        <v>1</v>
      </c>
      <c r="F1261" s="39">
        <v>0</v>
      </c>
    </row>
    <row r="1262" spans="1:6" x14ac:dyDescent="0.25">
      <c r="A1262" s="1">
        <v>4003880</v>
      </c>
      <c r="B1262" s="1" t="s">
        <v>2875</v>
      </c>
      <c r="C1262" s="1" t="s">
        <v>2058</v>
      </c>
      <c r="D1262" s="39">
        <v>0</v>
      </c>
      <c r="E1262" s="1" t="s">
        <v>1</v>
      </c>
      <c r="F1262" s="39">
        <v>0</v>
      </c>
    </row>
    <row r="1263" spans="1:6" x14ac:dyDescent="0.25">
      <c r="A1263" s="1">
        <v>4003906</v>
      </c>
      <c r="B1263" s="1" t="s">
        <v>2876</v>
      </c>
      <c r="C1263" s="1" t="s">
        <v>2058</v>
      </c>
      <c r="D1263" s="39">
        <v>0</v>
      </c>
      <c r="E1263" s="1" t="s">
        <v>1</v>
      </c>
      <c r="F1263" s="39">
        <v>0</v>
      </c>
    </row>
    <row r="1264" spans="1:6" x14ac:dyDescent="0.25">
      <c r="A1264" s="1">
        <v>4003957</v>
      </c>
      <c r="B1264" s="1" t="s">
        <v>2877</v>
      </c>
      <c r="C1264" s="1" t="s">
        <v>2058</v>
      </c>
      <c r="D1264" s="39">
        <v>0</v>
      </c>
      <c r="E1264" s="1" t="s">
        <v>1</v>
      </c>
      <c r="F1264" s="39">
        <v>0</v>
      </c>
    </row>
    <row r="1265" spans="1:6" x14ac:dyDescent="0.25">
      <c r="A1265" s="1">
        <v>4003958</v>
      </c>
      <c r="B1265" s="1" t="s">
        <v>1245</v>
      </c>
      <c r="C1265" s="1" t="s">
        <v>2058</v>
      </c>
      <c r="D1265" s="39">
        <v>0</v>
      </c>
      <c r="E1265" s="1" t="s">
        <v>1</v>
      </c>
      <c r="F1265" s="39">
        <v>0</v>
      </c>
    </row>
    <row r="1266" spans="1:6" x14ac:dyDescent="0.25">
      <c r="A1266" s="1">
        <v>4003959</v>
      </c>
      <c r="B1266" s="1" t="s">
        <v>2878</v>
      </c>
      <c r="C1266" s="1" t="s">
        <v>2058</v>
      </c>
      <c r="D1266" s="39">
        <v>0</v>
      </c>
      <c r="E1266" s="1" t="s">
        <v>1</v>
      </c>
      <c r="F1266" s="39">
        <v>0</v>
      </c>
    </row>
    <row r="1267" spans="1:6" x14ac:dyDescent="0.25">
      <c r="A1267" s="1">
        <v>4004020</v>
      </c>
      <c r="B1267" s="1" t="s">
        <v>2879</v>
      </c>
      <c r="C1267" s="1" t="s">
        <v>2058</v>
      </c>
      <c r="D1267" s="39">
        <v>0</v>
      </c>
      <c r="E1267" s="1" t="s">
        <v>1</v>
      </c>
      <c r="F1267" s="39">
        <v>0</v>
      </c>
    </row>
    <row r="1268" spans="1:6" x14ac:dyDescent="0.25">
      <c r="A1268" s="1">
        <v>4004053</v>
      </c>
      <c r="B1268" s="1" t="s">
        <v>2880</v>
      </c>
      <c r="C1268" s="1" t="s">
        <v>2058</v>
      </c>
      <c r="D1268" s="39">
        <v>0</v>
      </c>
      <c r="E1268" s="1" t="s">
        <v>1</v>
      </c>
      <c r="F1268" s="39">
        <v>0</v>
      </c>
    </row>
    <row r="1269" spans="1:6" x14ac:dyDescent="0.25">
      <c r="A1269" s="1">
        <v>4004054</v>
      </c>
      <c r="B1269" s="1" t="s">
        <v>2881</v>
      </c>
      <c r="C1269" s="1" t="s">
        <v>2058</v>
      </c>
      <c r="D1269" s="39">
        <v>0</v>
      </c>
      <c r="E1269" s="1" t="s">
        <v>1</v>
      </c>
      <c r="F1269" s="39">
        <v>0</v>
      </c>
    </row>
    <row r="1270" spans="1:6" x14ac:dyDescent="0.25">
      <c r="A1270" s="1">
        <v>4004055</v>
      </c>
      <c r="B1270" s="1" t="s">
        <v>2882</v>
      </c>
      <c r="C1270" s="1" t="s">
        <v>2058</v>
      </c>
      <c r="D1270" s="39">
        <v>0</v>
      </c>
      <c r="E1270" s="1" t="s">
        <v>1</v>
      </c>
      <c r="F1270" s="39">
        <v>0</v>
      </c>
    </row>
    <row r="1271" spans="1:6" x14ac:dyDescent="0.25">
      <c r="A1271" s="1">
        <v>4004056</v>
      </c>
      <c r="B1271" s="1" t="s">
        <v>2883</v>
      </c>
      <c r="C1271" s="1" t="s">
        <v>2058</v>
      </c>
      <c r="D1271" s="39">
        <v>0</v>
      </c>
      <c r="E1271" s="1" t="s">
        <v>1</v>
      </c>
      <c r="F1271" s="39">
        <v>0</v>
      </c>
    </row>
    <row r="1272" spans="1:6" x14ac:dyDescent="0.25">
      <c r="A1272" s="1">
        <v>4004057</v>
      </c>
      <c r="B1272" s="1" t="s">
        <v>2884</v>
      </c>
      <c r="C1272" s="1" t="s">
        <v>2058</v>
      </c>
      <c r="D1272" s="39">
        <v>0</v>
      </c>
      <c r="E1272" s="1" t="s">
        <v>1</v>
      </c>
      <c r="F1272" s="39">
        <v>0</v>
      </c>
    </row>
    <row r="1273" spans="1:6" x14ac:dyDescent="0.25">
      <c r="A1273" s="1">
        <v>4004058</v>
      </c>
      <c r="B1273" s="1" t="s">
        <v>2885</v>
      </c>
      <c r="C1273" s="1" t="s">
        <v>2058</v>
      </c>
      <c r="D1273" s="39">
        <v>0</v>
      </c>
      <c r="E1273" s="1" t="s">
        <v>1</v>
      </c>
      <c r="F1273" s="39">
        <v>0</v>
      </c>
    </row>
    <row r="1274" spans="1:6" x14ac:dyDescent="0.25">
      <c r="A1274" s="1">
        <v>4004059</v>
      </c>
      <c r="B1274" s="1" t="s">
        <v>2886</v>
      </c>
      <c r="C1274" s="1" t="s">
        <v>2058</v>
      </c>
      <c r="D1274" s="39">
        <v>0</v>
      </c>
      <c r="E1274" s="1" t="s">
        <v>1</v>
      </c>
      <c r="F1274" s="39">
        <v>0</v>
      </c>
    </row>
    <row r="1275" spans="1:6" x14ac:dyDescent="0.25">
      <c r="A1275" s="1">
        <v>4004060</v>
      </c>
      <c r="B1275" s="1" t="s">
        <v>2887</v>
      </c>
      <c r="C1275" s="1" t="s">
        <v>2058</v>
      </c>
      <c r="D1275" s="39">
        <v>0</v>
      </c>
      <c r="E1275" s="1" t="s">
        <v>1</v>
      </c>
      <c r="F1275" s="39">
        <v>0</v>
      </c>
    </row>
    <row r="1276" spans="1:6" x14ac:dyDescent="0.25">
      <c r="A1276" s="1">
        <v>4004067</v>
      </c>
      <c r="B1276" s="1" t="s">
        <v>2888</v>
      </c>
      <c r="C1276" s="1" t="s">
        <v>2058</v>
      </c>
      <c r="D1276" s="39">
        <v>0</v>
      </c>
      <c r="E1276" s="1" t="s">
        <v>1</v>
      </c>
      <c r="F1276" s="39">
        <v>0</v>
      </c>
    </row>
    <row r="1277" spans="1:6" x14ac:dyDescent="0.25">
      <c r="A1277" s="1">
        <v>4004068</v>
      </c>
      <c r="B1277" s="1" t="s">
        <v>2889</v>
      </c>
      <c r="C1277" s="1" t="s">
        <v>2058</v>
      </c>
      <c r="D1277" s="39">
        <v>0</v>
      </c>
      <c r="E1277" s="1" t="s">
        <v>1</v>
      </c>
      <c r="F1277" s="39">
        <v>0</v>
      </c>
    </row>
    <row r="1278" spans="1:6" x14ac:dyDescent="0.25">
      <c r="A1278" s="1">
        <v>4004112</v>
      </c>
      <c r="B1278" s="1" t="s">
        <v>2890</v>
      </c>
      <c r="C1278" s="1" t="s">
        <v>2058</v>
      </c>
      <c r="D1278" s="39">
        <v>0</v>
      </c>
      <c r="E1278" s="1" t="s">
        <v>1</v>
      </c>
      <c r="F1278" s="39">
        <v>0</v>
      </c>
    </row>
    <row r="1279" spans="1:6" x14ac:dyDescent="0.25">
      <c r="A1279" s="1">
        <v>4004113</v>
      </c>
      <c r="B1279" s="1" t="s">
        <v>646</v>
      </c>
      <c r="C1279" s="1" t="s">
        <v>2058</v>
      </c>
      <c r="D1279" s="39">
        <v>0</v>
      </c>
      <c r="E1279" s="1" t="s">
        <v>1</v>
      </c>
      <c r="F1279" s="39">
        <v>0</v>
      </c>
    </row>
    <row r="1280" spans="1:6" x14ac:dyDescent="0.25">
      <c r="A1280" s="1">
        <v>4004143</v>
      </c>
      <c r="B1280" s="1" t="s">
        <v>2891</v>
      </c>
      <c r="C1280" s="1" t="s">
        <v>2058</v>
      </c>
      <c r="D1280" s="39">
        <v>0</v>
      </c>
      <c r="E1280" s="1" t="s">
        <v>1</v>
      </c>
      <c r="F1280" s="39">
        <v>0</v>
      </c>
    </row>
    <row r="1281" spans="1:6" x14ac:dyDescent="0.25">
      <c r="A1281" s="1">
        <v>4004200</v>
      </c>
      <c r="B1281" s="1" t="s">
        <v>2892</v>
      </c>
      <c r="C1281" s="1" t="s">
        <v>2058</v>
      </c>
      <c r="D1281" s="39">
        <v>0</v>
      </c>
      <c r="E1281" s="1" t="s">
        <v>1</v>
      </c>
      <c r="F1281" s="39">
        <v>0</v>
      </c>
    </row>
    <row r="1282" spans="1:6" x14ac:dyDescent="0.25">
      <c r="A1282" s="1">
        <v>4004221</v>
      </c>
      <c r="B1282" s="1" t="s">
        <v>2893</v>
      </c>
      <c r="C1282" s="1" t="s">
        <v>2058</v>
      </c>
      <c r="D1282" s="39">
        <v>0</v>
      </c>
      <c r="E1282" s="1" t="s">
        <v>1</v>
      </c>
      <c r="F1282" s="39">
        <v>0</v>
      </c>
    </row>
    <row r="1283" spans="1:6" x14ac:dyDescent="0.25">
      <c r="A1283" s="1">
        <v>4004222</v>
      </c>
      <c r="B1283" s="1" t="s">
        <v>2894</v>
      </c>
      <c r="C1283" s="1" t="s">
        <v>2058</v>
      </c>
      <c r="D1283" s="39">
        <v>0</v>
      </c>
      <c r="E1283" s="1" t="s">
        <v>1</v>
      </c>
      <c r="F1283" s="39">
        <v>0</v>
      </c>
    </row>
    <row r="1284" spans="1:6" x14ac:dyDescent="0.25">
      <c r="A1284" s="1">
        <v>4004223</v>
      </c>
      <c r="B1284" s="1" t="s">
        <v>2895</v>
      </c>
      <c r="C1284" s="1" t="s">
        <v>2058</v>
      </c>
      <c r="D1284" s="39">
        <v>0</v>
      </c>
      <c r="E1284" s="1" t="s">
        <v>1</v>
      </c>
      <c r="F1284" s="39">
        <v>0</v>
      </c>
    </row>
    <row r="1285" spans="1:6" x14ac:dyDescent="0.25">
      <c r="A1285" s="1">
        <v>4004224</v>
      </c>
      <c r="B1285" s="1" t="s">
        <v>2896</v>
      </c>
      <c r="C1285" s="1" t="s">
        <v>2058</v>
      </c>
      <c r="D1285" s="39">
        <v>0</v>
      </c>
      <c r="E1285" s="1" t="s">
        <v>1</v>
      </c>
      <c r="F1285" s="39">
        <v>0</v>
      </c>
    </row>
    <row r="1286" spans="1:6" x14ac:dyDescent="0.25">
      <c r="A1286" s="1">
        <v>4004225</v>
      </c>
      <c r="B1286" s="1" t="s">
        <v>2897</v>
      </c>
      <c r="C1286" s="1" t="s">
        <v>2058</v>
      </c>
      <c r="D1286" s="39">
        <v>0</v>
      </c>
      <c r="E1286" s="1" t="s">
        <v>1</v>
      </c>
      <c r="F1286" s="39">
        <v>0</v>
      </c>
    </row>
    <row r="1287" spans="1:6" x14ac:dyDescent="0.25">
      <c r="A1287" s="1">
        <v>4004226</v>
      </c>
      <c r="B1287" s="1" t="s">
        <v>2898</v>
      </c>
      <c r="C1287" s="1" t="s">
        <v>2058</v>
      </c>
      <c r="D1287" s="39">
        <v>0</v>
      </c>
      <c r="E1287" s="1" t="s">
        <v>1</v>
      </c>
      <c r="F1287" s="39">
        <v>0</v>
      </c>
    </row>
    <row r="1288" spans="1:6" x14ac:dyDescent="0.25">
      <c r="A1288" s="1">
        <v>4004227</v>
      </c>
      <c r="B1288" s="1" t="s">
        <v>2899</v>
      </c>
      <c r="C1288" s="1" t="s">
        <v>2058</v>
      </c>
      <c r="D1288" s="39">
        <v>0</v>
      </c>
      <c r="E1288" s="1" t="s">
        <v>1</v>
      </c>
      <c r="F1288" s="39">
        <v>0</v>
      </c>
    </row>
    <row r="1289" spans="1:6" x14ac:dyDescent="0.25">
      <c r="A1289" s="1">
        <v>4004228</v>
      </c>
      <c r="B1289" s="1" t="s">
        <v>2900</v>
      </c>
      <c r="C1289" s="1" t="s">
        <v>2058</v>
      </c>
      <c r="D1289" s="39">
        <v>0</v>
      </c>
      <c r="E1289" s="1" t="s">
        <v>1</v>
      </c>
      <c r="F1289" s="39">
        <v>0</v>
      </c>
    </row>
    <row r="1290" spans="1:6" x14ac:dyDescent="0.25">
      <c r="A1290" s="1">
        <v>4004229</v>
      </c>
      <c r="B1290" s="1" t="s">
        <v>2901</v>
      </c>
      <c r="C1290" s="1" t="s">
        <v>2058</v>
      </c>
      <c r="D1290" s="39">
        <v>0</v>
      </c>
      <c r="E1290" s="1" t="s">
        <v>1</v>
      </c>
      <c r="F1290" s="39">
        <v>0</v>
      </c>
    </row>
    <row r="1291" spans="1:6" x14ac:dyDescent="0.25">
      <c r="A1291" s="1">
        <v>4004230</v>
      </c>
      <c r="B1291" s="1" t="s">
        <v>2902</v>
      </c>
      <c r="C1291" s="1" t="s">
        <v>2058</v>
      </c>
      <c r="D1291" s="39">
        <v>0</v>
      </c>
      <c r="E1291" s="1" t="s">
        <v>1</v>
      </c>
      <c r="F1291" s="39">
        <v>0</v>
      </c>
    </row>
    <row r="1292" spans="1:6" x14ac:dyDescent="0.25">
      <c r="A1292" s="1">
        <v>4004231</v>
      </c>
      <c r="B1292" s="1" t="s">
        <v>2903</v>
      </c>
      <c r="C1292" s="1" t="s">
        <v>2058</v>
      </c>
      <c r="D1292" s="39">
        <v>0</v>
      </c>
      <c r="E1292" s="1" t="s">
        <v>1</v>
      </c>
      <c r="F1292" s="39">
        <v>0</v>
      </c>
    </row>
    <row r="1293" spans="1:6" x14ac:dyDescent="0.25">
      <c r="A1293" s="1">
        <v>4004232</v>
      </c>
      <c r="B1293" s="1" t="s">
        <v>2904</v>
      </c>
      <c r="C1293" s="1" t="s">
        <v>2058</v>
      </c>
      <c r="D1293" s="39">
        <v>0</v>
      </c>
      <c r="E1293" s="1" t="s">
        <v>1</v>
      </c>
      <c r="F1293" s="39">
        <v>0</v>
      </c>
    </row>
    <row r="1294" spans="1:6" x14ac:dyDescent="0.25">
      <c r="A1294" s="1">
        <v>4004233</v>
      </c>
      <c r="B1294" s="1" t="s">
        <v>2905</v>
      </c>
      <c r="C1294" s="1" t="s">
        <v>2058</v>
      </c>
      <c r="D1294" s="39">
        <v>0</v>
      </c>
      <c r="E1294" s="1" t="s">
        <v>1</v>
      </c>
      <c r="F1294" s="39">
        <v>0</v>
      </c>
    </row>
    <row r="1295" spans="1:6" x14ac:dyDescent="0.25">
      <c r="A1295" s="1">
        <v>4004234</v>
      </c>
      <c r="B1295" s="1" t="s">
        <v>2906</v>
      </c>
      <c r="C1295" s="1" t="s">
        <v>2058</v>
      </c>
      <c r="D1295" s="39">
        <v>0</v>
      </c>
      <c r="E1295" s="1" t="s">
        <v>1</v>
      </c>
      <c r="F1295" s="39">
        <v>0</v>
      </c>
    </row>
    <row r="1296" spans="1:6" x14ac:dyDescent="0.25">
      <c r="A1296" s="1">
        <v>4004235</v>
      </c>
      <c r="B1296" s="1" t="s">
        <v>2907</v>
      </c>
      <c r="C1296" s="1" t="s">
        <v>2058</v>
      </c>
      <c r="D1296" s="39">
        <v>0</v>
      </c>
      <c r="E1296" s="1" t="s">
        <v>1</v>
      </c>
      <c r="F1296" s="39">
        <v>0</v>
      </c>
    </row>
    <row r="1297" spans="1:6" x14ac:dyDescent="0.25">
      <c r="A1297" s="1">
        <v>4004236</v>
      </c>
      <c r="B1297" s="1" t="s">
        <v>2908</v>
      </c>
      <c r="C1297" s="1" t="s">
        <v>2058</v>
      </c>
      <c r="D1297" s="39">
        <v>0</v>
      </c>
      <c r="E1297" s="1" t="s">
        <v>1</v>
      </c>
      <c r="F1297" s="39">
        <v>0</v>
      </c>
    </row>
    <row r="1298" spans="1:6" x14ac:dyDescent="0.25">
      <c r="A1298" s="1">
        <v>4004260</v>
      </c>
      <c r="B1298" s="1" t="s">
        <v>2909</v>
      </c>
      <c r="C1298" s="1" t="s">
        <v>2058</v>
      </c>
      <c r="D1298" s="39">
        <v>0</v>
      </c>
      <c r="E1298" s="1" t="s">
        <v>1</v>
      </c>
      <c r="F1298" s="39">
        <v>0</v>
      </c>
    </row>
    <row r="1299" spans="1:6" x14ac:dyDescent="0.25">
      <c r="A1299" s="1">
        <v>4004348</v>
      </c>
      <c r="B1299" s="1" t="s">
        <v>2910</v>
      </c>
      <c r="C1299" s="1" t="s">
        <v>2058</v>
      </c>
      <c r="D1299" s="39">
        <v>0</v>
      </c>
      <c r="E1299" s="1" t="s">
        <v>1</v>
      </c>
      <c r="F1299" s="39">
        <v>0</v>
      </c>
    </row>
    <row r="1300" spans="1:6" x14ac:dyDescent="0.25">
      <c r="A1300" s="1">
        <v>4004375</v>
      </c>
      <c r="B1300" s="1" t="s">
        <v>2911</v>
      </c>
      <c r="C1300" s="1" t="s">
        <v>2058</v>
      </c>
      <c r="D1300" s="39">
        <v>0</v>
      </c>
      <c r="E1300" s="1" t="s">
        <v>1</v>
      </c>
      <c r="F1300" s="39">
        <v>0</v>
      </c>
    </row>
    <row r="1301" spans="1:6" x14ac:dyDescent="0.25">
      <c r="A1301" s="1">
        <v>4004376</v>
      </c>
      <c r="B1301" s="1" t="s">
        <v>2912</v>
      </c>
      <c r="C1301" s="1" t="s">
        <v>2058</v>
      </c>
      <c r="D1301" s="39">
        <v>0</v>
      </c>
      <c r="E1301" s="1" t="s">
        <v>1</v>
      </c>
      <c r="F1301" s="39">
        <v>0</v>
      </c>
    </row>
    <row r="1302" spans="1:6" x14ac:dyDescent="0.25">
      <c r="A1302" s="1">
        <v>4004377</v>
      </c>
      <c r="B1302" s="1" t="s">
        <v>2913</v>
      </c>
      <c r="C1302" s="1" t="s">
        <v>2058</v>
      </c>
      <c r="D1302" s="39">
        <v>0</v>
      </c>
      <c r="E1302" s="1" t="s">
        <v>1</v>
      </c>
      <c r="F1302" s="39">
        <v>0</v>
      </c>
    </row>
    <row r="1303" spans="1:6" x14ac:dyDescent="0.25">
      <c r="A1303" s="1">
        <v>4004378</v>
      </c>
      <c r="B1303" s="1" t="s">
        <v>2914</v>
      </c>
      <c r="C1303" s="1" t="s">
        <v>2058</v>
      </c>
      <c r="D1303" s="39">
        <v>0</v>
      </c>
      <c r="E1303" s="1" t="s">
        <v>1</v>
      </c>
      <c r="F1303" s="39">
        <v>0</v>
      </c>
    </row>
    <row r="1304" spans="1:6" x14ac:dyDescent="0.25">
      <c r="A1304" s="1">
        <v>4004401</v>
      </c>
      <c r="B1304" s="1" t="s">
        <v>1664</v>
      </c>
      <c r="C1304" s="1" t="s">
        <v>2058</v>
      </c>
      <c r="D1304" s="39">
        <v>0</v>
      </c>
      <c r="E1304" s="1" t="s">
        <v>1</v>
      </c>
      <c r="F1304" s="39">
        <v>0</v>
      </c>
    </row>
    <row r="1305" spans="1:6" x14ac:dyDescent="0.25">
      <c r="A1305" s="1">
        <v>4004402</v>
      </c>
      <c r="B1305" s="1" t="s">
        <v>2915</v>
      </c>
      <c r="C1305" s="1" t="s">
        <v>2058</v>
      </c>
      <c r="D1305" s="39">
        <v>0</v>
      </c>
      <c r="E1305" s="1" t="s">
        <v>1</v>
      </c>
      <c r="F1305" s="39">
        <v>0</v>
      </c>
    </row>
    <row r="1306" spans="1:6" x14ac:dyDescent="0.25">
      <c r="A1306" s="1">
        <v>4004411</v>
      </c>
      <c r="B1306" s="1" t="s">
        <v>2916</v>
      </c>
      <c r="C1306" s="1" t="s">
        <v>2058</v>
      </c>
      <c r="D1306" s="39">
        <v>0</v>
      </c>
      <c r="E1306" s="1" t="s">
        <v>1</v>
      </c>
      <c r="F1306" s="39">
        <v>0</v>
      </c>
    </row>
    <row r="1307" spans="1:6" x14ac:dyDescent="0.25">
      <c r="A1307" s="1">
        <v>4004430</v>
      </c>
      <c r="B1307" s="1" t="s">
        <v>2917</v>
      </c>
      <c r="C1307" s="1" t="s">
        <v>2058</v>
      </c>
      <c r="D1307" s="39">
        <v>0</v>
      </c>
      <c r="E1307" s="1" t="s">
        <v>1</v>
      </c>
      <c r="F1307" s="39">
        <v>0</v>
      </c>
    </row>
    <row r="1308" spans="1:6" x14ac:dyDescent="0.25">
      <c r="A1308" s="1">
        <v>4004439</v>
      </c>
      <c r="B1308" s="1" t="s">
        <v>2918</v>
      </c>
      <c r="C1308" s="1" t="s">
        <v>2058</v>
      </c>
      <c r="D1308" s="39">
        <v>0</v>
      </c>
      <c r="E1308" s="1" t="s">
        <v>1</v>
      </c>
      <c r="F1308" s="39">
        <v>0</v>
      </c>
    </row>
    <row r="1309" spans="1:6" x14ac:dyDescent="0.25">
      <c r="A1309" s="1">
        <v>4004440</v>
      </c>
      <c r="B1309" s="1" t="s">
        <v>2919</v>
      </c>
      <c r="C1309" s="1" t="s">
        <v>2058</v>
      </c>
      <c r="D1309" s="39">
        <v>0</v>
      </c>
      <c r="E1309" s="1" t="s">
        <v>1</v>
      </c>
      <c r="F1309" s="39">
        <v>0</v>
      </c>
    </row>
    <row r="1310" spans="1:6" x14ac:dyDescent="0.25">
      <c r="A1310" s="1">
        <v>4004452</v>
      </c>
      <c r="B1310" s="1" t="s">
        <v>2920</v>
      </c>
      <c r="C1310" s="1" t="s">
        <v>2058</v>
      </c>
      <c r="D1310" s="39">
        <v>0</v>
      </c>
      <c r="E1310" s="1" t="s">
        <v>1</v>
      </c>
      <c r="F1310" s="39">
        <v>0</v>
      </c>
    </row>
    <row r="1311" spans="1:6" x14ac:dyDescent="0.25">
      <c r="A1311" s="1">
        <v>4004479</v>
      </c>
      <c r="B1311" s="1" t="s">
        <v>2921</v>
      </c>
      <c r="C1311" s="1" t="s">
        <v>2058</v>
      </c>
      <c r="D1311" s="39">
        <v>0</v>
      </c>
      <c r="E1311" s="1" t="s">
        <v>1</v>
      </c>
      <c r="F1311" s="39">
        <v>0</v>
      </c>
    </row>
    <row r="1312" spans="1:6" x14ac:dyDescent="0.25">
      <c r="A1312" s="1">
        <v>4004530</v>
      </c>
      <c r="B1312" s="1" t="s">
        <v>2922</v>
      </c>
      <c r="C1312" s="1" t="s">
        <v>2058</v>
      </c>
      <c r="D1312" s="39">
        <v>0</v>
      </c>
      <c r="E1312" s="1" t="s">
        <v>1</v>
      </c>
      <c r="F1312" s="39">
        <v>0</v>
      </c>
    </row>
    <row r="1313" spans="1:6" x14ac:dyDescent="0.25">
      <c r="A1313" s="1">
        <v>4004532</v>
      </c>
      <c r="B1313" s="1" t="s">
        <v>2923</v>
      </c>
      <c r="C1313" s="1" t="s">
        <v>2058</v>
      </c>
      <c r="D1313" s="39">
        <v>0</v>
      </c>
      <c r="E1313" s="1" t="s">
        <v>1</v>
      </c>
      <c r="F1313" s="39">
        <v>0</v>
      </c>
    </row>
    <row r="1314" spans="1:6" x14ac:dyDescent="0.25">
      <c r="A1314" s="1">
        <v>4004533</v>
      </c>
      <c r="B1314" s="1" t="s">
        <v>2924</v>
      </c>
      <c r="C1314" s="1" t="s">
        <v>2058</v>
      </c>
      <c r="D1314" s="39">
        <v>0</v>
      </c>
      <c r="E1314" s="1" t="s">
        <v>1</v>
      </c>
      <c r="F1314" s="39">
        <v>0</v>
      </c>
    </row>
    <row r="1315" spans="1:6" x14ac:dyDescent="0.25">
      <c r="A1315" s="1">
        <v>4004534</v>
      </c>
      <c r="B1315" s="1" t="s">
        <v>2925</v>
      </c>
      <c r="C1315" s="1" t="s">
        <v>2058</v>
      </c>
      <c r="D1315" s="39">
        <v>0</v>
      </c>
      <c r="E1315" s="1" t="s">
        <v>1</v>
      </c>
      <c r="F1315" s="39">
        <v>0</v>
      </c>
    </row>
    <row r="1316" spans="1:6" x14ac:dyDescent="0.25">
      <c r="A1316" s="1">
        <v>4004535</v>
      </c>
      <c r="B1316" s="1" t="s">
        <v>2926</v>
      </c>
      <c r="C1316" s="1" t="s">
        <v>2058</v>
      </c>
      <c r="D1316" s="39">
        <v>0</v>
      </c>
      <c r="E1316" s="1" t="s">
        <v>1</v>
      </c>
      <c r="F1316" s="39">
        <v>0</v>
      </c>
    </row>
    <row r="1317" spans="1:6" x14ac:dyDescent="0.25">
      <c r="A1317" s="1">
        <v>4004536</v>
      </c>
      <c r="B1317" s="1" t="s">
        <v>2927</v>
      </c>
      <c r="C1317" s="1" t="s">
        <v>2058</v>
      </c>
      <c r="D1317" s="39">
        <v>0</v>
      </c>
      <c r="E1317" s="1" t="s">
        <v>1</v>
      </c>
      <c r="F1317" s="39">
        <v>0</v>
      </c>
    </row>
    <row r="1318" spans="1:6" x14ac:dyDescent="0.25">
      <c r="A1318" s="1">
        <v>4004537</v>
      </c>
      <c r="B1318" s="1" t="s">
        <v>2928</v>
      </c>
      <c r="C1318" s="1" t="s">
        <v>2058</v>
      </c>
      <c r="D1318" s="39">
        <v>0</v>
      </c>
      <c r="E1318" s="1" t="s">
        <v>1</v>
      </c>
      <c r="F1318" s="39">
        <v>0</v>
      </c>
    </row>
    <row r="1319" spans="1:6" x14ac:dyDescent="0.25">
      <c r="A1319" s="1">
        <v>4004538</v>
      </c>
      <c r="B1319" s="1" t="s">
        <v>2929</v>
      </c>
      <c r="C1319" s="1" t="s">
        <v>2058</v>
      </c>
      <c r="D1319" s="39">
        <v>0</v>
      </c>
      <c r="E1319" s="1" t="s">
        <v>1</v>
      </c>
      <c r="F1319" s="39">
        <v>0</v>
      </c>
    </row>
    <row r="1320" spans="1:6" x14ac:dyDescent="0.25">
      <c r="A1320" s="1">
        <v>4004539</v>
      </c>
      <c r="B1320" s="1" t="s">
        <v>2930</v>
      </c>
      <c r="C1320" s="1" t="s">
        <v>2058</v>
      </c>
      <c r="D1320" s="39">
        <v>0</v>
      </c>
      <c r="E1320" s="1" t="s">
        <v>1</v>
      </c>
      <c r="F1320" s="39">
        <v>0</v>
      </c>
    </row>
    <row r="1321" spans="1:6" x14ac:dyDescent="0.25">
      <c r="A1321" s="1">
        <v>4004540</v>
      </c>
      <c r="B1321" s="1" t="s">
        <v>2931</v>
      </c>
      <c r="C1321" s="1" t="s">
        <v>2058</v>
      </c>
      <c r="D1321" s="39">
        <v>0</v>
      </c>
      <c r="E1321" s="1" t="s">
        <v>1</v>
      </c>
      <c r="F1321" s="39">
        <v>0</v>
      </c>
    </row>
    <row r="1322" spans="1:6" x14ac:dyDescent="0.25">
      <c r="A1322" s="1">
        <v>4004541</v>
      </c>
      <c r="B1322" s="1" t="s">
        <v>2932</v>
      </c>
      <c r="C1322" s="1" t="s">
        <v>2058</v>
      </c>
      <c r="D1322" s="39">
        <v>0</v>
      </c>
      <c r="E1322" s="1" t="s">
        <v>1</v>
      </c>
      <c r="F1322" s="39">
        <v>0</v>
      </c>
    </row>
    <row r="1323" spans="1:6" x14ac:dyDescent="0.25">
      <c r="A1323" s="1">
        <v>4004542</v>
      </c>
      <c r="B1323" s="1" t="s">
        <v>2933</v>
      </c>
      <c r="C1323" s="1" t="s">
        <v>2058</v>
      </c>
      <c r="D1323" s="39">
        <v>0</v>
      </c>
      <c r="E1323" s="1" t="s">
        <v>1</v>
      </c>
      <c r="F1323" s="39">
        <v>0</v>
      </c>
    </row>
    <row r="1324" spans="1:6" x14ac:dyDescent="0.25">
      <c r="A1324" s="1">
        <v>4004543</v>
      </c>
      <c r="B1324" s="1" t="s">
        <v>2934</v>
      </c>
      <c r="C1324" s="1" t="s">
        <v>2058</v>
      </c>
      <c r="D1324" s="39">
        <v>0</v>
      </c>
      <c r="E1324" s="1" t="s">
        <v>1</v>
      </c>
      <c r="F1324" s="39">
        <v>0</v>
      </c>
    </row>
    <row r="1325" spans="1:6" x14ac:dyDescent="0.25">
      <c r="A1325" s="1">
        <v>4004544</v>
      </c>
      <c r="B1325" s="1" t="s">
        <v>2935</v>
      </c>
      <c r="C1325" s="1" t="s">
        <v>2058</v>
      </c>
      <c r="D1325" s="39">
        <v>0</v>
      </c>
      <c r="E1325" s="1" t="s">
        <v>1</v>
      </c>
      <c r="F1325" s="39">
        <v>0</v>
      </c>
    </row>
    <row r="1326" spans="1:6" x14ac:dyDescent="0.25">
      <c r="A1326" s="1">
        <v>4004597</v>
      </c>
      <c r="B1326" s="1" t="s">
        <v>2936</v>
      </c>
      <c r="C1326" s="1" t="s">
        <v>2058</v>
      </c>
      <c r="D1326" s="39">
        <v>0</v>
      </c>
      <c r="E1326" s="1" t="s">
        <v>1</v>
      </c>
      <c r="F1326" s="39">
        <v>0</v>
      </c>
    </row>
    <row r="1327" spans="1:6" x14ac:dyDescent="0.25">
      <c r="A1327" s="1">
        <v>4004598</v>
      </c>
      <c r="B1327" s="1" t="s">
        <v>1136</v>
      </c>
      <c r="C1327" s="1" t="s">
        <v>2058</v>
      </c>
      <c r="D1327" s="39">
        <v>0</v>
      </c>
      <c r="E1327" s="1" t="s">
        <v>1</v>
      </c>
      <c r="F1327" s="39">
        <v>0</v>
      </c>
    </row>
    <row r="1328" spans="1:6" x14ac:dyDescent="0.25">
      <c r="A1328" s="1">
        <v>4004599</v>
      </c>
      <c r="B1328" s="1" t="s">
        <v>2937</v>
      </c>
      <c r="C1328" s="1" t="s">
        <v>2058</v>
      </c>
      <c r="D1328" s="39">
        <v>0</v>
      </c>
      <c r="E1328" s="1" t="s">
        <v>1</v>
      </c>
      <c r="F1328" s="39">
        <v>0</v>
      </c>
    </row>
    <row r="1329" spans="1:6" x14ac:dyDescent="0.25">
      <c r="A1329" s="1">
        <v>4004677</v>
      </c>
      <c r="B1329" s="1" t="s">
        <v>2938</v>
      </c>
      <c r="C1329" s="1" t="s">
        <v>2058</v>
      </c>
      <c r="D1329" s="39">
        <v>0</v>
      </c>
      <c r="E1329" s="1" t="s">
        <v>1</v>
      </c>
      <c r="F1329" s="39">
        <v>0</v>
      </c>
    </row>
    <row r="1330" spans="1:6" x14ac:dyDescent="0.25">
      <c r="A1330" s="1">
        <v>4004678</v>
      </c>
      <c r="B1330" s="1" t="s">
        <v>2939</v>
      </c>
      <c r="C1330" s="1" t="s">
        <v>2058</v>
      </c>
      <c r="D1330" s="39">
        <v>0</v>
      </c>
      <c r="E1330" s="1" t="s">
        <v>1</v>
      </c>
      <c r="F1330" s="39">
        <v>0</v>
      </c>
    </row>
    <row r="1331" spans="1:6" x14ac:dyDescent="0.25">
      <c r="A1331" s="1">
        <v>4004679</v>
      </c>
      <c r="B1331" s="1" t="s">
        <v>2940</v>
      </c>
      <c r="C1331" s="1" t="s">
        <v>2058</v>
      </c>
      <c r="D1331" s="39">
        <v>0</v>
      </c>
      <c r="E1331" s="1" t="s">
        <v>1</v>
      </c>
      <c r="F1331" s="39">
        <v>0</v>
      </c>
    </row>
    <row r="1332" spans="1:6" x14ac:dyDescent="0.25">
      <c r="A1332" s="1">
        <v>4004694</v>
      </c>
      <c r="B1332" s="1" t="s">
        <v>2941</v>
      </c>
      <c r="C1332" s="1" t="s">
        <v>2058</v>
      </c>
      <c r="D1332" s="39">
        <v>0</v>
      </c>
      <c r="E1332" s="1" t="s">
        <v>1</v>
      </c>
      <c r="F1332" s="39">
        <v>0</v>
      </c>
    </row>
    <row r="1333" spans="1:6" x14ac:dyDescent="0.25">
      <c r="A1333" s="1">
        <v>4004695</v>
      </c>
      <c r="B1333" s="1" t="s">
        <v>2942</v>
      </c>
      <c r="C1333" s="1" t="s">
        <v>2058</v>
      </c>
      <c r="D1333" s="39">
        <v>0</v>
      </c>
      <c r="E1333" s="1" t="s">
        <v>1</v>
      </c>
      <c r="F1333" s="39">
        <v>0</v>
      </c>
    </row>
    <row r="1334" spans="1:6" x14ac:dyDescent="0.25">
      <c r="A1334" s="1">
        <v>4004696</v>
      </c>
      <c r="B1334" s="1" t="s">
        <v>2943</v>
      </c>
      <c r="C1334" s="1" t="s">
        <v>2058</v>
      </c>
      <c r="D1334" s="39">
        <v>0</v>
      </c>
      <c r="E1334" s="1" t="s">
        <v>1</v>
      </c>
      <c r="F1334" s="39">
        <v>0</v>
      </c>
    </row>
    <row r="1335" spans="1:6" x14ac:dyDescent="0.25">
      <c r="A1335" s="1">
        <v>4004697</v>
      </c>
      <c r="B1335" s="1" t="s">
        <v>2944</v>
      </c>
      <c r="C1335" s="1" t="s">
        <v>2058</v>
      </c>
      <c r="D1335" s="39">
        <v>0</v>
      </c>
      <c r="E1335" s="1" t="s">
        <v>1</v>
      </c>
      <c r="F1335" s="39">
        <v>0</v>
      </c>
    </row>
    <row r="1336" spans="1:6" x14ac:dyDescent="0.25">
      <c r="A1336" s="1">
        <v>4004698</v>
      </c>
      <c r="B1336" s="1" t="s">
        <v>2945</v>
      </c>
      <c r="C1336" s="1" t="s">
        <v>2058</v>
      </c>
      <c r="D1336" s="39">
        <v>0</v>
      </c>
      <c r="E1336" s="1" t="s">
        <v>1</v>
      </c>
      <c r="F1336" s="39">
        <v>0</v>
      </c>
    </row>
    <row r="1337" spans="1:6" x14ac:dyDescent="0.25">
      <c r="A1337" s="1">
        <v>4004700</v>
      </c>
      <c r="B1337" s="1" t="s">
        <v>970</v>
      </c>
      <c r="C1337" s="1" t="s">
        <v>2058</v>
      </c>
      <c r="D1337" s="39">
        <v>438</v>
      </c>
      <c r="E1337" s="1" t="s">
        <v>1</v>
      </c>
      <c r="F1337" s="3">
        <v>1548.86</v>
      </c>
    </row>
    <row r="1338" spans="1:6" x14ac:dyDescent="0.25">
      <c r="A1338" s="1">
        <v>4004701</v>
      </c>
      <c r="B1338" s="1" t="s">
        <v>2946</v>
      </c>
      <c r="C1338" s="1" t="s">
        <v>2058</v>
      </c>
      <c r="D1338" s="39">
        <v>0</v>
      </c>
      <c r="E1338" s="1" t="s">
        <v>1</v>
      </c>
      <c r="F1338" s="39">
        <v>0</v>
      </c>
    </row>
    <row r="1339" spans="1:6" x14ac:dyDescent="0.25">
      <c r="A1339" s="1">
        <v>4004710</v>
      </c>
      <c r="B1339" s="1" t="s">
        <v>180</v>
      </c>
      <c r="C1339" s="1" t="s">
        <v>2058</v>
      </c>
      <c r="D1339" s="39">
        <v>6731</v>
      </c>
      <c r="E1339" s="1" t="s">
        <v>1</v>
      </c>
      <c r="F1339" s="3">
        <v>5060.37</v>
      </c>
    </row>
    <row r="1340" spans="1:6" x14ac:dyDescent="0.25">
      <c r="A1340" s="1">
        <v>4004720</v>
      </c>
      <c r="B1340" s="1" t="s">
        <v>2947</v>
      </c>
      <c r="C1340" s="1" t="s">
        <v>2058</v>
      </c>
      <c r="D1340" s="39">
        <v>0</v>
      </c>
      <c r="E1340" s="1" t="s">
        <v>1</v>
      </c>
      <c r="F1340" s="39">
        <v>0</v>
      </c>
    </row>
    <row r="1341" spans="1:6" x14ac:dyDescent="0.25">
      <c r="A1341" s="1">
        <v>4004721</v>
      </c>
      <c r="B1341" s="1" t="s">
        <v>2948</v>
      </c>
      <c r="C1341" s="1" t="s">
        <v>2058</v>
      </c>
      <c r="D1341" s="39">
        <v>0</v>
      </c>
      <c r="E1341" s="1" t="s">
        <v>1</v>
      </c>
      <c r="F1341" s="39">
        <v>0</v>
      </c>
    </row>
    <row r="1342" spans="1:6" x14ac:dyDescent="0.25">
      <c r="A1342" s="1">
        <v>4004730</v>
      </c>
      <c r="B1342" s="1" t="s">
        <v>2949</v>
      </c>
      <c r="C1342" s="1" t="s">
        <v>2058</v>
      </c>
      <c r="D1342" s="39">
        <v>0</v>
      </c>
      <c r="E1342" s="1" t="s">
        <v>1</v>
      </c>
      <c r="F1342" s="39">
        <v>0</v>
      </c>
    </row>
    <row r="1343" spans="1:6" x14ac:dyDescent="0.25">
      <c r="A1343" s="1">
        <v>4004741</v>
      </c>
      <c r="B1343" s="1" t="s">
        <v>2950</v>
      </c>
      <c r="C1343" s="1" t="s">
        <v>2058</v>
      </c>
      <c r="D1343" s="39">
        <v>0</v>
      </c>
      <c r="E1343" s="1" t="s">
        <v>1</v>
      </c>
      <c r="F1343" s="39">
        <v>0</v>
      </c>
    </row>
    <row r="1344" spans="1:6" x14ac:dyDescent="0.25">
      <c r="A1344" s="1">
        <v>4004742</v>
      </c>
      <c r="B1344" s="1" t="s">
        <v>2951</v>
      </c>
      <c r="C1344" s="1" t="s">
        <v>2058</v>
      </c>
      <c r="D1344" s="39">
        <v>0</v>
      </c>
      <c r="E1344" s="1" t="s">
        <v>1</v>
      </c>
      <c r="F1344" s="39">
        <v>0</v>
      </c>
    </row>
    <row r="1345" spans="1:6" x14ac:dyDescent="0.25">
      <c r="A1345" s="1">
        <v>4004774</v>
      </c>
      <c r="B1345" s="1" t="s">
        <v>2952</v>
      </c>
      <c r="C1345" s="1" t="s">
        <v>2058</v>
      </c>
      <c r="D1345" s="39">
        <v>0</v>
      </c>
      <c r="E1345" s="1" t="s">
        <v>1</v>
      </c>
      <c r="F1345" s="39">
        <v>0</v>
      </c>
    </row>
    <row r="1346" spans="1:6" x14ac:dyDescent="0.25">
      <c r="A1346" s="1">
        <v>4004780</v>
      </c>
      <c r="B1346" s="1" t="s">
        <v>384</v>
      </c>
      <c r="C1346" s="1" t="s">
        <v>2058</v>
      </c>
      <c r="D1346" s="39">
        <v>27286</v>
      </c>
      <c r="E1346" s="1" t="s">
        <v>1</v>
      </c>
      <c r="F1346" s="3">
        <v>6180.28</v>
      </c>
    </row>
    <row r="1347" spans="1:6" x14ac:dyDescent="0.25">
      <c r="A1347" s="1">
        <v>4004820</v>
      </c>
      <c r="B1347" s="1" t="s">
        <v>867</v>
      </c>
      <c r="C1347" s="1" t="s">
        <v>2058</v>
      </c>
      <c r="D1347" s="39">
        <v>82</v>
      </c>
      <c r="E1347" s="1" t="s">
        <v>1</v>
      </c>
      <c r="F1347" s="3">
        <v>1448.88</v>
      </c>
    </row>
    <row r="1348" spans="1:6" x14ac:dyDescent="0.25">
      <c r="A1348" s="1">
        <v>4004880</v>
      </c>
      <c r="B1348" s="1" t="s">
        <v>2953</v>
      </c>
      <c r="C1348" s="1" t="s">
        <v>2058</v>
      </c>
      <c r="D1348" s="39">
        <v>0</v>
      </c>
      <c r="E1348" s="1" t="s">
        <v>1</v>
      </c>
      <c r="F1348" s="39">
        <v>0</v>
      </c>
    </row>
    <row r="1349" spans="1:6" x14ac:dyDescent="0.25">
      <c r="A1349" s="1">
        <v>4004881</v>
      </c>
      <c r="B1349" s="1" t="s">
        <v>1444</v>
      </c>
      <c r="C1349" s="1" t="s">
        <v>2058</v>
      </c>
      <c r="D1349" s="39">
        <v>1352</v>
      </c>
      <c r="E1349" s="1" t="s">
        <v>1</v>
      </c>
      <c r="F1349" s="3">
        <v>104.37</v>
      </c>
    </row>
    <row r="1350" spans="1:6" x14ac:dyDescent="0.25">
      <c r="A1350" s="1">
        <v>4004917</v>
      </c>
      <c r="B1350" s="1" t="s">
        <v>706</v>
      </c>
      <c r="C1350" s="1" t="s">
        <v>2058</v>
      </c>
      <c r="D1350" s="39">
        <v>0</v>
      </c>
      <c r="E1350" s="1" t="s">
        <v>1</v>
      </c>
      <c r="F1350" s="39">
        <v>0</v>
      </c>
    </row>
    <row r="1351" spans="1:6" x14ac:dyDescent="0.25">
      <c r="A1351" s="1">
        <v>4004920</v>
      </c>
      <c r="B1351" s="1" t="s">
        <v>1765</v>
      </c>
      <c r="C1351" s="1" t="s">
        <v>2058</v>
      </c>
      <c r="D1351" s="39">
        <v>3068</v>
      </c>
      <c r="E1351" s="1" t="s">
        <v>1</v>
      </c>
      <c r="F1351" s="3">
        <v>161.99</v>
      </c>
    </row>
    <row r="1352" spans="1:6" x14ac:dyDescent="0.25">
      <c r="A1352" s="1">
        <v>4004924</v>
      </c>
      <c r="B1352" s="1" t="s">
        <v>1758</v>
      </c>
      <c r="C1352" s="1" t="s">
        <v>2058</v>
      </c>
      <c r="D1352" s="39">
        <v>0</v>
      </c>
      <c r="E1352" s="1" t="s">
        <v>1</v>
      </c>
      <c r="F1352" s="39">
        <v>0</v>
      </c>
    </row>
    <row r="1353" spans="1:6" x14ac:dyDescent="0.25">
      <c r="A1353" s="1">
        <v>4004926</v>
      </c>
      <c r="B1353" s="1" t="s">
        <v>2954</v>
      </c>
      <c r="C1353" s="1" t="s">
        <v>2058</v>
      </c>
      <c r="D1353" s="39">
        <v>0</v>
      </c>
      <c r="E1353" s="1" t="s">
        <v>1</v>
      </c>
      <c r="F1353" s="39">
        <v>0</v>
      </c>
    </row>
    <row r="1354" spans="1:6" x14ac:dyDescent="0.25">
      <c r="A1354" s="1">
        <v>4004927</v>
      </c>
      <c r="B1354" s="1" t="s">
        <v>373</v>
      </c>
      <c r="C1354" s="1" t="s">
        <v>2058</v>
      </c>
      <c r="D1354" s="39">
        <v>12791</v>
      </c>
      <c r="E1354" s="1" t="s">
        <v>1</v>
      </c>
      <c r="F1354" s="3">
        <v>589.66999999999996</v>
      </c>
    </row>
    <row r="1355" spans="1:6" x14ac:dyDescent="0.25">
      <c r="A1355" s="1">
        <v>4004930</v>
      </c>
      <c r="B1355" s="1" t="s">
        <v>2955</v>
      </c>
      <c r="C1355" s="1" t="s">
        <v>2058</v>
      </c>
      <c r="D1355" s="39">
        <v>0</v>
      </c>
      <c r="E1355" s="1" t="s">
        <v>1</v>
      </c>
      <c r="F1355" s="39">
        <v>0</v>
      </c>
    </row>
    <row r="1356" spans="1:6" x14ac:dyDescent="0.25">
      <c r="A1356" s="1">
        <v>4004971</v>
      </c>
      <c r="B1356" s="1" t="s">
        <v>2956</v>
      </c>
      <c r="C1356" s="1" t="s">
        <v>2058</v>
      </c>
      <c r="D1356" s="39">
        <v>0</v>
      </c>
      <c r="E1356" s="1" t="s">
        <v>1</v>
      </c>
      <c r="F1356" s="39">
        <v>0</v>
      </c>
    </row>
    <row r="1357" spans="1:6" x14ac:dyDescent="0.25">
      <c r="A1357" s="1">
        <v>4005044</v>
      </c>
      <c r="B1357" s="1" t="s">
        <v>2957</v>
      </c>
      <c r="C1357" s="1" t="s">
        <v>2058</v>
      </c>
      <c r="D1357" s="39">
        <v>0</v>
      </c>
      <c r="E1357" s="1" t="s">
        <v>1</v>
      </c>
      <c r="F1357" s="39">
        <v>0</v>
      </c>
    </row>
    <row r="1358" spans="1:6" x14ac:dyDescent="0.25">
      <c r="A1358" s="1">
        <v>4005045</v>
      </c>
      <c r="B1358" s="1" t="s">
        <v>2958</v>
      </c>
      <c r="C1358" s="1" t="s">
        <v>2058</v>
      </c>
      <c r="D1358" s="39">
        <v>0</v>
      </c>
      <c r="E1358" s="1" t="s">
        <v>1</v>
      </c>
      <c r="F1358" s="39">
        <v>0</v>
      </c>
    </row>
    <row r="1359" spans="1:6" x14ac:dyDescent="0.25">
      <c r="A1359" s="1">
        <v>4005046</v>
      </c>
      <c r="B1359" s="1" t="s">
        <v>2959</v>
      </c>
      <c r="C1359" s="1" t="s">
        <v>2058</v>
      </c>
      <c r="D1359" s="39">
        <v>0</v>
      </c>
      <c r="E1359" s="1" t="s">
        <v>1</v>
      </c>
      <c r="F1359" s="39">
        <v>0</v>
      </c>
    </row>
    <row r="1360" spans="1:6" x14ac:dyDescent="0.25">
      <c r="A1360" s="1">
        <v>4005048</v>
      </c>
      <c r="B1360" s="1" t="s">
        <v>2960</v>
      </c>
      <c r="C1360" s="1" t="s">
        <v>2058</v>
      </c>
      <c r="D1360" s="39">
        <v>0</v>
      </c>
      <c r="E1360" s="1" t="s">
        <v>1</v>
      </c>
      <c r="F1360" s="39">
        <v>0</v>
      </c>
    </row>
    <row r="1361" spans="1:6" x14ac:dyDescent="0.25">
      <c r="A1361" s="1">
        <v>4005049</v>
      </c>
      <c r="B1361" s="1" t="s">
        <v>2961</v>
      </c>
      <c r="C1361" s="1" t="s">
        <v>2058</v>
      </c>
      <c r="D1361" s="39">
        <v>0</v>
      </c>
      <c r="E1361" s="1" t="s">
        <v>1</v>
      </c>
      <c r="F1361" s="39">
        <v>0</v>
      </c>
    </row>
    <row r="1362" spans="1:6" x14ac:dyDescent="0.25">
      <c r="A1362" s="1">
        <v>4005076</v>
      </c>
      <c r="B1362" s="1" t="s">
        <v>2962</v>
      </c>
      <c r="C1362" s="1" t="s">
        <v>2058</v>
      </c>
      <c r="D1362" s="39">
        <v>0</v>
      </c>
      <c r="E1362" s="1" t="s">
        <v>1</v>
      </c>
      <c r="F1362" s="39">
        <v>0</v>
      </c>
    </row>
    <row r="1363" spans="1:6" x14ac:dyDescent="0.25">
      <c r="A1363" s="1">
        <v>4005077</v>
      </c>
      <c r="B1363" s="1" t="s">
        <v>2963</v>
      </c>
      <c r="C1363" s="1" t="s">
        <v>2058</v>
      </c>
      <c r="D1363" s="39">
        <v>0</v>
      </c>
      <c r="E1363" s="1" t="s">
        <v>1</v>
      </c>
      <c r="F1363" s="39">
        <v>0</v>
      </c>
    </row>
    <row r="1364" spans="1:6" x14ac:dyDescent="0.25">
      <c r="A1364" s="1">
        <v>4005078</v>
      </c>
      <c r="B1364" s="1" t="s">
        <v>2964</v>
      </c>
      <c r="C1364" s="1" t="s">
        <v>2058</v>
      </c>
      <c r="D1364" s="39">
        <v>0</v>
      </c>
      <c r="E1364" s="1" t="s">
        <v>1</v>
      </c>
      <c r="F1364" s="39">
        <v>0</v>
      </c>
    </row>
    <row r="1365" spans="1:6" x14ac:dyDescent="0.25">
      <c r="A1365" s="1">
        <v>4005080</v>
      </c>
      <c r="B1365" s="1" t="s">
        <v>2965</v>
      </c>
      <c r="C1365" s="1" t="s">
        <v>2058</v>
      </c>
      <c r="D1365" s="39">
        <v>0</v>
      </c>
      <c r="E1365" s="1" t="s">
        <v>1</v>
      </c>
      <c r="F1365" s="39">
        <v>0</v>
      </c>
    </row>
    <row r="1366" spans="1:6" x14ac:dyDescent="0.25">
      <c r="A1366" s="1">
        <v>4005081</v>
      </c>
      <c r="B1366" s="1" t="s">
        <v>2966</v>
      </c>
      <c r="C1366" s="1" t="s">
        <v>2058</v>
      </c>
      <c r="D1366" s="39">
        <v>0</v>
      </c>
      <c r="E1366" s="1" t="s">
        <v>1</v>
      </c>
      <c r="F1366" s="39">
        <v>0</v>
      </c>
    </row>
    <row r="1367" spans="1:6" x14ac:dyDescent="0.25">
      <c r="A1367" s="1">
        <v>4005082</v>
      </c>
      <c r="B1367" s="1" t="s">
        <v>2967</v>
      </c>
      <c r="C1367" s="1" t="s">
        <v>2058</v>
      </c>
      <c r="D1367" s="39">
        <v>0</v>
      </c>
      <c r="E1367" s="1" t="s">
        <v>1</v>
      </c>
      <c r="F1367" s="39">
        <v>0</v>
      </c>
    </row>
    <row r="1368" spans="1:6" x14ac:dyDescent="0.25">
      <c r="A1368" s="1">
        <v>4005083</v>
      </c>
      <c r="B1368" s="1" t="s">
        <v>2968</v>
      </c>
      <c r="C1368" s="1" t="s">
        <v>2058</v>
      </c>
      <c r="D1368" s="39">
        <v>0</v>
      </c>
      <c r="E1368" s="1" t="s">
        <v>1</v>
      </c>
      <c r="F1368" s="39">
        <v>0</v>
      </c>
    </row>
    <row r="1369" spans="1:6" x14ac:dyDescent="0.25">
      <c r="A1369" s="1">
        <v>4005084</v>
      </c>
      <c r="B1369" s="1" t="s">
        <v>2969</v>
      </c>
      <c r="C1369" s="1" t="s">
        <v>2058</v>
      </c>
      <c r="D1369" s="39">
        <v>0</v>
      </c>
      <c r="E1369" s="1" t="s">
        <v>1</v>
      </c>
      <c r="F1369" s="39">
        <v>0</v>
      </c>
    </row>
    <row r="1370" spans="1:6" x14ac:dyDescent="0.25">
      <c r="A1370" s="1">
        <v>4005085</v>
      </c>
      <c r="B1370" s="1" t="s">
        <v>2970</v>
      </c>
      <c r="C1370" s="1" t="s">
        <v>2058</v>
      </c>
      <c r="D1370" s="39">
        <v>0</v>
      </c>
      <c r="E1370" s="1" t="s">
        <v>1</v>
      </c>
      <c r="F1370" s="39">
        <v>0</v>
      </c>
    </row>
    <row r="1371" spans="1:6" x14ac:dyDescent="0.25">
      <c r="A1371" s="1">
        <v>4005086</v>
      </c>
      <c r="B1371" s="1" t="s">
        <v>1769</v>
      </c>
      <c r="C1371" s="1" t="s">
        <v>2058</v>
      </c>
      <c r="D1371" s="39">
        <v>0</v>
      </c>
      <c r="E1371" s="1" t="s">
        <v>1</v>
      </c>
      <c r="F1371" s="39">
        <v>0</v>
      </c>
    </row>
    <row r="1372" spans="1:6" x14ac:dyDescent="0.25">
      <c r="A1372" s="1">
        <v>4005240</v>
      </c>
      <c r="B1372" s="1" t="s">
        <v>367</v>
      </c>
      <c r="C1372" s="1" t="s">
        <v>2058</v>
      </c>
      <c r="D1372" s="39">
        <v>685</v>
      </c>
      <c r="E1372" s="1" t="s">
        <v>1</v>
      </c>
      <c r="F1372" s="3">
        <v>2636.16</v>
      </c>
    </row>
    <row r="1373" spans="1:6" x14ac:dyDescent="0.25">
      <c r="A1373" s="1">
        <v>4005241</v>
      </c>
      <c r="B1373" s="1" t="s">
        <v>374</v>
      </c>
      <c r="C1373" s="1" t="s">
        <v>2058</v>
      </c>
      <c r="D1373" s="39">
        <v>1269</v>
      </c>
      <c r="E1373" s="1" t="s">
        <v>1</v>
      </c>
      <c r="F1373" s="3">
        <v>5063.4399999999996</v>
      </c>
    </row>
    <row r="1374" spans="1:6" x14ac:dyDescent="0.25">
      <c r="A1374" s="1">
        <v>4005242</v>
      </c>
      <c r="B1374" s="1" t="s">
        <v>385</v>
      </c>
      <c r="C1374" s="1" t="s">
        <v>2058</v>
      </c>
      <c r="D1374" s="39">
        <v>982</v>
      </c>
      <c r="E1374" s="1" t="s">
        <v>1</v>
      </c>
      <c r="F1374" s="3">
        <v>3382.01</v>
      </c>
    </row>
    <row r="1375" spans="1:6" x14ac:dyDescent="0.25">
      <c r="A1375" s="1">
        <v>4005243</v>
      </c>
      <c r="B1375" s="1" t="s">
        <v>2971</v>
      </c>
      <c r="C1375" s="1" t="s">
        <v>2058</v>
      </c>
      <c r="D1375" s="39">
        <v>0</v>
      </c>
      <c r="E1375" s="1" t="s">
        <v>1</v>
      </c>
      <c r="F1375" s="39">
        <v>0</v>
      </c>
    </row>
    <row r="1376" spans="1:6" x14ac:dyDescent="0.25">
      <c r="A1376" s="1">
        <v>4005244</v>
      </c>
      <c r="B1376" s="1" t="s">
        <v>1759</v>
      </c>
      <c r="C1376" s="1" t="s">
        <v>2058</v>
      </c>
      <c r="D1376" s="39">
        <v>0</v>
      </c>
      <c r="E1376" s="1" t="s">
        <v>1</v>
      </c>
      <c r="F1376" s="39">
        <v>0</v>
      </c>
    </row>
    <row r="1377" spans="1:6" x14ac:dyDescent="0.25">
      <c r="A1377" s="1">
        <v>4005245</v>
      </c>
      <c r="B1377" s="1" t="s">
        <v>738</v>
      </c>
      <c r="C1377" s="1" t="s">
        <v>2058</v>
      </c>
      <c r="D1377" s="39">
        <v>0</v>
      </c>
      <c r="E1377" s="1" t="s">
        <v>1</v>
      </c>
      <c r="F1377" s="39">
        <v>0</v>
      </c>
    </row>
    <row r="1378" spans="1:6" x14ac:dyDescent="0.25">
      <c r="A1378" s="1">
        <v>4005246</v>
      </c>
      <c r="B1378" s="1" t="s">
        <v>2972</v>
      </c>
      <c r="C1378" s="1" t="s">
        <v>2058</v>
      </c>
      <c r="D1378" s="39">
        <v>0</v>
      </c>
      <c r="E1378" s="1" t="s">
        <v>1</v>
      </c>
      <c r="F1378" s="39">
        <v>0</v>
      </c>
    </row>
    <row r="1379" spans="1:6" x14ac:dyDescent="0.25">
      <c r="A1379" s="1">
        <v>4005247</v>
      </c>
      <c r="B1379" s="1" t="s">
        <v>2973</v>
      </c>
      <c r="C1379" s="1" t="s">
        <v>2058</v>
      </c>
      <c r="D1379" s="39">
        <v>0</v>
      </c>
      <c r="E1379" s="1" t="s">
        <v>1</v>
      </c>
      <c r="F1379" s="39">
        <v>0</v>
      </c>
    </row>
    <row r="1380" spans="1:6" x14ac:dyDescent="0.25">
      <c r="A1380" s="1">
        <v>4005248</v>
      </c>
      <c r="B1380" s="1" t="s">
        <v>2974</v>
      </c>
      <c r="C1380" s="1" t="s">
        <v>2058</v>
      </c>
      <c r="D1380" s="39">
        <v>0</v>
      </c>
      <c r="E1380" s="1" t="s">
        <v>1</v>
      </c>
      <c r="F1380" s="39">
        <v>0</v>
      </c>
    </row>
    <row r="1381" spans="1:6" x14ac:dyDescent="0.25">
      <c r="A1381" s="1">
        <v>4005249</v>
      </c>
      <c r="B1381" s="1" t="s">
        <v>2975</v>
      </c>
      <c r="C1381" s="1" t="s">
        <v>2058</v>
      </c>
      <c r="D1381" s="39">
        <v>0</v>
      </c>
      <c r="E1381" s="1" t="s">
        <v>1</v>
      </c>
      <c r="F1381" s="39">
        <v>0</v>
      </c>
    </row>
    <row r="1382" spans="1:6" x14ac:dyDescent="0.25">
      <c r="A1382" s="1">
        <v>4005271</v>
      </c>
      <c r="B1382" s="1" t="s">
        <v>2976</v>
      </c>
      <c r="C1382" s="1" t="s">
        <v>2058</v>
      </c>
      <c r="D1382" s="39">
        <v>0</v>
      </c>
      <c r="E1382" s="1" t="s">
        <v>3</v>
      </c>
      <c r="F1382" s="39">
        <v>0</v>
      </c>
    </row>
    <row r="1383" spans="1:6" x14ac:dyDescent="0.25">
      <c r="A1383" s="1">
        <v>4005272</v>
      </c>
      <c r="B1383" s="1" t="s">
        <v>2977</v>
      </c>
      <c r="C1383" s="1" t="s">
        <v>2058</v>
      </c>
      <c r="D1383" s="39">
        <v>0</v>
      </c>
      <c r="E1383" s="1" t="s">
        <v>3</v>
      </c>
      <c r="F1383" s="39">
        <v>0</v>
      </c>
    </row>
    <row r="1384" spans="1:6" x14ac:dyDescent="0.25">
      <c r="A1384" s="1">
        <v>4005285</v>
      </c>
      <c r="B1384" s="1" t="s">
        <v>1770</v>
      </c>
      <c r="C1384" s="1" t="s">
        <v>2058</v>
      </c>
      <c r="D1384" s="39">
        <v>0</v>
      </c>
      <c r="E1384" s="1" t="s">
        <v>1</v>
      </c>
      <c r="F1384" s="39">
        <v>0</v>
      </c>
    </row>
    <row r="1385" spans="1:6" x14ac:dyDescent="0.25">
      <c r="A1385" s="1">
        <v>4005287</v>
      </c>
      <c r="B1385" s="1" t="s">
        <v>739</v>
      </c>
      <c r="C1385" s="1" t="s">
        <v>2058</v>
      </c>
      <c r="D1385" s="39">
        <v>2904</v>
      </c>
      <c r="E1385" s="1" t="s">
        <v>1</v>
      </c>
      <c r="F1385" s="3">
        <v>126.32</v>
      </c>
    </row>
    <row r="1386" spans="1:6" x14ac:dyDescent="0.25">
      <c r="A1386" s="1">
        <v>4005290</v>
      </c>
      <c r="B1386" s="1" t="s">
        <v>1771</v>
      </c>
      <c r="C1386" s="1" t="s">
        <v>2058</v>
      </c>
      <c r="D1386" s="39">
        <v>0</v>
      </c>
      <c r="E1386" s="1" t="s">
        <v>1</v>
      </c>
      <c r="F1386" s="39">
        <v>0</v>
      </c>
    </row>
    <row r="1387" spans="1:6" x14ac:dyDescent="0.25">
      <c r="A1387" s="1">
        <v>4005320</v>
      </c>
      <c r="B1387" s="1" t="s">
        <v>2978</v>
      </c>
      <c r="C1387" s="1" t="s">
        <v>2058</v>
      </c>
      <c r="D1387" s="39">
        <v>0</v>
      </c>
      <c r="E1387" s="1" t="s">
        <v>1</v>
      </c>
      <c r="F1387" s="39">
        <v>0</v>
      </c>
    </row>
    <row r="1388" spans="1:6" x14ac:dyDescent="0.25">
      <c r="A1388" s="1">
        <v>4005321</v>
      </c>
      <c r="B1388" s="1" t="s">
        <v>2979</v>
      </c>
      <c r="C1388" s="1" t="s">
        <v>2058</v>
      </c>
      <c r="D1388" s="39">
        <v>0</v>
      </c>
      <c r="E1388" s="1" t="s">
        <v>1</v>
      </c>
      <c r="F1388" s="39">
        <v>0</v>
      </c>
    </row>
    <row r="1389" spans="1:6" x14ac:dyDescent="0.25">
      <c r="A1389" s="1">
        <v>4005322</v>
      </c>
      <c r="B1389" s="1" t="s">
        <v>2980</v>
      </c>
      <c r="C1389" s="1" t="s">
        <v>2058</v>
      </c>
      <c r="D1389" s="39">
        <v>0</v>
      </c>
      <c r="E1389" s="1" t="s">
        <v>1</v>
      </c>
      <c r="F1389" s="39">
        <v>0</v>
      </c>
    </row>
    <row r="1390" spans="1:6" x14ac:dyDescent="0.25">
      <c r="A1390" s="1">
        <v>4005323</v>
      </c>
      <c r="B1390" s="1" t="s">
        <v>2981</v>
      </c>
      <c r="C1390" s="1" t="s">
        <v>2058</v>
      </c>
      <c r="D1390" s="39">
        <v>0</v>
      </c>
      <c r="E1390" s="1" t="s">
        <v>1</v>
      </c>
      <c r="F1390" s="39">
        <v>0</v>
      </c>
    </row>
    <row r="1391" spans="1:6" x14ac:dyDescent="0.25">
      <c r="A1391" s="1">
        <v>4005361</v>
      </c>
      <c r="B1391" s="1" t="s">
        <v>2982</v>
      </c>
      <c r="C1391" s="1" t="s">
        <v>2058</v>
      </c>
      <c r="D1391" s="39">
        <v>0</v>
      </c>
      <c r="E1391" s="1" t="s">
        <v>1</v>
      </c>
      <c r="F1391" s="39">
        <v>0</v>
      </c>
    </row>
    <row r="1392" spans="1:6" x14ac:dyDescent="0.25">
      <c r="A1392" s="1">
        <v>4005362</v>
      </c>
      <c r="B1392" s="1" t="s">
        <v>2983</v>
      </c>
      <c r="C1392" s="1" t="s">
        <v>2058</v>
      </c>
      <c r="D1392" s="39">
        <v>0</v>
      </c>
      <c r="E1392" s="1" t="s">
        <v>1</v>
      </c>
      <c r="F1392" s="39">
        <v>0</v>
      </c>
    </row>
    <row r="1393" spans="1:6" x14ac:dyDescent="0.25">
      <c r="A1393" s="1">
        <v>4005363</v>
      </c>
      <c r="B1393" s="1" t="s">
        <v>2984</v>
      </c>
      <c r="C1393" s="1" t="s">
        <v>2058</v>
      </c>
      <c r="D1393" s="39">
        <v>0</v>
      </c>
      <c r="E1393" s="1" t="s">
        <v>1</v>
      </c>
      <c r="F1393" s="39">
        <v>0</v>
      </c>
    </row>
    <row r="1394" spans="1:6" x14ac:dyDescent="0.25">
      <c r="A1394" s="1">
        <v>4005364</v>
      </c>
      <c r="B1394" s="1" t="s">
        <v>2985</v>
      </c>
      <c r="C1394" s="1" t="s">
        <v>2058</v>
      </c>
      <c r="D1394" s="39">
        <v>0</v>
      </c>
      <c r="E1394" s="1" t="s">
        <v>1</v>
      </c>
      <c r="F1394" s="39">
        <v>0</v>
      </c>
    </row>
    <row r="1395" spans="1:6" x14ac:dyDescent="0.25">
      <c r="A1395" s="1">
        <v>4005365</v>
      </c>
      <c r="B1395" s="1" t="s">
        <v>2986</v>
      </c>
      <c r="C1395" s="1" t="s">
        <v>2058</v>
      </c>
      <c r="D1395" s="39">
        <v>0</v>
      </c>
      <c r="E1395" s="1" t="s">
        <v>1</v>
      </c>
      <c r="F1395" s="39">
        <v>0</v>
      </c>
    </row>
    <row r="1396" spans="1:6" x14ac:dyDescent="0.25">
      <c r="A1396" s="1">
        <v>4005399</v>
      </c>
      <c r="B1396" s="1" t="s">
        <v>2987</v>
      </c>
      <c r="C1396" s="1" t="s">
        <v>2058</v>
      </c>
      <c r="D1396" s="39">
        <v>0</v>
      </c>
      <c r="E1396" s="1" t="s">
        <v>1</v>
      </c>
      <c r="F1396" s="39">
        <v>0</v>
      </c>
    </row>
    <row r="1397" spans="1:6" x14ac:dyDescent="0.25">
      <c r="A1397" s="1">
        <v>4005407</v>
      </c>
      <c r="B1397" s="1" t="s">
        <v>1514</v>
      </c>
      <c r="C1397" s="1" t="s">
        <v>2058</v>
      </c>
      <c r="D1397" s="39">
        <v>0</v>
      </c>
      <c r="E1397" s="1" t="s">
        <v>1</v>
      </c>
      <c r="F1397" s="39">
        <v>0</v>
      </c>
    </row>
    <row r="1398" spans="1:6" x14ac:dyDescent="0.25">
      <c r="A1398" s="1">
        <v>4005408</v>
      </c>
      <c r="B1398" s="1" t="s">
        <v>1463</v>
      </c>
      <c r="C1398" s="1" t="s">
        <v>2058</v>
      </c>
      <c r="D1398" s="39">
        <v>0</v>
      </c>
      <c r="E1398" s="1" t="s">
        <v>1</v>
      </c>
      <c r="F1398" s="39">
        <v>0</v>
      </c>
    </row>
    <row r="1399" spans="1:6" x14ac:dyDescent="0.25">
      <c r="A1399" s="1">
        <v>4005420</v>
      </c>
      <c r="B1399" s="1" t="s">
        <v>2988</v>
      </c>
      <c r="C1399" s="1" t="s">
        <v>2058</v>
      </c>
      <c r="D1399" s="39">
        <v>0</v>
      </c>
      <c r="E1399" s="1" t="s">
        <v>1</v>
      </c>
      <c r="F1399" s="39">
        <v>0</v>
      </c>
    </row>
    <row r="1400" spans="1:6" x14ac:dyDescent="0.25">
      <c r="A1400" s="1">
        <v>4005423</v>
      </c>
      <c r="B1400" s="1" t="s">
        <v>2989</v>
      </c>
      <c r="C1400" s="1" t="s">
        <v>2058</v>
      </c>
      <c r="D1400" s="39">
        <v>0</v>
      </c>
      <c r="E1400" s="1" t="s">
        <v>1</v>
      </c>
      <c r="F1400" s="39">
        <v>0</v>
      </c>
    </row>
    <row r="1401" spans="1:6" x14ac:dyDescent="0.25">
      <c r="A1401" s="1">
        <v>4005433</v>
      </c>
      <c r="B1401" s="1" t="s">
        <v>2990</v>
      </c>
      <c r="C1401" s="1" t="s">
        <v>2058</v>
      </c>
      <c r="D1401" s="39">
        <v>0</v>
      </c>
      <c r="E1401" s="1" t="s">
        <v>1</v>
      </c>
      <c r="F1401" s="39">
        <v>0</v>
      </c>
    </row>
    <row r="1402" spans="1:6" x14ac:dyDescent="0.25">
      <c r="A1402" s="1">
        <v>4005434</v>
      </c>
      <c r="B1402" s="1" t="s">
        <v>2991</v>
      </c>
      <c r="C1402" s="1" t="s">
        <v>2058</v>
      </c>
      <c r="D1402" s="39">
        <v>0</v>
      </c>
      <c r="E1402" s="1" t="s">
        <v>1</v>
      </c>
      <c r="F1402" s="39">
        <v>0</v>
      </c>
    </row>
    <row r="1403" spans="1:6" x14ac:dyDescent="0.25">
      <c r="A1403" s="1">
        <v>4005435</v>
      </c>
      <c r="B1403" s="1" t="s">
        <v>2992</v>
      </c>
      <c r="C1403" s="1" t="s">
        <v>2058</v>
      </c>
      <c r="D1403" s="39">
        <v>0</v>
      </c>
      <c r="E1403" s="1" t="s">
        <v>1</v>
      </c>
      <c r="F1403" s="39">
        <v>0</v>
      </c>
    </row>
    <row r="1404" spans="1:6" x14ac:dyDescent="0.25">
      <c r="A1404" s="1">
        <v>4005438</v>
      </c>
      <c r="B1404" s="1" t="s">
        <v>2993</v>
      </c>
      <c r="C1404" s="1" t="s">
        <v>2058</v>
      </c>
      <c r="D1404" s="39">
        <v>0</v>
      </c>
      <c r="E1404" s="1" t="s">
        <v>1</v>
      </c>
      <c r="F1404" s="39">
        <v>0</v>
      </c>
    </row>
    <row r="1405" spans="1:6" x14ac:dyDescent="0.25">
      <c r="A1405" s="1">
        <v>4005440</v>
      </c>
      <c r="B1405" s="1" t="s">
        <v>2994</v>
      </c>
      <c r="C1405" s="1" t="s">
        <v>2058</v>
      </c>
      <c r="D1405" s="39">
        <v>0</v>
      </c>
      <c r="E1405" s="1" t="s">
        <v>1</v>
      </c>
      <c r="F1405" s="39">
        <v>0</v>
      </c>
    </row>
    <row r="1406" spans="1:6" x14ac:dyDescent="0.25">
      <c r="A1406" s="1">
        <v>4005442</v>
      </c>
      <c r="B1406" s="1" t="s">
        <v>2995</v>
      </c>
      <c r="C1406" s="1" t="s">
        <v>2058</v>
      </c>
      <c r="D1406" s="39">
        <v>0</v>
      </c>
      <c r="E1406" s="1" t="s">
        <v>1</v>
      </c>
      <c r="F1406" s="39">
        <v>0</v>
      </c>
    </row>
    <row r="1407" spans="1:6" x14ac:dyDescent="0.25">
      <c r="A1407" s="1">
        <v>4005443</v>
      </c>
      <c r="B1407" s="1" t="s">
        <v>2996</v>
      </c>
      <c r="C1407" s="1" t="s">
        <v>2058</v>
      </c>
      <c r="D1407" s="39">
        <v>0</v>
      </c>
      <c r="E1407" s="1" t="s">
        <v>1</v>
      </c>
      <c r="F1407" s="39">
        <v>0</v>
      </c>
    </row>
    <row r="1408" spans="1:6" x14ac:dyDescent="0.25">
      <c r="A1408" s="1">
        <v>4005515</v>
      </c>
      <c r="B1408" s="1" t="s">
        <v>2997</v>
      </c>
      <c r="C1408" s="1" t="s">
        <v>2058</v>
      </c>
      <c r="D1408" s="39">
        <v>0</v>
      </c>
      <c r="E1408" s="1" t="s">
        <v>1</v>
      </c>
      <c r="F1408" s="39">
        <v>0</v>
      </c>
    </row>
    <row r="1409" spans="1:6" x14ac:dyDescent="0.25">
      <c r="A1409" s="1">
        <v>4005516</v>
      </c>
      <c r="B1409" s="1" t="s">
        <v>2998</v>
      </c>
      <c r="C1409" s="1" t="s">
        <v>2058</v>
      </c>
      <c r="D1409" s="39">
        <v>0</v>
      </c>
      <c r="E1409" s="1" t="s">
        <v>1</v>
      </c>
      <c r="F1409" s="39">
        <v>0</v>
      </c>
    </row>
    <row r="1410" spans="1:6" x14ac:dyDescent="0.25">
      <c r="A1410" s="1">
        <v>4005531</v>
      </c>
      <c r="B1410" s="1" t="s">
        <v>2999</v>
      </c>
      <c r="C1410" s="1" t="s">
        <v>2058</v>
      </c>
      <c r="D1410" s="39">
        <v>0</v>
      </c>
      <c r="E1410" s="1" t="s">
        <v>1</v>
      </c>
      <c r="F1410" s="39">
        <v>0</v>
      </c>
    </row>
    <row r="1411" spans="1:6" x14ac:dyDescent="0.25">
      <c r="A1411" s="1">
        <v>4005650</v>
      </c>
      <c r="B1411" s="1" t="s">
        <v>3000</v>
      </c>
      <c r="C1411" s="1" t="s">
        <v>2058</v>
      </c>
      <c r="D1411" s="39">
        <v>0</v>
      </c>
      <c r="E1411" s="1" t="s">
        <v>1</v>
      </c>
      <c r="F1411" s="39">
        <v>0</v>
      </c>
    </row>
    <row r="1412" spans="1:6" x14ac:dyDescent="0.25">
      <c r="A1412" s="1">
        <v>4005651</v>
      </c>
      <c r="B1412" s="1" t="s">
        <v>3001</v>
      </c>
      <c r="C1412" s="1" t="s">
        <v>2058</v>
      </c>
      <c r="D1412" s="39">
        <v>0</v>
      </c>
      <c r="E1412" s="1" t="s">
        <v>1</v>
      </c>
      <c r="F1412" s="39">
        <v>0</v>
      </c>
    </row>
    <row r="1413" spans="1:6" x14ac:dyDescent="0.25">
      <c r="A1413" s="1">
        <v>4005737</v>
      </c>
      <c r="B1413" s="1" t="s">
        <v>1610</v>
      </c>
      <c r="C1413" s="1" t="s">
        <v>2058</v>
      </c>
      <c r="D1413" s="39">
        <v>0</v>
      </c>
      <c r="E1413" s="1" t="s">
        <v>1</v>
      </c>
      <c r="F1413" s="39">
        <v>0</v>
      </c>
    </row>
    <row r="1414" spans="1:6" x14ac:dyDescent="0.25">
      <c r="A1414" s="1">
        <v>4005739</v>
      </c>
      <c r="B1414" s="1" t="s">
        <v>1630</v>
      </c>
      <c r="C1414" s="1" t="s">
        <v>2058</v>
      </c>
      <c r="D1414" s="39">
        <v>0</v>
      </c>
      <c r="E1414" s="1" t="s">
        <v>1</v>
      </c>
      <c r="F1414" s="39">
        <v>0</v>
      </c>
    </row>
    <row r="1415" spans="1:6" x14ac:dyDescent="0.25">
      <c r="A1415" s="1">
        <v>4005740</v>
      </c>
      <c r="B1415" s="1" t="s">
        <v>3002</v>
      </c>
      <c r="C1415" s="1" t="s">
        <v>2058</v>
      </c>
      <c r="D1415" s="39">
        <v>0</v>
      </c>
      <c r="E1415" s="1" t="s">
        <v>1</v>
      </c>
      <c r="F1415" s="39">
        <v>0</v>
      </c>
    </row>
    <row r="1416" spans="1:6" x14ac:dyDescent="0.25">
      <c r="A1416" s="1">
        <v>4005741</v>
      </c>
      <c r="B1416" s="1" t="s">
        <v>3003</v>
      </c>
      <c r="C1416" s="1" t="s">
        <v>2058</v>
      </c>
      <c r="D1416" s="39">
        <v>0</v>
      </c>
      <c r="E1416" s="1" t="s">
        <v>1</v>
      </c>
      <c r="F1416" s="39">
        <v>0</v>
      </c>
    </row>
    <row r="1417" spans="1:6" x14ac:dyDescent="0.25">
      <c r="A1417" s="1">
        <v>4005778</v>
      </c>
      <c r="B1417" s="1" t="s">
        <v>1611</v>
      </c>
      <c r="C1417" s="1" t="s">
        <v>2058</v>
      </c>
      <c r="D1417" s="39">
        <v>0</v>
      </c>
      <c r="E1417" s="1" t="s">
        <v>3</v>
      </c>
      <c r="F1417" s="39">
        <v>0</v>
      </c>
    </row>
    <row r="1418" spans="1:6" x14ac:dyDescent="0.25">
      <c r="A1418" s="1">
        <v>4005783</v>
      </c>
      <c r="B1418" s="1" t="s">
        <v>1559</v>
      </c>
      <c r="C1418" s="1" t="s">
        <v>2058</v>
      </c>
      <c r="D1418" s="39">
        <v>0</v>
      </c>
      <c r="E1418" s="1" t="s">
        <v>3</v>
      </c>
      <c r="F1418" s="39">
        <v>0</v>
      </c>
    </row>
    <row r="1419" spans="1:6" x14ac:dyDescent="0.25">
      <c r="A1419" s="1">
        <v>4005785</v>
      </c>
      <c r="B1419" s="1" t="s">
        <v>3004</v>
      </c>
      <c r="C1419" s="1" t="s">
        <v>2058</v>
      </c>
      <c r="D1419" s="39">
        <v>0</v>
      </c>
      <c r="E1419" s="1" t="s">
        <v>1</v>
      </c>
      <c r="F1419" s="39">
        <v>0</v>
      </c>
    </row>
    <row r="1420" spans="1:6" x14ac:dyDescent="0.25">
      <c r="A1420" s="1">
        <v>4005786</v>
      </c>
      <c r="B1420" s="1" t="s">
        <v>3005</v>
      </c>
      <c r="C1420" s="1" t="s">
        <v>2058</v>
      </c>
      <c r="D1420" s="39">
        <v>0</v>
      </c>
      <c r="E1420" s="1" t="s">
        <v>1</v>
      </c>
      <c r="F1420" s="39">
        <v>0</v>
      </c>
    </row>
    <row r="1421" spans="1:6" x14ac:dyDescent="0.25">
      <c r="A1421" s="1">
        <v>4005790</v>
      </c>
      <c r="B1421" s="1" t="s">
        <v>1560</v>
      </c>
      <c r="C1421" s="1" t="s">
        <v>2058</v>
      </c>
      <c r="D1421" s="39">
        <v>0</v>
      </c>
      <c r="E1421" s="1" t="s">
        <v>1</v>
      </c>
      <c r="F1421" s="39">
        <v>0</v>
      </c>
    </row>
    <row r="1422" spans="1:6" x14ac:dyDescent="0.25">
      <c r="A1422" s="1">
        <v>4005791</v>
      </c>
      <c r="B1422" s="1" t="s">
        <v>1582</v>
      </c>
      <c r="C1422" s="1" t="s">
        <v>2058</v>
      </c>
      <c r="D1422" s="39">
        <v>0</v>
      </c>
      <c r="E1422" s="1" t="s">
        <v>1</v>
      </c>
      <c r="F1422" s="39">
        <v>0</v>
      </c>
    </row>
    <row r="1423" spans="1:6" x14ac:dyDescent="0.25">
      <c r="A1423" s="1">
        <v>4005792</v>
      </c>
      <c r="B1423" s="1" t="s">
        <v>3006</v>
      </c>
      <c r="C1423" s="1" t="s">
        <v>2058</v>
      </c>
      <c r="D1423" s="39">
        <v>0</v>
      </c>
      <c r="E1423" s="1" t="s">
        <v>1</v>
      </c>
      <c r="F1423" s="39">
        <v>0</v>
      </c>
    </row>
    <row r="1424" spans="1:6" x14ac:dyDescent="0.25">
      <c r="A1424" s="1">
        <v>4005812</v>
      </c>
      <c r="B1424" s="1" t="s">
        <v>3007</v>
      </c>
      <c r="C1424" s="1" t="s">
        <v>2058</v>
      </c>
      <c r="D1424" s="39">
        <v>0</v>
      </c>
      <c r="E1424" s="1" t="s">
        <v>1</v>
      </c>
      <c r="F1424" s="39">
        <v>0</v>
      </c>
    </row>
    <row r="1425" spans="1:6" x14ac:dyDescent="0.25">
      <c r="A1425" s="1">
        <v>4005843</v>
      </c>
      <c r="B1425" s="1" t="s">
        <v>3008</v>
      </c>
      <c r="C1425" s="1" t="s">
        <v>2058</v>
      </c>
      <c r="D1425" s="39">
        <v>0</v>
      </c>
      <c r="E1425" s="1" t="s">
        <v>1</v>
      </c>
      <c r="F1425" s="39">
        <v>0</v>
      </c>
    </row>
    <row r="1426" spans="1:6" x14ac:dyDescent="0.25">
      <c r="A1426" s="1">
        <v>4005844</v>
      </c>
      <c r="B1426" s="1" t="s">
        <v>3009</v>
      </c>
      <c r="C1426" s="1" t="s">
        <v>2058</v>
      </c>
      <c r="D1426" s="39">
        <v>0</v>
      </c>
      <c r="E1426" s="1" t="s">
        <v>1</v>
      </c>
      <c r="F1426" s="39">
        <v>0</v>
      </c>
    </row>
    <row r="1427" spans="1:6" x14ac:dyDescent="0.25">
      <c r="A1427" s="1">
        <v>4005845</v>
      </c>
      <c r="B1427" s="1" t="s">
        <v>3010</v>
      </c>
      <c r="C1427" s="1" t="s">
        <v>2058</v>
      </c>
      <c r="D1427" s="39">
        <v>0</v>
      </c>
      <c r="E1427" s="1" t="s">
        <v>1</v>
      </c>
      <c r="F1427" s="39">
        <v>0</v>
      </c>
    </row>
    <row r="1428" spans="1:6" x14ac:dyDescent="0.25">
      <c r="A1428" s="1">
        <v>4005881</v>
      </c>
      <c r="B1428" s="1" t="s">
        <v>3011</v>
      </c>
      <c r="C1428" s="1" t="s">
        <v>2058</v>
      </c>
      <c r="D1428" s="39">
        <v>0</v>
      </c>
      <c r="E1428" s="1" t="s">
        <v>1</v>
      </c>
      <c r="F1428" s="39">
        <v>0</v>
      </c>
    </row>
    <row r="1429" spans="1:6" x14ac:dyDescent="0.25">
      <c r="A1429" s="1">
        <v>4005883</v>
      </c>
      <c r="B1429" s="1" t="s">
        <v>1464</v>
      </c>
      <c r="C1429" s="1" t="s">
        <v>2058</v>
      </c>
      <c r="D1429" s="39">
        <v>0</v>
      </c>
      <c r="E1429" s="1" t="s">
        <v>1</v>
      </c>
      <c r="F1429" s="39">
        <v>0</v>
      </c>
    </row>
    <row r="1430" spans="1:6" x14ac:dyDescent="0.25">
      <c r="A1430" s="1">
        <v>4005884</v>
      </c>
      <c r="B1430" s="1" t="s">
        <v>3012</v>
      </c>
      <c r="C1430" s="1" t="s">
        <v>2058</v>
      </c>
      <c r="D1430" s="39">
        <v>0</v>
      </c>
      <c r="E1430" s="1" t="s">
        <v>1</v>
      </c>
      <c r="F1430" s="39">
        <v>0</v>
      </c>
    </row>
    <row r="1431" spans="1:6" x14ac:dyDescent="0.25">
      <c r="A1431" s="1">
        <v>4005912</v>
      </c>
      <c r="B1431" s="1" t="s">
        <v>3013</v>
      </c>
      <c r="C1431" s="1" t="s">
        <v>2058</v>
      </c>
      <c r="D1431" s="39">
        <v>0</v>
      </c>
      <c r="E1431" s="1" t="s">
        <v>1</v>
      </c>
      <c r="F1431" s="39">
        <v>0</v>
      </c>
    </row>
    <row r="1432" spans="1:6" x14ac:dyDescent="0.25">
      <c r="A1432" s="1">
        <v>4005926</v>
      </c>
      <c r="B1432" s="1" t="s">
        <v>3014</v>
      </c>
      <c r="C1432" s="1" t="s">
        <v>2058</v>
      </c>
      <c r="D1432" s="39">
        <v>0</v>
      </c>
      <c r="E1432" s="1" t="s">
        <v>1</v>
      </c>
      <c r="F1432" s="39">
        <v>0</v>
      </c>
    </row>
    <row r="1433" spans="1:6" x14ac:dyDescent="0.25">
      <c r="A1433" s="1">
        <v>4005927</v>
      </c>
      <c r="B1433" s="1" t="s">
        <v>3015</v>
      </c>
      <c r="C1433" s="1" t="s">
        <v>2058</v>
      </c>
      <c r="D1433" s="39">
        <v>0</v>
      </c>
      <c r="E1433" s="1" t="s">
        <v>1</v>
      </c>
      <c r="F1433" s="39">
        <v>0</v>
      </c>
    </row>
    <row r="1434" spans="1:6" x14ac:dyDescent="0.25">
      <c r="A1434" s="1">
        <v>4005945</v>
      </c>
      <c r="B1434" s="1" t="s">
        <v>1544</v>
      </c>
      <c r="C1434" s="1" t="s">
        <v>2058</v>
      </c>
      <c r="D1434" s="39">
        <v>0</v>
      </c>
      <c r="E1434" s="1" t="s">
        <v>1</v>
      </c>
      <c r="F1434" s="39">
        <v>0</v>
      </c>
    </row>
    <row r="1435" spans="1:6" x14ac:dyDescent="0.25">
      <c r="A1435" s="1">
        <v>4005951</v>
      </c>
      <c r="B1435" s="1" t="s">
        <v>1266</v>
      </c>
      <c r="C1435" s="1" t="s">
        <v>2058</v>
      </c>
      <c r="D1435" s="39">
        <v>0</v>
      </c>
      <c r="E1435" s="1" t="s">
        <v>1</v>
      </c>
      <c r="F1435" s="39">
        <v>0</v>
      </c>
    </row>
    <row r="1436" spans="1:6" x14ac:dyDescent="0.25">
      <c r="A1436" s="1">
        <v>4005953</v>
      </c>
      <c r="B1436" s="1" t="s">
        <v>1267</v>
      </c>
      <c r="C1436" s="1" t="s">
        <v>2058</v>
      </c>
      <c r="D1436" s="39">
        <v>0</v>
      </c>
      <c r="E1436" s="1" t="s">
        <v>1</v>
      </c>
      <c r="F1436" s="39">
        <v>0</v>
      </c>
    </row>
    <row r="1437" spans="1:6" x14ac:dyDescent="0.25">
      <c r="A1437" s="1">
        <v>4005967</v>
      </c>
      <c r="B1437" s="1" t="s">
        <v>3016</v>
      </c>
      <c r="C1437" s="1" t="s">
        <v>2058</v>
      </c>
      <c r="D1437" s="39">
        <v>0</v>
      </c>
      <c r="E1437" s="1" t="s">
        <v>1</v>
      </c>
      <c r="F1437" s="39">
        <v>0</v>
      </c>
    </row>
    <row r="1438" spans="1:6" x14ac:dyDescent="0.25">
      <c r="A1438" s="1">
        <v>4006002</v>
      </c>
      <c r="B1438" s="1" t="s">
        <v>3017</v>
      </c>
      <c r="C1438" s="1" t="s">
        <v>2058</v>
      </c>
      <c r="D1438" s="39">
        <v>1450</v>
      </c>
      <c r="E1438" s="1" t="s">
        <v>1</v>
      </c>
      <c r="F1438" s="3">
        <v>3590.93</v>
      </c>
    </row>
    <row r="1439" spans="1:6" x14ac:dyDescent="0.25">
      <c r="A1439" s="1">
        <v>4006003</v>
      </c>
      <c r="B1439" s="1" t="s">
        <v>3018</v>
      </c>
      <c r="C1439" s="1" t="s">
        <v>2058</v>
      </c>
      <c r="D1439" s="39">
        <v>1000</v>
      </c>
      <c r="E1439" s="1" t="s">
        <v>1</v>
      </c>
      <c r="F1439" s="3">
        <v>2807.9</v>
      </c>
    </row>
    <row r="1440" spans="1:6" x14ac:dyDescent="0.25">
      <c r="A1440" s="1">
        <v>4006004</v>
      </c>
      <c r="B1440" s="1" t="s">
        <v>3019</v>
      </c>
      <c r="C1440" s="1" t="s">
        <v>2058</v>
      </c>
      <c r="D1440" s="39">
        <v>2057</v>
      </c>
      <c r="E1440" s="1" t="s">
        <v>1</v>
      </c>
      <c r="F1440" s="3">
        <v>3522</v>
      </c>
    </row>
    <row r="1441" spans="1:6" x14ac:dyDescent="0.25">
      <c r="A1441" s="1">
        <v>4006043</v>
      </c>
      <c r="B1441" s="1" t="s">
        <v>3020</v>
      </c>
      <c r="C1441" s="1" t="s">
        <v>2058</v>
      </c>
      <c r="D1441" s="39">
        <v>0</v>
      </c>
      <c r="E1441" s="1" t="s">
        <v>1</v>
      </c>
      <c r="F1441" s="39">
        <v>0</v>
      </c>
    </row>
    <row r="1442" spans="1:6" x14ac:dyDescent="0.25">
      <c r="A1442" s="1">
        <v>4006044</v>
      </c>
      <c r="B1442" s="1" t="s">
        <v>3021</v>
      </c>
      <c r="C1442" s="1" t="s">
        <v>2058</v>
      </c>
      <c r="D1442" s="39">
        <v>0</v>
      </c>
      <c r="E1442" s="1" t="s">
        <v>1</v>
      </c>
      <c r="F1442" s="39">
        <v>0</v>
      </c>
    </row>
    <row r="1443" spans="1:6" x14ac:dyDescent="0.25">
      <c r="A1443" s="1">
        <v>4006045</v>
      </c>
      <c r="B1443" s="1" t="s">
        <v>3022</v>
      </c>
      <c r="C1443" s="1" t="s">
        <v>2058</v>
      </c>
      <c r="D1443" s="39">
        <v>0</v>
      </c>
      <c r="E1443" s="1" t="s">
        <v>1</v>
      </c>
      <c r="F1443" s="39">
        <v>0</v>
      </c>
    </row>
    <row r="1444" spans="1:6" x14ac:dyDescent="0.25">
      <c r="A1444" s="1">
        <v>4006046</v>
      </c>
      <c r="B1444" s="1" t="s">
        <v>3023</v>
      </c>
      <c r="C1444" s="1" t="s">
        <v>2058</v>
      </c>
      <c r="D1444" s="39">
        <v>0</v>
      </c>
      <c r="E1444" s="1" t="s">
        <v>1</v>
      </c>
      <c r="F1444" s="39">
        <v>0</v>
      </c>
    </row>
    <row r="1445" spans="1:6" x14ac:dyDescent="0.25">
      <c r="A1445" s="1">
        <v>4006047</v>
      </c>
      <c r="B1445" s="1" t="s">
        <v>3024</v>
      </c>
      <c r="C1445" s="1" t="s">
        <v>2058</v>
      </c>
      <c r="D1445" s="39">
        <v>0</v>
      </c>
      <c r="E1445" s="1" t="s">
        <v>1</v>
      </c>
      <c r="F1445" s="39">
        <v>0</v>
      </c>
    </row>
    <row r="1446" spans="1:6" x14ac:dyDescent="0.25">
      <c r="A1446" s="1">
        <v>4006050</v>
      </c>
      <c r="B1446" s="1" t="s">
        <v>3025</v>
      </c>
      <c r="C1446" s="1" t="s">
        <v>2058</v>
      </c>
      <c r="D1446" s="39">
        <v>0</v>
      </c>
      <c r="E1446" s="1" t="s">
        <v>1</v>
      </c>
      <c r="F1446" s="39">
        <v>0</v>
      </c>
    </row>
    <row r="1447" spans="1:6" x14ac:dyDescent="0.25">
      <c r="A1447" s="1">
        <v>4006061</v>
      </c>
      <c r="B1447" s="1" t="s">
        <v>3026</v>
      </c>
      <c r="C1447" s="1" t="s">
        <v>2058</v>
      </c>
      <c r="D1447" s="39">
        <v>0</v>
      </c>
      <c r="E1447" s="1" t="s">
        <v>1</v>
      </c>
      <c r="F1447" s="39">
        <v>0</v>
      </c>
    </row>
    <row r="1448" spans="1:6" x14ac:dyDescent="0.25">
      <c r="A1448" s="1">
        <v>4006080</v>
      </c>
      <c r="B1448" s="1" t="s">
        <v>3027</v>
      </c>
      <c r="C1448" s="1" t="s">
        <v>2058</v>
      </c>
      <c r="D1448" s="39">
        <v>0</v>
      </c>
      <c r="E1448" s="1" t="s">
        <v>1</v>
      </c>
      <c r="F1448" s="39">
        <v>0</v>
      </c>
    </row>
    <row r="1449" spans="1:6" x14ac:dyDescent="0.25">
      <c r="A1449" s="1">
        <v>4006081</v>
      </c>
      <c r="B1449" s="1" t="s">
        <v>3028</v>
      </c>
      <c r="C1449" s="1" t="s">
        <v>2058</v>
      </c>
      <c r="D1449" s="39">
        <v>0</v>
      </c>
      <c r="E1449" s="1" t="s">
        <v>1</v>
      </c>
      <c r="F1449" s="39">
        <v>0</v>
      </c>
    </row>
    <row r="1450" spans="1:6" x14ac:dyDescent="0.25">
      <c r="A1450" s="1">
        <v>4006099</v>
      </c>
      <c r="B1450" s="1" t="s">
        <v>3029</v>
      </c>
      <c r="C1450" s="1" t="s">
        <v>2058</v>
      </c>
      <c r="D1450" s="39">
        <v>0</v>
      </c>
      <c r="E1450" s="1" t="s">
        <v>1</v>
      </c>
      <c r="F1450" s="39">
        <v>0</v>
      </c>
    </row>
    <row r="1451" spans="1:6" x14ac:dyDescent="0.25">
      <c r="A1451" s="1">
        <v>4006110</v>
      </c>
      <c r="B1451" s="1" t="s">
        <v>3030</v>
      </c>
      <c r="C1451" s="1" t="s">
        <v>2058</v>
      </c>
      <c r="D1451" s="39">
        <v>0</v>
      </c>
      <c r="E1451" s="1" t="s">
        <v>1</v>
      </c>
      <c r="F1451" s="39">
        <v>0</v>
      </c>
    </row>
    <row r="1452" spans="1:6" x14ac:dyDescent="0.25">
      <c r="A1452" s="1">
        <v>4006111</v>
      </c>
      <c r="B1452" s="1" t="s">
        <v>3031</v>
      </c>
      <c r="C1452" s="1" t="s">
        <v>2058</v>
      </c>
      <c r="D1452" s="39">
        <v>0</v>
      </c>
      <c r="E1452" s="1" t="s">
        <v>1</v>
      </c>
      <c r="F1452" s="39">
        <v>0</v>
      </c>
    </row>
    <row r="1453" spans="1:6" x14ac:dyDescent="0.25">
      <c r="A1453" s="1">
        <v>4006112</v>
      </c>
      <c r="B1453" s="1" t="s">
        <v>3032</v>
      </c>
      <c r="C1453" s="1" t="s">
        <v>2058</v>
      </c>
      <c r="D1453" s="39">
        <v>0</v>
      </c>
      <c r="E1453" s="1" t="s">
        <v>1</v>
      </c>
      <c r="F1453" s="39">
        <v>0</v>
      </c>
    </row>
    <row r="1454" spans="1:6" x14ac:dyDescent="0.25">
      <c r="A1454" s="1">
        <v>4006113</v>
      </c>
      <c r="B1454" s="1" t="s">
        <v>3033</v>
      </c>
      <c r="C1454" s="1" t="s">
        <v>2058</v>
      </c>
      <c r="D1454" s="39">
        <v>0</v>
      </c>
      <c r="E1454" s="1" t="s">
        <v>1</v>
      </c>
      <c r="F1454" s="39">
        <v>0</v>
      </c>
    </row>
    <row r="1455" spans="1:6" x14ac:dyDescent="0.25">
      <c r="A1455" s="1">
        <v>4006114</v>
      </c>
      <c r="B1455" s="1" t="s">
        <v>3034</v>
      </c>
      <c r="C1455" s="1" t="s">
        <v>2058</v>
      </c>
      <c r="D1455" s="39">
        <v>0</v>
      </c>
      <c r="E1455" s="1" t="s">
        <v>1</v>
      </c>
      <c r="F1455" s="39">
        <v>0</v>
      </c>
    </row>
    <row r="1456" spans="1:6" x14ac:dyDescent="0.25">
      <c r="A1456" s="1">
        <v>4006116</v>
      </c>
      <c r="B1456" s="1" t="s">
        <v>3035</v>
      </c>
      <c r="C1456" s="1" t="s">
        <v>2058</v>
      </c>
      <c r="D1456" s="39">
        <v>0</v>
      </c>
      <c r="E1456" s="1" t="s">
        <v>1</v>
      </c>
      <c r="F1456" s="39">
        <v>0</v>
      </c>
    </row>
    <row r="1457" spans="1:6" x14ac:dyDescent="0.25">
      <c r="A1457" s="1">
        <v>4006117</v>
      </c>
      <c r="B1457" s="1" t="s">
        <v>3036</v>
      </c>
      <c r="C1457" s="1" t="s">
        <v>2058</v>
      </c>
      <c r="D1457" s="39">
        <v>0</v>
      </c>
      <c r="E1457" s="1" t="s">
        <v>1</v>
      </c>
      <c r="F1457" s="39">
        <v>0</v>
      </c>
    </row>
    <row r="1458" spans="1:6" x14ac:dyDescent="0.25">
      <c r="A1458" s="1">
        <v>4006118</v>
      </c>
      <c r="B1458" s="1" t="s">
        <v>3037</v>
      </c>
      <c r="C1458" s="1" t="s">
        <v>2058</v>
      </c>
      <c r="D1458" s="39">
        <v>0</v>
      </c>
      <c r="E1458" s="1" t="s">
        <v>1</v>
      </c>
      <c r="F1458" s="39">
        <v>0</v>
      </c>
    </row>
    <row r="1459" spans="1:6" x14ac:dyDescent="0.25">
      <c r="A1459" s="1">
        <v>4006119</v>
      </c>
      <c r="B1459" s="1" t="s">
        <v>3038</v>
      </c>
      <c r="C1459" s="1" t="s">
        <v>2058</v>
      </c>
      <c r="D1459" s="39">
        <v>0</v>
      </c>
      <c r="E1459" s="1" t="s">
        <v>1</v>
      </c>
      <c r="F1459" s="39">
        <v>0</v>
      </c>
    </row>
    <row r="1460" spans="1:6" x14ac:dyDescent="0.25">
      <c r="A1460" s="1">
        <v>4006120</v>
      </c>
      <c r="B1460" s="1" t="s">
        <v>3039</v>
      </c>
      <c r="C1460" s="1" t="s">
        <v>2058</v>
      </c>
      <c r="D1460" s="39">
        <v>0</v>
      </c>
      <c r="E1460" s="1" t="s">
        <v>1</v>
      </c>
      <c r="F1460" s="39">
        <v>0</v>
      </c>
    </row>
    <row r="1461" spans="1:6" x14ac:dyDescent="0.25">
      <c r="A1461" s="1">
        <v>4006121</v>
      </c>
      <c r="B1461" s="1" t="s">
        <v>3040</v>
      </c>
      <c r="C1461" s="1" t="s">
        <v>2058</v>
      </c>
      <c r="D1461" s="39">
        <v>0</v>
      </c>
      <c r="E1461" s="1" t="s">
        <v>1</v>
      </c>
      <c r="F1461" s="39">
        <v>0</v>
      </c>
    </row>
    <row r="1462" spans="1:6" x14ac:dyDescent="0.25">
      <c r="A1462" s="1">
        <v>4006122</v>
      </c>
      <c r="B1462" s="1" t="s">
        <v>3041</v>
      </c>
      <c r="C1462" s="1" t="s">
        <v>2058</v>
      </c>
      <c r="D1462" s="39">
        <v>0</v>
      </c>
      <c r="E1462" s="1" t="s">
        <v>1</v>
      </c>
      <c r="F1462" s="39">
        <v>0</v>
      </c>
    </row>
    <row r="1463" spans="1:6" x14ac:dyDescent="0.25">
      <c r="A1463" s="1">
        <v>4006123</v>
      </c>
      <c r="B1463" s="1" t="s">
        <v>3042</v>
      </c>
      <c r="C1463" s="1" t="s">
        <v>2058</v>
      </c>
      <c r="D1463" s="39">
        <v>0</v>
      </c>
      <c r="E1463" s="1" t="s">
        <v>1</v>
      </c>
      <c r="F1463" s="39">
        <v>0</v>
      </c>
    </row>
    <row r="1464" spans="1:6" x14ac:dyDescent="0.25">
      <c r="A1464" s="1">
        <v>4006124</v>
      </c>
      <c r="B1464" s="1" t="s">
        <v>3043</v>
      </c>
      <c r="C1464" s="1" t="s">
        <v>2058</v>
      </c>
      <c r="D1464" s="39">
        <v>0</v>
      </c>
      <c r="E1464" s="1" t="s">
        <v>1</v>
      </c>
      <c r="F1464" s="39">
        <v>0</v>
      </c>
    </row>
    <row r="1465" spans="1:6" x14ac:dyDescent="0.25">
      <c r="A1465" s="1">
        <v>4006125</v>
      </c>
      <c r="B1465" s="1" t="s">
        <v>3044</v>
      </c>
      <c r="C1465" s="1" t="s">
        <v>2058</v>
      </c>
      <c r="D1465" s="39">
        <v>0</v>
      </c>
      <c r="E1465" s="1" t="s">
        <v>1</v>
      </c>
      <c r="F1465" s="39">
        <v>0</v>
      </c>
    </row>
    <row r="1466" spans="1:6" x14ac:dyDescent="0.25">
      <c r="A1466" s="1">
        <v>4006126</v>
      </c>
      <c r="B1466" s="1" t="s">
        <v>3045</v>
      </c>
      <c r="C1466" s="1" t="s">
        <v>2058</v>
      </c>
      <c r="D1466" s="39">
        <v>0</v>
      </c>
      <c r="E1466" s="1" t="s">
        <v>1</v>
      </c>
      <c r="F1466" s="39">
        <v>0</v>
      </c>
    </row>
    <row r="1467" spans="1:6" x14ac:dyDescent="0.25">
      <c r="A1467" s="1">
        <v>4006128</v>
      </c>
      <c r="B1467" s="1" t="s">
        <v>3046</v>
      </c>
      <c r="C1467" s="1" t="s">
        <v>2058</v>
      </c>
      <c r="D1467" s="39">
        <v>0</v>
      </c>
      <c r="E1467" s="1" t="s">
        <v>1</v>
      </c>
      <c r="F1467" s="39">
        <v>0</v>
      </c>
    </row>
    <row r="1468" spans="1:6" x14ac:dyDescent="0.25">
      <c r="A1468" s="1">
        <v>4006129</v>
      </c>
      <c r="B1468" s="1" t="s">
        <v>3047</v>
      </c>
      <c r="C1468" s="1" t="s">
        <v>2058</v>
      </c>
      <c r="D1468" s="39">
        <v>0</v>
      </c>
      <c r="E1468" s="1" t="s">
        <v>1</v>
      </c>
      <c r="F1468" s="39">
        <v>0</v>
      </c>
    </row>
    <row r="1469" spans="1:6" x14ac:dyDescent="0.25">
      <c r="A1469" s="1">
        <v>4006130</v>
      </c>
      <c r="B1469" s="1" t="s">
        <v>3048</v>
      </c>
      <c r="C1469" s="1" t="s">
        <v>2058</v>
      </c>
      <c r="D1469" s="39">
        <v>0</v>
      </c>
      <c r="E1469" s="1" t="s">
        <v>1</v>
      </c>
      <c r="F1469" s="39">
        <v>0</v>
      </c>
    </row>
    <row r="1470" spans="1:6" x14ac:dyDescent="0.25">
      <c r="A1470" s="1">
        <v>4006131</v>
      </c>
      <c r="B1470" s="1" t="s">
        <v>3049</v>
      </c>
      <c r="C1470" s="1" t="s">
        <v>2058</v>
      </c>
      <c r="D1470" s="39">
        <v>0</v>
      </c>
      <c r="E1470" s="1" t="s">
        <v>1</v>
      </c>
      <c r="F1470" s="39">
        <v>0</v>
      </c>
    </row>
    <row r="1471" spans="1:6" x14ac:dyDescent="0.25">
      <c r="A1471" s="1">
        <v>4006132</v>
      </c>
      <c r="B1471" s="1" t="s">
        <v>3050</v>
      </c>
      <c r="C1471" s="1" t="s">
        <v>2058</v>
      </c>
      <c r="D1471" s="39">
        <v>0</v>
      </c>
      <c r="E1471" s="1" t="s">
        <v>1</v>
      </c>
      <c r="F1471" s="39">
        <v>0</v>
      </c>
    </row>
    <row r="1472" spans="1:6" x14ac:dyDescent="0.25">
      <c r="A1472" s="1">
        <v>4006133</v>
      </c>
      <c r="B1472" s="1" t="s">
        <v>3051</v>
      </c>
      <c r="C1472" s="1" t="s">
        <v>2058</v>
      </c>
      <c r="D1472" s="39">
        <v>0</v>
      </c>
      <c r="E1472" s="1" t="s">
        <v>1</v>
      </c>
      <c r="F1472" s="39">
        <v>0</v>
      </c>
    </row>
    <row r="1473" spans="1:6" x14ac:dyDescent="0.25">
      <c r="A1473" s="1">
        <v>4006134</v>
      </c>
      <c r="B1473" s="1" t="s">
        <v>3052</v>
      </c>
      <c r="C1473" s="1" t="s">
        <v>2058</v>
      </c>
      <c r="D1473" s="39">
        <v>0</v>
      </c>
      <c r="E1473" s="1" t="s">
        <v>1</v>
      </c>
      <c r="F1473" s="39">
        <v>0</v>
      </c>
    </row>
    <row r="1474" spans="1:6" x14ac:dyDescent="0.25">
      <c r="A1474" s="1">
        <v>4006135</v>
      </c>
      <c r="B1474" s="1" t="s">
        <v>3053</v>
      </c>
      <c r="C1474" s="1" t="s">
        <v>2058</v>
      </c>
      <c r="D1474" s="39">
        <v>0</v>
      </c>
      <c r="E1474" s="1" t="s">
        <v>1</v>
      </c>
      <c r="F1474" s="39">
        <v>0</v>
      </c>
    </row>
    <row r="1475" spans="1:6" x14ac:dyDescent="0.25">
      <c r="A1475" s="1">
        <v>4006136</v>
      </c>
      <c r="B1475" s="1" t="s">
        <v>3054</v>
      </c>
      <c r="C1475" s="1" t="s">
        <v>2058</v>
      </c>
      <c r="D1475" s="39">
        <v>0</v>
      </c>
      <c r="E1475" s="1" t="s">
        <v>1</v>
      </c>
      <c r="F1475" s="39">
        <v>0</v>
      </c>
    </row>
    <row r="1476" spans="1:6" x14ac:dyDescent="0.25">
      <c r="A1476" s="1">
        <v>4006137</v>
      </c>
      <c r="B1476" s="1" t="s">
        <v>3055</v>
      </c>
      <c r="C1476" s="1" t="s">
        <v>2058</v>
      </c>
      <c r="D1476" s="39">
        <v>0</v>
      </c>
      <c r="E1476" s="1" t="s">
        <v>1</v>
      </c>
      <c r="F1476" s="39">
        <v>0</v>
      </c>
    </row>
    <row r="1477" spans="1:6" x14ac:dyDescent="0.25">
      <c r="A1477" s="1">
        <v>4006138</v>
      </c>
      <c r="B1477" s="1" t="s">
        <v>3056</v>
      </c>
      <c r="C1477" s="1" t="s">
        <v>2058</v>
      </c>
      <c r="D1477" s="39">
        <v>0</v>
      </c>
      <c r="E1477" s="1" t="s">
        <v>1</v>
      </c>
      <c r="F1477" s="39">
        <v>0</v>
      </c>
    </row>
    <row r="1478" spans="1:6" x14ac:dyDescent="0.25">
      <c r="A1478" s="1">
        <v>4006139</v>
      </c>
      <c r="B1478" s="1" t="s">
        <v>3057</v>
      </c>
      <c r="C1478" s="1" t="s">
        <v>2058</v>
      </c>
      <c r="D1478" s="39">
        <v>0</v>
      </c>
      <c r="E1478" s="1" t="s">
        <v>1</v>
      </c>
      <c r="F1478" s="39">
        <v>0</v>
      </c>
    </row>
    <row r="1479" spans="1:6" x14ac:dyDescent="0.25">
      <c r="A1479" s="1">
        <v>4006140</v>
      </c>
      <c r="B1479" s="1" t="s">
        <v>3058</v>
      </c>
      <c r="C1479" s="1" t="s">
        <v>2058</v>
      </c>
      <c r="D1479" s="39">
        <v>0</v>
      </c>
      <c r="E1479" s="1" t="s">
        <v>1</v>
      </c>
      <c r="F1479" s="39">
        <v>0</v>
      </c>
    </row>
    <row r="1480" spans="1:6" x14ac:dyDescent="0.25">
      <c r="A1480" s="1">
        <v>4006141</v>
      </c>
      <c r="B1480" s="1" t="s">
        <v>3059</v>
      </c>
      <c r="C1480" s="1" t="s">
        <v>2058</v>
      </c>
      <c r="D1480" s="39">
        <v>0</v>
      </c>
      <c r="E1480" s="1" t="s">
        <v>1</v>
      </c>
      <c r="F1480" s="39">
        <v>0</v>
      </c>
    </row>
    <row r="1481" spans="1:6" x14ac:dyDescent="0.25">
      <c r="A1481" s="1">
        <v>4006142</v>
      </c>
      <c r="B1481" s="1" t="s">
        <v>3060</v>
      </c>
      <c r="C1481" s="1" t="s">
        <v>2058</v>
      </c>
      <c r="D1481" s="39">
        <v>0</v>
      </c>
      <c r="E1481" s="1" t="s">
        <v>1</v>
      </c>
      <c r="F1481" s="39">
        <v>0</v>
      </c>
    </row>
    <row r="1482" spans="1:6" x14ac:dyDescent="0.25">
      <c r="A1482" s="1">
        <v>4006143</v>
      </c>
      <c r="B1482" s="1" t="s">
        <v>3061</v>
      </c>
      <c r="C1482" s="1" t="s">
        <v>2058</v>
      </c>
      <c r="D1482" s="39">
        <v>0</v>
      </c>
      <c r="E1482" s="1" t="s">
        <v>1</v>
      </c>
      <c r="F1482" s="39">
        <v>0</v>
      </c>
    </row>
    <row r="1483" spans="1:6" x14ac:dyDescent="0.25">
      <c r="A1483" s="1">
        <v>4006144</v>
      </c>
      <c r="B1483" s="1" t="s">
        <v>3062</v>
      </c>
      <c r="C1483" s="1" t="s">
        <v>2058</v>
      </c>
      <c r="D1483" s="39">
        <v>0</v>
      </c>
      <c r="E1483" s="1" t="s">
        <v>1</v>
      </c>
      <c r="F1483" s="39">
        <v>0</v>
      </c>
    </row>
    <row r="1484" spans="1:6" x14ac:dyDescent="0.25">
      <c r="A1484" s="1">
        <v>4006145</v>
      </c>
      <c r="B1484" s="1" t="s">
        <v>3063</v>
      </c>
      <c r="C1484" s="1" t="s">
        <v>2058</v>
      </c>
      <c r="D1484" s="39">
        <v>0</v>
      </c>
      <c r="E1484" s="1" t="s">
        <v>1</v>
      </c>
      <c r="F1484" s="39">
        <v>0</v>
      </c>
    </row>
    <row r="1485" spans="1:6" x14ac:dyDescent="0.25">
      <c r="A1485" s="1">
        <v>4006146</v>
      </c>
      <c r="B1485" s="1" t="s">
        <v>3064</v>
      </c>
      <c r="C1485" s="1" t="s">
        <v>2058</v>
      </c>
      <c r="D1485" s="39">
        <v>0</v>
      </c>
      <c r="E1485" s="1" t="s">
        <v>1</v>
      </c>
      <c r="F1485" s="39">
        <v>0</v>
      </c>
    </row>
    <row r="1486" spans="1:6" x14ac:dyDescent="0.25">
      <c r="A1486" s="1">
        <v>4006147</v>
      </c>
      <c r="B1486" s="1" t="s">
        <v>3065</v>
      </c>
      <c r="C1486" s="1" t="s">
        <v>2058</v>
      </c>
      <c r="D1486" s="39">
        <v>0</v>
      </c>
      <c r="E1486" s="1" t="s">
        <v>1</v>
      </c>
      <c r="F1486" s="39">
        <v>0</v>
      </c>
    </row>
    <row r="1487" spans="1:6" x14ac:dyDescent="0.25">
      <c r="A1487" s="1">
        <v>4006148</v>
      </c>
      <c r="B1487" s="1" t="s">
        <v>3066</v>
      </c>
      <c r="C1487" s="1" t="s">
        <v>2058</v>
      </c>
      <c r="D1487" s="39">
        <v>0</v>
      </c>
      <c r="E1487" s="1" t="s">
        <v>1</v>
      </c>
      <c r="F1487" s="39">
        <v>0</v>
      </c>
    </row>
    <row r="1488" spans="1:6" x14ac:dyDescent="0.25">
      <c r="A1488" s="1">
        <v>4006180</v>
      </c>
      <c r="B1488" s="1" t="s">
        <v>3067</v>
      </c>
      <c r="C1488" s="1" t="s">
        <v>2058</v>
      </c>
      <c r="D1488" s="39">
        <v>0</v>
      </c>
      <c r="E1488" s="1" t="s">
        <v>1</v>
      </c>
      <c r="F1488" s="39">
        <v>0</v>
      </c>
    </row>
    <row r="1489" spans="1:6" x14ac:dyDescent="0.25">
      <c r="A1489" s="1">
        <v>4006189</v>
      </c>
      <c r="B1489" s="1" t="s">
        <v>3068</v>
      </c>
      <c r="C1489" s="1" t="s">
        <v>2058</v>
      </c>
      <c r="D1489" s="39">
        <v>0</v>
      </c>
      <c r="E1489" s="1" t="s">
        <v>1</v>
      </c>
      <c r="F1489" s="39">
        <v>0</v>
      </c>
    </row>
    <row r="1490" spans="1:6" x14ac:dyDescent="0.25">
      <c r="A1490" s="1">
        <v>4006250</v>
      </c>
      <c r="B1490" s="1" t="s">
        <v>3069</v>
      </c>
      <c r="C1490" s="1" t="s">
        <v>2058</v>
      </c>
      <c r="D1490" s="39">
        <v>0</v>
      </c>
      <c r="E1490" s="1" t="s">
        <v>1</v>
      </c>
      <c r="F1490" s="39">
        <v>0</v>
      </c>
    </row>
    <row r="1491" spans="1:6" x14ac:dyDescent="0.25">
      <c r="A1491" s="1">
        <v>4006251</v>
      </c>
      <c r="B1491" s="1" t="s">
        <v>3070</v>
      </c>
      <c r="C1491" s="1" t="s">
        <v>2058</v>
      </c>
      <c r="D1491" s="39">
        <v>0</v>
      </c>
      <c r="E1491" s="1" t="s">
        <v>1</v>
      </c>
      <c r="F1491" s="39">
        <v>0</v>
      </c>
    </row>
    <row r="1492" spans="1:6" x14ac:dyDescent="0.25">
      <c r="A1492" s="1">
        <v>4006252</v>
      </c>
      <c r="B1492" s="1" t="s">
        <v>3071</v>
      </c>
      <c r="C1492" s="1" t="s">
        <v>2058</v>
      </c>
      <c r="D1492" s="39">
        <v>0</v>
      </c>
      <c r="E1492" s="1" t="s">
        <v>1</v>
      </c>
      <c r="F1492" s="39">
        <v>0</v>
      </c>
    </row>
    <row r="1493" spans="1:6" x14ac:dyDescent="0.25">
      <c r="A1493" s="1">
        <v>4006395</v>
      </c>
      <c r="B1493" s="1" t="s">
        <v>1720</v>
      </c>
      <c r="C1493" s="1" t="s">
        <v>2058</v>
      </c>
      <c r="D1493" s="39">
        <v>0</v>
      </c>
      <c r="E1493" s="1" t="s">
        <v>1</v>
      </c>
      <c r="F1493" s="39">
        <v>0</v>
      </c>
    </row>
    <row r="1494" spans="1:6" x14ac:dyDescent="0.25">
      <c r="A1494" s="1">
        <v>4006396</v>
      </c>
      <c r="B1494" s="1" t="s">
        <v>1725</v>
      </c>
      <c r="C1494" s="1" t="s">
        <v>2058</v>
      </c>
      <c r="D1494" s="39">
        <v>0</v>
      </c>
      <c r="E1494" s="1" t="s">
        <v>1</v>
      </c>
      <c r="F1494" s="39">
        <v>0</v>
      </c>
    </row>
    <row r="1495" spans="1:6" x14ac:dyDescent="0.25">
      <c r="A1495" s="1">
        <v>4006397</v>
      </c>
      <c r="B1495" s="1" t="s">
        <v>1715</v>
      </c>
      <c r="C1495" s="1" t="s">
        <v>2058</v>
      </c>
      <c r="D1495" s="39">
        <v>0</v>
      </c>
      <c r="E1495" s="1" t="s">
        <v>1</v>
      </c>
      <c r="F1495" s="39">
        <v>0</v>
      </c>
    </row>
    <row r="1496" spans="1:6" x14ac:dyDescent="0.25">
      <c r="A1496" s="1">
        <v>4006398</v>
      </c>
      <c r="B1496" s="1" t="s">
        <v>3072</v>
      </c>
      <c r="C1496" s="1" t="s">
        <v>2058</v>
      </c>
      <c r="D1496" s="39">
        <v>0</v>
      </c>
      <c r="E1496" s="1" t="s">
        <v>1</v>
      </c>
      <c r="F1496" s="39">
        <v>0</v>
      </c>
    </row>
    <row r="1497" spans="1:6" x14ac:dyDescent="0.25">
      <c r="A1497" s="1">
        <v>4006399</v>
      </c>
      <c r="B1497" s="1" t="s">
        <v>1709</v>
      </c>
      <c r="C1497" s="1" t="s">
        <v>2058</v>
      </c>
      <c r="D1497" s="39">
        <v>0</v>
      </c>
      <c r="E1497" s="1" t="s">
        <v>1</v>
      </c>
      <c r="F1497" s="39">
        <v>0</v>
      </c>
    </row>
    <row r="1498" spans="1:6" x14ac:dyDescent="0.25">
      <c r="A1498" s="1">
        <v>4006456</v>
      </c>
      <c r="B1498" s="1" t="s">
        <v>191</v>
      </c>
      <c r="C1498" s="1" t="s">
        <v>2058</v>
      </c>
      <c r="D1498" s="39">
        <v>0</v>
      </c>
      <c r="E1498" s="1" t="s">
        <v>1</v>
      </c>
      <c r="F1498" s="39">
        <v>0</v>
      </c>
    </row>
    <row r="1499" spans="1:6" x14ac:dyDescent="0.25">
      <c r="A1499" s="1">
        <v>4006692</v>
      </c>
      <c r="B1499" s="1" t="s">
        <v>3073</v>
      </c>
      <c r="C1499" s="1" t="s">
        <v>2058</v>
      </c>
      <c r="D1499" s="39">
        <v>0</v>
      </c>
      <c r="E1499" s="1" t="s">
        <v>1</v>
      </c>
      <c r="F1499" s="39">
        <v>0</v>
      </c>
    </row>
    <row r="1500" spans="1:6" x14ac:dyDescent="0.25">
      <c r="A1500" s="1">
        <v>4006696</v>
      </c>
      <c r="B1500" s="1" t="s">
        <v>3074</v>
      </c>
      <c r="C1500" s="1" t="s">
        <v>2058</v>
      </c>
      <c r="D1500" s="39">
        <v>0</v>
      </c>
      <c r="E1500" s="1" t="s">
        <v>1</v>
      </c>
      <c r="F1500" s="39">
        <v>0</v>
      </c>
    </row>
    <row r="1501" spans="1:6" x14ac:dyDescent="0.25">
      <c r="A1501" s="1">
        <v>4006830</v>
      </c>
      <c r="B1501" s="1" t="s">
        <v>3075</v>
      </c>
      <c r="C1501" s="1" t="s">
        <v>2058</v>
      </c>
      <c r="D1501" s="39">
        <v>0</v>
      </c>
      <c r="E1501" s="1" t="s">
        <v>1</v>
      </c>
      <c r="F1501" s="39">
        <v>0</v>
      </c>
    </row>
    <row r="1502" spans="1:6" x14ac:dyDescent="0.25">
      <c r="A1502" s="1">
        <v>4006942</v>
      </c>
      <c r="B1502" s="1" t="s">
        <v>3076</v>
      </c>
      <c r="C1502" s="1" t="s">
        <v>2058</v>
      </c>
      <c r="D1502" s="39">
        <v>0</v>
      </c>
      <c r="E1502" s="1" t="s">
        <v>1</v>
      </c>
      <c r="F1502" s="39">
        <v>0</v>
      </c>
    </row>
    <row r="1503" spans="1:6" x14ac:dyDescent="0.25">
      <c r="A1503" s="1">
        <v>4006943</v>
      </c>
      <c r="B1503" s="1" t="s">
        <v>3077</v>
      </c>
      <c r="C1503" s="1" t="s">
        <v>2058</v>
      </c>
      <c r="D1503" s="39">
        <v>0</v>
      </c>
      <c r="E1503" s="1" t="s">
        <v>1</v>
      </c>
      <c r="F1503" s="39">
        <v>0</v>
      </c>
    </row>
    <row r="1504" spans="1:6" x14ac:dyDescent="0.25">
      <c r="A1504" s="1">
        <v>4006944</v>
      </c>
      <c r="B1504" s="1" t="s">
        <v>1676</v>
      </c>
      <c r="C1504" s="1" t="s">
        <v>2058</v>
      </c>
      <c r="D1504" s="39">
        <v>0</v>
      </c>
      <c r="E1504" s="1" t="s">
        <v>1</v>
      </c>
      <c r="F1504" s="39">
        <v>0</v>
      </c>
    </row>
    <row r="1505" spans="1:6" x14ac:dyDescent="0.25">
      <c r="A1505" s="1">
        <v>4006993</v>
      </c>
      <c r="B1505" s="1" t="s">
        <v>3078</v>
      </c>
      <c r="C1505" s="1" t="s">
        <v>2058</v>
      </c>
      <c r="D1505" s="39">
        <v>0</v>
      </c>
      <c r="E1505" s="1" t="s">
        <v>1</v>
      </c>
      <c r="F1505" s="39">
        <v>0</v>
      </c>
    </row>
    <row r="1506" spans="1:6" x14ac:dyDescent="0.25">
      <c r="A1506" s="1">
        <v>4006994</v>
      </c>
      <c r="B1506" s="1" t="s">
        <v>3079</v>
      </c>
      <c r="C1506" s="1" t="s">
        <v>2058</v>
      </c>
      <c r="D1506" s="39">
        <v>0</v>
      </c>
      <c r="E1506" s="1" t="s">
        <v>1</v>
      </c>
      <c r="F1506" s="39">
        <v>0</v>
      </c>
    </row>
    <row r="1507" spans="1:6" x14ac:dyDescent="0.25">
      <c r="A1507" s="1">
        <v>4007020</v>
      </c>
      <c r="B1507" s="1" t="s">
        <v>733</v>
      </c>
      <c r="C1507" s="1" t="s">
        <v>2058</v>
      </c>
      <c r="D1507" s="39">
        <v>0</v>
      </c>
      <c r="E1507" s="1" t="s">
        <v>1</v>
      </c>
      <c r="F1507" s="39">
        <v>0</v>
      </c>
    </row>
    <row r="1508" spans="1:6" x14ac:dyDescent="0.25">
      <c r="A1508" s="1">
        <v>4007021</v>
      </c>
      <c r="B1508" s="1" t="s">
        <v>717</v>
      </c>
      <c r="C1508" s="1" t="s">
        <v>2058</v>
      </c>
      <c r="D1508" s="39">
        <v>0</v>
      </c>
      <c r="E1508" s="1" t="s">
        <v>1</v>
      </c>
      <c r="F1508" s="39">
        <v>0</v>
      </c>
    </row>
    <row r="1509" spans="1:6" x14ac:dyDescent="0.25">
      <c r="A1509" s="1">
        <v>4007022</v>
      </c>
      <c r="B1509" s="1" t="s">
        <v>723</v>
      </c>
      <c r="C1509" s="1" t="s">
        <v>2058</v>
      </c>
      <c r="D1509" s="39">
        <v>0</v>
      </c>
      <c r="E1509" s="1" t="s">
        <v>1</v>
      </c>
      <c r="F1509" s="39">
        <v>0</v>
      </c>
    </row>
    <row r="1510" spans="1:6" x14ac:dyDescent="0.25">
      <c r="A1510" s="1">
        <v>4007023</v>
      </c>
      <c r="B1510" s="1" t="s">
        <v>728</v>
      </c>
      <c r="C1510" s="1" t="s">
        <v>2058</v>
      </c>
      <c r="D1510" s="39">
        <v>0</v>
      </c>
      <c r="E1510" s="1" t="s">
        <v>1</v>
      </c>
      <c r="F1510" s="39">
        <v>0</v>
      </c>
    </row>
    <row r="1511" spans="1:6" x14ac:dyDescent="0.25">
      <c r="A1511" s="1">
        <v>4007075</v>
      </c>
      <c r="B1511" s="1" t="s">
        <v>3080</v>
      </c>
      <c r="C1511" s="1" t="s">
        <v>2058</v>
      </c>
      <c r="D1511" s="39">
        <v>0</v>
      </c>
      <c r="E1511" s="1" t="s">
        <v>1</v>
      </c>
      <c r="F1511" s="39">
        <v>0</v>
      </c>
    </row>
    <row r="1512" spans="1:6" x14ac:dyDescent="0.25">
      <c r="A1512" s="1">
        <v>4007076</v>
      </c>
      <c r="B1512" s="1" t="s">
        <v>3081</v>
      </c>
      <c r="C1512" s="1" t="s">
        <v>2058</v>
      </c>
      <c r="D1512" s="39">
        <v>0</v>
      </c>
      <c r="E1512" s="1" t="s">
        <v>1</v>
      </c>
      <c r="F1512" s="39">
        <v>0</v>
      </c>
    </row>
    <row r="1513" spans="1:6" x14ac:dyDescent="0.25">
      <c r="A1513" s="1">
        <v>4007127</v>
      </c>
      <c r="B1513" s="1" t="s">
        <v>3082</v>
      </c>
      <c r="C1513" s="1" t="s">
        <v>2058</v>
      </c>
      <c r="D1513" s="39">
        <v>0</v>
      </c>
      <c r="E1513" s="1" t="s">
        <v>1</v>
      </c>
      <c r="F1513" s="39">
        <v>0</v>
      </c>
    </row>
    <row r="1514" spans="1:6" x14ac:dyDescent="0.25">
      <c r="A1514" s="1">
        <v>4007128</v>
      </c>
      <c r="B1514" s="1" t="s">
        <v>3083</v>
      </c>
      <c r="C1514" s="1" t="s">
        <v>2058</v>
      </c>
      <c r="D1514" s="39">
        <v>0</v>
      </c>
      <c r="E1514" s="1" t="s">
        <v>1</v>
      </c>
      <c r="F1514" s="39">
        <v>0</v>
      </c>
    </row>
    <row r="1515" spans="1:6" x14ac:dyDescent="0.25">
      <c r="A1515" s="1">
        <v>4007129</v>
      </c>
      <c r="B1515" s="1" t="s">
        <v>3084</v>
      </c>
      <c r="C1515" s="1" t="s">
        <v>2058</v>
      </c>
      <c r="D1515" s="39">
        <v>0</v>
      </c>
      <c r="E1515" s="1" t="s">
        <v>1</v>
      </c>
      <c r="F1515" s="39">
        <v>0</v>
      </c>
    </row>
    <row r="1516" spans="1:6" x14ac:dyDescent="0.25">
      <c r="A1516" s="1">
        <v>4007130</v>
      </c>
      <c r="B1516" s="1" t="s">
        <v>3085</v>
      </c>
      <c r="C1516" s="1" t="s">
        <v>2058</v>
      </c>
      <c r="D1516" s="39">
        <v>0</v>
      </c>
      <c r="E1516" s="1" t="s">
        <v>1</v>
      </c>
      <c r="F1516" s="39">
        <v>0</v>
      </c>
    </row>
    <row r="1517" spans="1:6" x14ac:dyDescent="0.25">
      <c r="A1517" s="1">
        <v>4007131</v>
      </c>
      <c r="B1517" s="1" t="s">
        <v>3086</v>
      </c>
      <c r="C1517" s="1" t="s">
        <v>2058</v>
      </c>
      <c r="D1517" s="39">
        <v>0</v>
      </c>
      <c r="E1517" s="1" t="s">
        <v>1</v>
      </c>
      <c r="F1517" s="39">
        <v>0</v>
      </c>
    </row>
    <row r="1518" spans="1:6" x14ac:dyDescent="0.25">
      <c r="A1518" s="1">
        <v>4007163</v>
      </c>
      <c r="B1518" s="1" t="s">
        <v>3087</v>
      </c>
      <c r="C1518" s="1" t="s">
        <v>2058</v>
      </c>
      <c r="D1518" s="39">
        <v>0</v>
      </c>
      <c r="E1518" s="1" t="s">
        <v>1</v>
      </c>
      <c r="F1518" s="39">
        <v>0</v>
      </c>
    </row>
    <row r="1519" spans="1:6" x14ac:dyDescent="0.25">
      <c r="A1519" s="1">
        <v>4007190</v>
      </c>
      <c r="B1519" s="1" t="s">
        <v>3088</v>
      </c>
      <c r="C1519" s="1" t="s">
        <v>2058</v>
      </c>
      <c r="D1519" s="39">
        <v>0</v>
      </c>
      <c r="E1519" s="1" t="s">
        <v>1</v>
      </c>
      <c r="F1519" s="39">
        <v>0</v>
      </c>
    </row>
    <row r="1520" spans="1:6" x14ac:dyDescent="0.25">
      <c r="A1520" s="1">
        <v>4007191</v>
      </c>
      <c r="B1520" s="1" t="s">
        <v>3089</v>
      </c>
      <c r="C1520" s="1" t="s">
        <v>2058</v>
      </c>
      <c r="D1520" s="39">
        <v>0</v>
      </c>
      <c r="E1520" s="1" t="s">
        <v>1</v>
      </c>
      <c r="F1520" s="39">
        <v>0</v>
      </c>
    </row>
    <row r="1521" spans="1:6" x14ac:dyDescent="0.25">
      <c r="A1521" s="1">
        <v>4007192</v>
      </c>
      <c r="B1521" s="1" t="s">
        <v>3090</v>
      </c>
      <c r="C1521" s="1" t="s">
        <v>2058</v>
      </c>
      <c r="D1521" s="39">
        <v>0</v>
      </c>
      <c r="E1521" s="1" t="s">
        <v>1</v>
      </c>
      <c r="F1521" s="39">
        <v>0</v>
      </c>
    </row>
    <row r="1522" spans="1:6" x14ac:dyDescent="0.25">
      <c r="A1522" s="1">
        <v>4007196</v>
      </c>
      <c r="B1522" s="1" t="s">
        <v>52</v>
      </c>
      <c r="C1522" s="1" t="s">
        <v>2058</v>
      </c>
      <c r="D1522" s="39">
        <v>0</v>
      </c>
      <c r="E1522" s="1" t="s">
        <v>1</v>
      </c>
      <c r="F1522" s="39">
        <v>0</v>
      </c>
    </row>
    <row r="1523" spans="1:6" x14ac:dyDescent="0.25">
      <c r="A1523" s="1">
        <v>4007201</v>
      </c>
      <c r="B1523" s="1" t="s">
        <v>3091</v>
      </c>
      <c r="C1523" s="1" t="s">
        <v>2058</v>
      </c>
      <c r="D1523" s="39">
        <v>0</v>
      </c>
      <c r="E1523" s="1" t="s">
        <v>1</v>
      </c>
      <c r="F1523" s="39">
        <v>0</v>
      </c>
    </row>
    <row r="1524" spans="1:6" x14ac:dyDescent="0.25">
      <c r="A1524" s="1">
        <v>4007213</v>
      </c>
      <c r="B1524" s="1" t="s">
        <v>3092</v>
      </c>
      <c r="C1524" s="1" t="s">
        <v>2058</v>
      </c>
      <c r="D1524" s="39">
        <v>0</v>
      </c>
      <c r="E1524" s="1" t="s">
        <v>1</v>
      </c>
      <c r="F1524" s="39">
        <v>0</v>
      </c>
    </row>
    <row r="1525" spans="1:6" x14ac:dyDescent="0.25">
      <c r="A1525" s="1">
        <v>4007214</v>
      </c>
      <c r="B1525" s="1" t="s">
        <v>3093</v>
      </c>
      <c r="C1525" s="1" t="s">
        <v>2058</v>
      </c>
      <c r="D1525" s="39">
        <v>0</v>
      </c>
      <c r="E1525" s="1" t="s">
        <v>1</v>
      </c>
      <c r="F1525" s="39">
        <v>0</v>
      </c>
    </row>
    <row r="1526" spans="1:6" x14ac:dyDescent="0.25">
      <c r="A1526" s="1">
        <v>4007215</v>
      </c>
      <c r="B1526" s="1" t="s">
        <v>3094</v>
      </c>
      <c r="C1526" s="1" t="s">
        <v>2058</v>
      </c>
      <c r="D1526" s="39">
        <v>0</v>
      </c>
      <c r="E1526" s="1" t="s">
        <v>1</v>
      </c>
      <c r="F1526" s="39">
        <v>0</v>
      </c>
    </row>
    <row r="1527" spans="1:6" x14ac:dyDescent="0.25">
      <c r="A1527" s="1">
        <v>4007216</v>
      </c>
      <c r="B1527" s="1" t="s">
        <v>3095</v>
      </c>
      <c r="C1527" s="1" t="s">
        <v>2058</v>
      </c>
      <c r="D1527" s="39">
        <v>0</v>
      </c>
      <c r="E1527" s="1" t="s">
        <v>1</v>
      </c>
      <c r="F1527" s="39">
        <v>0</v>
      </c>
    </row>
    <row r="1528" spans="1:6" x14ac:dyDescent="0.25">
      <c r="A1528" s="1">
        <v>4007232</v>
      </c>
      <c r="B1528" s="1" t="s">
        <v>3096</v>
      </c>
      <c r="C1528" s="1" t="s">
        <v>2058</v>
      </c>
      <c r="D1528" s="39">
        <v>0</v>
      </c>
      <c r="E1528" s="1" t="s">
        <v>1</v>
      </c>
      <c r="F1528" s="39">
        <v>0</v>
      </c>
    </row>
    <row r="1529" spans="1:6" x14ac:dyDescent="0.25">
      <c r="A1529" s="1">
        <v>4007233</v>
      </c>
      <c r="B1529" s="1" t="s">
        <v>3097</v>
      </c>
      <c r="C1529" s="1" t="s">
        <v>2058</v>
      </c>
      <c r="D1529" s="39">
        <v>0</v>
      </c>
      <c r="E1529" s="1" t="s">
        <v>1</v>
      </c>
      <c r="F1529" s="39">
        <v>0</v>
      </c>
    </row>
    <row r="1530" spans="1:6" x14ac:dyDescent="0.25">
      <c r="A1530" s="1">
        <v>4007235</v>
      </c>
      <c r="B1530" s="1" t="s">
        <v>3098</v>
      </c>
      <c r="C1530" s="1" t="s">
        <v>2058</v>
      </c>
      <c r="D1530" s="39">
        <v>0</v>
      </c>
      <c r="E1530" s="1" t="s">
        <v>1</v>
      </c>
      <c r="F1530" s="39">
        <v>0</v>
      </c>
    </row>
    <row r="1531" spans="1:6" x14ac:dyDescent="0.25">
      <c r="A1531" s="1">
        <v>4007236</v>
      </c>
      <c r="B1531" s="1" t="s">
        <v>3099</v>
      </c>
      <c r="C1531" s="1" t="s">
        <v>2058</v>
      </c>
      <c r="D1531" s="39">
        <v>0</v>
      </c>
      <c r="E1531" s="1" t="s">
        <v>1</v>
      </c>
      <c r="F1531" s="39">
        <v>0</v>
      </c>
    </row>
    <row r="1532" spans="1:6" x14ac:dyDescent="0.25">
      <c r="A1532" s="1">
        <v>4007237</v>
      </c>
      <c r="B1532" s="1" t="s">
        <v>3100</v>
      </c>
      <c r="C1532" s="1" t="s">
        <v>2058</v>
      </c>
      <c r="D1532" s="39">
        <v>0</v>
      </c>
      <c r="E1532" s="1" t="s">
        <v>1</v>
      </c>
      <c r="F1532" s="39">
        <v>0</v>
      </c>
    </row>
    <row r="1533" spans="1:6" x14ac:dyDescent="0.25">
      <c r="A1533" s="1">
        <v>4007238</v>
      </c>
      <c r="B1533" s="1" t="s">
        <v>3101</v>
      </c>
      <c r="C1533" s="1" t="s">
        <v>2058</v>
      </c>
      <c r="D1533" s="39">
        <v>0</v>
      </c>
      <c r="E1533" s="1" t="s">
        <v>1</v>
      </c>
      <c r="F1533" s="39">
        <v>0</v>
      </c>
    </row>
    <row r="1534" spans="1:6" x14ac:dyDescent="0.25">
      <c r="A1534" s="1">
        <v>4007239</v>
      </c>
      <c r="B1534" s="1" t="s">
        <v>3102</v>
      </c>
      <c r="C1534" s="1" t="s">
        <v>2058</v>
      </c>
      <c r="D1534" s="39">
        <v>0</v>
      </c>
      <c r="E1534" s="1" t="s">
        <v>1</v>
      </c>
      <c r="F1534" s="39">
        <v>0</v>
      </c>
    </row>
    <row r="1535" spans="1:6" x14ac:dyDescent="0.25">
      <c r="A1535" s="1">
        <v>4007240</v>
      </c>
      <c r="B1535" s="1" t="s">
        <v>3103</v>
      </c>
      <c r="C1535" s="1" t="s">
        <v>2058</v>
      </c>
      <c r="D1535" s="39">
        <v>0</v>
      </c>
      <c r="E1535" s="1" t="s">
        <v>1</v>
      </c>
      <c r="F1535" s="39">
        <v>0</v>
      </c>
    </row>
    <row r="1536" spans="1:6" x14ac:dyDescent="0.25">
      <c r="A1536" s="1">
        <v>4007241</v>
      </c>
      <c r="B1536" s="1" t="s">
        <v>3104</v>
      </c>
      <c r="C1536" s="1" t="s">
        <v>2058</v>
      </c>
      <c r="D1536" s="39">
        <v>0</v>
      </c>
      <c r="E1536" s="1" t="s">
        <v>1</v>
      </c>
      <c r="F1536" s="39">
        <v>0</v>
      </c>
    </row>
    <row r="1537" spans="1:6" x14ac:dyDescent="0.25">
      <c r="A1537" s="1">
        <v>4007242</v>
      </c>
      <c r="B1537" s="1" t="s">
        <v>3105</v>
      </c>
      <c r="C1537" s="1" t="s">
        <v>2058</v>
      </c>
      <c r="D1537" s="39">
        <v>0</v>
      </c>
      <c r="E1537" s="1" t="s">
        <v>1</v>
      </c>
      <c r="F1537" s="39">
        <v>0</v>
      </c>
    </row>
    <row r="1538" spans="1:6" x14ac:dyDescent="0.25">
      <c r="A1538" s="1">
        <v>4007243</v>
      </c>
      <c r="B1538" s="1" t="s">
        <v>3106</v>
      </c>
      <c r="C1538" s="1" t="s">
        <v>2058</v>
      </c>
      <c r="D1538" s="39">
        <v>0</v>
      </c>
      <c r="E1538" s="1" t="s">
        <v>1</v>
      </c>
      <c r="F1538" s="39">
        <v>0</v>
      </c>
    </row>
    <row r="1539" spans="1:6" x14ac:dyDescent="0.25">
      <c r="A1539" s="1">
        <v>4007244</v>
      </c>
      <c r="B1539" s="1" t="s">
        <v>3107</v>
      </c>
      <c r="C1539" s="1" t="s">
        <v>2058</v>
      </c>
      <c r="D1539" s="39">
        <v>0</v>
      </c>
      <c r="E1539" s="1" t="s">
        <v>1</v>
      </c>
      <c r="F1539" s="39">
        <v>0</v>
      </c>
    </row>
    <row r="1540" spans="1:6" x14ac:dyDescent="0.25">
      <c r="A1540" s="1">
        <v>4007245</v>
      </c>
      <c r="B1540" s="1" t="s">
        <v>3108</v>
      </c>
      <c r="C1540" s="1" t="s">
        <v>2058</v>
      </c>
      <c r="D1540" s="39">
        <v>0</v>
      </c>
      <c r="E1540" s="1" t="s">
        <v>1</v>
      </c>
      <c r="F1540" s="39">
        <v>0</v>
      </c>
    </row>
    <row r="1541" spans="1:6" x14ac:dyDescent="0.25">
      <c r="A1541" s="1">
        <v>4007248</v>
      </c>
      <c r="B1541" s="1" t="s">
        <v>3109</v>
      </c>
      <c r="C1541" s="1" t="s">
        <v>2058</v>
      </c>
      <c r="D1541" s="39">
        <v>0</v>
      </c>
      <c r="E1541" s="1" t="s">
        <v>1</v>
      </c>
      <c r="F1541" s="39">
        <v>0</v>
      </c>
    </row>
    <row r="1542" spans="1:6" x14ac:dyDescent="0.25">
      <c r="A1542" s="1">
        <v>4007249</v>
      </c>
      <c r="B1542" s="1" t="s">
        <v>3110</v>
      </c>
      <c r="C1542" s="1" t="s">
        <v>2058</v>
      </c>
      <c r="D1542" s="39">
        <v>0</v>
      </c>
      <c r="E1542" s="1" t="s">
        <v>1</v>
      </c>
      <c r="F1542" s="39">
        <v>0</v>
      </c>
    </row>
    <row r="1543" spans="1:6" x14ac:dyDescent="0.25">
      <c r="A1543" s="1">
        <v>4007250</v>
      </c>
      <c r="B1543" s="1" t="s">
        <v>3111</v>
      </c>
      <c r="C1543" s="1" t="s">
        <v>2058</v>
      </c>
      <c r="D1543" s="39">
        <v>0</v>
      </c>
      <c r="E1543" s="1" t="s">
        <v>1</v>
      </c>
      <c r="F1543" s="39">
        <v>0</v>
      </c>
    </row>
    <row r="1544" spans="1:6" x14ac:dyDescent="0.25">
      <c r="A1544" s="1">
        <v>4007251</v>
      </c>
      <c r="B1544" s="1" t="s">
        <v>3112</v>
      </c>
      <c r="C1544" s="1" t="s">
        <v>2058</v>
      </c>
      <c r="D1544" s="39">
        <v>0</v>
      </c>
      <c r="E1544" s="1" t="s">
        <v>1</v>
      </c>
      <c r="F1544" s="39">
        <v>0</v>
      </c>
    </row>
    <row r="1545" spans="1:6" x14ac:dyDescent="0.25">
      <c r="A1545" s="1">
        <v>4007252</v>
      </c>
      <c r="B1545" s="1" t="s">
        <v>3113</v>
      </c>
      <c r="C1545" s="1" t="s">
        <v>2058</v>
      </c>
      <c r="D1545" s="39">
        <v>0</v>
      </c>
      <c r="E1545" s="1" t="s">
        <v>1</v>
      </c>
      <c r="F1545" s="39">
        <v>0</v>
      </c>
    </row>
    <row r="1546" spans="1:6" x14ac:dyDescent="0.25">
      <c r="A1546" s="1">
        <v>4007253</v>
      </c>
      <c r="B1546" s="1" t="s">
        <v>3114</v>
      </c>
      <c r="C1546" s="1" t="s">
        <v>2058</v>
      </c>
      <c r="D1546" s="39">
        <v>0</v>
      </c>
      <c r="E1546" s="1" t="s">
        <v>1</v>
      </c>
      <c r="F1546" s="39">
        <v>0</v>
      </c>
    </row>
    <row r="1547" spans="1:6" x14ac:dyDescent="0.25">
      <c r="A1547" s="1">
        <v>4007260</v>
      </c>
      <c r="B1547" s="1" t="s">
        <v>3115</v>
      </c>
      <c r="C1547" s="1" t="s">
        <v>2058</v>
      </c>
      <c r="D1547" s="39">
        <v>0</v>
      </c>
      <c r="E1547" s="1" t="s">
        <v>1</v>
      </c>
      <c r="F1547" s="39">
        <v>0</v>
      </c>
    </row>
    <row r="1548" spans="1:6" x14ac:dyDescent="0.25">
      <c r="A1548" s="1">
        <v>4007261</v>
      </c>
      <c r="B1548" s="1" t="s">
        <v>3116</v>
      </c>
      <c r="C1548" s="1" t="s">
        <v>2058</v>
      </c>
      <c r="D1548" s="39">
        <v>0</v>
      </c>
      <c r="E1548" s="1" t="s">
        <v>1</v>
      </c>
      <c r="F1548" s="39">
        <v>0</v>
      </c>
    </row>
    <row r="1549" spans="1:6" x14ac:dyDescent="0.25">
      <c r="A1549" s="1">
        <v>4007263</v>
      </c>
      <c r="B1549" s="1" t="s">
        <v>3117</v>
      </c>
      <c r="C1549" s="1" t="s">
        <v>2058</v>
      </c>
      <c r="D1549" s="39">
        <v>0</v>
      </c>
      <c r="E1549" s="1" t="s">
        <v>1</v>
      </c>
      <c r="F1549" s="39">
        <v>0</v>
      </c>
    </row>
    <row r="1550" spans="1:6" x14ac:dyDescent="0.25">
      <c r="A1550" s="1">
        <v>4007301</v>
      </c>
      <c r="B1550" s="1" t="s">
        <v>3118</v>
      </c>
      <c r="C1550" s="1" t="s">
        <v>2058</v>
      </c>
      <c r="D1550" s="39">
        <v>0</v>
      </c>
      <c r="E1550" s="1" t="s">
        <v>1</v>
      </c>
      <c r="F1550" s="39">
        <v>0</v>
      </c>
    </row>
    <row r="1551" spans="1:6" x14ac:dyDescent="0.25">
      <c r="A1551" s="1">
        <v>4007302</v>
      </c>
      <c r="B1551" s="1" t="s">
        <v>3119</v>
      </c>
      <c r="C1551" s="1" t="s">
        <v>2058</v>
      </c>
      <c r="D1551" s="39">
        <v>0</v>
      </c>
      <c r="E1551" s="1" t="s">
        <v>1</v>
      </c>
      <c r="F1551" s="39">
        <v>0</v>
      </c>
    </row>
    <row r="1552" spans="1:6" x14ac:dyDescent="0.25">
      <c r="A1552" s="1">
        <v>4007345</v>
      </c>
      <c r="B1552" s="1" t="s">
        <v>597</v>
      </c>
      <c r="C1552" s="1" t="s">
        <v>2058</v>
      </c>
      <c r="D1552" s="39">
        <v>0</v>
      </c>
      <c r="E1552" s="1" t="s">
        <v>1</v>
      </c>
      <c r="F1552" s="39">
        <v>0</v>
      </c>
    </row>
    <row r="1553" spans="1:6" x14ac:dyDescent="0.25">
      <c r="A1553" s="1">
        <v>4007347</v>
      </c>
      <c r="B1553" s="1" t="s">
        <v>192</v>
      </c>
      <c r="C1553" s="1" t="s">
        <v>2058</v>
      </c>
      <c r="D1553" s="39">
        <v>0</v>
      </c>
      <c r="E1553" s="1" t="s">
        <v>1</v>
      </c>
      <c r="F1553" s="39">
        <v>0</v>
      </c>
    </row>
    <row r="1554" spans="1:6" x14ac:dyDescent="0.25">
      <c r="A1554" s="1">
        <v>4007348</v>
      </c>
      <c r="B1554" s="1" t="s">
        <v>193</v>
      </c>
      <c r="C1554" s="1" t="s">
        <v>2058</v>
      </c>
      <c r="D1554" s="39">
        <v>0</v>
      </c>
      <c r="E1554" s="1" t="s">
        <v>1</v>
      </c>
      <c r="F1554" s="39">
        <v>0</v>
      </c>
    </row>
    <row r="1555" spans="1:6" x14ac:dyDescent="0.25">
      <c r="A1555" s="1">
        <v>4007359</v>
      </c>
      <c r="B1555" s="1" t="s">
        <v>3120</v>
      </c>
      <c r="C1555" s="1" t="s">
        <v>2058</v>
      </c>
      <c r="D1555" s="39">
        <v>0</v>
      </c>
      <c r="E1555" s="1" t="s">
        <v>1</v>
      </c>
      <c r="F1555" s="39">
        <v>0</v>
      </c>
    </row>
    <row r="1556" spans="1:6" x14ac:dyDescent="0.25">
      <c r="A1556" s="1">
        <v>4007397</v>
      </c>
      <c r="B1556" s="1" t="s">
        <v>3121</v>
      </c>
      <c r="C1556" s="1" t="s">
        <v>2058</v>
      </c>
      <c r="D1556" s="39">
        <v>0</v>
      </c>
      <c r="E1556" s="1" t="s">
        <v>1</v>
      </c>
      <c r="F1556" s="39">
        <v>0</v>
      </c>
    </row>
    <row r="1557" spans="1:6" x14ac:dyDescent="0.25">
      <c r="A1557" s="1">
        <v>4007398</v>
      </c>
      <c r="B1557" s="1" t="s">
        <v>3122</v>
      </c>
      <c r="C1557" s="1" t="s">
        <v>2058</v>
      </c>
      <c r="D1557" s="39">
        <v>0</v>
      </c>
      <c r="E1557" s="1" t="s">
        <v>1</v>
      </c>
      <c r="F1557" s="39">
        <v>0</v>
      </c>
    </row>
    <row r="1558" spans="1:6" x14ac:dyDescent="0.25">
      <c r="A1558" s="1">
        <v>4007399</v>
      </c>
      <c r="B1558" s="1" t="s">
        <v>3123</v>
      </c>
      <c r="C1558" s="1" t="s">
        <v>2058</v>
      </c>
      <c r="D1558" s="39">
        <v>0</v>
      </c>
      <c r="E1558" s="1" t="s">
        <v>1</v>
      </c>
      <c r="F1558" s="39">
        <v>0</v>
      </c>
    </row>
    <row r="1559" spans="1:6" x14ac:dyDescent="0.25">
      <c r="A1559" s="1">
        <v>4007413</v>
      </c>
      <c r="B1559" s="1" t="s">
        <v>3124</v>
      </c>
      <c r="C1559" s="1" t="s">
        <v>2058</v>
      </c>
      <c r="D1559" s="39">
        <v>0</v>
      </c>
      <c r="E1559" s="1" t="s">
        <v>1</v>
      </c>
      <c r="F1559" s="39">
        <v>0</v>
      </c>
    </row>
    <row r="1560" spans="1:6" x14ac:dyDescent="0.25">
      <c r="A1560" s="1">
        <v>4007414</v>
      </c>
      <c r="B1560" s="1" t="s">
        <v>3125</v>
      </c>
      <c r="C1560" s="1" t="s">
        <v>2058</v>
      </c>
      <c r="D1560" s="39">
        <v>0</v>
      </c>
      <c r="E1560" s="1" t="s">
        <v>1</v>
      </c>
      <c r="F1560" s="39">
        <v>0</v>
      </c>
    </row>
    <row r="1561" spans="1:6" x14ac:dyDescent="0.25">
      <c r="A1561" s="1">
        <v>4007415</v>
      </c>
      <c r="B1561" s="1" t="s">
        <v>3126</v>
      </c>
      <c r="C1561" s="1" t="s">
        <v>2058</v>
      </c>
      <c r="D1561" s="39">
        <v>0</v>
      </c>
      <c r="E1561" s="1" t="s">
        <v>1</v>
      </c>
      <c r="F1561" s="39">
        <v>0</v>
      </c>
    </row>
    <row r="1562" spans="1:6" x14ac:dyDescent="0.25">
      <c r="A1562" s="1">
        <v>4007416</v>
      </c>
      <c r="B1562" s="1" t="s">
        <v>3127</v>
      </c>
      <c r="C1562" s="1" t="s">
        <v>2058</v>
      </c>
      <c r="D1562" s="39">
        <v>0</v>
      </c>
      <c r="E1562" s="1" t="s">
        <v>1</v>
      </c>
      <c r="F1562" s="39">
        <v>0</v>
      </c>
    </row>
    <row r="1563" spans="1:6" x14ac:dyDescent="0.25">
      <c r="A1563" s="1">
        <v>4007417</v>
      </c>
      <c r="B1563" s="1" t="s">
        <v>3128</v>
      </c>
      <c r="C1563" s="1" t="s">
        <v>2058</v>
      </c>
      <c r="D1563" s="39">
        <v>0</v>
      </c>
      <c r="E1563" s="1" t="s">
        <v>1</v>
      </c>
      <c r="F1563" s="39">
        <v>0</v>
      </c>
    </row>
    <row r="1564" spans="1:6" x14ac:dyDescent="0.25">
      <c r="A1564" s="1">
        <v>4007418</v>
      </c>
      <c r="B1564" s="1" t="s">
        <v>3129</v>
      </c>
      <c r="C1564" s="1" t="s">
        <v>2058</v>
      </c>
      <c r="D1564" s="39">
        <v>0</v>
      </c>
      <c r="E1564" s="1" t="s">
        <v>1</v>
      </c>
      <c r="F1564" s="39">
        <v>0</v>
      </c>
    </row>
    <row r="1565" spans="1:6" x14ac:dyDescent="0.25">
      <c r="A1565" s="1">
        <v>4007419</v>
      </c>
      <c r="B1565" s="1" t="s">
        <v>3130</v>
      </c>
      <c r="C1565" s="1" t="s">
        <v>2058</v>
      </c>
      <c r="D1565" s="39">
        <v>0</v>
      </c>
      <c r="E1565" s="1" t="s">
        <v>1</v>
      </c>
      <c r="F1565" s="39">
        <v>0</v>
      </c>
    </row>
    <row r="1566" spans="1:6" x14ac:dyDescent="0.25">
      <c r="A1566" s="1">
        <v>4007454</v>
      </c>
      <c r="B1566" s="1" t="s">
        <v>3131</v>
      </c>
      <c r="C1566" s="1" t="s">
        <v>2058</v>
      </c>
      <c r="D1566" s="39">
        <v>0</v>
      </c>
      <c r="E1566" s="1" t="s">
        <v>1</v>
      </c>
      <c r="F1566" s="39">
        <v>0</v>
      </c>
    </row>
    <row r="1567" spans="1:6" x14ac:dyDescent="0.25">
      <c r="A1567" s="1">
        <v>4007460</v>
      </c>
      <c r="B1567" s="1" t="s">
        <v>3132</v>
      </c>
      <c r="C1567" s="1" t="s">
        <v>2058</v>
      </c>
      <c r="D1567" s="39">
        <v>0</v>
      </c>
      <c r="E1567" s="1" t="s">
        <v>1</v>
      </c>
      <c r="F1567" s="39">
        <v>0</v>
      </c>
    </row>
    <row r="1568" spans="1:6" x14ac:dyDescent="0.25">
      <c r="A1568" s="1">
        <v>4007468</v>
      </c>
      <c r="B1568" s="1" t="s">
        <v>3133</v>
      </c>
      <c r="C1568" s="1" t="s">
        <v>2058</v>
      </c>
      <c r="D1568" s="39">
        <v>0</v>
      </c>
      <c r="E1568" s="1" t="s">
        <v>1</v>
      </c>
      <c r="F1568" s="39">
        <v>0</v>
      </c>
    </row>
    <row r="1569" spans="1:6" x14ac:dyDescent="0.25">
      <c r="A1569" s="1">
        <v>4007469</v>
      </c>
      <c r="B1569" s="1" t="s">
        <v>3134</v>
      </c>
      <c r="C1569" s="1" t="s">
        <v>2058</v>
      </c>
      <c r="D1569" s="39">
        <v>0</v>
      </c>
      <c r="E1569" s="1" t="s">
        <v>1</v>
      </c>
      <c r="F1569" s="39">
        <v>0</v>
      </c>
    </row>
    <row r="1570" spans="1:6" x14ac:dyDescent="0.25">
      <c r="A1570" s="1">
        <v>4007480</v>
      </c>
      <c r="B1570" s="1" t="s">
        <v>868</v>
      </c>
      <c r="C1570" s="1" t="s">
        <v>2058</v>
      </c>
      <c r="D1570" s="39">
        <v>1290</v>
      </c>
      <c r="E1570" s="1" t="s">
        <v>1</v>
      </c>
      <c r="F1570" s="3">
        <v>4075.76</v>
      </c>
    </row>
    <row r="1571" spans="1:6" x14ac:dyDescent="0.25">
      <c r="A1571" s="1">
        <v>4007488</v>
      </c>
      <c r="B1571" s="1" t="s">
        <v>3135</v>
      </c>
      <c r="C1571" s="1" t="s">
        <v>2058</v>
      </c>
      <c r="D1571" s="39">
        <v>0</v>
      </c>
      <c r="E1571" s="1" t="s">
        <v>1</v>
      </c>
      <c r="F1571" s="39">
        <v>0</v>
      </c>
    </row>
    <row r="1572" spans="1:6" x14ac:dyDescent="0.25">
      <c r="A1572" s="1">
        <v>4007489</v>
      </c>
      <c r="B1572" s="1" t="s">
        <v>3136</v>
      </c>
      <c r="C1572" s="1" t="s">
        <v>2058</v>
      </c>
      <c r="D1572" s="39">
        <v>0</v>
      </c>
      <c r="E1572" s="1" t="s">
        <v>1</v>
      </c>
      <c r="F1572" s="39">
        <v>0</v>
      </c>
    </row>
    <row r="1573" spans="1:6" x14ac:dyDescent="0.25">
      <c r="A1573" s="1">
        <v>4007520</v>
      </c>
      <c r="B1573" s="1" t="s">
        <v>3137</v>
      </c>
      <c r="C1573" s="1" t="s">
        <v>2058</v>
      </c>
      <c r="D1573" s="39">
        <v>0</v>
      </c>
      <c r="E1573" s="1" t="s">
        <v>1</v>
      </c>
      <c r="F1573" s="39">
        <v>0</v>
      </c>
    </row>
    <row r="1574" spans="1:6" x14ac:dyDescent="0.25">
      <c r="A1574" s="1">
        <v>4007521</v>
      </c>
      <c r="B1574" s="1" t="s">
        <v>3138</v>
      </c>
      <c r="C1574" s="1" t="s">
        <v>2058</v>
      </c>
      <c r="D1574" s="39">
        <v>0</v>
      </c>
      <c r="E1574" s="1" t="s">
        <v>1</v>
      </c>
      <c r="F1574" s="39">
        <v>0</v>
      </c>
    </row>
    <row r="1575" spans="1:6" x14ac:dyDescent="0.25">
      <c r="A1575" s="1">
        <v>4007522</v>
      </c>
      <c r="B1575" s="1" t="s">
        <v>3139</v>
      </c>
      <c r="C1575" s="1" t="s">
        <v>2058</v>
      </c>
      <c r="D1575" s="39">
        <v>0</v>
      </c>
      <c r="E1575" s="1" t="s">
        <v>1</v>
      </c>
      <c r="F1575" s="39">
        <v>0</v>
      </c>
    </row>
    <row r="1576" spans="1:6" x14ac:dyDescent="0.25">
      <c r="A1576" s="1">
        <v>4007782</v>
      </c>
      <c r="B1576" s="1" t="s">
        <v>3140</v>
      </c>
      <c r="C1576" s="1" t="s">
        <v>2058</v>
      </c>
      <c r="D1576" s="39">
        <v>0</v>
      </c>
      <c r="E1576" s="1" t="s">
        <v>1</v>
      </c>
      <c r="F1576" s="39">
        <v>0</v>
      </c>
    </row>
    <row r="1577" spans="1:6" x14ac:dyDescent="0.25">
      <c r="A1577" s="1">
        <v>4007783</v>
      </c>
      <c r="B1577" s="1" t="s">
        <v>3141</v>
      </c>
      <c r="C1577" s="1" t="s">
        <v>2058</v>
      </c>
      <c r="D1577" s="39">
        <v>0</v>
      </c>
      <c r="E1577" s="1" t="s">
        <v>1</v>
      </c>
      <c r="F1577" s="39">
        <v>0</v>
      </c>
    </row>
    <row r="1578" spans="1:6" x14ac:dyDescent="0.25">
      <c r="A1578" s="1">
        <v>4007857</v>
      </c>
      <c r="B1578" s="1" t="s">
        <v>3142</v>
      </c>
      <c r="C1578" s="1" t="s">
        <v>2058</v>
      </c>
      <c r="D1578" s="39">
        <v>0</v>
      </c>
      <c r="E1578" s="1" t="s">
        <v>1</v>
      </c>
      <c r="F1578" s="39">
        <v>0</v>
      </c>
    </row>
    <row r="1579" spans="1:6" x14ac:dyDescent="0.25">
      <c r="A1579" s="1">
        <v>4007863</v>
      </c>
      <c r="B1579" s="1" t="s">
        <v>3143</v>
      </c>
      <c r="C1579" s="1" t="s">
        <v>2058</v>
      </c>
      <c r="D1579" s="39">
        <v>0</v>
      </c>
      <c r="E1579" s="1" t="s">
        <v>1</v>
      </c>
      <c r="F1579" s="39">
        <v>0</v>
      </c>
    </row>
    <row r="1580" spans="1:6" x14ac:dyDescent="0.25">
      <c r="A1580" s="1">
        <v>4007890</v>
      </c>
      <c r="B1580" s="1" t="s">
        <v>3144</v>
      </c>
      <c r="C1580" s="1" t="s">
        <v>2058</v>
      </c>
      <c r="D1580" s="39">
        <v>0</v>
      </c>
      <c r="E1580" s="1" t="s">
        <v>1</v>
      </c>
      <c r="F1580" s="39">
        <v>0</v>
      </c>
    </row>
    <row r="1581" spans="1:6" x14ac:dyDescent="0.25">
      <c r="A1581" s="1">
        <v>4008043</v>
      </c>
      <c r="B1581" s="1" t="s">
        <v>3145</v>
      </c>
      <c r="C1581" s="1" t="s">
        <v>2058</v>
      </c>
      <c r="D1581" s="39">
        <v>0</v>
      </c>
      <c r="E1581" s="1" t="s">
        <v>1</v>
      </c>
      <c r="F1581" s="39">
        <v>0</v>
      </c>
    </row>
    <row r="1582" spans="1:6" x14ac:dyDescent="0.25">
      <c r="A1582" s="1">
        <v>4008044</v>
      </c>
      <c r="B1582" s="1" t="s">
        <v>3146</v>
      </c>
      <c r="C1582" s="1" t="s">
        <v>2058</v>
      </c>
      <c r="D1582" s="39">
        <v>0</v>
      </c>
      <c r="E1582" s="1" t="s">
        <v>1</v>
      </c>
      <c r="F1582" s="39">
        <v>0</v>
      </c>
    </row>
    <row r="1583" spans="1:6" x14ac:dyDescent="0.25">
      <c r="A1583" s="1">
        <v>4008059</v>
      </c>
      <c r="B1583" s="1" t="s">
        <v>3147</v>
      </c>
      <c r="C1583" s="1" t="s">
        <v>2058</v>
      </c>
      <c r="D1583" s="39">
        <v>0</v>
      </c>
      <c r="E1583" s="1" t="s">
        <v>1</v>
      </c>
      <c r="F1583" s="39">
        <v>0</v>
      </c>
    </row>
    <row r="1584" spans="1:6" x14ac:dyDescent="0.25">
      <c r="A1584" s="1">
        <v>4008110</v>
      </c>
      <c r="B1584" s="1" t="s">
        <v>3148</v>
      </c>
      <c r="C1584" s="1" t="s">
        <v>2058</v>
      </c>
      <c r="D1584" s="39">
        <v>0</v>
      </c>
      <c r="E1584" s="1" t="s">
        <v>1</v>
      </c>
      <c r="F1584" s="39">
        <v>0</v>
      </c>
    </row>
    <row r="1585" spans="1:6" x14ac:dyDescent="0.25">
      <c r="A1585" s="1">
        <v>4008350</v>
      </c>
      <c r="B1585" s="1" t="s">
        <v>1753</v>
      </c>
      <c r="C1585" s="1" t="s">
        <v>2058</v>
      </c>
      <c r="D1585" s="39">
        <v>0</v>
      </c>
      <c r="E1585" s="1" t="s">
        <v>1</v>
      </c>
      <c r="F1585" s="39">
        <v>0</v>
      </c>
    </row>
    <row r="1586" spans="1:6" x14ac:dyDescent="0.25">
      <c r="A1586" s="1">
        <v>4008390</v>
      </c>
      <c r="B1586" s="1" t="s">
        <v>3149</v>
      </c>
      <c r="C1586" s="1" t="s">
        <v>2058</v>
      </c>
      <c r="D1586" s="39">
        <v>0</v>
      </c>
      <c r="E1586" s="1" t="s">
        <v>1</v>
      </c>
      <c r="F1586" s="39">
        <v>0</v>
      </c>
    </row>
    <row r="1587" spans="1:6" x14ac:dyDescent="0.25">
      <c r="A1587" s="1">
        <v>4008393</v>
      </c>
      <c r="B1587" s="1" t="s">
        <v>3150</v>
      </c>
      <c r="C1587" s="1" t="s">
        <v>2058</v>
      </c>
      <c r="D1587" s="39">
        <v>0</v>
      </c>
      <c r="E1587" s="1" t="s">
        <v>1</v>
      </c>
      <c r="F1587" s="39">
        <v>0</v>
      </c>
    </row>
    <row r="1588" spans="1:6" x14ac:dyDescent="0.25">
      <c r="A1588" s="1">
        <v>4008394</v>
      </c>
      <c r="B1588" s="1" t="s">
        <v>3151</v>
      </c>
      <c r="C1588" s="1" t="s">
        <v>2058</v>
      </c>
      <c r="D1588" s="39">
        <v>0</v>
      </c>
      <c r="E1588" s="1" t="s">
        <v>1</v>
      </c>
      <c r="F1588" s="39">
        <v>0</v>
      </c>
    </row>
    <row r="1589" spans="1:6" x14ac:dyDescent="0.25">
      <c r="A1589" s="1">
        <v>4008395</v>
      </c>
      <c r="B1589" s="1" t="s">
        <v>3152</v>
      </c>
      <c r="C1589" s="1" t="s">
        <v>2058</v>
      </c>
      <c r="D1589" s="39">
        <v>0</v>
      </c>
      <c r="E1589" s="1" t="s">
        <v>1</v>
      </c>
      <c r="F1589" s="39">
        <v>0</v>
      </c>
    </row>
    <row r="1590" spans="1:6" x14ac:dyDescent="0.25">
      <c r="A1590" s="1">
        <v>4008396</v>
      </c>
      <c r="B1590" s="1" t="s">
        <v>3153</v>
      </c>
      <c r="C1590" s="1" t="s">
        <v>2058</v>
      </c>
      <c r="D1590" s="39">
        <v>0</v>
      </c>
      <c r="E1590" s="1" t="s">
        <v>1</v>
      </c>
      <c r="F1590" s="39">
        <v>0</v>
      </c>
    </row>
    <row r="1591" spans="1:6" x14ac:dyDescent="0.25">
      <c r="A1591" s="1">
        <v>4008401</v>
      </c>
      <c r="B1591" s="1" t="s">
        <v>3154</v>
      </c>
      <c r="C1591" s="1" t="s">
        <v>2058</v>
      </c>
      <c r="D1591" s="39">
        <v>0</v>
      </c>
      <c r="E1591" s="1" t="s">
        <v>1</v>
      </c>
      <c r="F1591" s="39">
        <v>0</v>
      </c>
    </row>
    <row r="1592" spans="1:6" x14ac:dyDescent="0.25">
      <c r="A1592" s="1">
        <v>4008402</v>
      </c>
      <c r="B1592" s="1" t="s">
        <v>3155</v>
      </c>
      <c r="C1592" s="1" t="s">
        <v>2058</v>
      </c>
      <c r="D1592" s="39">
        <v>0</v>
      </c>
      <c r="E1592" s="1" t="s">
        <v>1</v>
      </c>
      <c r="F1592" s="39">
        <v>0</v>
      </c>
    </row>
    <row r="1593" spans="1:6" x14ac:dyDescent="0.25">
      <c r="A1593" s="1">
        <v>4008403</v>
      </c>
      <c r="B1593" s="1" t="s">
        <v>3156</v>
      </c>
      <c r="C1593" s="1" t="s">
        <v>2058</v>
      </c>
      <c r="D1593" s="39">
        <v>0</v>
      </c>
      <c r="E1593" s="1" t="s">
        <v>1</v>
      </c>
      <c r="F1593" s="39">
        <v>0</v>
      </c>
    </row>
    <row r="1594" spans="1:6" x14ac:dyDescent="0.25">
      <c r="A1594" s="1">
        <v>4008404</v>
      </c>
      <c r="B1594" s="1" t="s">
        <v>1104</v>
      </c>
      <c r="C1594" s="1" t="s">
        <v>2058</v>
      </c>
      <c r="D1594" s="39">
        <v>0</v>
      </c>
      <c r="E1594" s="1" t="s">
        <v>1</v>
      </c>
      <c r="F1594" s="39">
        <v>0</v>
      </c>
    </row>
    <row r="1595" spans="1:6" x14ac:dyDescent="0.25">
      <c r="A1595" s="1">
        <v>4008405</v>
      </c>
      <c r="B1595" s="1" t="s">
        <v>3157</v>
      </c>
      <c r="C1595" s="1" t="s">
        <v>2058</v>
      </c>
      <c r="D1595" s="39">
        <v>0</v>
      </c>
      <c r="E1595" s="1" t="s">
        <v>1</v>
      </c>
      <c r="F1595" s="39">
        <v>0</v>
      </c>
    </row>
    <row r="1596" spans="1:6" x14ac:dyDescent="0.25">
      <c r="A1596" s="1">
        <v>4008406</v>
      </c>
      <c r="B1596" s="1" t="s">
        <v>1112</v>
      </c>
      <c r="C1596" s="1" t="s">
        <v>2058</v>
      </c>
      <c r="D1596" s="39">
        <v>0</v>
      </c>
      <c r="E1596" s="1" t="s">
        <v>1</v>
      </c>
      <c r="F1596" s="39">
        <v>0</v>
      </c>
    </row>
    <row r="1597" spans="1:6" x14ac:dyDescent="0.25">
      <c r="A1597" s="1">
        <v>4008407</v>
      </c>
      <c r="B1597" s="1" t="s">
        <v>1117</v>
      </c>
      <c r="C1597" s="1" t="s">
        <v>2058</v>
      </c>
      <c r="D1597" s="39">
        <v>0</v>
      </c>
      <c r="E1597" s="1" t="s">
        <v>1</v>
      </c>
      <c r="F1597" s="39">
        <v>0</v>
      </c>
    </row>
    <row r="1598" spans="1:6" x14ac:dyDescent="0.25">
      <c r="A1598" s="1">
        <v>4008463</v>
      </c>
      <c r="B1598" s="1" t="s">
        <v>3158</v>
      </c>
      <c r="C1598" s="1" t="s">
        <v>2058</v>
      </c>
      <c r="D1598" s="39">
        <v>0</v>
      </c>
      <c r="E1598" s="1" t="s">
        <v>1</v>
      </c>
      <c r="F1598" s="39">
        <v>0</v>
      </c>
    </row>
    <row r="1599" spans="1:6" x14ac:dyDescent="0.25">
      <c r="A1599" s="1">
        <v>4008471</v>
      </c>
      <c r="B1599" s="1" t="s">
        <v>3159</v>
      </c>
      <c r="C1599" s="1" t="s">
        <v>2058</v>
      </c>
      <c r="D1599" s="39">
        <v>0</v>
      </c>
      <c r="E1599" s="1" t="s">
        <v>1</v>
      </c>
      <c r="F1599" s="39">
        <v>0</v>
      </c>
    </row>
    <row r="1600" spans="1:6" x14ac:dyDescent="0.25">
      <c r="A1600" s="1">
        <v>4008480</v>
      </c>
      <c r="B1600" s="1" t="s">
        <v>3160</v>
      </c>
      <c r="C1600" s="1" t="s">
        <v>2058</v>
      </c>
      <c r="D1600" s="39">
        <v>0</v>
      </c>
      <c r="E1600" s="1" t="s">
        <v>1</v>
      </c>
      <c r="F1600" s="39">
        <v>0</v>
      </c>
    </row>
    <row r="1601" spans="1:6" x14ac:dyDescent="0.25">
      <c r="A1601" s="1">
        <v>4008481</v>
      </c>
      <c r="B1601" s="1" t="s">
        <v>3161</v>
      </c>
      <c r="C1601" s="1" t="s">
        <v>2058</v>
      </c>
      <c r="D1601" s="39">
        <v>0</v>
      </c>
      <c r="E1601" s="1" t="s">
        <v>1</v>
      </c>
      <c r="F1601" s="39">
        <v>0</v>
      </c>
    </row>
    <row r="1602" spans="1:6" x14ac:dyDescent="0.25">
      <c r="A1602" s="1">
        <v>4008482</v>
      </c>
      <c r="B1602" s="1" t="s">
        <v>3162</v>
      </c>
      <c r="C1602" s="1" t="s">
        <v>2058</v>
      </c>
      <c r="D1602" s="39">
        <v>0</v>
      </c>
      <c r="E1602" s="1" t="s">
        <v>1</v>
      </c>
      <c r="F1602" s="39">
        <v>0</v>
      </c>
    </row>
    <row r="1603" spans="1:6" x14ac:dyDescent="0.25">
      <c r="A1603" s="1">
        <v>4008483</v>
      </c>
      <c r="B1603" s="1" t="s">
        <v>3163</v>
      </c>
      <c r="C1603" s="1" t="s">
        <v>2058</v>
      </c>
      <c r="D1603" s="39">
        <v>0</v>
      </c>
      <c r="E1603" s="1" t="s">
        <v>1</v>
      </c>
      <c r="F1603" s="39">
        <v>0</v>
      </c>
    </row>
    <row r="1604" spans="1:6" x14ac:dyDescent="0.25">
      <c r="A1604" s="1">
        <v>4008484</v>
      </c>
      <c r="B1604" s="1" t="s">
        <v>3164</v>
      </c>
      <c r="C1604" s="1" t="s">
        <v>2058</v>
      </c>
      <c r="D1604" s="39">
        <v>0</v>
      </c>
      <c r="E1604" s="1" t="s">
        <v>1</v>
      </c>
      <c r="F1604" s="39">
        <v>0</v>
      </c>
    </row>
    <row r="1605" spans="1:6" x14ac:dyDescent="0.25">
      <c r="A1605" s="1">
        <v>4008485</v>
      </c>
      <c r="B1605" s="1" t="s">
        <v>3165</v>
      </c>
      <c r="C1605" s="1" t="s">
        <v>2058</v>
      </c>
      <c r="D1605" s="39">
        <v>0</v>
      </c>
      <c r="E1605" s="1" t="s">
        <v>1</v>
      </c>
      <c r="F1605" s="39">
        <v>0</v>
      </c>
    </row>
    <row r="1606" spans="1:6" x14ac:dyDescent="0.25">
      <c r="A1606" s="1">
        <v>4008486</v>
      </c>
      <c r="B1606" s="1" t="s">
        <v>3166</v>
      </c>
      <c r="C1606" s="1" t="s">
        <v>2058</v>
      </c>
      <c r="D1606" s="39">
        <v>0</v>
      </c>
      <c r="E1606" s="1" t="s">
        <v>1</v>
      </c>
      <c r="F1606" s="39">
        <v>0</v>
      </c>
    </row>
    <row r="1607" spans="1:6" x14ac:dyDescent="0.25">
      <c r="A1607" s="1">
        <v>4008489</v>
      </c>
      <c r="B1607" s="1" t="s">
        <v>3167</v>
      </c>
      <c r="C1607" s="1" t="s">
        <v>2058</v>
      </c>
      <c r="D1607" s="39">
        <v>0</v>
      </c>
      <c r="E1607" s="1" t="s">
        <v>1</v>
      </c>
      <c r="F1607" s="39">
        <v>0</v>
      </c>
    </row>
    <row r="1608" spans="1:6" x14ac:dyDescent="0.25">
      <c r="A1608" s="1">
        <v>4008510</v>
      </c>
      <c r="B1608" s="1" t="s">
        <v>3168</v>
      </c>
      <c r="C1608" s="1" t="s">
        <v>2058</v>
      </c>
      <c r="D1608" s="39">
        <v>0</v>
      </c>
      <c r="E1608" s="1" t="s">
        <v>1</v>
      </c>
      <c r="F1608" s="39">
        <v>0</v>
      </c>
    </row>
    <row r="1609" spans="1:6" x14ac:dyDescent="0.25">
      <c r="A1609" s="1">
        <v>4008516</v>
      </c>
      <c r="B1609" s="1" t="s">
        <v>3169</v>
      </c>
      <c r="C1609" s="1" t="s">
        <v>2058</v>
      </c>
      <c r="D1609" s="39">
        <v>0</v>
      </c>
      <c r="E1609" s="1" t="s">
        <v>1</v>
      </c>
      <c r="F1609" s="39">
        <v>0</v>
      </c>
    </row>
    <row r="1610" spans="1:6" x14ac:dyDescent="0.25">
      <c r="A1610" s="1">
        <v>4008519</v>
      </c>
      <c r="B1610" s="1" t="s">
        <v>3170</v>
      </c>
      <c r="C1610" s="1" t="s">
        <v>2058</v>
      </c>
      <c r="D1610" s="39">
        <v>0</v>
      </c>
      <c r="E1610" s="1" t="s">
        <v>1</v>
      </c>
      <c r="F1610" s="39">
        <v>0</v>
      </c>
    </row>
    <row r="1611" spans="1:6" x14ac:dyDescent="0.25">
      <c r="A1611" s="1">
        <v>4008520</v>
      </c>
      <c r="B1611" s="1" t="s">
        <v>3171</v>
      </c>
      <c r="C1611" s="1" t="s">
        <v>2058</v>
      </c>
      <c r="D1611" s="39">
        <v>0</v>
      </c>
      <c r="E1611" s="1" t="s">
        <v>1</v>
      </c>
      <c r="F1611" s="39">
        <v>0</v>
      </c>
    </row>
    <row r="1612" spans="1:6" x14ac:dyDescent="0.25">
      <c r="A1612" s="1">
        <v>4008522</v>
      </c>
      <c r="B1612" s="1" t="s">
        <v>3172</v>
      </c>
      <c r="C1612" s="1" t="s">
        <v>2058</v>
      </c>
      <c r="D1612" s="39">
        <v>0</v>
      </c>
      <c r="E1612" s="1" t="s">
        <v>1</v>
      </c>
      <c r="F1612" s="39">
        <v>0</v>
      </c>
    </row>
    <row r="1613" spans="1:6" x14ac:dyDescent="0.25">
      <c r="A1613" s="1">
        <v>4008524</v>
      </c>
      <c r="B1613" s="1" t="s">
        <v>3173</v>
      </c>
      <c r="C1613" s="1" t="s">
        <v>2058</v>
      </c>
      <c r="D1613" s="39">
        <v>0</v>
      </c>
      <c r="E1613" s="1" t="s">
        <v>1</v>
      </c>
      <c r="F1613" s="39">
        <v>0</v>
      </c>
    </row>
    <row r="1614" spans="1:6" x14ac:dyDescent="0.25">
      <c r="A1614" s="1">
        <v>4008525</v>
      </c>
      <c r="B1614" s="1" t="s">
        <v>3174</v>
      </c>
      <c r="C1614" s="1" t="s">
        <v>2058</v>
      </c>
      <c r="D1614" s="39">
        <v>0</v>
      </c>
      <c r="E1614" s="1" t="s">
        <v>1</v>
      </c>
      <c r="F1614" s="39">
        <v>0</v>
      </c>
    </row>
    <row r="1615" spans="1:6" x14ac:dyDescent="0.25">
      <c r="A1615" s="1">
        <v>4008527</v>
      </c>
      <c r="B1615" s="1" t="s">
        <v>3175</v>
      </c>
      <c r="C1615" s="1" t="s">
        <v>2058</v>
      </c>
      <c r="D1615" s="39">
        <v>0</v>
      </c>
      <c r="E1615" s="1" t="s">
        <v>1</v>
      </c>
      <c r="F1615" s="39">
        <v>0</v>
      </c>
    </row>
    <row r="1616" spans="1:6" x14ac:dyDescent="0.25">
      <c r="A1616" s="1">
        <v>4008534</v>
      </c>
      <c r="B1616" s="1" t="s">
        <v>3176</v>
      </c>
      <c r="C1616" s="1" t="s">
        <v>2058</v>
      </c>
      <c r="D1616" s="39">
        <v>0</v>
      </c>
      <c r="E1616" s="1" t="s">
        <v>1</v>
      </c>
      <c r="F1616" s="39">
        <v>0</v>
      </c>
    </row>
    <row r="1617" spans="1:6" x14ac:dyDescent="0.25">
      <c r="A1617" s="1">
        <v>4008536</v>
      </c>
      <c r="B1617" s="1" t="s">
        <v>3177</v>
      </c>
      <c r="C1617" s="1" t="s">
        <v>2058</v>
      </c>
      <c r="D1617" s="39">
        <v>0</v>
      </c>
      <c r="E1617" s="1" t="s">
        <v>1</v>
      </c>
      <c r="F1617" s="39">
        <v>0</v>
      </c>
    </row>
    <row r="1618" spans="1:6" x14ac:dyDescent="0.25">
      <c r="A1618" s="1">
        <v>4008550</v>
      </c>
      <c r="B1618" s="1" t="s">
        <v>3178</v>
      </c>
      <c r="C1618" s="1" t="s">
        <v>2058</v>
      </c>
      <c r="D1618" s="39">
        <v>0</v>
      </c>
      <c r="E1618" s="1" t="s">
        <v>1</v>
      </c>
      <c r="F1618" s="39">
        <v>0</v>
      </c>
    </row>
    <row r="1619" spans="1:6" x14ac:dyDescent="0.25">
      <c r="A1619" s="1">
        <v>4008664</v>
      </c>
      <c r="B1619" s="1" t="s">
        <v>1440</v>
      </c>
      <c r="C1619" s="1" t="s">
        <v>2058</v>
      </c>
      <c r="D1619" s="39">
        <v>12170</v>
      </c>
      <c r="E1619" s="1" t="s">
        <v>1</v>
      </c>
      <c r="F1619" s="3">
        <v>1237.69</v>
      </c>
    </row>
    <row r="1620" spans="1:6" x14ac:dyDescent="0.25">
      <c r="A1620" s="1">
        <v>4008673</v>
      </c>
      <c r="B1620" s="1" t="s">
        <v>1420</v>
      </c>
      <c r="C1620" s="1" t="s">
        <v>2058</v>
      </c>
      <c r="D1620" s="39">
        <v>0</v>
      </c>
      <c r="E1620" s="1" t="s">
        <v>1</v>
      </c>
      <c r="F1620" s="39">
        <v>0</v>
      </c>
    </row>
    <row r="1621" spans="1:6" x14ac:dyDescent="0.25">
      <c r="A1621" s="1">
        <v>4008674</v>
      </c>
      <c r="B1621" s="1" t="s">
        <v>1421</v>
      </c>
      <c r="C1621" s="1" t="s">
        <v>2058</v>
      </c>
      <c r="D1621" s="39">
        <v>0</v>
      </c>
      <c r="E1621" s="1" t="s">
        <v>1</v>
      </c>
      <c r="F1621" s="39">
        <v>0</v>
      </c>
    </row>
    <row r="1622" spans="1:6" x14ac:dyDescent="0.25">
      <c r="A1622" s="1">
        <v>4008676</v>
      </c>
      <c r="B1622" s="1" t="s">
        <v>1422</v>
      </c>
      <c r="C1622" s="1" t="s">
        <v>2058</v>
      </c>
      <c r="D1622" s="39">
        <v>0</v>
      </c>
      <c r="E1622" s="1" t="s">
        <v>1</v>
      </c>
      <c r="F1622" s="39">
        <v>0</v>
      </c>
    </row>
    <row r="1623" spans="1:6" x14ac:dyDescent="0.25">
      <c r="A1623" s="1">
        <v>4008677</v>
      </c>
      <c r="B1623" s="1" t="s">
        <v>1423</v>
      </c>
      <c r="C1623" s="1" t="s">
        <v>2058</v>
      </c>
      <c r="D1623" s="39">
        <v>0</v>
      </c>
      <c r="E1623" s="1" t="s">
        <v>1</v>
      </c>
      <c r="F1623" s="39">
        <v>0</v>
      </c>
    </row>
    <row r="1624" spans="1:6" x14ac:dyDescent="0.25">
      <c r="A1624" s="1">
        <v>4008678</v>
      </c>
      <c r="B1624" s="1" t="s">
        <v>3179</v>
      </c>
      <c r="C1624" s="1" t="s">
        <v>2058</v>
      </c>
      <c r="D1624" s="39">
        <v>0</v>
      </c>
      <c r="E1624" s="1" t="s">
        <v>1</v>
      </c>
      <c r="F1624" s="39">
        <v>0</v>
      </c>
    </row>
    <row r="1625" spans="1:6" x14ac:dyDescent="0.25">
      <c r="A1625" s="1">
        <v>4008681</v>
      </c>
      <c r="B1625" s="1" t="s">
        <v>869</v>
      </c>
      <c r="C1625" s="1" t="s">
        <v>2058</v>
      </c>
      <c r="D1625" s="40">
        <v>495.30399999999997</v>
      </c>
      <c r="E1625" s="1" t="s">
        <v>3</v>
      </c>
      <c r="F1625" s="3">
        <v>14217.75</v>
      </c>
    </row>
    <row r="1626" spans="1:6" x14ac:dyDescent="0.25">
      <c r="A1626" s="1">
        <v>4008682</v>
      </c>
      <c r="B1626" s="1" t="s">
        <v>3180</v>
      </c>
      <c r="C1626" s="1" t="s">
        <v>2058</v>
      </c>
      <c r="D1626" s="39">
        <v>0</v>
      </c>
      <c r="E1626" s="1" t="s">
        <v>3</v>
      </c>
      <c r="F1626" s="39">
        <v>0</v>
      </c>
    </row>
    <row r="1627" spans="1:6" x14ac:dyDescent="0.25">
      <c r="A1627" s="1">
        <v>4008684</v>
      </c>
      <c r="B1627" s="1" t="s">
        <v>3181</v>
      </c>
      <c r="C1627" s="1" t="s">
        <v>2058</v>
      </c>
      <c r="D1627" s="39">
        <v>0</v>
      </c>
      <c r="E1627" s="1" t="s">
        <v>1</v>
      </c>
      <c r="F1627" s="39">
        <v>0</v>
      </c>
    </row>
    <row r="1628" spans="1:6" x14ac:dyDescent="0.25">
      <c r="A1628" s="1">
        <v>4008709</v>
      </c>
      <c r="B1628" s="1" t="s">
        <v>137</v>
      </c>
      <c r="C1628" s="1" t="s">
        <v>2058</v>
      </c>
      <c r="D1628" s="39">
        <v>0</v>
      </c>
      <c r="E1628" s="1" t="s">
        <v>1</v>
      </c>
      <c r="F1628" s="39">
        <v>0</v>
      </c>
    </row>
    <row r="1629" spans="1:6" x14ac:dyDescent="0.25">
      <c r="A1629" s="1">
        <v>4008730</v>
      </c>
      <c r="B1629" s="1" t="s">
        <v>138</v>
      </c>
      <c r="C1629" s="1" t="s">
        <v>2058</v>
      </c>
      <c r="D1629" s="39">
        <v>0</v>
      </c>
      <c r="E1629" s="1" t="s">
        <v>1</v>
      </c>
      <c r="F1629" s="39">
        <v>0</v>
      </c>
    </row>
    <row r="1630" spans="1:6" x14ac:dyDescent="0.25">
      <c r="A1630" s="1">
        <v>4008731</v>
      </c>
      <c r="B1630" s="1" t="s">
        <v>139</v>
      </c>
      <c r="C1630" s="1" t="s">
        <v>2058</v>
      </c>
      <c r="D1630" s="39">
        <v>0</v>
      </c>
      <c r="E1630" s="1" t="s">
        <v>1</v>
      </c>
      <c r="F1630" s="39">
        <v>0</v>
      </c>
    </row>
    <row r="1631" spans="1:6" x14ac:dyDescent="0.25">
      <c r="A1631" s="1">
        <v>4008732</v>
      </c>
      <c r="B1631" s="1" t="s">
        <v>550</v>
      </c>
      <c r="C1631" s="1" t="s">
        <v>2058</v>
      </c>
      <c r="D1631" s="39">
        <v>0</v>
      </c>
      <c r="E1631" s="1" t="s">
        <v>1</v>
      </c>
      <c r="F1631" s="39">
        <v>0</v>
      </c>
    </row>
    <row r="1632" spans="1:6" x14ac:dyDescent="0.25">
      <c r="A1632" s="1">
        <v>4008733</v>
      </c>
      <c r="B1632" s="1" t="s">
        <v>551</v>
      </c>
      <c r="C1632" s="1" t="s">
        <v>2058</v>
      </c>
      <c r="D1632" s="39">
        <v>0</v>
      </c>
      <c r="E1632" s="1" t="s">
        <v>1</v>
      </c>
      <c r="F1632" s="39">
        <v>0</v>
      </c>
    </row>
    <row r="1633" spans="1:6" x14ac:dyDescent="0.25">
      <c r="A1633" s="1">
        <v>4008830</v>
      </c>
      <c r="B1633" s="1" t="s">
        <v>1275</v>
      </c>
      <c r="C1633" s="1" t="s">
        <v>2058</v>
      </c>
      <c r="D1633" s="39">
        <v>424</v>
      </c>
      <c r="E1633" s="1" t="s">
        <v>1</v>
      </c>
      <c r="F1633" s="3">
        <v>2912.83</v>
      </c>
    </row>
    <row r="1634" spans="1:6" x14ac:dyDescent="0.25">
      <c r="A1634" s="1">
        <v>4008832</v>
      </c>
      <c r="B1634" s="1" t="s">
        <v>1302</v>
      </c>
      <c r="C1634" s="1" t="s">
        <v>2058</v>
      </c>
      <c r="D1634" s="39">
        <v>635</v>
      </c>
      <c r="E1634" s="1" t="s">
        <v>1</v>
      </c>
      <c r="F1634" s="3">
        <v>2954.15</v>
      </c>
    </row>
    <row r="1635" spans="1:6" x14ac:dyDescent="0.25">
      <c r="A1635" s="1">
        <v>4008871</v>
      </c>
      <c r="B1635" s="1" t="s">
        <v>3182</v>
      </c>
      <c r="C1635" s="1" t="s">
        <v>2058</v>
      </c>
      <c r="D1635" s="39">
        <v>0</v>
      </c>
      <c r="E1635" s="1" t="s">
        <v>1</v>
      </c>
      <c r="F1635" s="39">
        <v>0</v>
      </c>
    </row>
    <row r="1636" spans="1:6" x14ac:dyDescent="0.25">
      <c r="A1636" s="1">
        <v>4008872</v>
      </c>
      <c r="B1636" s="1" t="s">
        <v>3183</v>
      </c>
      <c r="C1636" s="1" t="s">
        <v>2058</v>
      </c>
      <c r="D1636" s="39">
        <v>0</v>
      </c>
      <c r="E1636" s="1" t="s">
        <v>1</v>
      </c>
      <c r="F1636" s="39">
        <v>0</v>
      </c>
    </row>
    <row r="1637" spans="1:6" x14ac:dyDescent="0.25">
      <c r="A1637" s="1">
        <v>4009012</v>
      </c>
      <c r="B1637" s="1" t="s">
        <v>3184</v>
      </c>
      <c r="C1637" s="1" t="s">
        <v>2058</v>
      </c>
      <c r="D1637" s="39">
        <v>0</v>
      </c>
      <c r="E1637" s="1" t="s">
        <v>1</v>
      </c>
      <c r="F1637" s="39">
        <v>0</v>
      </c>
    </row>
    <row r="1638" spans="1:6" x14ac:dyDescent="0.25">
      <c r="A1638" s="1">
        <v>4009133</v>
      </c>
      <c r="B1638" s="1" t="s">
        <v>3185</v>
      </c>
      <c r="C1638" s="1" t="s">
        <v>2058</v>
      </c>
      <c r="D1638" s="39">
        <v>0</v>
      </c>
      <c r="E1638" s="1" t="s">
        <v>1</v>
      </c>
      <c r="F1638" s="39">
        <v>0</v>
      </c>
    </row>
    <row r="1639" spans="1:6" x14ac:dyDescent="0.25">
      <c r="A1639" s="1">
        <v>4009136</v>
      </c>
      <c r="B1639" s="1" t="s">
        <v>3186</v>
      </c>
      <c r="C1639" s="1" t="s">
        <v>2058</v>
      </c>
      <c r="D1639" s="39">
        <v>0</v>
      </c>
      <c r="E1639" s="1" t="s">
        <v>1</v>
      </c>
      <c r="F1639" s="39">
        <v>0</v>
      </c>
    </row>
    <row r="1640" spans="1:6" x14ac:dyDescent="0.25">
      <c r="A1640" s="1">
        <v>4009138</v>
      </c>
      <c r="B1640" s="1" t="s">
        <v>3187</v>
      </c>
      <c r="C1640" s="1" t="s">
        <v>2058</v>
      </c>
      <c r="D1640" s="39">
        <v>0</v>
      </c>
      <c r="E1640" s="1" t="s">
        <v>1</v>
      </c>
      <c r="F1640" s="39">
        <v>0</v>
      </c>
    </row>
    <row r="1641" spans="1:6" x14ac:dyDescent="0.25">
      <c r="A1641" s="1">
        <v>4009139</v>
      </c>
      <c r="B1641" s="1" t="s">
        <v>1686</v>
      </c>
      <c r="C1641" s="1" t="s">
        <v>2058</v>
      </c>
      <c r="D1641" s="39">
        <v>0</v>
      </c>
      <c r="E1641" s="1" t="s">
        <v>1</v>
      </c>
      <c r="F1641" s="39">
        <v>0</v>
      </c>
    </row>
    <row r="1642" spans="1:6" x14ac:dyDescent="0.25">
      <c r="A1642" s="1">
        <v>4009163</v>
      </c>
      <c r="B1642" s="1" t="s">
        <v>3188</v>
      </c>
      <c r="C1642" s="1" t="s">
        <v>2058</v>
      </c>
      <c r="D1642" s="39">
        <v>0</v>
      </c>
      <c r="E1642" s="1" t="s">
        <v>1</v>
      </c>
      <c r="F1642" s="39">
        <v>0</v>
      </c>
    </row>
    <row r="1643" spans="1:6" x14ac:dyDescent="0.25">
      <c r="A1643" s="1">
        <v>4009164</v>
      </c>
      <c r="B1643" s="1" t="s">
        <v>3189</v>
      </c>
      <c r="C1643" s="1" t="s">
        <v>2058</v>
      </c>
      <c r="D1643" s="39">
        <v>0</v>
      </c>
      <c r="E1643" s="1" t="s">
        <v>1</v>
      </c>
      <c r="F1643" s="39">
        <v>0</v>
      </c>
    </row>
    <row r="1644" spans="1:6" x14ac:dyDescent="0.25">
      <c r="A1644" s="1">
        <v>4009165</v>
      </c>
      <c r="B1644" s="1" t="s">
        <v>3190</v>
      </c>
      <c r="C1644" s="1" t="s">
        <v>2058</v>
      </c>
      <c r="D1644" s="39">
        <v>0</v>
      </c>
      <c r="E1644" s="1" t="s">
        <v>1</v>
      </c>
      <c r="F1644" s="39">
        <v>0</v>
      </c>
    </row>
    <row r="1645" spans="1:6" x14ac:dyDescent="0.25">
      <c r="A1645" s="1">
        <v>4009166</v>
      </c>
      <c r="B1645" s="1" t="s">
        <v>3191</v>
      </c>
      <c r="C1645" s="1" t="s">
        <v>2058</v>
      </c>
      <c r="D1645" s="39">
        <v>0</v>
      </c>
      <c r="E1645" s="1" t="s">
        <v>1</v>
      </c>
      <c r="F1645" s="39">
        <v>0</v>
      </c>
    </row>
    <row r="1646" spans="1:6" x14ac:dyDescent="0.25">
      <c r="A1646" s="1">
        <v>4009180</v>
      </c>
      <c r="B1646" s="1" t="s">
        <v>3192</v>
      </c>
      <c r="C1646" s="1" t="s">
        <v>2058</v>
      </c>
      <c r="D1646" s="39">
        <v>0</v>
      </c>
      <c r="E1646" s="1" t="s">
        <v>1</v>
      </c>
      <c r="F1646" s="39">
        <v>0</v>
      </c>
    </row>
    <row r="1647" spans="1:6" x14ac:dyDescent="0.25">
      <c r="A1647" s="1">
        <v>4009190</v>
      </c>
      <c r="B1647" s="1" t="s">
        <v>3193</v>
      </c>
      <c r="C1647" s="1" t="s">
        <v>2058</v>
      </c>
      <c r="D1647" s="39">
        <v>0</v>
      </c>
      <c r="E1647" s="1" t="s">
        <v>1</v>
      </c>
      <c r="F1647" s="39">
        <v>0</v>
      </c>
    </row>
    <row r="1648" spans="1:6" x14ac:dyDescent="0.25">
      <c r="A1648" s="1">
        <v>4009311</v>
      </c>
      <c r="B1648" s="1" t="s">
        <v>3194</v>
      </c>
      <c r="C1648" s="1" t="s">
        <v>2058</v>
      </c>
      <c r="D1648" s="39">
        <v>0</v>
      </c>
      <c r="E1648" s="1" t="s">
        <v>1</v>
      </c>
      <c r="F1648" s="39">
        <v>0</v>
      </c>
    </row>
    <row r="1649" spans="1:6" x14ac:dyDescent="0.25">
      <c r="A1649" s="1">
        <v>4009387</v>
      </c>
      <c r="B1649" s="1" t="s">
        <v>1687</v>
      </c>
      <c r="C1649" s="1" t="s">
        <v>2058</v>
      </c>
      <c r="D1649" s="39">
        <v>0</v>
      </c>
      <c r="E1649" s="1" t="s">
        <v>1</v>
      </c>
      <c r="F1649" s="39">
        <v>0</v>
      </c>
    </row>
    <row r="1650" spans="1:6" x14ac:dyDescent="0.25">
      <c r="A1650" s="1">
        <v>4009608</v>
      </c>
      <c r="B1650" s="1" t="s">
        <v>3195</v>
      </c>
      <c r="C1650" s="1" t="s">
        <v>2058</v>
      </c>
      <c r="D1650" s="39">
        <v>0</v>
      </c>
      <c r="E1650" s="1" t="s">
        <v>1</v>
      </c>
      <c r="F1650" s="39">
        <v>0</v>
      </c>
    </row>
    <row r="1651" spans="1:6" x14ac:dyDescent="0.25">
      <c r="A1651" s="1">
        <v>4009609</v>
      </c>
      <c r="B1651" s="1" t="s">
        <v>3196</v>
      </c>
      <c r="C1651" s="1" t="s">
        <v>2058</v>
      </c>
      <c r="D1651" s="39">
        <v>0</v>
      </c>
      <c r="E1651" s="1" t="s">
        <v>1</v>
      </c>
      <c r="F1651" s="39">
        <v>0</v>
      </c>
    </row>
    <row r="1652" spans="1:6" x14ac:dyDescent="0.25">
      <c r="A1652" s="1">
        <v>4009610</v>
      </c>
      <c r="B1652" s="1" t="s">
        <v>3197</v>
      </c>
      <c r="C1652" s="1" t="s">
        <v>2058</v>
      </c>
      <c r="D1652" s="39">
        <v>0</v>
      </c>
      <c r="E1652" s="1" t="s">
        <v>1</v>
      </c>
      <c r="F1652" s="39">
        <v>0</v>
      </c>
    </row>
    <row r="1653" spans="1:6" x14ac:dyDescent="0.25">
      <c r="A1653" s="1">
        <v>4009611</v>
      </c>
      <c r="B1653" s="1" t="s">
        <v>3198</v>
      </c>
      <c r="C1653" s="1" t="s">
        <v>2058</v>
      </c>
      <c r="D1653" s="39">
        <v>0</v>
      </c>
      <c r="E1653" s="1" t="s">
        <v>1</v>
      </c>
      <c r="F1653" s="39">
        <v>0</v>
      </c>
    </row>
    <row r="1654" spans="1:6" x14ac:dyDescent="0.25">
      <c r="A1654" s="1">
        <v>4009612</v>
      </c>
      <c r="B1654" s="1" t="s">
        <v>3199</v>
      </c>
      <c r="C1654" s="1" t="s">
        <v>2058</v>
      </c>
      <c r="D1654" s="39">
        <v>0</v>
      </c>
      <c r="E1654" s="1" t="s">
        <v>1</v>
      </c>
      <c r="F1654" s="39">
        <v>0</v>
      </c>
    </row>
    <row r="1655" spans="1:6" x14ac:dyDescent="0.25">
      <c r="A1655" s="1">
        <v>4009613</v>
      </c>
      <c r="B1655" s="1" t="s">
        <v>3200</v>
      </c>
      <c r="C1655" s="1" t="s">
        <v>2058</v>
      </c>
      <c r="D1655" s="39">
        <v>0</v>
      </c>
      <c r="E1655" s="1" t="s">
        <v>1</v>
      </c>
      <c r="F1655" s="39">
        <v>0</v>
      </c>
    </row>
    <row r="1656" spans="1:6" x14ac:dyDescent="0.25">
      <c r="A1656" s="1">
        <v>4009614</v>
      </c>
      <c r="B1656" s="1" t="s">
        <v>3201</v>
      </c>
      <c r="C1656" s="1" t="s">
        <v>2058</v>
      </c>
      <c r="D1656" s="39">
        <v>0</v>
      </c>
      <c r="E1656" s="1" t="s">
        <v>1</v>
      </c>
      <c r="F1656" s="39">
        <v>0</v>
      </c>
    </row>
    <row r="1657" spans="1:6" x14ac:dyDescent="0.25">
      <c r="A1657" s="1">
        <v>4009615</v>
      </c>
      <c r="B1657" s="1" t="s">
        <v>3202</v>
      </c>
      <c r="C1657" s="1" t="s">
        <v>2058</v>
      </c>
      <c r="D1657" s="39">
        <v>0</v>
      </c>
      <c r="E1657" s="1" t="s">
        <v>1</v>
      </c>
      <c r="F1657" s="39">
        <v>0</v>
      </c>
    </row>
    <row r="1658" spans="1:6" x14ac:dyDescent="0.25">
      <c r="A1658" s="1">
        <v>4009652</v>
      </c>
      <c r="B1658" s="1" t="s">
        <v>3203</v>
      </c>
      <c r="C1658" s="1" t="s">
        <v>2058</v>
      </c>
      <c r="D1658" s="39">
        <v>0</v>
      </c>
      <c r="E1658" s="1" t="s">
        <v>1</v>
      </c>
      <c r="F1658" s="39">
        <v>0</v>
      </c>
    </row>
    <row r="1659" spans="1:6" x14ac:dyDescent="0.25">
      <c r="A1659" s="1">
        <v>4009654</v>
      </c>
      <c r="B1659" s="1" t="s">
        <v>3204</v>
      </c>
      <c r="C1659" s="1" t="s">
        <v>2058</v>
      </c>
      <c r="D1659" s="39">
        <v>0</v>
      </c>
      <c r="E1659" s="1" t="s">
        <v>1</v>
      </c>
      <c r="F1659" s="39">
        <v>0</v>
      </c>
    </row>
    <row r="1660" spans="1:6" x14ac:dyDescent="0.25">
      <c r="A1660" s="1">
        <v>4009656</v>
      </c>
      <c r="B1660" s="1" t="s">
        <v>3205</v>
      </c>
      <c r="C1660" s="1" t="s">
        <v>2058</v>
      </c>
      <c r="D1660" s="39">
        <v>0</v>
      </c>
      <c r="E1660" s="1" t="s">
        <v>1</v>
      </c>
      <c r="F1660" s="39">
        <v>0</v>
      </c>
    </row>
    <row r="1661" spans="1:6" x14ac:dyDescent="0.25">
      <c r="A1661" s="1">
        <v>4009658</v>
      </c>
      <c r="B1661" s="1" t="s">
        <v>3206</v>
      </c>
      <c r="C1661" s="1" t="s">
        <v>2058</v>
      </c>
      <c r="D1661" s="39">
        <v>0</v>
      </c>
      <c r="E1661" s="1" t="s">
        <v>1</v>
      </c>
      <c r="F1661" s="39">
        <v>0</v>
      </c>
    </row>
    <row r="1662" spans="1:6" x14ac:dyDescent="0.25">
      <c r="A1662" s="1">
        <v>4009659</v>
      </c>
      <c r="B1662" s="1" t="s">
        <v>3207</v>
      </c>
      <c r="C1662" s="1" t="s">
        <v>2058</v>
      </c>
      <c r="D1662" s="39">
        <v>0</v>
      </c>
      <c r="E1662" s="1" t="s">
        <v>1</v>
      </c>
      <c r="F1662" s="39">
        <v>0</v>
      </c>
    </row>
    <row r="1663" spans="1:6" x14ac:dyDescent="0.25">
      <c r="A1663" s="1">
        <v>4009660</v>
      </c>
      <c r="B1663" s="1" t="s">
        <v>3208</v>
      </c>
      <c r="C1663" s="1" t="s">
        <v>2058</v>
      </c>
      <c r="D1663" s="39">
        <v>0</v>
      </c>
      <c r="E1663" s="1" t="s">
        <v>1</v>
      </c>
      <c r="F1663" s="39">
        <v>0</v>
      </c>
    </row>
    <row r="1664" spans="1:6" x14ac:dyDescent="0.25">
      <c r="A1664" s="1">
        <v>4009661</v>
      </c>
      <c r="B1664" s="1" t="s">
        <v>3209</v>
      </c>
      <c r="C1664" s="1" t="s">
        <v>2058</v>
      </c>
      <c r="D1664" s="39">
        <v>0</v>
      </c>
      <c r="E1664" s="1" t="s">
        <v>1</v>
      </c>
      <c r="F1664" s="39">
        <v>0</v>
      </c>
    </row>
    <row r="1665" spans="1:6" x14ac:dyDescent="0.25">
      <c r="A1665" s="1">
        <v>4009662</v>
      </c>
      <c r="B1665" s="1" t="s">
        <v>3210</v>
      </c>
      <c r="C1665" s="1" t="s">
        <v>2058</v>
      </c>
      <c r="D1665" s="39">
        <v>0</v>
      </c>
      <c r="E1665" s="1" t="s">
        <v>1</v>
      </c>
      <c r="F1665" s="39">
        <v>0</v>
      </c>
    </row>
    <row r="1666" spans="1:6" x14ac:dyDescent="0.25">
      <c r="A1666" s="1">
        <v>4009663</v>
      </c>
      <c r="B1666" s="1" t="s">
        <v>3211</v>
      </c>
      <c r="C1666" s="1" t="s">
        <v>2058</v>
      </c>
      <c r="D1666" s="39">
        <v>0</v>
      </c>
      <c r="E1666" s="1" t="s">
        <v>1</v>
      </c>
      <c r="F1666" s="39">
        <v>0</v>
      </c>
    </row>
    <row r="1667" spans="1:6" x14ac:dyDescent="0.25">
      <c r="A1667" s="1">
        <v>4009779</v>
      </c>
      <c r="B1667" s="1" t="s">
        <v>375</v>
      </c>
      <c r="C1667" s="1" t="s">
        <v>2058</v>
      </c>
      <c r="D1667" s="39">
        <v>7480</v>
      </c>
      <c r="E1667" s="1" t="s">
        <v>1</v>
      </c>
      <c r="F1667" s="3">
        <v>1564.07</v>
      </c>
    </row>
    <row r="1668" spans="1:6" x14ac:dyDescent="0.25">
      <c r="A1668" s="1">
        <v>4009780</v>
      </c>
      <c r="B1668" s="1" t="s">
        <v>1760</v>
      </c>
      <c r="C1668" s="1" t="s">
        <v>2058</v>
      </c>
      <c r="D1668" s="39">
        <v>3000</v>
      </c>
      <c r="E1668" s="1" t="s">
        <v>1</v>
      </c>
      <c r="F1668" s="3">
        <v>426.3</v>
      </c>
    </row>
    <row r="1669" spans="1:6" x14ac:dyDescent="0.25">
      <c r="A1669" s="1">
        <v>4009781</v>
      </c>
      <c r="B1669" s="1" t="s">
        <v>368</v>
      </c>
      <c r="C1669" s="1" t="s">
        <v>2058</v>
      </c>
      <c r="D1669" s="39">
        <v>32420</v>
      </c>
      <c r="E1669" s="1" t="s">
        <v>1</v>
      </c>
      <c r="F1669" s="3">
        <v>6218.16</v>
      </c>
    </row>
    <row r="1670" spans="1:6" x14ac:dyDescent="0.25">
      <c r="A1670" s="1">
        <v>4009783</v>
      </c>
      <c r="B1670" s="1" t="s">
        <v>386</v>
      </c>
      <c r="C1670" s="1" t="s">
        <v>2058</v>
      </c>
      <c r="D1670" s="39">
        <v>12474</v>
      </c>
      <c r="E1670" s="1" t="s">
        <v>1</v>
      </c>
      <c r="F1670" s="3">
        <v>2131.81</v>
      </c>
    </row>
    <row r="1671" spans="1:6" x14ac:dyDescent="0.25">
      <c r="A1671" s="1">
        <v>4009849</v>
      </c>
      <c r="B1671" s="1" t="s">
        <v>623</v>
      </c>
      <c r="C1671" s="1" t="s">
        <v>2058</v>
      </c>
      <c r="D1671" s="39">
        <v>5710</v>
      </c>
      <c r="E1671" s="1" t="s">
        <v>1</v>
      </c>
      <c r="F1671" s="3">
        <v>12616.25</v>
      </c>
    </row>
    <row r="1672" spans="1:6" x14ac:dyDescent="0.25">
      <c r="A1672" s="1">
        <v>4009850</v>
      </c>
      <c r="B1672" s="1" t="s">
        <v>3212</v>
      </c>
      <c r="C1672" s="1" t="s">
        <v>2058</v>
      </c>
      <c r="D1672" s="39">
        <v>0</v>
      </c>
      <c r="E1672" s="1" t="s">
        <v>1</v>
      </c>
      <c r="F1672" s="39">
        <v>0</v>
      </c>
    </row>
    <row r="1673" spans="1:6" x14ac:dyDescent="0.25">
      <c r="A1673" s="1">
        <v>4009851</v>
      </c>
      <c r="B1673" s="1" t="s">
        <v>3213</v>
      </c>
      <c r="C1673" s="1" t="s">
        <v>2058</v>
      </c>
      <c r="D1673" s="39">
        <v>0</v>
      </c>
      <c r="E1673" s="1" t="s">
        <v>1</v>
      </c>
      <c r="F1673" s="39">
        <v>0</v>
      </c>
    </row>
    <row r="1674" spans="1:6" x14ac:dyDescent="0.25">
      <c r="A1674" s="1">
        <v>4009852</v>
      </c>
      <c r="B1674" s="1" t="s">
        <v>3214</v>
      </c>
      <c r="C1674" s="1" t="s">
        <v>2058</v>
      </c>
      <c r="D1674" s="39">
        <v>0</v>
      </c>
      <c r="E1674" s="1" t="s">
        <v>1</v>
      </c>
      <c r="F1674" s="39">
        <v>0</v>
      </c>
    </row>
    <row r="1675" spans="1:6" x14ac:dyDescent="0.25">
      <c r="A1675" s="1">
        <v>4009854</v>
      </c>
      <c r="B1675" s="1" t="s">
        <v>3215</v>
      </c>
      <c r="C1675" s="1" t="s">
        <v>2058</v>
      </c>
      <c r="D1675" s="39">
        <v>0</v>
      </c>
      <c r="E1675" s="1" t="s">
        <v>1</v>
      </c>
      <c r="F1675" s="39">
        <v>0</v>
      </c>
    </row>
    <row r="1676" spans="1:6" x14ac:dyDescent="0.25">
      <c r="A1676" s="1">
        <v>4009946</v>
      </c>
      <c r="B1676" s="1" t="s">
        <v>1692</v>
      </c>
      <c r="C1676" s="1" t="s">
        <v>2058</v>
      </c>
      <c r="D1676" s="39">
        <v>0</v>
      </c>
      <c r="E1676" s="1" t="s">
        <v>1</v>
      </c>
      <c r="F1676" s="39">
        <v>0</v>
      </c>
    </row>
    <row r="1677" spans="1:6" x14ac:dyDescent="0.25">
      <c r="A1677" s="1">
        <v>4009947</v>
      </c>
      <c r="B1677" s="1" t="s">
        <v>1693</v>
      </c>
      <c r="C1677" s="1" t="s">
        <v>2058</v>
      </c>
      <c r="D1677" s="39">
        <v>0</v>
      </c>
      <c r="E1677" s="1" t="s">
        <v>1</v>
      </c>
      <c r="F1677" s="39">
        <v>0</v>
      </c>
    </row>
    <row r="1678" spans="1:6" x14ac:dyDescent="0.25">
      <c r="A1678" s="1">
        <v>4010000</v>
      </c>
      <c r="B1678" s="1" t="s">
        <v>3216</v>
      </c>
      <c r="C1678" s="1" t="s">
        <v>2058</v>
      </c>
      <c r="D1678" s="39">
        <v>0</v>
      </c>
      <c r="E1678" s="1" t="s">
        <v>1</v>
      </c>
      <c r="F1678" s="39">
        <v>0</v>
      </c>
    </row>
    <row r="1679" spans="1:6" x14ac:dyDescent="0.25">
      <c r="A1679" s="1">
        <v>4010020</v>
      </c>
      <c r="B1679" s="1" t="s">
        <v>1622</v>
      </c>
      <c r="C1679" s="1" t="s">
        <v>2058</v>
      </c>
      <c r="D1679" s="39">
        <v>0</v>
      </c>
      <c r="E1679" s="1" t="s">
        <v>1</v>
      </c>
      <c r="F1679" s="39">
        <v>0</v>
      </c>
    </row>
    <row r="1680" spans="1:6" x14ac:dyDescent="0.25">
      <c r="A1680" s="1">
        <v>4010021</v>
      </c>
      <c r="B1680" s="1" t="s">
        <v>1500</v>
      </c>
      <c r="C1680" s="1" t="s">
        <v>2058</v>
      </c>
      <c r="D1680" s="39">
        <v>0</v>
      </c>
      <c r="E1680" s="1" t="s">
        <v>1</v>
      </c>
      <c r="F1680" s="39">
        <v>0</v>
      </c>
    </row>
    <row r="1681" spans="1:6" x14ac:dyDescent="0.25">
      <c r="A1681" s="1">
        <v>4010022</v>
      </c>
      <c r="B1681" s="1" t="s">
        <v>711</v>
      </c>
      <c r="C1681" s="1" t="s">
        <v>2058</v>
      </c>
      <c r="D1681" s="39">
        <v>0</v>
      </c>
      <c r="E1681" s="1" t="s">
        <v>1</v>
      </c>
      <c r="F1681" s="39">
        <v>0</v>
      </c>
    </row>
    <row r="1682" spans="1:6" x14ac:dyDescent="0.25">
      <c r="A1682" s="1">
        <v>4010023</v>
      </c>
      <c r="B1682" s="1" t="s">
        <v>1575</v>
      </c>
      <c r="C1682" s="1" t="s">
        <v>2058</v>
      </c>
      <c r="D1682" s="39">
        <v>0</v>
      </c>
      <c r="E1682" s="1" t="s">
        <v>1</v>
      </c>
      <c r="F1682" s="39">
        <v>0</v>
      </c>
    </row>
    <row r="1683" spans="1:6" x14ac:dyDescent="0.25">
      <c r="A1683" s="1">
        <v>4010024</v>
      </c>
      <c r="B1683" s="1" t="s">
        <v>1565</v>
      </c>
      <c r="C1683" s="1" t="s">
        <v>2058</v>
      </c>
      <c r="D1683" s="39">
        <v>0</v>
      </c>
      <c r="E1683" s="1" t="s">
        <v>1</v>
      </c>
      <c r="F1683" s="39">
        <v>0</v>
      </c>
    </row>
    <row r="1684" spans="1:6" x14ac:dyDescent="0.25">
      <c r="A1684" s="1">
        <v>4010025</v>
      </c>
      <c r="B1684" s="1" t="s">
        <v>775</v>
      </c>
      <c r="C1684" s="1" t="s">
        <v>2058</v>
      </c>
      <c r="D1684" s="39">
        <v>17</v>
      </c>
      <c r="E1684" s="1" t="s">
        <v>1</v>
      </c>
      <c r="F1684" s="3">
        <v>147.56</v>
      </c>
    </row>
    <row r="1685" spans="1:6" x14ac:dyDescent="0.25">
      <c r="A1685" s="1">
        <v>4010026</v>
      </c>
      <c r="B1685" s="1" t="s">
        <v>3217</v>
      </c>
      <c r="C1685" s="1" t="s">
        <v>2058</v>
      </c>
      <c r="D1685" s="39">
        <v>0</v>
      </c>
      <c r="E1685" s="1" t="s">
        <v>1</v>
      </c>
      <c r="F1685" s="39">
        <v>0</v>
      </c>
    </row>
    <row r="1686" spans="1:6" x14ac:dyDescent="0.25">
      <c r="A1686" s="1">
        <v>4010040</v>
      </c>
      <c r="B1686" s="1" t="s">
        <v>1504</v>
      </c>
      <c r="C1686" s="1" t="s">
        <v>2058</v>
      </c>
      <c r="D1686" s="39">
        <v>0</v>
      </c>
      <c r="E1686" s="1" t="s">
        <v>1</v>
      </c>
      <c r="F1686" s="39">
        <v>0</v>
      </c>
    </row>
    <row r="1687" spans="1:6" x14ac:dyDescent="0.25">
      <c r="A1687" s="1">
        <v>4010177</v>
      </c>
      <c r="B1687" s="1" t="s">
        <v>3218</v>
      </c>
      <c r="C1687" s="1" t="s">
        <v>2058</v>
      </c>
      <c r="D1687" s="39">
        <v>0</v>
      </c>
      <c r="E1687" s="1" t="s">
        <v>1</v>
      </c>
      <c r="F1687" s="39">
        <v>0</v>
      </c>
    </row>
    <row r="1688" spans="1:6" x14ac:dyDescent="0.25">
      <c r="A1688" s="1">
        <v>4010178</v>
      </c>
      <c r="B1688" s="1" t="s">
        <v>3219</v>
      </c>
      <c r="C1688" s="1" t="s">
        <v>2058</v>
      </c>
      <c r="D1688" s="39">
        <v>0</v>
      </c>
      <c r="E1688" s="1" t="s">
        <v>1</v>
      </c>
      <c r="F1688" s="39">
        <v>0</v>
      </c>
    </row>
    <row r="1689" spans="1:6" x14ac:dyDescent="0.25">
      <c r="A1689" s="1">
        <v>4010181</v>
      </c>
      <c r="B1689" s="1" t="s">
        <v>3220</v>
      </c>
      <c r="C1689" s="1" t="s">
        <v>2058</v>
      </c>
      <c r="D1689" s="39">
        <v>0</v>
      </c>
      <c r="E1689" s="1" t="s">
        <v>1</v>
      </c>
      <c r="F1689" s="39">
        <v>0</v>
      </c>
    </row>
    <row r="1690" spans="1:6" x14ac:dyDescent="0.25">
      <c r="A1690" s="1">
        <v>4010200</v>
      </c>
      <c r="B1690" s="1" t="s">
        <v>1276</v>
      </c>
      <c r="C1690" s="1" t="s">
        <v>2058</v>
      </c>
      <c r="D1690" s="39">
        <v>1816</v>
      </c>
      <c r="E1690" s="1" t="s">
        <v>1</v>
      </c>
      <c r="F1690" s="3">
        <v>285.29000000000002</v>
      </c>
    </row>
    <row r="1691" spans="1:6" x14ac:dyDescent="0.25">
      <c r="A1691" s="1">
        <v>4010201</v>
      </c>
      <c r="B1691" s="1" t="s">
        <v>1303</v>
      </c>
      <c r="C1691" s="1" t="s">
        <v>2058</v>
      </c>
      <c r="D1691" s="39">
        <v>3072</v>
      </c>
      <c r="E1691" s="1" t="s">
        <v>1</v>
      </c>
      <c r="F1691" s="3">
        <v>510.57</v>
      </c>
    </row>
    <row r="1692" spans="1:6" x14ac:dyDescent="0.25">
      <c r="A1692" s="1">
        <v>4010413</v>
      </c>
      <c r="B1692" s="1" t="s">
        <v>1286</v>
      </c>
      <c r="C1692" s="1" t="s">
        <v>2058</v>
      </c>
      <c r="D1692" s="39">
        <v>6029</v>
      </c>
      <c r="E1692" s="1" t="s">
        <v>1</v>
      </c>
      <c r="F1692" s="3">
        <v>918.82</v>
      </c>
    </row>
    <row r="1693" spans="1:6" x14ac:dyDescent="0.25">
      <c r="A1693" s="1">
        <v>4010414</v>
      </c>
      <c r="B1693" s="1" t="s">
        <v>1311</v>
      </c>
      <c r="C1693" s="1" t="s">
        <v>2058</v>
      </c>
      <c r="D1693" s="39">
        <v>2260</v>
      </c>
      <c r="E1693" s="1" t="s">
        <v>1</v>
      </c>
      <c r="F1693" s="3">
        <v>355.05</v>
      </c>
    </row>
    <row r="1694" spans="1:6" x14ac:dyDescent="0.25">
      <c r="A1694" s="1">
        <v>4010423</v>
      </c>
      <c r="B1694" s="1" t="s">
        <v>1371</v>
      </c>
      <c r="C1694" s="1" t="s">
        <v>2058</v>
      </c>
      <c r="D1694" s="39">
        <v>0</v>
      </c>
      <c r="E1694" s="1" t="s">
        <v>1</v>
      </c>
      <c r="F1694" s="39">
        <v>0</v>
      </c>
    </row>
    <row r="1695" spans="1:6" x14ac:dyDescent="0.25">
      <c r="A1695" s="1">
        <v>4010424</v>
      </c>
      <c r="B1695" s="1" t="s">
        <v>1372</v>
      </c>
      <c r="C1695" s="1" t="s">
        <v>2058</v>
      </c>
      <c r="D1695" s="39">
        <v>708</v>
      </c>
      <c r="E1695" s="1" t="s">
        <v>1</v>
      </c>
      <c r="F1695" s="3">
        <v>2479.42</v>
      </c>
    </row>
    <row r="1696" spans="1:6" x14ac:dyDescent="0.25">
      <c r="A1696" s="1">
        <v>4010425</v>
      </c>
      <c r="B1696" s="1" t="s">
        <v>1376</v>
      </c>
      <c r="C1696" s="1" t="s">
        <v>2058</v>
      </c>
      <c r="D1696" s="39">
        <v>0</v>
      </c>
      <c r="E1696" s="1" t="s">
        <v>1</v>
      </c>
      <c r="F1696" s="39">
        <v>0</v>
      </c>
    </row>
    <row r="1697" spans="1:6" x14ac:dyDescent="0.25">
      <c r="A1697" s="1">
        <v>4010426</v>
      </c>
      <c r="B1697" s="1" t="s">
        <v>1377</v>
      </c>
      <c r="C1697" s="1" t="s">
        <v>2058</v>
      </c>
      <c r="D1697" s="39">
        <v>0</v>
      </c>
      <c r="E1697" s="1" t="s">
        <v>1</v>
      </c>
      <c r="F1697" s="39">
        <v>0</v>
      </c>
    </row>
    <row r="1698" spans="1:6" x14ac:dyDescent="0.25">
      <c r="A1698" s="1">
        <v>4010500</v>
      </c>
      <c r="B1698" s="1" t="s">
        <v>3221</v>
      </c>
      <c r="C1698" s="1" t="s">
        <v>2058</v>
      </c>
      <c r="D1698" s="39">
        <v>0</v>
      </c>
      <c r="E1698" s="1" t="s">
        <v>1</v>
      </c>
      <c r="F1698" s="39">
        <v>0</v>
      </c>
    </row>
    <row r="1699" spans="1:6" x14ac:dyDescent="0.25">
      <c r="A1699" s="1">
        <v>4010501</v>
      </c>
      <c r="B1699" s="1" t="s">
        <v>3222</v>
      </c>
      <c r="C1699" s="1" t="s">
        <v>2058</v>
      </c>
      <c r="D1699" s="39">
        <v>0</v>
      </c>
      <c r="E1699" s="1" t="s">
        <v>1</v>
      </c>
      <c r="F1699" s="39">
        <v>0</v>
      </c>
    </row>
    <row r="1700" spans="1:6" x14ac:dyDescent="0.25">
      <c r="A1700" s="1">
        <v>4010502</v>
      </c>
      <c r="B1700" s="1" t="s">
        <v>3223</v>
      </c>
      <c r="C1700" s="1" t="s">
        <v>2058</v>
      </c>
      <c r="D1700" s="39">
        <v>0</v>
      </c>
      <c r="E1700" s="1" t="s">
        <v>1</v>
      </c>
      <c r="F1700" s="39">
        <v>0</v>
      </c>
    </row>
    <row r="1701" spans="1:6" x14ac:dyDescent="0.25">
      <c r="A1701" s="1">
        <v>4010503</v>
      </c>
      <c r="B1701" s="1" t="s">
        <v>3224</v>
      </c>
      <c r="C1701" s="1" t="s">
        <v>2058</v>
      </c>
      <c r="D1701" s="39">
        <v>0</v>
      </c>
      <c r="E1701" s="1" t="s">
        <v>1</v>
      </c>
      <c r="F1701" s="39">
        <v>0</v>
      </c>
    </row>
    <row r="1702" spans="1:6" x14ac:dyDescent="0.25">
      <c r="A1702" s="1">
        <v>4010504</v>
      </c>
      <c r="B1702" s="1" t="s">
        <v>3225</v>
      </c>
      <c r="C1702" s="1" t="s">
        <v>2058</v>
      </c>
      <c r="D1702" s="39">
        <v>0</v>
      </c>
      <c r="E1702" s="1" t="s">
        <v>1</v>
      </c>
      <c r="F1702" s="39">
        <v>0</v>
      </c>
    </row>
    <row r="1703" spans="1:6" x14ac:dyDescent="0.25">
      <c r="A1703" s="1">
        <v>4010513</v>
      </c>
      <c r="B1703" s="1" t="s">
        <v>3226</v>
      </c>
      <c r="C1703" s="1" t="s">
        <v>2058</v>
      </c>
      <c r="D1703" s="39">
        <v>0</v>
      </c>
      <c r="E1703" s="1" t="s">
        <v>1</v>
      </c>
      <c r="F1703" s="39">
        <v>0</v>
      </c>
    </row>
    <row r="1704" spans="1:6" x14ac:dyDescent="0.25">
      <c r="A1704" s="1">
        <v>4010520</v>
      </c>
      <c r="B1704" s="1" t="s">
        <v>1109</v>
      </c>
      <c r="C1704" s="1" t="s">
        <v>2058</v>
      </c>
      <c r="D1704" s="39">
        <v>0</v>
      </c>
      <c r="E1704" s="1" t="s">
        <v>1</v>
      </c>
      <c r="F1704" s="39">
        <v>0</v>
      </c>
    </row>
    <row r="1705" spans="1:6" x14ac:dyDescent="0.25">
      <c r="A1705" s="1">
        <v>4010722</v>
      </c>
      <c r="B1705" s="1" t="s">
        <v>764</v>
      </c>
      <c r="C1705" s="1" t="s">
        <v>2058</v>
      </c>
      <c r="D1705" s="39">
        <v>0</v>
      </c>
      <c r="E1705" s="1" t="s">
        <v>1</v>
      </c>
      <c r="F1705" s="39">
        <v>0</v>
      </c>
    </row>
    <row r="1706" spans="1:6" x14ac:dyDescent="0.25">
      <c r="A1706" s="1">
        <v>4010730</v>
      </c>
      <c r="B1706" s="1" t="s">
        <v>1082</v>
      </c>
      <c r="C1706" s="1" t="s">
        <v>2058</v>
      </c>
      <c r="D1706" s="39">
        <v>0</v>
      </c>
      <c r="E1706" s="1" t="s">
        <v>1</v>
      </c>
      <c r="F1706" s="39">
        <v>0</v>
      </c>
    </row>
    <row r="1707" spans="1:6" x14ac:dyDescent="0.25">
      <c r="A1707" s="1">
        <v>4010731</v>
      </c>
      <c r="B1707" s="1" t="s">
        <v>3227</v>
      </c>
      <c r="C1707" s="1" t="s">
        <v>2058</v>
      </c>
      <c r="D1707" s="39">
        <v>0</v>
      </c>
      <c r="E1707" s="1" t="s">
        <v>1</v>
      </c>
      <c r="F1707" s="39">
        <v>0</v>
      </c>
    </row>
    <row r="1708" spans="1:6" x14ac:dyDescent="0.25">
      <c r="A1708" s="1">
        <v>4010764</v>
      </c>
      <c r="B1708" s="1" t="s">
        <v>1710</v>
      </c>
      <c r="C1708" s="1" t="s">
        <v>2058</v>
      </c>
      <c r="D1708" s="39">
        <v>0</v>
      </c>
      <c r="E1708" s="1" t="s">
        <v>1</v>
      </c>
      <c r="F1708" s="39">
        <v>0</v>
      </c>
    </row>
    <row r="1709" spans="1:6" x14ac:dyDescent="0.25">
      <c r="A1709" s="1">
        <v>4010765</v>
      </c>
      <c r="B1709" s="1" t="s">
        <v>1130</v>
      </c>
      <c r="C1709" s="1" t="s">
        <v>2058</v>
      </c>
      <c r="D1709" s="39">
        <v>0</v>
      </c>
      <c r="E1709" s="1" t="s">
        <v>1</v>
      </c>
      <c r="F1709" s="39">
        <v>0</v>
      </c>
    </row>
    <row r="1710" spans="1:6" x14ac:dyDescent="0.25">
      <c r="A1710" s="1">
        <v>4010766</v>
      </c>
      <c r="B1710" s="1" t="s">
        <v>1131</v>
      </c>
      <c r="C1710" s="1" t="s">
        <v>2058</v>
      </c>
      <c r="D1710" s="39">
        <v>2528</v>
      </c>
      <c r="E1710" s="1" t="s">
        <v>1</v>
      </c>
      <c r="F1710" s="3">
        <v>178.73</v>
      </c>
    </row>
    <row r="1711" spans="1:6" x14ac:dyDescent="0.25">
      <c r="A1711" s="1">
        <v>4010773</v>
      </c>
      <c r="B1711" s="1" t="s">
        <v>779</v>
      </c>
      <c r="C1711" s="1" t="s">
        <v>2058</v>
      </c>
      <c r="D1711" s="39">
        <v>0</v>
      </c>
      <c r="E1711" s="1" t="s">
        <v>1</v>
      </c>
      <c r="F1711" s="39">
        <v>0</v>
      </c>
    </row>
    <row r="1712" spans="1:6" x14ac:dyDescent="0.25">
      <c r="A1712" s="1">
        <v>4010848</v>
      </c>
      <c r="B1712" s="1" t="s">
        <v>3228</v>
      </c>
      <c r="C1712" s="1" t="s">
        <v>2058</v>
      </c>
      <c r="D1712" s="39">
        <v>0</v>
      </c>
      <c r="E1712" s="1" t="s">
        <v>1</v>
      </c>
      <c r="F1712" s="39">
        <v>0</v>
      </c>
    </row>
    <row r="1713" spans="1:6" x14ac:dyDescent="0.25">
      <c r="A1713" s="1">
        <v>4010849</v>
      </c>
      <c r="B1713" s="1" t="s">
        <v>1602</v>
      </c>
      <c r="C1713" s="1" t="s">
        <v>2058</v>
      </c>
      <c r="D1713" s="39">
        <v>0</v>
      </c>
      <c r="E1713" s="1" t="s">
        <v>1</v>
      </c>
      <c r="F1713" s="39">
        <v>0</v>
      </c>
    </row>
    <row r="1714" spans="1:6" x14ac:dyDescent="0.25">
      <c r="A1714" s="1">
        <v>4010860</v>
      </c>
      <c r="B1714" s="1" t="s">
        <v>1291</v>
      </c>
      <c r="C1714" s="1" t="s">
        <v>2058</v>
      </c>
      <c r="D1714" s="39">
        <v>962</v>
      </c>
      <c r="E1714" s="1" t="s">
        <v>1</v>
      </c>
      <c r="F1714" s="3">
        <v>168.73</v>
      </c>
    </row>
    <row r="1715" spans="1:6" x14ac:dyDescent="0.25">
      <c r="A1715" s="1">
        <v>4010861</v>
      </c>
      <c r="B1715" s="1" t="s">
        <v>1281</v>
      </c>
      <c r="C1715" s="1" t="s">
        <v>2058</v>
      </c>
      <c r="D1715" s="39">
        <v>3650</v>
      </c>
      <c r="E1715" s="1" t="s">
        <v>1</v>
      </c>
      <c r="F1715" s="3">
        <v>573.41999999999996</v>
      </c>
    </row>
    <row r="1716" spans="1:6" x14ac:dyDescent="0.25">
      <c r="A1716" s="1">
        <v>4010862</v>
      </c>
      <c r="B1716" s="1" t="s">
        <v>1296</v>
      </c>
      <c r="C1716" s="1" t="s">
        <v>2058</v>
      </c>
      <c r="D1716" s="39">
        <v>1752</v>
      </c>
      <c r="E1716" s="1" t="s">
        <v>1</v>
      </c>
      <c r="F1716" s="3">
        <v>400.33</v>
      </c>
    </row>
    <row r="1717" spans="1:6" x14ac:dyDescent="0.25">
      <c r="A1717" s="1">
        <v>4010863</v>
      </c>
      <c r="B1717" s="1" t="s">
        <v>1307</v>
      </c>
      <c r="C1717" s="1" t="s">
        <v>2058</v>
      </c>
      <c r="D1717" s="39">
        <v>8511</v>
      </c>
      <c r="E1717" s="1" t="s">
        <v>1</v>
      </c>
      <c r="F1717" s="3">
        <v>1337.08</v>
      </c>
    </row>
    <row r="1718" spans="1:6" x14ac:dyDescent="0.25">
      <c r="A1718" s="1">
        <v>4010864</v>
      </c>
      <c r="B1718" s="1" t="s">
        <v>1315</v>
      </c>
      <c r="C1718" s="1" t="s">
        <v>2058</v>
      </c>
      <c r="D1718" s="39">
        <v>9293</v>
      </c>
      <c r="E1718" s="1" t="s">
        <v>1</v>
      </c>
      <c r="F1718" s="3">
        <v>1459.93</v>
      </c>
    </row>
    <row r="1719" spans="1:6" x14ac:dyDescent="0.25">
      <c r="A1719" s="1">
        <v>4010865</v>
      </c>
      <c r="B1719" s="1" t="s">
        <v>1319</v>
      </c>
      <c r="C1719" s="1" t="s">
        <v>2058</v>
      </c>
      <c r="D1719" s="39">
        <v>1579</v>
      </c>
      <c r="E1719" s="1" t="s">
        <v>1</v>
      </c>
      <c r="F1719" s="3">
        <v>121.11</v>
      </c>
    </row>
    <row r="1720" spans="1:6" x14ac:dyDescent="0.25">
      <c r="A1720" s="1">
        <v>4010866</v>
      </c>
      <c r="B1720" s="1" t="s">
        <v>3229</v>
      </c>
      <c r="C1720" s="1" t="s">
        <v>2058</v>
      </c>
      <c r="D1720" s="39">
        <v>0</v>
      </c>
      <c r="E1720" s="1" t="s">
        <v>1</v>
      </c>
      <c r="F1720" s="39">
        <v>0</v>
      </c>
    </row>
    <row r="1721" spans="1:6" x14ac:dyDescent="0.25">
      <c r="A1721" s="1">
        <v>4010883</v>
      </c>
      <c r="B1721" s="1" t="s">
        <v>3230</v>
      </c>
      <c r="C1721" s="1" t="s">
        <v>2058</v>
      </c>
      <c r="D1721" s="39">
        <v>0</v>
      </c>
      <c r="E1721" s="1" t="s">
        <v>3</v>
      </c>
      <c r="F1721" s="39">
        <v>0</v>
      </c>
    </row>
    <row r="1722" spans="1:6" x14ac:dyDescent="0.25">
      <c r="A1722" s="1">
        <v>4011413</v>
      </c>
      <c r="B1722" s="1" t="s">
        <v>1800</v>
      </c>
      <c r="C1722" s="1" t="s">
        <v>2058</v>
      </c>
      <c r="D1722" s="39">
        <v>0</v>
      </c>
      <c r="E1722" s="1" t="s">
        <v>1</v>
      </c>
      <c r="F1722" s="39">
        <v>0</v>
      </c>
    </row>
    <row r="1723" spans="1:6" x14ac:dyDescent="0.25">
      <c r="A1723" s="1">
        <v>4011430</v>
      </c>
      <c r="B1723" s="1" t="s">
        <v>1777</v>
      </c>
      <c r="C1723" s="1" t="s">
        <v>2058</v>
      </c>
      <c r="D1723" s="39">
        <v>0</v>
      </c>
      <c r="E1723" s="1" t="s">
        <v>1</v>
      </c>
      <c r="F1723" s="39">
        <v>0</v>
      </c>
    </row>
    <row r="1724" spans="1:6" x14ac:dyDescent="0.25">
      <c r="A1724" s="1">
        <v>4011431</v>
      </c>
      <c r="B1724" s="1" t="s">
        <v>1784</v>
      </c>
      <c r="C1724" s="1" t="s">
        <v>2058</v>
      </c>
      <c r="D1724" s="39">
        <v>0</v>
      </c>
      <c r="E1724" s="1" t="s">
        <v>1</v>
      </c>
      <c r="F1724" s="39">
        <v>0</v>
      </c>
    </row>
    <row r="1725" spans="1:6" x14ac:dyDescent="0.25">
      <c r="A1725" s="1">
        <v>4011432</v>
      </c>
      <c r="B1725" s="1" t="s">
        <v>1791</v>
      </c>
      <c r="C1725" s="1" t="s">
        <v>2058</v>
      </c>
      <c r="D1725" s="39">
        <v>0</v>
      </c>
      <c r="E1725" s="1" t="s">
        <v>1</v>
      </c>
      <c r="F1725" s="39">
        <v>0</v>
      </c>
    </row>
    <row r="1726" spans="1:6" x14ac:dyDescent="0.25">
      <c r="A1726" s="1">
        <v>4011433</v>
      </c>
      <c r="B1726" s="1" t="s">
        <v>1801</v>
      </c>
      <c r="C1726" s="1" t="s">
        <v>2058</v>
      </c>
      <c r="D1726" s="39">
        <v>0</v>
      </c>
      <c r="E1726" s="1" t="s">
        <v>1</v>
      </c>
      <c r="F1726" s="39">
        <v>0</v>
      </c>
    </row>
    <row r="1727" spans="1:6" x14ac:dyDescent="0.25">
      <c r="A1727" s="1">
        <v>4011434</v>
      </c>
      <c r="B1727" s="1" t="s">
        <v>1778</v>
      </c>
      <c r="C1727" s="1" t="s">
        <v>2058</v>
      </c>
      <c r="D1727" s="39">
        <v>0</v>
      </c>
      <c r="E1727" s="1" t="s">
        <v>1</v>
      </c>
      <c r="F1727" s="39">
        <v>0</v>
      </c>
    </row>
    <row r="1728" spans="1:6" x14ac:dyDescent="0.25">
      <c r="A1728" s="1">
        <v>4011435</v>
      </c>
      <c r="B1728" s="1" t="s">
        <v>1785</v>
      </c>
      <c r="C1728" s="1" t="s">
        <v>2058</v>
      </c>
      <c r="D1728" s="39">
        <v>0</v>
      </c>
      <c r="E1728" s="1" t="s">
        <v>1</v>
      </c>
      <c r="F1728" s="39">
        <v>0</v>
      </c>
    </row>
    <row r="1729" spans="1:6" x14ac:dyDescent="0.25">
      <c r="A1729" s="1">
        <v>4011437</v>
      </c>
      <c r="B1729" s="1" t="s">
        <v>1792</v>
      </c>
      <c r="C1729" s="1" t="s">
        <v>2058</v>
      </c>
      <c r="D1729" s="39">
        <v>0</v>
      </c>
      <c r="E1729" s="1" t="s">
        <v>1</v>
      </c>
      <c r="F1729" s="39">
        <v>0</v>
      </c>
    </row>
    <row r="1730" spans="1:6" x14ac:dyDescent="0.25">
      <c r="A1730" s="1">
        <v>4011454</v>
      </c>
      <c r="B1730" s="1" t="s">
        <v>1802</v>
      </c>
      <c r="C1730" s="1" t="s">
        <v>2058</v>
      </c>
      <c r="D1730" s="39">
        <v>0</v>
      </c>
      <c r="E1730" s="1" t="s">
        <v>1</v>
      </c>
      <c r="F1730" s="39">
        <v>0</v>
      </c>
    </row>
    <row r="1731" spans="1:6" x14ac:dyDescent="0.25">
      <c r="A1731" s="1">
        <v>4011616</v>
      </c>
      <c r="B1731" s="1" t="s">
        <v>3231</v>
      </c>
      <c r="C1731" s="1" t="s">
        <v>2058</v>
      </c>
      <c r="D1731" s="39">
        <v>0</v>
      </c>
      <c r="E1731" s="1" t="s">
        <v>1</v>
      </c>
      <c r="F1731" s="39">
        <v>0</v>
      </c>
    </row>
    <row r="1732" spans="1:6" x14ac:dyDescent="0.25">
      <c r="A1732" s="1">
        <v>4011639</v>
      </c>
      <c r="B1732" s="1" t="s">
        <v>1519</v>
      </c>
      <c r="C1732" s="1" t="s">
        <v>2058</v>
      </c>
      <c r="D1732" s="39">
        <v>0</v>
      </c>
      <c r="E1732" s="1" t="s">
        <v>1</v>
      </c>
      <c r="F1732" s="39">
        <v>0</v>
      </c>
    </row>
    <row r="1733" spans="1:6" x14ac:dyDescent="0.25">
      <c r="A1733" s="1">
        <v>4011640</v>
      </c>
      <c r="B1733" s="1" t="s">
        <v>3232</v>
      </c>
      <c r="C1733" s="1" t="s">
        <v>2058</v>
      </c>
      <c r="D1733" s="39">
        <v>0</v>
      </c>
      <c r="E1733" s="1" t="s">
        <v>1</v>
      </c>
      <c r="F1733" s="39">
        <v>0</v>
      </c>
    </row>
    <row r="1734" spans="1:6" x14ac:dyDescent="0.25">
      <c r="A1734" s="1">
        <v>4011643</v>
      </c>
      <c r="B1734" s="1" t="s">
        <v>3233</v>
      </c>
      <c r="C1734" s="1" t="s">
        <v>2058</v>
      </c>
      <c r="D1734" s="39">
        <v>0</v>
      </c>
      <c r="E1734" s="1" t="s">
        <v>1</v>
      </c>
      <c r="F1734" s="39">
        <v>0</v>
      </c>
    </row>
    <row r="1735" spans="1:6" x14ac:dyDescent="0.25">
      <c r="A1735" s="1">
        <v>4011658</v>
      </c>
      <c r="B1735" s="1" t="s">
        <v>3234</v>
      </c>
      <c r="C1735" s="1" t="s">
        <v>2058</v>
      </c>
      <c r="D1735" s="39">
        <v>0</v>
      </c>
      <c r="E1735" s="1" t="s">
        <v>1</v>
      </c>
      <c r="F1735" s="39">
        <v>0</v>
      </c>
    </row>
    <row r="1736" spans="1:6" x14ac:dyDescent="0.25">
      <c r="A1736" s="1">
        <v>4011660</v>
      </c>
      <c r="B1736" s="1" t="s">
        <v>3235</v>
      </c>
      <c r="C1736" s="1" t="s">
        <v>2058</v>
      </c>
      <c r="D1736" s="39">
        <v>0</v>
      </c>
      <c r="E1736" s="1" t="s">
        <v>1</v>
      </c>
      <c r="F1736" s="39">
        <v>0</v>
      </c>
    </row>
    <row r="1737" spans="1:6" x14ac:dyDescent="0.25">
      <c r="A1737" s="1">
        <v>4011700</v>
      </c>
      <c r="B1737" s="1" t="s">
        <v>3236</v>
      </c>
      <c r="C1737" s="1" t="s">
        <v>2058</v>
      </c>
      <c r="D1737" s="39">
        <v>0</v>
      </c>
      <c r="E1737" s="1" t="s">
        <v>1</v>
      </c>
      <c r="F1737" s="39">
        <v>0</v>
      </c>
    </row>
    <row r="1738" spans="1:6" x14ac:dyDescent="0.25">
      <c r="A1738" s="1">
        <v>4011702</v>
      </c>
      <c r="B1738" s="1" t="s">
        <v>3237</v>
      </c>
      <c r="C1738" s="1" t="s">
        <v>2058</v>
      </c>
      <c r="D1738" s="39">
        <v>0</v>
      </c>
      <c r="E1738" s="1" t="s">
        <v>1</v>
      </c>
      <c r="F1738" s="39">
        <v>0</v>
      </c>
    </row>
    <row r="1739" spans="1:6" x14ac:dyDescent="0.25">
      <c r="A1739" s="1">
        <v>4011704</v>
      </c>
      <c r="B1739" s="1" t="s">
        <v>3238</v>
      </c>
      <c r="C1739" s="1" t="s">
        <v>2058</v>
      </c>
      <c r="D1739" s="39">
        <v>0</v>
      </c>
      <c r="E1739" s="1" t="s">
        <v>1</v>
      </c>
      <c r="F1739" s="39">
        <v>0</v>
      </c>
    </row>
    <row r="1740" spans="1:6" x14ac:dyDescent="0.25">
      <c r="A1740" s="1">
        <v>4011705</v>
      </c>
      <c r="B1740" s="1" t="s">
        <v>3239</v>
      </c>
      <c r="C1740" s="1" t="s">
        <v>2058</v>
      </c>
      <c r="D1740" s="39">
        <v>0</v>
      </c>
      <c r="E1740" s="1" t="s">
        <v>1</v>
      </c>
      <c r="F1740" s="39">
        <v>0</v>
      </c>
    </row>
    <row r="1741" spans="1:6" x14ac:dyDescent="0.25">
      <c r="A1741" s="1">
        <v>4011718</v>
      </c>
      <c r="B1741" s="1" t="s">
        <v>3240</v>
      </c>
      <c r="C1741" s="1" t="s">
        <v>2058</v>
      </c>
      <c r="D1741" s="39">
        <v>0</v>
      </c>
      <c r="E1741" s="1" t="s">
        <v>1</v>
      </c>
      <c r="F1741" s="39">
        <v>0</v>
      </c>
    </row>
    <row r="1742" spans="1:6" x14ac:dyDescent="0.25">
      <c r="A1742" s="1">
        <v>4011760</v>
      </c>
      <c r="B1742" s="1" t="s">
        <v>3241</v>
      </c>
      <c r="C1742" s="1" t="s">
        <v>2058</v>
      </c>
      <c r="D1742" s="39">
        <v>0</v>
      </c>
      <c r="E1742" s="1" t="s">
        <v>1</v>
      </c>
      <c r="F1742" s="39">
        <v>0</v>
      </c>
    </row>
    <row r="1743" spans="1:6" x14ac:dyDescent="0.25">
      <c r="A1743" s="1">
        <v>4011777</v>
      </c>
      <c r="B1743" s="1" t="s">
        <v>1786</v>
      </c>
      <c r="C1743" s="1" t="s">
        <v>2058</v>
      </c>
      <c r="D1743" s="39">
        <v>0</v>
      </c>
      <c r="E1743" s="1" t="s">
        <v>1</v>
      </c>
      <c r="F1743" s="39">
        <v>0</v>
      </c>
    </row>
    <row r="1744" spans="1:6" x14ac:dyDescent="0.25">
      <c r="A1744" s="1">
        <v>4011811</v>
      </c>
      <c r="B1744" s="1" t="s">
        <v>576</v>
      </c>
      <c r="C1744" s="1" t="s">
        <v>2058</v>
      </c>
      <c r="D1744" s="39">
        <v>0</v>
      </c>
      <c r="E1744" s="1" t="s">
        <v>1</v>
      </c>
      <c r="F1744" s="39">
        <v>0</v>
      </c>
    </row>
    <row r="1745" spans="1:6" x14ac:dyDescent="0.25">
      <c r="A1745" s="1">
        <v>4011815</v>
      </c>
      <c r="B1745" s="1" t="s">
        <v>577</v>
      </c>
      <c r="C1745" s="1" t="s">
        <v>2058</v>
      </c>
      <c r="D1745" s="39">
        <v>0</v>
      </c>
      <c r="E1745" s="1" t="s">
        <v>1</v>
      </c>
      <c r="F1745" s="39">
        <v>0</v>
      </c>
    </row>
    <row r="1746" spans="1:6" x14ac:dyDescent="0.25">
      <c r="A1746" s="1">
        <v>4011851</v>
      </c>
      <c r="B1746" s="1" t="s">
        <v>3242</v>
      </c>
      <c r="C1746" s="1" t="s">
        <v>2058</v>
      </c>
      <c r="D1746" s="39">
        <v>0</v>
      </c>
      <c r="E1746" s="1" t="s">
        <v>1</v>
      </c>
      <c r="F1746" s="39">
        <v>0</v>
      </c>
    </row>
    <row r="1747" spans="1:6" x14ac:dyDescent="0.25">
      <c r="A1747" s="1">
        <v>4011852</v>
      </c>
      <c r="B1747" s="1" t="s">
        <v>3243</v>
      </c>
      <c r="C1747" s="1" t="s">
        <v>2058</v>
      </c>
      <c r="D1747" s="39">
        <v>0</v>
      </c>
      <c r="E1747" s="1" t="s">
        <v>1</v>
      </c>
      <c r="F1747" s="39">
        <v>0</v>
      </c>
    </row>
    <row r="1748" spans="1:6" x14ac:dyDescent="0.25">
      <c r="A1748" s="1">
        <v>4011853</v>
      </c>
      <c r="B1748" s="1" t="s">
        <v>3244</v>
      </c>
      <c r="C1748" s="1" t="s">
        <v>2058</v>
      </c>
      <c r="D1748" s="39">
        <v>0</v>
      </c>
      <c r="E1748" s="1" t="s">
        <v>1</v>
      </c>
      <c r="F1748" s="39">
        <v>0</v>
      </c>
    </row>
    <row r="1749" spans="1:6" x14ac:dyDescent="0.25">
      <c r="A1749" s="1">
        <v>4011860</v>
      </c>
      <c r="B1749" s="1" t="s">
        <v>3245</v>
      </c>
      <c r="C1749" s="1" t="s">
        <v>2058</v>
      </c>
      <c r="D1749" s="39">
        <v>0</v>
      </c>
      <c r="E1749" s="1" t="s">
        <v>1</v>
      </c>
      <c r="F1749" s="39">
        <v>0</v>
      </c>
    </row>
    <row r="1750" spans="1:6" x14ac:dyDescent="0.25">
      <c r="A1750" s="1">
        <v>4011890</v>
      </c>
      <c r="B1750" s="1" t="s">
        <v>3246</v>
      </c>
      <c r="C1750" s="1" t="s">
        <v>2058</v>
      </c>
      <c r="D1750" s="39">
        <v>0</v>
      </c>
      <c r="E1750" s="1" t="s">
        <v>1</v>
      </c>
      <c r="F1750" s="39">
        <v>0</v>
      </c>
    </row>
    <row r="1751" spans="1:6" x14ac:dyDescent="0.25">
      <c r="A1751" s="1">
        <v>4012081</v>
      </c>
      <c r="B1751" s="1" t="s">
        <v>3247</v>
      </c>
      <c r="C1751" s="1" t="s">
        <v>2058</v>
      </c>
      <c r="D1751" s="39">
        <v>0</v>
      </c>
      <c r="E1751" s="1" t="s">
        <v>1</v>
      </c>
      <c r="F1751" s="39">
        <v>0</v>
      </c>
    </row>
    <row r="1752" spans="1:6" x14ac:dyDescent="0.25">
      <c r="A1752" s="1">
        <v>4012100</v>
      </c>
      <c r="B1752" s="1" t="s">
        <v>1509</v>
      </c>
      <c r="C1752" s="1" t="s">
        <v>2058</v>
      </c>
      <c r="D1752" s="39">
        <v>0</v>
      </c>
      <c r="E1752" s="1" t="s">
        <v>1</v>
      </c>
      <c r="F1752" s="39">
        <v>0</v>
      </c>
    </row>
    <row r="1753" spans="1:6" x14ac:dyDescent="0.25">
      <c r="A1753" s="1">
        <v>4012141</v>
      </c>
      <c r="B1753" s="1" t="s">
        <v>986</v>
      </c>
      <c r="C1753" s="1" t="s">
        <v>2058</v>
      </c>
      <c r="D1753" s="39">
        <v>1297</v>
      </c>
      <c r="E1753" s="1" t="s">
        <v>1</v>
      </c>
      <c r="F1753" s="3">
        <v>145.26</v>
      </c>
    </row>
    <row r="1754" spans="1:6" x14ac:dyDescent="0.25">
      <c r="A1754" s="1">
        <v>4012142</v>
      </c>
      <c r="B1754" s="1" t="s">
        <v>971</v>
      </c>
      <c r="C1754" s="1" t="s">
        <v>2058</v>
      </c>
      <c r="D1754" s="39">
        <v>2184</v>
      </c>
      <c r="E1754" s="1" t="s">
        <v>1</v>
      </c>
      <c r="F1754" s="3">
        <v>1063.6099999999999</v>
      </c>
    </row>
    <row r="1755" spans="1:6" x14ac:dyDescent="0.25">
      <c r="A1755" s="1">
        <v>4012143</v>
      </c>
      <c r="B1755" s="1" t="s">
        <v>989</v>
      </c>
      <c r="C1755" s="1" t="s">
        <v>2058</v>
      </c>
      <c r="D1755" s="39">
        <v>4000</v>
      </c>
      <c r="E1755" s="1" t="s">
        <v>1</v>
      </c>
      <c r="F1755" s="3">
        <v>1432.8</v>
      </c>
    </row>
    <row r="1756" spans="1:6" x14ac:dyDescent="0.25">
      <c r="A1756" s="1">
        <v>4012144</v>
      </c>
      <c r="B1756" s="1" t="s">
        <v>992</v>
      </c>
      <c r="C1756" s="1" t="s">
        <v>2058</v>
      </c>
      <c r="D1756" s="39">
        <v>3845</v>
      </c>
      <c r="E1756" s="1" t="s">
        <v>1</v>
      </c>
      <c r="F1756" s="3">
        <v>1610.29</v>
      </c>
    </row>
    <row r="1757" spans="1:6" x14ac:dyDescent="0.25">
      <c r="A1757" s="1">
        <v>4012145</v>
      </c>
      <c r="B1757" s="1" t="s">
        <v>995</v>
      </c>
      <c r="C1757" s="1" t="s">
        <v>2058</v>
      </c>
      <c r="D1757" s="39">
        <v>3380</v>
      </c>
      <c r="E1757" s="1" t="s">
        <v>1</v>
      </c>
      <c r="F1757" s="3">
        <v>916.66</v>
      </c>
    </row>
    <row r="1758" spans="1:6" x14ac:dyDescent="0.25">
      <c r="A1758" s="1">
        <v>4012146</v>
      </c>
      <c r="B1758" s="1" t="s">
        <v>979</v>
      </c>
      <c r="C1758" s="1" t="s">
        <v>2058</v>
      </c>
      <c r="D1758" s="39">
        <v>8864</v>
      </c>
      <c r="E1758" s="1" t="s">
        <v>1</v>
      </c>
      <c r="F1758" s="3">
        <v>3458.73</v>
      </c>
    </row>
    <row r="1759" spans="1:6" x14ac:dyDescent="0.25">
      <c r="A1759" s="1">
        <v>4012147</v>
      </c>
      <c r="B1759" s="1" t="s">
        <v>983</v>
      </c>
      <c r="C1759" s="1" t="s">
        <v>2058</v>
      </c>
      <c r="D1759" s="39">
        <v>5928</v>
      </c>
      <c r="E1759" s="1" t="s">
        <v>1</v>
      </c>
      <c r="F1759" s="3">
        <v>2876.27</v>
      </c>
    </row>
    <row r="1760" spans="1:6" x14ac:dyDescent="0.25">
      <c r="A1760" s="1">
        <v>4012148</v>
      </c>
      <c r="B1760" s="1" t="s">
        <v>975</v>
      </c>
      <c r="C1760" s="1" t="s">
        <v>2058</v>
      </c>
      <c r="D1760" s="39">
        <v>2955</v>
      </c>
      <c r="E1760" s="1" t="s">
        <v>1</v>
      </c>
      <c r="F1760" s="3">
        <v>1432.88</v>
      </c>
    </row>
    <row r="1761" spans="1:6" x14ac:dyDescent="0.25">
      <c r="A1761" s="1">
        <v>4012150</v>
      </c>
      <c r="B1761" s="1" t="s">
        <v>220</v>
      </c>
      <c r="C1761" s="1" t="s">
        <v>2058</v>
      </c>
      <c r="D1761" s="39">
        <v>0</v>
      </c>
      <c r="E1761" s="1" t="s">
        <v>3</v>
      </c>
      <c r="F1761" s="39">
        <v>0</v>
      </c>
    </row>
    <row r="1762" spans="1:6" x14ac:dyDescent="0.25">
      <c r="A1762" s="1">
        <v>4012151</v>
      </c>
      <c r="B1762" s="1" t="s">
        <v>209</v>
      </c>
      <c r="C1762" s="1" t="s">
        <v>2058</v>
      </c>
      <c r="D1762" s="39">
        <v>0</v>
      </c>
      <c r="E1762" s="1" t="s">
        <v>3</v>
      </c>
      <c r="F1762" s="39">
        <v>0</v>
      </c>
    </row>
    <row r="1763" spans="1:6" x14ac:dyDescent="0.25">
      <c r="A1763" s="1">
        <v>4012152</v>
      </c>
      <c r="B1763" s="1" t="s">
        <v>252</v>
      </c>
      <c r="C1763" s="1" t="s">
        <v>2058</v>
      </c>
      <c r="D1763" s="39">
        <v>0</v>
      </c>
      <c r="E1763" s="1" t="s">
        <v>3</v>
      </c>
      <c r="F1763" s="39">
        <v>0</v>
      </c>
    </row>
    <row r="1764" spans="1:6" x14ac:dyDescent="0.25">
      <c r="A1764" s="1">
        <v>4012163</v>
      </c>
      <c r="B1764" s="1" t="s">
        <v>3248</v>
      </c>
      <c r="C1764" s="1" t="s">
        <v>2058</v>
      </c>
      <c r="D1764" s="39">
        <v>7247</v>
      </c>
      <c r="E1764" s="1" t="s">
        <v>1</v>
      </c>
      <c r="F1764" s="3">
        <v>4437.34</v>
      </c>
    </row>
    <row r="1765" spans="1:6" x14ac:dyDescent="0.25">
      <c r="A1765" s="1">
        <v>4012164</v>
      </c>
      <c r="B1765" s="1" t="s">
        <v>3249</v>
      </c>
      <c r="C1765" s="1" t="s">
        <v>2058</v>
      </c>
      <c r="D1765" s="39">
        <v>5129</v>
      </c>
      <c r="E1765" s="1" t="s">
        <v>1</v>
      </c>
      <c r="F1765" s="3">
        <v>574.45000000000005</v>
      </c>
    </row>
    <row r="1766" spans="1:6" x14ac:dyDescent="0.25">
      <c r="A1766" s="1">
        <v>4012165</v>
      </c>
      <c r="B1766" s="1" t="s">
        <v>3250</v>
      </c>
      <c r="C1766" s="1" t="s">
        <v>2058</v>
      </c>
      <c r="D1766" s="39">
        <v>3972</v>
      </c>
      <c r="E1766" s="1" t="s">
        <v>1</v>
      </c>
      <c r="F1766" s="3">
        <v>444.86</v>
      </c>
    </row>
    <row r="1767" spans="1:6" x14ac:dyDescent="0.25">
      <c r="A1767" s="1">
        <v>4012166</v>
      </c>
      <c r="B1767" s="1" t="s">
        <v>3251</v>
      </c>
      <c r="C1767" s="1" t="s">
        <v>2058</v>
      </c>
      <c r="D1767" s="39">
        <v>4357</v>
      </c>
      <c r="E1767" s="1" t="s">
        <v>1</v>
      </c>
      <c r="F1767" s="3">
        <v>3260.34</v>
      </c>
    </row>
    <row r="1768" spans="1:6" x14ac:dyDescent="0.25">
      <c r="A1768" s="1">
        <v>4012167</v>
      </c>
      <c r="B1768" s="1" t="s">
        <v>3252</v>
      </c>
      <c r="C1768" s="1" t="s">
        <v>2058</v>
      </c>
      <c r="D1768" s="39">
        <v>5832</v>
      </c>
      <c r="E1768" s="1" t="s">
        <v>1</v>
      </c>
      <c r="F1768" s="3">
        <v>856.72</v>
      </c>
    </row>
    <row r="1769" spans="1:6" x14ac:dyDescent="0.25">
      <c r="A1769" s="1">
        <v>4012168</v>
      </c>
      <c r="B1769" s="1" t="s">
        <v>3253</v>
      </c>
      <c r="C1769" s="1" t="s">
        <v>2058</v>
      </c>
      <c r="D1769" s="39">
        <v>10396</v>
      </c>
      <c r="E1769" s="1" t="s">
        <v>1</v>
      </c>
      <c r="F1769" s="3">
        <v>1010.49</v>
      </c>
    </row>
    <row r="1770" spans="1:6" x14ac:dyDescent="0.25">
      <c r="A1770" s="1">
        <v>4012169</v>
      </c>
      <c r="B1770" s="1" t="s">
        <v>3254</v>
      </c>
      <c r="C1770" s="1" t="s">
        <v>2058</v>
      </c>
      <c r="D1770" s="39">
        <v>7512</v>
      </c>
      <c r="E1770" s="1" t="s">
        <v>1</v>
      </c>
      <c r="F1770" s="3">
        <v>793.27</v>
      </c>
    </row>
    <row r="1771" spans="1:6" x14ac:dyDescent="0.25">
      <c r="A1771" s="1">
        <v>4012170</v>
      </c>
      <c r="B1771" s="1" t="s">
        <v>3255</v>
      </c>
      <c r="C1771" s="1" t="s">
        <v>2058</v>
      </c>
      <c r="D1771" s="39">
        <v>9500</v>
      </c>
      <c r="E1771" s="1" t="s">
        <v>1</v>
      </c>
      <c r="F1771" s="3">
        <v>1887.65</v>
      </c>
    </row>
    <row r="1772" spans="1:6" x14ac:dyDescent="0.25">
      <c r="A1772" s="1">
        <v>4012171</v>
      </c>
      <c r="B1772" s="1" t="s">
        <v>3256</v>
      </c>
      <c r="C1772" s="1" t="s">
        <v>2058</v>
      </c>
      <c r="D1772" s="39">
        <v>12748</v>
      </c>
      <c r="E1772" s="1" t="s">
        <v>1</v>
      </c>
      <c r="F1772" s="3">
        <v>2294.64</v>
      </c>
    </row>
    <row r="1773" spans="1:6" x14ac:dyDescent="0.25">
      <c r="A1773" s="1">
        <v>4012172</v>
      </c>
      <c r="B1773" s="1" t="s">
        <v>3257</v>
      </c>
      <c r="C1773" s="1" t="s">
        <v>2058</v>
      </c>
      <c r="D1773" s="39">
        <v>24420</v>
      </c>
      <c r="E1773" s="1" t="s">
        <v>1</v>
      </c>
      <c r="F1773" s="3">
        <v>6261.29</v>
      </c>
    </row>
    <row r="1774" spans="1:6" x14ac:dyDescent="0.25">
      <c r="A1774" s="1">
        <v>4012173</v>
      </c>
      <c r="B1774" s="1" t="s">
        <v>3258</v>
      </c>
      <c r="C1774" s="1" t="s">
        <v>2058</v>
      </c>
      <c r="D1774" s="39">
        <v>4181</v>
      </c>
      <c r="E1774" s="1" t="s">
        <v>1</v>
      </c>
      <c r="F1774" s="3">
        <v>530.57000000000005</v>
      </c>
    </row>
    <row r="1775" spans="1:6" x14ac:dyDescent="0.25">
      <c r="A1775" s="1">
        <v>4012174</v>
      </c>
      <c r="B1775" s="1" t="s">
        <v>3259</v>
      </c>
      <c r="C1775" s="1" t="s">
        <v>2058</v>
      </c>
      <c r="D1775" s="39">
        <v>8152</v>
      </c>
      <c r="E1775" s="1" t="s">
        <v>1</v>
      </c>
      <c r="F1775" s="3">
        <v>3970.84</v>
      </c>
    </row>
    <row r="1776" spans="1:6" x14ac:dyDescent="0.25">
      <c r="A1776" s="1">
        <v>4012306</v>
      </c>
      <c r="B1776" s="1" t="s">
        <v>1048</v>
      </c>
      <c r="C1776" s="1" t="s">
        <v>2058</v>
      </c>
      <c r="D1776" s="39">
        <v>0</v>
      </c>
      <c r="E1776" s="1" t="s">
        <v>1</v>
      </c>
      <c r="F1776" s="39">
        <v>0</v>
      </c>
    </row>
    <row r="1777" spans="1:6" x14ac:dyDescent="0.25">
      <c r="A1777" s="1">
        <v>4012308</v>
      </c>
      <c r="B1777" s="1" t="s">
        <v>788</v>
      </c>
      <c r="C1777" s="1" t="s">
        <v>2058</v>
      </c>
      <c r="D1777" s="39">
        <v>0</v>
      </c>
      <c r="E1777" s="1" t="s">
        <v>1</v>
      </c>
      <c r="F1777" s="39">
        <v>0</v>
      </c>
    </row>
    <row r="1778" spans="1:6" x14ac:dyDescent="0.25">
      <c r="A1778" s="1">
        <v>4012454</v>
      </c>
      <c r="B1778" s="1" t="s">
        <v>3260</v>
      </c>
      <c r="C1778" s="1" t="s">
        <v>2058</v>
      </c>
      <c r="D1778" s="39">
        <v>0</v>
      </c>
      <c r="E1778" s="1" t="s">
        <v>1</v>
      </c>
      <c r="F1778" s="39">
        <v>0</v>
      </c>
    </row>
    <row r="1779" spans="1:6" x14ac:dyDescent="0.25">
      <c r="A1779" s="1">
        <v>4012455</v>
      </c>
      <c r="B1779" s="1" t="s">
        <v>3261</v>
      </c>
      <c r="C1779" s="1" t="s">
        <v>2058</v>
      </c>
      <c r="D1779" s="39">
        <v>0</v>
      </c>
      <c r="E1779" s="1" t="s">
        <v>1</v>
      </c>
      <c r="F1779" s="39">
        <v>0</v>
      </c>
    </row>
    <row r="1780" spans="1:6" x14ac:dyDescent="0.25">
      <c r="A1780" s="1">
        <v>4012456</v>
      </c>
      <c r="B1780" s="1" t="s">
        <v>848</v>
      </c>
      <c r="C1780" s="1" t="s">
        <v>2058</v>
      </c>
      <c r="D1780" s="39">
        <v>0</v>
      </c>
      <c r="E1780" s="1" t="s">
        <v>1</v>
      </c>
      <c r="F1780" s="39">
        <v>0</v>
      </c>
    </row>
    <row r="1781" spans="1:6" x14ac:dyDescent="0.25">
      <c r="A1781" s="1">
        <v>4012457</v>
      </c>
      <c r="B1781" s="1" t="s">
        <v>3262</v>
      </c>
      <c r="C1781" s="1" t="s">
        <v>2058</v>
      </c>
      <c r="D1781" s="39">
        <v>0</v>
      </c>
      <c r="E1781" s="1" t="s">
        <v>1</v>
      </c>
      <c r="F1781" s="39">
        <v>0</v>
      </c>
    </row>
    <row r="1782" spans="1:6" x14ac:dyDescent="0.25">
      <c r="A1782" s="1">
        <v>4012569</v>
      </c>
      <c r="B1782" s="1" t="s">
        <v>806</v>
      </c>
      <c r="C1782" s="1" t="s">
        <v>2058</v>
      </c>
      <c r="D1782" s="39">
        <v>0</v>
      </c>
      <c r="E1782" s="1" t="s">
        <v>1</v>
      </c>
      <c r="F1782" s="39">
        <v>0</v>
      </c>
    </row>
    <row r="1783" spans="1:6" x14ac:dyDescent="0.25">
      <c r="A1783" s="1">
        <v>4012601</v>
      </c>
      <c r="B1783" s="1" t="s">
        <v>836</v>
      </c>
      <c r="C1783" s="1" t="s">
        <v>2058</v>
      </c>
      <c r="D1783" s="39">
        <v>0</v>
      </c>
      <c r="E1783" s="1" t="s">
        <v>1</v>
      </c>
      <c r="F1783" s="39">
        <v>0</v>
      </c>
    </row>
    <row r="1784" spans="1:6" x14ac:dyDescent="0.25">
      <c r="A1784" s="1">
        <v>4012602</v>
      </c>
      <c r="B1784" s="1" t="s">
        <v>821</v>
      </c>
      <c r="C1784" s="1" t="s">
        <v>2058</v>
      </c>
      <c r="D1784" s="39">
        <v>0</v>
      </c>
      <c r="E1784" s="1" t="s">
        <v>1</v>
      </c>
      <c r="F1784" s="39">
        <v>0</v>
      </c>
    </row>
    <row r="1785" spans="1:6" x14ac:dyDescent="0.25">
      <c r="A1785" s="1">
        <v>4012603</v>
      </c>
      <c r="B1785" s="1" t="s">
        <v>807</v>
      </c>
      <c r="C1785" s="1" t="s">
        <v>2058</v>
      </c>
      <c r="D1785" s="39">
        <v>0</v>
      </c>
      <c r="E1785" s="1" t="s">
        <v>1</v>
      </c>
      <c r="F1785" s="39">
        <v>0</v>
      </c>
    </row>
    <row r="1786" spans="1:6" x14ac:dyDescent="0.25">
      <c r="A1786" s="1">
        <v>4012604</v>
      </c>
      <c r="B1786" s="1" t="s">
        <v>855</v>
      </c>
      <c r="C1786" s="1" t="s">
        <v>2058</v>
      </c>
      <c r="D1786" s="39">
        <v>0</v>
      </c>
      <c r="E1786" s="1" t="s">
        <v>1</v>
      </c>
      <c r="F1786" s="39">
        <v>0</v>
      </c>
    </row>
    <row r="1787" spans="1:6" x14ac:dyDescent="0.25">
      <c r="A1787" s="1">
        <v>4012605</v>
      </c>
      <c r="B1787" s="1" t="s">
        <v>794</v>
      </c>
      <c r="C1787" s="1" t="s">
        <v>2058</v>
      </c>
      <c r="D1787" s="39">
        <v>0</v>
      </c>
      <c r="E1787" s="1" t="s">
        <v>1</v>
      </c>
      <c r="F1787" s="39">
        <v>0</v>
      </c>
    </row>
    <row r="1788" spans="1:6" x14ac:dyDescent="0.25">
      <c r="A1788" s="1">
        <v>4012607</v>
      </c>
      <c r="B1788" s="1" t="s">
        <v>856</v>
      </c>
      <c r="C1788" s="1" t="s">
        <v>2058</v>
      </c>
      <c r="D1788" s="39">
        <v>0</v>
      </c>
      <c r="E1788" s="1" t="s">
        <v>1</v>
      </c>
      <c r="F1788" s="39">
        <v>0</v>
      </c>
    </row>
    <row r="1789" spans="1:6" x14ac:dyDescent="0.25">
      <c r="A1789" s="1">
        <v>4012608</v>
      </c>
      <c r="B1789" s="1" t="s">
        <v>3263</v>
      </c>
      <c r="C1789" s="1" t="s">
        <v>2058</v>
      </c>
      <c r="D1789" s="39">
        <v>0</v>
      </c>
      <c r="E1789" s="1" t="s">
        <v>1</v>
      </c>
      <c r="F1789" s="39">
        <v>0</v>
      </c>
    </row>
    <row r="1790" spans="1:6" x14ac:dyDescent="0.25">
      <c r="A1790" s="1">
        <v>4012610</v>
      </c>
      <c r="B1790" s="1" t="s">
        <v>814</v>
      </c>
      <c r="C1790" s="1" t="s">
        <v>2058</v>
      </c>
      <c r="D1790" s="39">
        <v>0</v>
      </c>
      <c r="E1790" s="1" t="s">
        <v>1</v>
      </c>
      <c r="F1790" s="39">
        <v>0</v>
      </c>
    </row>
    <row r="1791" spans="1:6" x14ac:dyDescent="0.25">
      <c r="A1791" s="1">
        <v>4012612</v>
      </c>
      <c r="B1791" s="1" t="s">
        <v>3264</v>
      </c>
      <c r="C1791" s="1" t="s">
        <v>2058</v>
      </c>
      <c r="D1791" s="39">
        <v>0</v>
      </c>
      <c r="E1791" s="1" t="s">
        <v>1</v>
      </c>
      <c r="F1791" s="39">
        <v>0</v>
      </c>
    </row>
    <row r="1792" spans="1:6" x14ac:dyDescent="0.25">
      <c r="A1792" s="1">
        <v>4012613</v>
      </c>
      <c r="B1792" s="1" t="s">
        <v>849</v>
      </c>
      <c r="C1792" s="1" t="s">
        <v>2058</v>
      </c>
      <c r="D1792" s="39">
        <v>0</v>
      </c>
      <c r="E1792" s="1" t="s">
        <v>1</v>
      </c>
      <c r="F1792" s="39">
        <v>0</v>
      </c>
    </row>
    <row r="1793" spans="1:6" x14ac:dyDescent="0.25">
      <c r="A1793" s="1">
        <v>4012616</v>
      </c>
      <c r="B1793" s="1" t="s">
        <v>795</v>
      </c>
      <c r="C1793" s="1" t="s">
        <v>2058</v>
      </c>
      <c r="D1793" s="39">
        <v>0</v>
      </c>
      <c r="E1793" s="1" t="s">
        <v>1</v>
      </c>
      <c r="F1793" s="39">
        <v>0</v>
      </c>
    </row>
    <row r="1794" spans="1:6" x14ac:dyDescent="0.25">
      <c r="A1794" s="1">
        <v>4012617</v>
      </c>
      <c r="B1794" s="1" t="s">
        <v>808</v>
      </c>
      <c r="C1794" s="1" t="s">
        <v>2058</v>
      </c>
      <c r="D1794" s="39">
        <v>0</v>
      </c>
      <c r="E1794" s="1" t="s">
        <v>1</v>
      </c>
      <c r="F1794" s="39">
        <v>0</v>
      </c>
    </row>
    <row r="1795" spans="1:6" x14ac:dyDescent="0.25">
      <c r="A1795" s="1">
        <v>4012618</v>
      </c>
      <c r="B1795" s="1" t="s">
        <v>823</v>
      </c>
      <c r="C1795" s="1" t="s">
        <v>2058</v>
      </c>
      <c r="D1795" s="39">
        <v>0</v>
      </c>
      <c r="E1795" s="1" t="s">
        <v>1</v>
      </c>
      <c r="F1795" s="39">
        <v>0</v>
      </c>
    </row>
    <row r="1796" spans="1:6" x14ac:dyDescent="0.25">
      <c r="A1796" s="1">
        <v>4012620</v>
      </c>
      <c r="B1796" s="1" t="s">
        <v>857</v>
      </c>
      <c r="C1796" s="1" t="s">
        <v>2058</v>
      </c>
      <c r="D1796" s="39">
        <v>0</v>
      </c>
      <c r="E1796" s="1" t="s">
        <v>1</v>
      </c>
      <c r="F1796" s="39">
        <v>0</v>
      </c>
    </row>
    <row r="1797" spans="1:6" x14ac:dyDescent="0.25">
      <c r="A1797" s="1">
        <v>4012622</v>
      </c>
      <c r="B1797" s="1" t="s">
        <v>3265</v>
      </c>
      <c r="C1797" s="1" t="s">
        <v>2058</v>
      </c>
      <c r="D1797" s="39">
        <v>0</v>
      </c>
      <c r="E1797" s="1" t="s">
        <v>1</v>
      </c>
      <c r="F1797" s="39">
        <v>0</v>
      </c>
    </row>
    <row r="1798" spans="1:6" x14ac:dyDescent="0.25">
      <c r="A1798" s="1">
        <v>4012623</v>
      </c>
      <c r="B1798" s="1" t="s">
        <v>801</v>
      </c>
      <c r="C1798" s="1" t="s">
        <v>2058</v>
      </c>
      <c r="D1798" s="39">
        <v>0</v>
      </c>
      <c r="E1798" s="1" t="s">
        <v>1</v>
      </c>
      <c r="F1798" s="39">
        <v>0</v>
      </c>
    </row>
    <row r="1799" spans="1:6" x14ac:dyDescent="0.25">
      <c r="A1799" s="1">
        <v>4012624</v>
      </c>
      <c r="B1799" s="1" t="s">
        <v>830</v>
      </c>
      <c r="C1799" s="1" t="s">
        <v>2058</v>
      </c>
      <c r="D1799" s="39">
        <v>0</v>
      </c>
      <c r="E1799" s="1" t="s">
        <v>1</v>
      </c>
      <c r="F1799" s="39">
        <v>0</v>
      </c>
    </row>
    <row r="1800" spans="1:6" x14ac:dyDescent="0.25">
      <c r="A1800" s="1">
        <v>4012625</v>
      </c>
      <c r="B1800" s="1" t="s">
        <v>843</v>
      </c>
      <c r="C1800" s="1" t="s">
        <v>2058</v>
      </c>
      <c r="D1800" s="39">
        <v>0</v>
      </c>
      <c r="E1800" s="1" t="s">
        <v>1</v>
      </c>
      <c r="F1800" s="39">
        <v>0</v>
      </c>
    </row>
    <row r="1801" spans="1:6" x14ac:dyDescent="0.25">
      <c r="A1801" s="1">
        <v>4012674</v>
      </c>
      <c r="B1801" s="1" t="s">
        <v>815</v>
      </c>
      <c r="C1801" s="1" t="s">
        <v>2058</v>
      </c>
      <c r="D1801" s="39">
        <v>0</v>
      </c>
      <c r="E1801" s="1" t="s">
        <v>1</v>
      </c>
      <c r="F1801" s="39">
        <v>0</v>
      </c>
    </row>
    <row r="1802" spans="1:6" x14ac:dyDescent="0.25">
      <c r="A1802" s="1">
        <v>4012795</v>
      </c>
      <c r="B1802" s="1" t="s">
        <v>3266</v>
      </c>
      <c r="C1802" s="1" t="s">
        <v>2058</v>
      </c>
      <c r="D1802" s="39">
        <v>0</v>
      </c>
      <c r="E1802" s="1" t="s">
        <v>1</v>
      </c>
      <c r="F1802" s="39">
        <v>0</v>
      </c>
    </row>
    <row r="1803" spans="1:6" x14ac:dyDescent="0.25">
      <c r="A1803" s="1">
        <v>4012796</v>
      </c>
      <c r="B1803" s="1" t="s">
        <v>3267</v>
      </c>
      <c r="C1803" s="1" t="s">
        <v>2058</v>
      </c>
      <c r="D1803" s="39">
        <v>0</v>
      </c>
      <c r="E1803" s="1" t="s">
        <v>1</v>
      </c>
      <c r="F1803" s="39">
        <v>0</v>
      </c>
    </row>
    <row r="1804" spans="1:6" x14ac:dyDescent="0.25">
      <c r="A1804" s="1">
        <v>4012797</v>
      </c>
      <c r="B1804" s="1" t="s">
        <v>3268</v>
      </c>
      <c r="C1804" s="1" t="s">
        <v>2058</v>
      </c>
      <c r="D1804" s="39">
        <v>0</v>
      </c>
      <c r="E1804" s="1" t="s">
        <v>1</v>
      </c>
      <c r="F1804" s="39">
        <v>0</v>
      </c>
    </row>
    <row r="1805" spans="1:6" x14ac:dyDescent="0.25">
      <c r="A1805" s="1">
        <v>4012798</v>
      </c>
      <c r="B1805" s="1" t="s">
        <v>3269</v>
      </c>
      <c r="C1805" s="1" t="s">
        <v>2058</v>
      </c>
      <c r="D1805" s="39">
        <v>0</v>
      </c>
      <c r="E1805" s="1" t="s">
        <v>1</v>
      </c>
      <c r="F1805" s="39">
        <v>0</v>
      </c>
    </row>
    <row r="1806" spans="1:6" x14ac:dyDescent="0.25">
      <c r="A1806" s="1">
        <v>4012799</v>
      </c>
      <c r="B1806" s="1" t="s">
        <v>3270</v>
      </c>
      <c r="C1806" s="1" t="s">
        <v>2058</v>
      </c>
      <c r="D1806" s="39">
        <v>0</v>
      </c>
      <c r="E1806" s="1" t="s">
        <v>1</v>
      </c>
      <c r="F1806" s="39">
        <v>0</v>
      </c>
    </row>
    <row r="1807" spans="1:6" x14ac:dyDescent="0.25">
      <c r="A1807" s="1">
        <v>4012955</v>
      </c>
      <c r="B1807" s="1" t="s">
        <v>3271</v>
      </c>
      <c r="C1807" s="1" t="s">
        <v>2058</v>
      </c>
      <c r="D1807" s="39">
        <v>0</v>
      </c>
      <c r="E1807" s="1" t="s">
        <v>1</v>
      </c>
      <c r="F1807" s="39">
        <v>0</v>
      </c>
    </row>
    <row r="1808" spans="1:6" x14ac:dyDescent="0.25">
      <c r="A1808" s="1">
        <v>4012957</v>
      </c>
      <c r="B1808" s="1" t="s">
        <v>3272</v>
      </c>
      <c r="C1808" s="1" t="s">
        <v>2058</v>
      </c>
      <c r="D1808" s="39">
        <v>0</v>
      </c>
      <c r="E1808" s="1" t="s">
        <v>1</v>
      </c>
      <c r="F1808" s="39">
        <v>0</v>
      </c>
    </row>
    <row r="1809" spans="1:6" x14ac:dyDescent="0.25">
      <c r="A1809" s="1">
        <v>4012958</v>
      </c>
      <c r="B1809" s="1" t="s">
        <v>3273</v>
      </c>
      <c r="C1809" s="1" t="s">
        <v>2058</v>
      </c>
      <c r="D1809" s="39">
        <v>0</v>
      </c>
      <c r="E1809" s="1" t="s">
        <v>1</v>
      </c>
      <c r="F1809" s="39">
        <v>0</v>
      </c>
    </row>
    <row r="1810" spans="1:6" x14ac:dyDescent="0.25">
      <c r="A1810" s="1">
        <v>4012959</v>
      </c>
      <c r="B1810" s="1" t="s">
        <v>3274</v>
      </c>
      <c r="C1810" s="1" t="s">
        <v>2058</v>
      </c>
      <c r="D1810" s="39">
        <v>0</v>
      </c>
      <c r="E1810" s="1" t="s">
        <v>1</v>
      </c>
      <c r="F1810" s="39">
        <v>0</v>
      </c>
    </row>
    <row r="1811" spans="1:6" x14ac:dyDescent="0.25">
      <c r="A1811" s="1">
        <v>4012960</v>
      </c>
      <c r="B1811" s="1" t="s">
        <v>3275</v>
      </c>
      <c r="C1811" s="1" t="s">
        <v>2058</v>
      </c>
      <c r="D1811" s="39">
        <v>0</v>
      </c>
      <c r="E1811" s="1" t="s">
        <v>1</v>
      </c>
      <c r="F1811" s="39">
        <v>0</v>
      </c>
    </row>
    <row r="1812" spans="1:6" x14ac:dyDescent="0.25">
      <c r="A1812" s="1">
        <v>4012961</v>
      </c>
      <c r="B1812" s="1" t="s">
        <v>3276</v>
      </c>
      <c r="C1812" s="1" t="s">
        <v>2058</v>
      </c>
      <c r="D1812" s="39">
        <v>0</v>
      </c>
      <c r="E1812" s="1" t="s">
        <v>1</v>
      </c>
      <c r="F1812" s="39">
        <v>0</v>
      </c>
    </row>
    <row r="1813" spans="1:6" x14ac:dyDescent="0.25">
      <c r="A1813" s="1">
        <v>4012962</v>
      </c>
      <c r="B1813" s="1" t="s">
        <v>3277</v>
      </c>
      <c r="C1813" s="1" t="s">
        <v>2058</v>
      </c>
      <c r="D1813" s="39">
        <v>0</v>
      </c>
      <c r="E1813" s="1" t="s">
        <v>1</v>
      </c>
      <c r="F1813" s="39">
        <v>0</v>
      </c>
    </row>
    <row r="1814" spans="1:6" x14ac:dyDescent="0.25">
      <c r="A1814" s="1">
        <v>4013120</v>
      </c>
      <c r="B1814" s="1" t="s">
        <v>1062</v>
      </c>
      <c r="C1814" s="1" t="s">
        <v>2058</v>
      </c>
      <c r="D1814" s="39">
        <v>5469</v>
      </c>
      <c r="E1814" s="1" t="s">
        <v>1</v>
      </c>
      <c r="F1814" s="3">
        <v>883.79</v>
      </c>
    </row>
    <row r="1815" spans="1:6" x14ac:dyDescent="0.25">
      <c r="A1815" s="1">
        <v>4013205</v>
      </c>
      <c r="B1815" s="1" t="s">
        <v>3278</v>
      </c>
      <c r="C1815" s="1" t="s">
        <v>2058</v>
      </c>
      <c r="D1815" s="39">
        <v>0</v>
      </c>
      <c r="E1815" s="1" t="s">
        <v>1</v>
      </c>
      <c r="F1815" s="39">
        <v>0</v>
      </c>
    </row>
    <row r="1816" spans="1:6" x14ac:dyDescent="0.25">
      <c r="A1816" s="1">
        <v>4013310</v>
      </c>
      <c r="B1816" s="1" t="s">
        <v>909</v>
      </c>
      <c r="C1816" s="1" t="s">
        <v>2058</v>
      </c>
      <c r="D1816" s="39">
        <v>44047</v>
      </c>
      <c r="E1816" s="1" t="s">
        <v>1</v>
      </c>
      <c r="F1816" s="3">
        <v>33431.67</v>
      </c>
    </row>
    <row r="1817" spans="1:6" x14ac:dyDescent="0.25">
      <c r="A1817" s="1">
        <v>4013353</v>
      </c>
      <c r="B1817" s="1" t="s">
        <v>3279</v>
      </c>
      <c r="C1817" s="1" t="s">
        <v>2058</v>
      </c>
      <c r="D1817" s="39">
        <v>0</v>
      </c>
      <c r="E1817" s="1" t="s">
        <v>1</v>
      </c>
      <c r="F1817" s="39">
        <v>0</v>
      </c>
    </row>
    <row r="1818" spans="1:6" x14ac:dyDescent="0.25">
      <c r="A1818" s="1">
        <v>4013354</v>
      </c>
      <c r="B1818" s="1" t="s">
        <v>3280</v>
      </c>
      <c r="C1818" s="1" t="s">
        <v>2058</v>
      </c>
      <c r="D1818" s="39">
        <v>1600</v>
      </c>
      <c r="E1818" s="1" t="s">
        <v>1</v>
      </c>
      <c r="F1818" s="3">
        <v>1019.2</v>
      </c>
    </row>
    <row r="1819" spans="1:6" x14ac:dyDescent="0.25">
      <c r="A1819" s="1">
        <v>4013355</v>
      </c>
      <c r="B1819" s="1" t="s">
        <v>3281</v>
      </c>
      <c r="C1819" s="1" t="s">
        <v>2058</v>
      </c>
      <c r="D1819" s="39">
        <v>750</v>
      </c>
      <c r="E1819" s="1" t="s">
        <v>1</v>
      </c>
      <c r="F1819" s="3">
        <v>561.23</v>
      </c>
    </row>
    <row r="1820" spans="1:6" x14ac:dyDescent="0.25">
      <c r="A1820" s="1">
        <v>4013356</v>
      </c>
      <c r="B1820" s="1" t="s">
        <v>3282</v>
      </c>
      <c r="C1820" s="1" t="s">
        <v>2058</v>
      </c>
      <c r="D1820" s="39">
        <v>0</v>
      </c>
      <c r="E1820" s="1" t="s">
        <v>1</v>
      </c>
      <c r="F1820" s="39">
        <v>0</v>
      </c>
    </row>
    <row r="1821" spans="1:6" x14ac:dyDescent="0.25">
      <c r="A1821" s="1">
        <v>4013357</v>
      </c>
      <c r="B1821" s="1" t="s">
        <v>3283</v>
      </c>
      <c r="C1821" s="1" t="s">
        <v>2058</v>
      </c>
      <c r="D1821" s="39">
        <v>900</v>
      </c>
      <c r="E1821" s="1" t="s">
        <v>1</v>
      </c>
      <c r="F1821" s="3">
        <v>673.47</v>
      </c>
    </row>
    <row r="1822" spans="1:6" x14ac:dyDescent="0.25">
      <c r="A1822" s="1">
        <v>4013358</v>
      </c>
      <c r="B1822" s="1" t="s">
        <v>3284</v>
      </c>
      <c r="C1822" s="1" t="s">
        <v>2058</v>
      </c>
      <c r="D1822" s="39">
        <v>0</v>
      </c>
      <c r="E1822" s="1" t="s">
        <v>1</v>
      </c>
      <c r="F1822" s="39">
        <v>0</v>
      </c>
    </row>
    <row r="1823" spans="1:6" x14ac:dyDescent="0.25">
      <c r="A1823" s="1">
        <v>4013359</v>
      </c>
      <c r="B1823" s="1" t="s">
        <v>3285</v>
      </c>
      <c r="C1823" s="1" t="s">
        <v>2058</v>
      </c>
      <c r="D1823" s="39">
        <v>0</v>
      </c>
      <c r="E1823" s="1" t="s">
        <v>1</v>
      </c>
      <c r="F1823" s="39">
        <v>0</v>
      </c>
    </row>
    <row r="1824" spans="1:6" x14ac:dyDescent="0.25">
      <c r="A1824" s="1">
        <v>4013360</v>
      </c>
      <c r="B1824" s="1" t="s">
        <v>3286</v>
      </c>
      <c r="C1824" s="1" t="s">
        <v>2058</v>
      </c>
      <c r="D1824" s="39">
        <v>0</v>
      </c>
      <c r="E1824" s="1" t="s">
        <v>1</v>
      </c>
      <c r="F1824" s="39">
        <v>0</v>
      </c>
    </row>
    <row r="1825" spans="1:6" x14ac:dyDescent="0.25">
      <c r="A1825" s="1">
        <v>4013371</v>
      </c>
      <c r="B1825" s="1" t="s">
        <v>1237</v>
      </c>
      <c r="C1825" s="1" t="s">
        <v>2058</v>
      </c>
      <c r="D1825" s="39">
        <v>0</v>
      </c>
      <c r="E1825" s="1" t="s">
        <v>1</v>
      </c>
      <c r="F1825" s="39">
        <v>0</v>
      </c>
    </row>
    <row r="1826" spans="1:6" x14ac:dyDescent="0.25">
      <c r="A1826" s="1">
        <v>4013372</v>
      </c>
      <c r="B1826" s="1" t="s">
        <v>1238</v>
      </c>
      <c r="C1826" s="1" t="s">
        <v>2058</v>
      </c>
      <c r="D1826" s="39">
        <v>0</v>
      </c>
      <c r="E1826" s="1" t="s">
        <v>1</v>
      </c>
      <c r="F1826" s="39">
        <v>0</v>
      </c>
    </row>
    <row r="1827" spans="1:6" x14ac:dyDescent="0.25">
      <c r="A1827" s="1">
        <v>4013424</v>
      </c>
      <c r="B1827" s="1" t="s">
        <v>1001</v>
      </c>
      <c r="C1827" s="1" t="s">
        <v>2058</v>
      </c>
      <c r="D1827" s="39">
        <v>1370</v>
      </c>
      <c r="E1827" s="1" t="s">
        <v>1</v>
      </c>
      <c r="F1827" s="3">
        <v>888.17</v>
      </c>
    </row>
    <row r="1828" spans="1:6" x14ac:dyDescent="0.25">
      <c r="A1828" s="1">
        <v>4013425</v>
      </c>
      <c r="B1828" s="1" t="s">
        <v>3287</v>
      </c>
      <c r="C1828" s="1" t="s">
        <v>2058</v>
      </c>
      <c r="D1828" s="39">
        <v>2600</v>
      </c>
      <c r="E1828" s="1" t="s">
        <v>1</v>
      </c>
      <c r="F1828" s="3">
        <v>1945.58</v>
      </c>
    </row>
    <row r="1829" spans="1:6" x14ac:dyDescent="0.25">
      <c r="A1829" s="1">
        <v>4013426</v>
      </c>
      <c r="B1829" s="1" t="s">
        <v>1004</v>
      </c>
      <c r="C1829" s="1" t="s">
        <v>2058</v>
      </c>
      <c r="D1829" s="39">
        <v>750</v>
      </c>
      <c r="E1829" s="1" t="s">
        <v>1</v>
      </c>
      <c r="F1829" s="3">
        <v>486.83</v>
      </c>
    </row>
    <row r="1830" spans="1:6" x14ac:dyDescent="0.25">
      <c r="A1830" s="1">
        <v>4013427</v>
      </c>
      <c r="B1830" s="1" t="s">
        <v>998</v>
      </c>
      <c r="C1830" s="1" t="s">
        <v>2058</v>
      </c>
      <c r="D1830" s="39">
        <v>800</v>
      </c>
      <c r="E1830" s="1" t="s">
        <v>1</v>
      </c>
      <c r="F1830" s="3">
        <v>392.32</v>
      </c>
    </row>
    <row r="1831" spans="1:6" x14ac:dyDescent="0.25">
      <c r="A1831" s="1">
        <v>4013428</v>
      </c>
      <c r="B1831" s="1" t="s">
        <v>3288</v>
      </c>
      <c r="C1831" s="1" t="s">
        <v>2058</v>
      </c>
      <c r="D1831" s="39">
        <v>0</v>
      </c>
      <c r="E1831" s="1" t="s">
        <v>1</v>
      </c>
      <c r="F1831" s="39">
        <v>0</v>
      </c>
    </row>
    <row r="1832" spans="1:6" x14ac:dyDescent="0.25">
      <c r="A1832" s="1">
        <v>4013429</v>
      </c>
      <c r="B1832" s="1" t="s">
        <v>3289</v>
      </c>
      <c r="C1832" s="1" t="s">
        <v>2058</v>
      </c>
      <c r="D1832" s="39">
        <v>0</v>
      </c>
      <c r="E1832" s="1" t="s">
        <v>1</v>
      </c>
      <c r="F1832" s="39">
        <v>0</v>
      </c>
    </row>
    <row r="1833" spans="1:6" x14ac:dyDescent="0.25">
      <c r="A1833" s="1">
        <v>4013430</v>
      </c>
      <c r="B1833" s="1" t="s">
        <v>3290</v>
      </c>
      <c r="C1833" s="1" t="s">
        <v>2058</v>
      </c>
      <c r="D1833" s="39">
        <v>0</v>
      </c>
      <c r="E1833" s="1" t="s">
        <v>1</v>
      </c>
      <c r="F1833" s="39">
        <v>0</v>
      </c>
    </row>
    <row r="1834" spans="1:6" x14ac:dyDescent="0.25">
      <c r="A1834" s="1">
        <v>4013431</v>
      </c>
      <c r="B1834" s="1" t="s">
        <v>3291</v>
      </c>
      <c r="C1834" s="1" t="s">
        <v>2058</v>
      </c>
      <c r="D1834" s="39">
        <v>0</v>
      </c>
      <c r="E1834" s="1" t="s">
        <v>1</v>
      </c>
      <c r="F1834" s="39">
        <v>0</v>
      </c>
    </row>
    <row r="1835" spans="1:6" x14ac:dyDescent="0.25">
      <c r="A1835" s="1">
        <v>4013770</v>
      </c>
      <c r="B1835" s="1" t="s">
        <v>3292</v>
      </c>
      <c r="C1835" s="1" t="s">
        <v>2058</v>
      </c>
      <c r="D1835" s="39">
        <v>0</v>
      </c>
      <c r="E1835" s="1" t="s">
        <v>1</v>
      </c>
      <c r="F1835" s="39">
        <v>0</v>
      </c>
    </row>
    <row r="1836" spans="1:6" x14ac:dyDescent="0.25">
      <c r="A1836" s="1">
        <v>4013780</v>
      </c>
      <c r="B1836" s="1" t="s">
        <v>3293</v>
      </c>
      <c r="C1836" s="1" t="s">
        <v>2058</v>
      </c>
      <c r="D1836" s="39">
        <v>0</v>
      </c>
      <c r="E1836" s="1" t="s">
        <v>1</v>
      </c>
      <c r="F1836" s="39">
        <v>0</v>
      </c>
    </row>
    <row r="1837" spans="1:6" x14ac:dyDescent="0.25">
      <c r="A1837" s="1">
        <v>4013781</v>
      </c>
      <c r="B1837" s="1" t="s">
        <v>3294</v>
      </c>
      <c r="C1837" s="1" t="s">
        <v>2058</v>
      </c>
      <c r="D1837" s="39">
        <v>0</v>
      </c>
      <c r="E1837" s="1" t="s">
        <v>1</v>
      </c>
      <c r="F1837" s="39">
        <v>0</v>
      </c>
    </row>
    <row r="1838" spans="1:6" x14ac:dyDescent="0.25">
      <c r="A1838" s="1">
        <v>4013782</v>
      </c>
      <c r="B1838" s="1" t="s">
        <v>3295</v>
      </c>
      <c r="C1838" s="1" t="s">
        <v>2058</v>
      </c>
      <c r="D1838" s="39">
        <v>0</v>
      </c>
      <c r="E1838" s="1" t="s">
        <v>1</v>
      </c>
      <c r="F1838" s="39">
        <v>0</v>
      </c>
    </row>
    <row r="1839" spans="1:6" x14ac:dyDescent="0.25">
      <c r="A1839" s="1">
        <v>4013783</v>
      </c>
      <c r="B1839" s="1" t="s">
        <v>3296</v>
      </c>
      <c r="C1839" s="1" t="s">
        <v>2058</v>
      </c>
      <c r="D1839" s="39">
        <v>0</v>
      </c>
      <c r="E1839" s="1" t="s">
        <v>1</v>
      </c>
      <c r="F1839" s="39">
        <v>0</v>
      </c>
    </row>
    <row r="1840" spans="1:6" x14ac:dyDescent="0.25">
      <c r="A1840" s="1">
        <v>4013786</v>
      </c>
      <c r="B1840" s="1" t="s">
        <v>893</v>
      </c>
      <c r="C1840" s="1" t="s">
        <v>2058</v>
      </c>
      <c r="D1840" s="39">
        <v>0</v>
      </c>
      <c r="E1840" s="1" t="s">
        <v>1</v>
      </c>
      <c r="F1840" s="39">
        <v>0</v>
      </c>
    </row>
    <row r="1841" spans="1:6" x14ac:dyDescent="0.25">
      <c r="A1841" s="1">
        <v>4013793</v>
      </c>
      <c r="B1841" s="1" t="s">
        <v>3297</v>
      </c>
      <c r="C1841" s="1" t="s">
        <v>2058</v>
      </c>
      <c r="D1841" s="39">
        <v>0</v>
      </c>
      <c r="E1841" s="1" t="s">
        <v>1</v>
      </c>
      <c r="F1841" s="39">
        <v>0</v>
      </c>
    </row>
    <row r="1842" spans="1:6" x14ac:dyDescent="0.25">
      <c r="A1842" s="1">
        <v>4013821</v>
      </c>
      <c r="B1842" s="1" t="s">
        <v>1204</v>
      </c>
      <c r="C1842" s="1" t="s">
        <v>2058</v>
      </c>
      <c r="D1842" s="39">
        <v>0</v>
      </c>
      <c r="E1842" s="1" t="s">
        <v>1</v>
      </c>
      <c r="F1842" s="39">
        <v>0</v>
      </c>
    </row>
    <row r="1843" spans="1:6" x14ac:dyDescent="0.25">
      <c r="A1843" s="1">
        <v>4013822</v>
      </c>
      <c r="B1843" s="1" t="s">
        <v>1020</v>
      </c>
      <c r="C1843" s="1" t="s">
        <v>2058</v>
      </c>
      <c r="D1843" s="39">
        <v>280</v>
      </c>
      <c r="E1843" s="1" t="s">
        <v>1</v>
      </c>
      <c r="F1843" s="3">
        <v>1144.6400000000001</v>
      </c>
    </row>
    <row r="1844" spans="1:6" x14ac:dyDescent="0.25">
      <c r="A1844" s="1">
        <v>4013835</v>
      </c>
      <c r="B1844" s="1" t="s">
        <v>3298</v>
      </c>
      <c r="C1844" s="1" t="s">
        <v>2058</v>
      </c>
      <c r="D1844" s="39">
        <v>0</v>
      </c>
      <c r="E1844" s="1" t="s">
        <v>1</v>
      </c>
      <c r="F1844" s="39">
        <v>0</v>
      </c>
    </row>
    <row r="1845" spans="1:6" x14ac:dyDescent="0.25">
      <c r="A1845" s="1">
        <v>4013886</v>
      </c>
      <c r="B1845" s="1" t="s">
        <v>3299</v>
      </c>
      <c r="C1845" s="1" t="s">
        <v>2058</v>
      </c>
      <c r="D1845" s="39">
        <v>0</v>
      </c>
      <c r="E1845" s="1" t="s">
        <v>1</v>
      </c>
      <c r="F1845" s="39">
        <v>0</v>
      </c>
    </row>
    <row r="1846" spans="1:6" x14ac:dyDescent="0.25">
      <c r="A1846" s="1">
        <v>4013894</v>
      </c>
      <c r="B1846" s="1" t="s">
        <v>3300</v>
      </c>
      <c r="C1846" s="1" t="s">
        <v>2058</v>
      </c>
      <c r="D1846" s="39">
        <v>0</v>
      </c>
      <c r="E1846" s="1" t="s">
        <v>1</v>
      </c>
      <c r="F1846" s="39">
        <v>0</v>
      </c>
    </row>
    <row r="1847" spans="1:6" x14ac:dyDescent="0.25">
      <c r="A1847" s="1">
        <v>4013895</v>
      </c>
      <c r="B1847" s="1" t="s">
        <v>3301</v>
      </c>
      <c r="C1847" s="1" t="s">
        <v>2058</v>
      </c>
      <c r="D1847" s="39">
        <v>0</v>
      </c>
      <c r="E1847" s="1" t="s">
        <v>1</v>
      </c>
      <c r="F1847" s="39">
        <v>0</v>
      </c>
    </row>
    <row r="1848" spans="1:6" x14ac:dyDescent="0.25">
      <c r="A1848" s="1">
        <v>4013896</v>
      </c>
      <c r="B1848" s="1" t="s">
        <v>3302</v>
      </c>
      <c r="C1848" s="1" t="s">
        <v>2058</v>
      </c>
      <c r="D1848" s="39">
        <v>0</v>
      </c>
      <c r="E1848" s="1" t="s">
        <v>1</v>
      </c>
      <c r="F1848" s="39">
        <v>0</v>
      </c>
    </row>
    <row r="1849" spans="1:6" x14ac:dyDescent="0.25">
      <c r="A1849" s="1">
        <v>4014388</v>
      </c>
      <c r="B1849" s="1" t="s">
        <v>1730</v>
      </c>
      <c r="C1849" s="1" t="s">
        <v>2058</v>
      </c>
      <c r="D1849" s="39">
        <v>0</v>
      </c>
      <c r="E1849" s="1" t="s">
        <v>1</v>
      </c>
      <c r="F1849" s="39">
        <v>0</v>
      </c>
    </row>
    <row r="1850" spans="1:6" x14ac:dyDescent="0.25">
      <c r="A1850" s="1">
        <v>4014389</v>
      </c>
      <c r="B1850" s="1" t="s">
        <v>1731</v>
      </c>
      <c r="C1850" s="1" t="s">
        <v>2058</v>
      </c>
      <c r="D1850" s="39">
        <v>0</v>
      </c>
      <c r="E1850" s="1" t="s">
        <v>1</v>
      </c>
      <c r="F1850" s="39">
        <v>0</v>
      </c>
    </row>
    <row r="1851" spans="1:6" x14ac:dyDescent="0.25">
      <c r="A1851" s="1">
        <v>4014396</v>
      </c>
      <c r="B1851" s="1" t="s">
        <v>1681</v>
      </c>
      <c r="C1851" s="1" t="s">
        <v>2058</v>
      </c>
      <c r="D1851" s="39">
        <v>0</v>
      </c>
      <c r="E1851" s="1" t="s">
        <v>1</v>
      </c>
      <c r="F1851" s="39">
        <v>0</v>
      </c>
    </row>
    <row r="1852" spans="1:6" x14ac:dyDescent="0.25">
      <c r="A1852" s="1">
        <v>4014452</v>
      </c>
      <c r="B1852" s="1" t="s">
        <v>1732</v>
      </c>
      <c r="C1852" s="1" t="s">
        <v>2058</v>
      </c>
      <c r="D1852" s="39">
        <v>0</v>
      </c>
      <c r="E1852" s="1" t="s">
        <v>1</v>
      </c>
      <c r="F1852" s="39">
        <v>0</v>
      </c>
    </row>
    <row r="1853" spans="1:6" x14ac:dyDescent="0.25">
      <c r="A1853" s="1">
        <v>4014466</v>
      </c>
      <c r="B1853" s="1" t="s">
        <v>1743</v>
      </c>
      <c r="C1853" s="1" t="s">
        <v>2058</v>
      </c>
      <c r="D1853" s="39">
        <v>0</v>
      </c>
      <c r="E1853" s="1" t="s">
        <v>1</v>
      </c>
      <c r="F1853" s="39">
        <v>0</v>
      </c>
    </row>
    <row r="1854" spans="1:6" x14ac:dyDescent="0.25">
      <c r="A1854" s="1">
        <v>4014468</v>
      </c>
      <c r="B1854" s="1" t="s">
        <v>1748</v>
      </c>
      <c r="C1854" s="1" t="s">
        <v>2058</v>
      </c>
      <c r="D1854" s="39">
        <v>7000</v>
      </c>
      <c r="E1854" s="1" t="s">
        <v>1</v>
      </c>
      <c r="F1854" s="3">
        <v>333.9</v>
      </c>
    </row>
    <row r="1855" spans="1:6" x14ac:dyDescent="0.25">
      <c r="A1855" s="1">
        <v>4014469</v>
      </c>
      <c r="B1855" s="1" t="s">
        <v>1733</v>
      </c>
      <c r="C1855" s="1" t="s">
        <v>2058</v>
      </c>
      <c r="D1855" s="39">
        <v>0</v>
      </c>
      <c r="E1855" s="1" t="s">
        <v>1</v>
      </c>
      <c r="F1855" s="39">
        <v>0</v>
      </c>
    </row>
    <row r="1856" spans="1:6" x14ac:dyDescent="0.25">
      <c r="A1856" s="1">
        <v>4014651</v>
      </c>
      <c r="B1856" s="1" t="s">
        <v>3303</v>
      </c>
      <c r="C1856" s="1" t="s">
        <v>2058</v>
      </c>
      <c r="D1856" s="39">
        <v>0</v>
      </c>
      <c r="E1856" s="1" t="s">
        <v>1</v>
      </c>
      <c r="F1856" s="39">
        <v>0</v>
      </c>
    </row>
    <row r="1857" spans="1:6" x14ac:dyDescent="0.25">
      <c r="A1857" s="1">
        <v>4014652</v>
      </c>
      <c r="B1857" s="1" t="s">
        <v>3304</v>
      </c>
      <c r="C1857" s="1" t="s">
        <v>2058</v>
      </c>
      <c r="D1857" s="39">
        <v>0</v>
      </c>
      <c r="E1857" s="1" t="s">
        <v>1</v>
      </c>
      <c r="F1857" s="39">
        <v>0</v>
      </c>
    </row>
    <row r="1858" spans="1:6" x14ac:dyDescent="0.25">
      <c r="A1858" s="1">
        <v>4014653</v>
      </c>
      <c r="B1858" s="1" t="s">
        <v>3305</v>
      </c>
      <c r="C1858" s="1" t="s">
        <v>2058</v>
      </c>
      <c r="D1858" s="39">
        <v>0</v>
      </c>
      <c r="E1858" s="1" t="s">
        <v>1</v>
      </c>
      <c r="F1858" s="39">
        <v>0</v>
      </c>
    </row>
    <row r="1859" spans="1:6" x14ac:dyDescent="0.25">
      <c r="A1859" s="1">
        <v>4014654</v>
      </c>
      <c r="B1859" s="1" t="s">
        <v>3306</v>
      </c>
      <c r="C1859" s="1" t="s">
        <v>2058</v>
      </c>
      <c r="D1859" s="39">
        <v>0</v>
      </c>
      <c r="E1859" s="1" t="s">
        <v>1</v>
      </c>
      <c r="F1859" s="39">
        <v>0</v>
      </c>
    </row>
    <row r="1860" spans="1:6" x14ac:dyDescent="0.25">
      <c r="A1860" s="1">
        <v>4014655</v>
      </c>
      <c r="B1860" s="1" t="s">
        <v>3307</v>
      </c>
      <c r="C1860" s="1" t="s">
        <v>2058</v>
      </c>
      <c r="D1860" s="39">
        <v>0</v>
      </c>
      <c r="E1860" s="1" t="s">
        <v>1</v>
      </c>
      <c r="F1860" s="39">
        <v>0</v>
      </c>
    </row>
    <row r="1861" spans="1:6" x14ac:dyDescent="0.25">
      <c r="A1861" s="1">
        <v>4014845</v>
      </c>
      <c r="B1861" s="1" t="s">
        <v>109</v>
      </c>
      <c r="C1861" s="1" t="s">
        <v>2058</v>
      </c>
      <c r="D1861" s="39">
        <v>0</v>
      </c>
      <c r="E1861" s="1" t="s">
        <v>1</v>
      </c>
      <c r="F1861" s="39">
        <v>0</v>
      </c>
    </row>
    <row r="1862" spans="1:6" x14ac:dyDescent="0.25">
      <c r="A1862" s="1">
        <v>4014895</v>
      </c>
      <c r="B1862" s="1" t="s">
        <v>1405</v>
      </c>
      <c r="C1862" s="1" t="s">
        <v>2058</v>
      </c>
      <c r="D1862" s="39">
        <v>0</v>
      </c>
      <c r="E1862" s="1" t="s">
        <v>1</v>
      </c>
      <c r="F1862" s="39">
        <v>0</v>
      </c>
    </row>
    <row r="1863" spans="1:6" x14ac:dyDescent="0.25">
      <c r="A1863" s="1">
        <v>4014896</v>
      </c>
      <c r="B1863" s="1" t="s">
        <v>1400</v>
      </c>
      <c r="C1863" s="1" t="s">
        <v>2058</v>
      </c>
      <c r="D1863" s="39">
        <v>0</v>
      </c>
      <c r="E1863" s="1" t="s">
        <v>1</v>
      </c>
      <c r="F1863" s="39">
        <v>0</v>
      </c>
    </row>
    <row r="1864" spans="1:6" x14ac:dyDescent="0.25">
      <c r="A1864" s="1">
        <v>4014897</v>
      </c>
      <c r="B1864" s="1" t="s">
        <v>1415</v>
      </c>
      <c r="C1864" s="1" t="s">
        <v>2058</v>
      </c>
      <c r="D1864" s="39">
        <v>0</v>
      </c>
      <c r="E1864" s="1" t="s">
        <v>1</v>
      </c>
      <c r="F1864" s="39">
        <v>0</v>
      </c>
    </row>
    <row r="1865" spans="1:6" x14ac:dyDescent="0.25">
      <c r="A1865" s="1">
        <v>4014898</v>
      </c>
      <c r="B1865" s="1" t="s">
        <v>1410</v>
      </c>
      <c r="C1865" s="1" t="s">
        <v>2058</v>
      </c>
      <c r="D1865" s="39">
        <v>0</v>
      </c>
      <c r="E1865" s="1" t="s">
        <v>1</v>
      </c>
      <c r="F1865" s="39">
        <v>0</v>
      </c>
    </row>
    <row r="1866" spans="1:6" x14ac:dyDescent="0.25">
      <c r="A1866" s="1">
        <v>4014899</v>
      </c>
      <c r="B1866" s="1" t="s">
        <v>1359</v>
      </c>
      <c r="C1866" s="1" t="s">
        <v>2058</v>
      </c>
      <c r="D1866" s="39">
        <v>4660</v>
      </c>
      <c r="E1866" s="1" t="s">
        <v>1</v>
      </c>
      <c r="F1866" s="3">
        <v>286.58999999999997</v>
      </c>
    </row>
    <row r="1867" spans="1:6" x14ac:dyDescent="0.25">
      <c r="A1867" s="1">
        <v>4014900</v>
      </c>
      <c r="B1867" s="1" t="s">
        <v>1355</v>
      </c>
      <c r="C1867" s="1" t="s">
        <v>2058</v>
      </c>
      <c r="D1867" s="39">
        <v>7580</v>
      </c>
      <c r="E1867" s="1" t="s">
        <v>1</v>
      </c>
      <c r="F1867" s="3">
        <v>466.17</v>
      </c>
    </row>
    <row r="1868" spans="1:6" x14ac:dyDescent="0.25">
      <c r="A1868" s="1">
        <v>4014901</v>
      </c>
      <c r="B1868" s="1" t="s">
        <v>1367</v>
      </c>
      <c r="C1868" s="1" t="s">
        <v>2058</v>
      </c>
      <c r="D1868" s="39">
        <v>4650</v>
      </c>
      <c r="E1868" s="1" t="s">
        <v>1</v>
      </c>
      <c r="F1868" s="3">
        <v>285.98</v>
      </c>
    </row>
    <row r="1869" spans="1:6" x14ac:dyDescent="0.25">
      <c r="A1869" s="1">
        <v>4014902</v>
      </c>
      <c r="B1869" s="1" t="s">
        <v>1363</v>
      </c>
      <c r="C1869" s="1" t="s">
        <v>2058</v>
      </c>
      <c r="D1869" s="39">
        <v>3690</v>
      </c>
      <c r="E1869" s="1" t="s">
        <v>1</v>
      </c>
      <c r="F1869" s="3">
        <v>226.94</v>
      </c>
    </row>
    <row r="1870" spans="1:6" x14ac:dyDescent="0.25">
      <c r="A1870" s="1">
        <v>4014903</v>
      </c>
      <c r="B1870" s="1" t="s">
        <v>1649</v>
      </c>
      <c r="C1870" s="1" t="s">
        <v>2058</v>
      </c>
      <c r="D1870" s="39">
        <v>0</v>
      </c>
      <c r="E1870" s="1" t="s">
        <v>1</v>
      </c>
      <c r="F1870" s="39">
        <v>0</v>
      </c>
    </row>
    <row r="1871" spans="1:6" x14ac:dyDescent="0.25">
      <c r="A1871" s="1">
        <v>4014907</v>
      </c>
      <c r="B1871" s="1" t="s">
        <v>1255</v>
      </c>
      <c r="C1871" s="1" t="s">
        <v>2058</v>
      </c>
      <c r="D1871" s="39">
        <v>0</v>
      </c>
      <c r="E1871" s="1" t="s">
        <v>1</v>
      </c>
      <c r="F1871" s="39">
        <v>0</v>
      </c>
    </row>
    <row r="1872" spans="1:6" x14ac:dyDescent="0.25">
      <c r="A1872" s="1">
        <v>4014908</v>
      </c>
      <c r="B1872" s="1" t="s">
        <v>1250</v>
      </c>
      <c r="C1872" s="1" t="s">
        <v>2058</v>
      </c>
      <c r="D1872" s="39">
        <v>0</v>
      </c>
      <c r="E1872" s="1" t="s">
        <v>1</v>
      </c>
      <c r="F1872" s="39">
        <v>0</v>
      </c>
    </row>
    <row r="1873" spans="1:6" x14ac:dyDescent="0.25">
      <c r="A1873" s="1">
        <v>4014909</v>
      </c>
      <c r="B1873" s="1" t="s">
        <v>1260</v>
      </c>
      <c r="C1873" s="1" t="s">
        <v>2058</v>
      </c>
      <c r="D1873" s="39">
        <v>0</v>
      </c>
      <c r="E1873" s="1" t="s">
        <v>1</v>
      </c>
      <c r="F1873" s="39">
        <v>0</v>
      </c>
    </row>
    <row r="1874" spans="1:6" x14ac:dyDescent="0.25">
      <c r="A1874" s="1">
        <v>4014910</v>
      </c>
      <c r="B1874" s="1" t="s">
        <v>1214</v>
      </c>
      <c r="C1874" s="1" t="s">
        <v>2058</v>
      </c>
      <c r="D1874" s="39">
        <v>0</v>
      </c>
      <c r="E1874" s="1" t="s">
        <v>1</v>
      </c>
      <c r="F1874" s="39">
        <v>0</v>
      </c>
    </row>
    <row r="1875" spans="1:6" x14ac:dyDescent="0.25">
      <c r="A1875" s="1">
        <v>4014911</v>
      </c>
      <c r="B1875" s="1" t="s">
        <v>1209</v>
      </c>
      <c r="C1875" s="1" t="s">
        <v>2058</v>
      </c>
      <c r="D1875" s="39">
        <v>0</v>
      </c>
      <c r="E1875" s="1" t="s">
        <v>1</v>
      </c>
      <c r="F1875" s="39">
        <v>0</v>
      </c>
    </row>
    <row r="1876" spans="1:6" x14ac:dyDescent="0.25">
      <c r="A1876" s="1">
        <v>4014919</v>
      </c>
      <c r="B1876" s="1" t="s">
        <v>1549</v>
      </c>
      <c r="C1876" s="1" t="s">
        <v>2058</v>
      </c>
      <c r="D1876" s="39">
        <v>0</v>
      </c>
      <c r="E1876" s="1" t="s">
        <v>1</v>
      </c>
      <c r="F1876" s="39">
        <v>0</v>
      </c>
    </row>
    <row r="1877" spans="1:6" x14ac:dyDescent="0.25">
      <c r="A1877" s="1">
        <v>4014921</v>
      </c>
      <c r="B1877" s="1" t="s">
        <v>3308</v>
      </c>
      <c r="C1877" s="1" t="s">
        <v>2058</v>
      </c>
      <c r="D1877" s="39">
        <v>0</v>
      </c>
      <c r="E1877" s="1" t="s">
        <v>1</v>
      </c>
      <c r="F1877" s="39">
        <v>0</v>
      </c>
    </row>
    <row r="1878" spans="1:6" x14ac:dyDescent="0.25">
      <c r="A1878" s="1">
        <v>4014922</v>
      </c>
      <c r="B1878" s="1" t="s">
        <v>3309</v>
      </c>
      <c r="C1878" s="1" t="s">
        <v>2058</v>
      </c>
      <c r="D1878" s="39">
        <v>0</v>
      </c>
      <c r="E1878" s="1" t="s">
        <v>1</v>
      </c>
      <c r="F1878" s="39">
        <v>0</v>
      </c>
    </row>
    <row r="1879" spans="1:6" x14ac:dyDescent="0.25">
      <c r="A1879" s="1">
        <v>4014930</v>
      </c>
      <c r="B1879" s="1" t="s">
        <v>3310</v>
      </c>
      <c r="C1879" s="1" t="s">
        <v>2058</v>
      </c>
      <c r="D1879" s="39">
        <v>0</v>
      </c>
      <c r="E1879" s="1" t="s">
        <v>1</v>
      </c>
      <c r="F1879" s="39">
        <v>0</v>
      </c>
    </row>
    <row r="1880" spans="1:6" x14ac:dyDescent="0.25">
      <c r="A1880" s="1">
        <v>4014938</v>
      </c>
      <c r="B1880" s="1" t="s">
        <v>3311</v>
      </c>
      <c r="C1880" s="1" t="s">
        <v>2058</v>
      </c>
      <c r="D1880" s="39">
        <v>0</v>
      </c>
      <c r="E1880" s="1" t="s">
        <v>1</v>
      </c>
      <c r="F1880" s="39">
        <v>0</v>
      </c>
    </row>
    <row r="1881" spans="1:6" x14ac:dyDescent="0.25">
      <c r="A1881" s="1">
        <v>4014952</v>
      </c>
      <c r="B1881" s="1" t="s">
        <v>3312</v>
      </c>
      <c r="C1881" s="1" t="s">
        <v>2058</v>
      </c>
      <c r="D1881" s="39">
        <v>0</v>
      </c>
      <c r="E1881" s="1" t="s">
        <v>1</v>
      </c>
      <c r="F1881" s="39">
        <v>0</v>
      </c>
    </row>
    <row r="1882" spans="1:6" x14ac:dyDescent="0.25">
      <c r="A1882" s="1">
        <v>4014953</v>
      </c>
      <c r="B1882" s="1" t="s">
        <v>3313</v>
      </c>
      <c r="C1882" s="1" t="s">
        <v>2058</v>
      </c>
      <c r="D1882" s="39">
        <v>0</v>
      </c>
      <c r="E1882" s="1" t="s">
        <v>1</v>
      </c>
      <c r="F1882" s="39">
        <v>0</v>
      </c>
    </row>
    <row r="1883" spans="1:6" x14ac:dyDescent="0.25">
      <c r="A1883" s="1">
        <v>4014954</v>
      </c>
      <c r="B1883" s="1" t="s">
        <v>3314</v>
      </c>
      <c r="C1883" s="1" t="s">
        <v>2058</v>
      </c>
      <c r="D1883" s="39">
        <v>0</v>
      </c>
      <c r="E1883" s="1" t="s">
        <v>1</v>
      </c>
      <c r="F1883" s="39">
        <v>0</v>
      </c>
    </row>
    <row r="1884" spans="1:6" x14ac:dyDescent="0.25">
      <c r="A1884" s="1">
        <v>4014955</v>
      </c>
      <c r="B1884" s="1" t="s">
        <v>3315</v>
      </c>
      <c r="C1884" s="1" t="s">
        <v>2058</v>
      </c>
      <c r="D1884" s="39">
        <v>0</v>
      </c>
      <c r="E1884" s="1" t="s">
        <v>1</v>
      </c>
      <c r="F1884" s="39">
        <v>0</v>
      </c>
    </row>
    <row r="1885" spans="1:6" x14ac:dyDescent="0.25">
      <c r="A1885" s="1">
        <v>4014958</v>
      </c>
      <c r="B1885" s="1" t="s">
        <v>3316</v>
      </c>
      <c r="C1885" s="1" t="s">
        <v>2058</v>
      </c>
      <c r="D1885" s="39">
        <v>0</v>
      </c>
      <c r="E1885" s="1" t="s">
        <v>1</v>
      </c>
      <c r="F1885" s="39">
        <v>0</v>
      </c>
    </row>
    <row r="1886" spans="1:6" x14ac:dyDescent="0.25">
      <c r="A1886" s="1">
        <v>4014959</v>
      </c>
      <c r="B1886" s="1" t="s">
        <v>3317</v>
      </c>
      <c r="C1886" s="1" t="s">
        <v>2058</v>
      </c>
      <c r="D1886" s="39">
        <v>0</v>
      </c>
      <c r="E1886" s="1" t="s">
        <v>1</v>
      </c>
      <c r="F1886" s="39">
        <v>0</v>
      </c>
    </row>
    <row r="1887" spans="1:6" x14ac:dyDescent="0.25">
      <c r="A1887" s="1">
        <v>4015024</v>
      </c>
      <c r="B1887" s="1" t="s">
        <v>933</v>
      </c>
      <c r="C1887" s="1" t="s">
        <v>2058</v>
      </c>
      <c r="D1887" s="39">
        <v>12513</v>
      </c>
      <c r="E1887" s="1" t="s">
        <v>1</v>
      </c>
      <c r="F1887" s="3">
        <v>1422.73</v>
      </c>
    </row>
    <row r="1888" spans="1:6" x14ac:dyDescent="0.25">
      <c r="A1888" s="1">
        <v>4015036</v>
      </c>
      <c r="B1888" s="1" t="s">
        <v>936</v>
      </c>
      <c r="C1888" s="1" t="s">
        <v>2058</v>
      </c>
      <c r="D1888" s="39">
        <v>2000</v>
      </c>
      <c r="E1888" s="1" t="s">
        <v>1</v>
      </c>
      <c r="F1888" s="3">
        <v>569</v>
      </c>
    </row>
    <row r="1889" spans="1:6" x14ac:dyDescent="0.25">
      <c r="A1889" s="1">
        <v>4015037</v>
      </c>
      <c r="B1889" s="1" t="s">
        <v>939</v>
      </c>
      <c r="C1889" s="1" t="s">
        <v>2058</v>
      </c>
      <c r="D1889" s="39">
        <v>3877</v>
      </c>
      <c r="E1889" s="1" t="s">
        <v>1</v>
      </c>
      <c r="F1889" s="3">
        <v>434.22</v>
      </c>
    </row>
    <row r="1890" spans="1:6" x14ac:dyDescent="0.25">
      <c r="A1890" s="1">
        <v>4015038</v>
      </c>
      <c r="B1890" s="1" t="s">
        <v>942</v>
      </c>
      <c r="C1890" s="1" t="s">
        <v>2058</v>
      </c>
      <c r="D1890" s="39">
        <v>7042</v>
      </c>
      <c r="E1890" s="1" t="s">
        <v>1</v>
      </c>
      <c r="F1890" s="3">
        <v>788.7</v>
      </c>
    </row>
    <row r="1891" spans="1:6" x14ac:dyDescent="0.25">
      <c r="A1891" s="1">
        <v>4015039</v>
      </c>
      <c r="B1891" s="1" t="s">
        <v>921</v>
      </c>
      <c r="C1891" s="1" t="s">
        <v>2058</v>
      </c>
      <c r="D1891" s="39">
        <v>12859</v>
      </c>
      <c r="E1891" s="1" t="s">
        <v>1</v>
      </c>
      <c r="F1891" s="3">
        <v>1467.21</v>
      </c>
    </row>
    <row r="1892" spans="1:6" x14ac:dyDescent="0.25">
      <c r="A1892" s="1">
        <v>4015040</v>
      </c>
      <c r="B1892" s="1" t="s">
        <v>924</v>
      </c>
      <c r="C1892" s="1" t="s">
        <v>2058</v>
      </c>
      <c r="D1892" s="39">
        <v>7961</v>
      </c>
      <c r="E1892" s="1" t="s">
        <v>1</v>
      </c>
      <c r="F1892" s="3">
        <v>640.05999999999995</v>
      </c>
    </row>
    <row r="1893" spans="1:6" x14ac:dyDescent="0.25">
      <c r="A1893" s="1">
        <v>4015041</v>
      </c>
      <c r="B1893" s="1" t="s">
        <v>927</v>
      </c>
      <c r="C1893" s="1" t="s">
        <v>2058</v>
      </c>
      <c r="D1893" s="39">
        <v>708</v>
      </c>
      <c r="E1893" s="1" t="s">
        <v>1</v>
      </c>
      <c r="F1893" s="3">
        <v>78.87</v>
      </c>
    </row>
    <row r="1894" spans="1:6" x14ac:dyDescent="0.25">
      <c r="A1894" s="1">
        <v>4015042</v>
      </c>
      <c r="B1894" s="1" t="s">
        <v>930</v>
      </c>
      <c r="C1894" s="1" t="s">
        <v>2058</v>
      </c>
      <c r="D1894" s="39">
        <v>7403</v>
      </c>
      <c r="E1894" s="1" t="s">
        <v>1</v>
      </c>
      <c r="F1894" s="3">
        <v>724.01</v>
      </c>
    </row>
    <row r="1895" spans="1:6" x14ac:dyDescent="0.25">
      <c r="A1895" s="1">
        <v>4015174</v>
      </c>
      <c r="B1895" s="1" t="s">
        <v>3318</v>
      </c>
      <c r="C1895" s="1" t="s">
        <v>2058</v>
      </c>
      <c r="D1895" s="39">
        <v>27068</v>
      </c>
      <c r="E1895" s="1" t="s">
        <v>1</v>
      </c>
      <c r="F1895" s="3">
        <v>3459.29</v>
      </c>
    </row>
    <row r="1896" spans="1:6" x14ac:dyDescent="0.25">
      <c r="A1896" s="1">
        <v>4015222</v>
      </c>
      <c r="B1896" s="1" t="s">
        <v>1550</v>
      </c>
      <c r="C1896" s="1" t="s">
        <v>2058</v>
      </c>
      <c r="D1896" s="39">
        <v>0</v>
      </c>
      <c r="E1896" s="1" t="s">
        <v>3</v>
      </c>
      <c r="F1896" s="39">
        <v>0</v>
      </c>
    </row>
    <row r="1897" spans="1:6" x14ac:dyDescent="0.25">
      <c r="A1897" s="1">
        <v>4015410</v>
      </c>
      <c r="B1897" s="1" t="s">
        <v>1150</v>
      </c>
      <c r="C1897" s="1" t="s">
        <v>2058</v>
      </c>
      <c r="D1897" s="39">
        <v>0</v>
      </c>
      <c r="E1897" s="1" t="s">
        <v>1</v>
      </c>
      <c r="F1897" s="39">
        <v>0</v>
      </c>
    </row>
    <row r="1898" spans="1:6" x14ac:dyDescent="0.25">
      <c r="A1898" s="1">
        <v>4015442</v>
      </c>
      <c r="B1898" s="1" t="s">
        <v>888</v>
      </c>
      <c r="C1898" s="1" t="s">
        <v>2058</v>
      </c>
      <c r="D1898" s="39">
        <v>0</v>
      </c>
      <c r="E1898" s="1" t="s">
        <v>2</v>
      </c>
      <c r="F1898" s="39">
        <v>0</v>
      </c>
    </row>
    <row r="1899" spans="1:6" x14ac:dyDescent="0.25">
      <c r="A1899" s="1">
        <v>4016151</v>
      </c>
      <c r="B1899" s="1" t="s">
        <v>3319</v>
      </c>
      <c r="C1899" s="1" t="s">
        <v>2058</v>
      </c>
      <c r="D1899" s="39">
        <v>0</v>
      </c>
      <c r="E1899" s="1" t="s">
        <v>1</v>
      </c>
      <c r="F1899" s="39">
        <v>0</v>
      </c>
    </row>
    <row r="1900" spans="1:6" x14ac:dyDescent="0.25">
      <c r="A1900" s="1">
        <v>4016160</v>
      </c>
      <c r="B1900" s="1" t="s">
        <v>69</v>
      </c>
      <c r="C1900" s="1" t="s">
        <v>2058</v>
      </c>
      <c r="D1900" s="39">
        <v>0</v>
      </c>
      <c r="E1900" s="1" t="s">
        <v>3</v>
      </c>
      <c r="F1900" s="39">
        <v>0</v>
      </c>
    </row>
    <row r="1901" spans="1:6" x14ac:dyDescent="0.25">
      <c r="A1901" s="1">
        <v>4016290</v>
      </c>
      <c r="B1901" s="1" t="s">
        <v>1448</v>
      </c>
      <c r="C1901" s="1" t="s">
        <v>2058</v>
      </c>
      <c r="D1901" s="39">
        <v>35343</v>
      </c>
      <c r="E1901" s="1" t="s">
        <v>1</v>
      </c>
      <c r="F1901" s="3">
        <v>4633.47</v>
      </c>
    </row>
    <row r="1902" spans="1:6" x14ac:dyDescent="0.25">
      <c r="A1902" s="1">
        <v>4016390</v>
      </c>
      <c r="B1902" s="1" t="s">
        <v>1122</v>
      </c>
      <c r="C1902" s="1" t="s">
        <v>2058</v>
      </c>
      <c r="D1902" s="39">
        <v>0</v>
      </c>
      <c r="E1902" s="1" t="s">
        <v>1</v>
      </c>
      <c r="F1902" s="39">
        <v>0</v>
      </c>
    </row>
    <row r="1903" spans="1:6" x14ac:dyDescent="0.25">
      <c r="A1903" s="1">
        <v>4016622</v>
      </c>
      <c r="B1903" s="1" t="s">
        <v>1459</v>
      </c>
      <c r="C1903" s="1" t="s">
        <v>2058</v>
      </c>
      <c r="D1903" s="39">
        <v>0</v>
      </c>
      <c r="E1903" s="1" t="s">
        <v>1</v>
      </c>
      <c r="F1903" s="39">
        <v>0</v>
      </c>
    </row>
    <row r="1904" spans="1:6" x14ac:dyDescent="0.25">
      <c r="A1904" s="1">
        <v>4016640</v>
      </c>
      <c r="B1904" s="1" t="s">
        <v>1453</v>
      </c>
      <c r="C1904" s="1" t="s">
        <v>2058</v>
      </c>
      <c r="D1904" s="39">
        <v>7000</v>
      </c>
      <c r="E1904" s="1" t="s">
        <v>1</v>
      </c>
      <c r="F1904" s="3">
        <v>886.9</v>
      </c>
    </row>
    <row r="1905" spans="1:6" x14ac:dyDescent="0.25">
      <c r="A1905" s="1">
        <v>4016792</v>
      </c>
      <c r="B1905" s="1" t="s">
        <v>1474</v>
      </c>
      <c r="C1905" s="1" t="s">
        <v>2058</v>
      </c>
      <c r="D1905" s="39">
        <v>0</v>
      </c>
      <c r="E1905" s="1" t="s">
        <v>1</v>
      </c>
      <c r="F1905" s="39">
        <v>0</v>
      </c>
    </row>
    <row r="1906" spans="1:6" x14ac:dyDescent="0.25">
      <c r="A1906" s="1">
        <v>4016809</v>
      </c>
      <c r="B1906" s="1" t="s">
        <v>1158</v>
      </c>
      <c r="C1906" s="1" t="s">
        <v>2058</v>
      </c>
      <c r="D1906" s="39">
        <v>0</v>
      </c>
      <c r="E1906" s="1" t="s">
        <v>1</v>
      </c>
      <c r="F1906" s="39">
        <v>0</v>
      </c>
    </row>
    <row r="1907" spans="1:6" x14ac:dyDescent="0.25">
      <c r="A1907" s="1">
        <v>4016810</v>
      </c>
      <c r="B1907" s="1" t="s">
        <v>3320</v>
      </c>
      <c r="C1907" s="1" t="s">
        <v>2058</v>
      </c>
      <c r="D1907" s="39">
        <v>1555</v>
      </c>
      <c r="E1907" s="1" t="s">
        <v>1</v>
      </c>
      <c r="F1907" s="3">
        <v>1105.29</v>
      </c>
    </row>
    <row r="1908" spans="1:6" x14ac:dyDescent="0.25">
      <c r="A1908" s="1">
        <v>4016811</v>
      </c>
      <c r="B1908" s="1" t="s">
        <v>3321</v>
      </c>
      <c r="C1908" s="1" t="s">
        <v>2058</v>
      </c>
      <c r="D1908" s="39">
        <v>2440</v>
      </c>
      <c r="E1908" s="1" t="s">
        <v>1</v>
      </c>
      <c r="F1908" s="3">
        <v>545.59</v>
      </c>
    </row>
    <row r="1909" spans="1:6" x14ac:dyDescent="0.25">
      <c r="A1909" s="1">
        <v>4016880</v>
      </c>
      <c r="B1909" s="1" t="s">
        <v>495</v>
      </c>
      <c r="C1909" s="1" t="s">
        <v>2058</v>
      </c>
      <c r="D1909" s="39">
        <v>0</v>
      </c>
      <c r="E1909" s="1" t="s">
        <v>1</v>
      </c>
      <c r="F1909" s="39">
        <v>0</v>
      </c>
    </row>
    <row r="1910" spans="1:6" x14ac:dyDescent="0.25">
      <c r="A1910" s="1">
        <v>4016890</v>
      </c>
      <c r="B1910" s="1" t="s">
        <v>496</v>
      </c>
      <c r="C1910" s="1" t="s">
        <v>2058</v>
      </c>
      <c r="D1910" s="39">
        <v>0</v>
      </c>
      <c r="E1910" s="1" t="s">
        <v>1</v>
      </c>
      <c r="F1910" s="39">
        <v>0</v>
      </c>
    </row>
    <row r="1911" spans="1:6" x14ac:dyDescent="0.25">
      <c r="A1911" s="1">
        <v>4016900</v>
      </c>
      <c r="B1911" s="1" t="s">
        <v>3322</v>
      </c>
      <c r="C1911" s="1" t="s">
        <v>2058</v>
      </c>
      <c r="D1911" s="39">
        <v>1000</v>
      </c>
      <c r="E1911" s="1" t="s">
        <v>1</v>
      </c>
      <c r="F1911" s="3">
        <v>3176.8</v>
      </c>
    </row>
    <row r="1912" spans="1:6" x14ac:dyDescent="0.25">
      <c r="A1912" s="1">
        <v>4016901</v>
      </c>
      <c r="B1912" s="1" t="s">
        <v>809</v>
      </c>
      <c r="C1912" s="1" t="s">
        <v>2058</v>
      </c>
      <c r="D1912" s="39">
        <v>0</v>
      </c>
      <c r="E1912" s="1" t="s">
        <v>1</v>
      </c>
      <c r="F1912" s="39">
        <v>0</v>
      </c>
    </row>
    <row r="1913" spans="1:6" x14ac:dyDescent="0.25">
      <c r="A1913" s="1">
        <v>4016933</v>
      </c>
      <c r="B1913" s="1" t="s">
        <v>889</v>
      </c>
      <c r="C1913" s="1" t="s">
        <v>2058</v>
      </c>
      <c r="D1913" s="39">
        <v>10000</v>
      </c>
      <c r="E1913" s="1" t="s">
        <v>1</v>
      </c>
      <c r="F1913" s="3">
        <v>1120</v>
      </c>
    </row>
    <row r="1914" spans="1:6" x14ac:dyDescent="0.25">
      <c r="A1914" s="1">
        <v>4016984</v>
      </c>
      <c r="B1914" s="1" t="s">
        <v>784</v>
      </c>
      <c r="C1914" s="1" t="s">
        <v>2058</v>
      </c>
      <c r="D1914" s="39">
        <v>0</v>
      </c>
      <c r="E1914" s="1" t="s">
        <v>1</v>
      </c>
      <c r="F1914" s="39">
        <v>0</v>
      </c>
    </row>
    <row r="1915" spans="1:6" x14ac:dyDescent="0.25">
      <c r="A1915" s="1">
        <v>5000251</v>
      </c>
      <c r="B1915" s="1" t="s">
        <v>3323</v>
      </c>
      <c r="C1915" s="1" t="s">
        <v>2058</v>
      </c>
      <c r="D1915" s="39">
        <v>0</v>
      </c>
      <c r="E1915" s="1" t="s">
        <v>1</v>
      </c>
      <c r="F1915" s="39">
        <v>0</v>
      </c>
    </row>
    <row r="1916" spans="1:6" x14ac:dyDescent="0.25">
      <c r="A1916" s="1">
        <v>5000252</v>
      </c>
      <c r="B1916" s="1" t="s">
        <v>3324</v>
      </c>
      <c r="C1916" s="1" t="s">
        <v>2058</v>
      </c>
      <c r="D1916" s="39">
        <v>0</v>
      </c>
      <c r="E1916" s="1" t="s">
        <v>1</v>
      </c>
      <c r="F1916" s="39">
        <v>0</v>
      </c>
    </row>
    <row r="1917" spans="1:6" x14ac:dyDescent="0.25">
      <c r="A1917" s="1">
        <v>5000468</v>
      </c>
      <c r="B1917" s="1" t="s">
        <v>3325</v>
      </c>
      <c r="C1917" s="1" t="s">
        <v>2058</v>
      </c>
      <c r="D1917" s="39">
        <v>0</v>
      </c>
      <c r="E1917" s="1" t="s">
        <v>1</v>
      </c>
      <c r="F1917" s="39">
        <v>0</v>
      </c>
    </row>
    <row r="1918" spans="1:6" x14ac:dyDescent="0.25">
      <c r="A1918" s="1">
        <v>5000502</v>
      </c>
      <c r="B1918" s="1" t="s">
        <v>3326</v>
      </c>
      <c r="C1918" s="1" t="s">
        <v>2058</v>
      </c>
      <c r="D1918" s="39">
        <v>0</v>
      </c>
      <c r="E1918" s="1" t="s">
        <v>1</v>
      </c>
      <c r="F1918" s="39">
        <v>0</v>
      </c>
    </row>
    <row r="1919" spans="1:6" x14ac:dyDescent="0.25">
      <c r="A1919" s="1">
        <v>5000504</v>
      </c>
      <c r="B1919" s="1" t="s">
        <v>3327</v>
      </c>
      <c r="C1919" s="1" t="s">
        <v>2058</v>
      </c>
      <c r="D1919" s="39">
        <v>0</v>
      </c>
      <c r="E1919" s="1" t="s">
        <v>1</v>
      </c>
      <c r="F1919" s="39">
        <v>0</v>
      </c>
    </row>
    <row r="1920" spans="1:6" x14ac:dyDescent="0.25">
      <c r="A1920" s="1">
        <v>5000574</v>
      </c>
      <c r="B1920" s="1" t="s">
        <v>3328</v>
      </c>
      <c r="C1920" s="1" t="s">
        <v>2058</v>
      </c>
      <c r="D1920" s="39">
        <v>0</v>
      </c>
      <c r="E1920" s="1" t="s">
        <v>1</v>
      </c>
      <c r="F1920" s="39">
        <v>0</v>
      </c>
    </row>
    <row r="1921" spans="1:6" x14ac:dyDescent="0.25">
      <c r="A1921" s="1">
        <v>5000576</v>
      </c>
      <c r="B1921" s="1" t="s">
        <v>3329</v>
      </c>
      <c r="C1921" s="1" t="s">
        <v>2058</v>
      </c>
      <c r="D1921" s="39">
        <v>0</v>
      </c>
      <c r="E1921" s="1" t="s">
        <v>1</v>
      </c>
      <c r="F1921" s="39">
        <v>0</v>
      </c>
    </row>
    <row r="1922" spans="1:6" x14ac:dyDescent="0.25">
      <c r="A1922" s="1">
        <v>5000577</v>
      </c>
      <c r="B1922" s="1" t="s">
        <v>3330</v>
      </c>
      <c r="C1922" s="1" t="s">
        <v>2058</v>
      </c>
      <c r="D1922" s="39">
        <v>0</v>
      </c>
      <c r="E1922" s="1" t="s">
        <v>1</v>
      </c>
      <c r="F1922" s="39">
        <v>0</v>
      </c>
    </row>
    <row r="1923" spans="1:6" x14ac:dyDescent="0.25">
      <c r="A1923" s="1">
        <v>5001010</v>
      </c>
      <c r="B1923" s="1" t="s">
        <v>3331</v>
      </c>
      <c r="C1923" s="1" t="s">
        <v>2058</v>
      </c>
      <c r="D1923" s="39">
        <v>0</v>
      </c>
      <c r="E1923" s="1" t="s">
        <v>1</v>
      </c>
      <c r="F1923" s="39">
        <v>0</v>
      </c>
    </row>
    <row r="1924" spans="1:6" x14ac:dyDescent="0.25">
      <c r="A1924" s="1">
        <v>5001011</v>
      </c>
      <c r="B1924" s="1" t="s">
        <v>3332</v>
      </c>
      <c r="C1924" s="1" t="s">
        <v>2058</v>
      </c>
      <c r="D1924" s="39">
        <v>0</v>
      </c>
      <c r="E1924" s="1" t="s">
        <v>1</v>
      </c>
      <c r="F1924" s="39">
        <v>0</v>
      </c>
    </row>
    <row r="1925" spans="1:6" x14ac:dyDescent="0.25">
      <c r="A1925" s="1">
        <v>5001014</v>
      </c>
      <c r="B1925" s="1" t="s">
        <v>3333</v>
      </c>
      <c r="C1925" s="1" t="s">
        <v>2058</v>
      </c>
      <c r="D1925" s="39">
        <v>0</v>
      </c>
      <c r="E1925" s="1" t="s">
        <v>1</v>
      </c>
      <c r="F1925" s="39">
        <v>0</v>
      </c>
    </row>
    <row r="1926" spans="1:6" x14ac:dyDescent="0.25">
      <c r="A1926" s="1">
        <v>5001040</v>
      </c>
      <c r="B1926" s="1" t="s">
        <v>3334</v>
      </c>
      <c r="C1926" s="1" t="s">
        <v>2058</v>
      </c>
      <c r="D1926" s="39">
        <v>0</v>
      </c>
      <c r="E1926" s="1" t="s">
        <v>1</v>
      </c>
      <c r="F1926" s="39">
        <v>0</v>
      </c>
    </row>
    <row r="1927" spans="1:6" x14ac:dyDescent="0.25">
      <c r="A1927" s="1">
        <v>5001041</v>
      </c>
      <c r="B1927" s="1" t="s">
        <v>3335</v>
      </c>
      <c r="C1927" s="1" t="s">
        <v>2058</v>
      </c>
      <c r="D1927" s="39">
        <v>0</v>
      </c>
      <c r="E1927" s="1" t="s">
        <v>1</v>
      </c>
      <c r="F1927" s="39">
        <v>0</v>
      </c>
    </row>
    <row r="1928" spans="1:6" x14ac:dyDescent="0.25">
      <c r="A1928" s="1">
        <v>5001042</v>
      </c>
      <c r="B1928" s="1" t="s">
        <v>3336</v>
      </c>
      <c r="C1928" s="1" t="s">
        <v>2058</v>
      </c>
      <c r="D1928" s="39">
        <v>0</v>
      </c>
      <c r="E1928" s="1" t="s">
        <v>1</v>
      </c>
      <c r="F1928" s="39">
        <v>0</v>
      </c>
    </row>
    <row r="1929" spans="1:6" x14ac:dyDescent="0.25">
      <c r="A1929" s="1">
        <v>5001043</v>
      </c>
      <c r="B1929" s="1" t="s">
        <v>3337</v>
      </c>
      <c r="C1929" s="1" t="s">
        <v>2058</v>
      </c>
      <c r="D1929" s="39">
        <v>0</v>
      </c>
      <c r="E1929" s="1" t="s">
        <v>1</v>
      </c>
      <c r="F1929" s="39">
        <v>0</v>
      </c>
    </row>
    <row r="1930" spans="1:6" x14ac:dyDescent="0.25">
      <c r="A1930" s="1">
        <v>5001051</v>
      </c>
      <c r="B1930" s="1" t="s">
        <v>3338</v>
      </c>
      <c r="C1930" s="1" t="s">
        <v>2058</v>
      </c>
      <c r="D1930" s="39">
        <v>0</v>
      </c>
      <c r="E1930" s="1" t="s">
        <v>1</v>
      </c>
      <c r="F1930" s="39">
        <v>0</v>
      </c>
    </row>
    <row r="1931" spans="1:6" x14ac:dyDescent="0.25">
      <c r="A1931" s="1">
        <v>5003678</v>
      </c>
      <c r="B1931" s="1" t="s">
        <v>3339</v>
      </c>
      <c r="C1931" s="1" t="s">
        <v>2058</v>
      </c>
      <c r="D1931" s="39">
        <v>0</v>
      </c>
      <c r="E1931" s="1" t="s">
        <v>1</v>
      </c>
      <c r="F1931" s="39">
        <v>0</v>
      </c>
    </row>
    <row r="1932" spans="1:6" x14ac:dyDescent="0.25">
      <c r="A1932" s="1">
        <v>6000017</v>
      </c>
      <c r="B1932" s="1" t="s">
        <v>3340</v>
      </c>
      <c r="C1932" s="1" t="s">
        <v>2058</v>
      </c>
      <c r="D1932" s="39">
        <v>0</v>
      </c>
      <c r="E1932" s="1" t="s">
        <v>1</v>
      </c>
      <c r="F1932" s="39">
        <v>0</v>
      </c>
    </row>
    <row r="1933" spans="1:6" x14ac:dyDescent="0.25">
      <c r="A1933" s="1">
        <v>6001151</v>
      </c>
      <c r="B1933" s="1" t="s">
        <v>3341</v>
      </c>
      <c r="C1933" s="1" t="s">
        <v>2058</v>
      </c>
      <c r="D1933" s="39">
        <v>0</v>
      </c>
      <c r="E1933" s="1" t="s">
        <v>1</v>
      </c>
      <c r="F1933" s="39">
        <v>0</v>
      </c>
    </row>
    <row r="1934" spans="1:6" x14ac:dyDescent="0.25">
      <c r="A1934" s="1">
        <v>6001697</v>
      </c>
      <c r="B1934" s="1" t="s">
        <v>3342</v>
      </c>
      <c r="C1934" s="1" t="s">
        <v>2058</v>
      </c>
      <c r="D1934" s="39">
        <v>0</v>
      </c>
      <c r="E1934" s="1" t="s">
        <v>1</v>
      </c>
      <c r="F1934" s="39">
        <v>0</v>
      </c>
    </row>
    <row r="1935" spans="1:6" x14ac:dyDescent="0.25">
      <c r="A1935" s="1">
        <v>6002111</v>
      </c>
      <c r="B1935" s="1" t="s">
        <v>3343</v>
      </c>
      <c r="C1935" s="1" t="s">
        <v>2058</v>
      </c>
      <c r="D1935" s="39">
        <v>0</v>
      </c>
      <c r="E1935" s="1" t="s">
        <v>1</v>
      </c>
      <c r="F1935" s="39">
        <v>0</v>
      </c>
    </row>
    <row r="1936" spans="1:6" x14ac:dyDescent="0.25">
      <c r="A1936" s="1">
        <v>6002131</v>
      </c>
      <c r="B1936" s="1" t="s">
        <v>3344</v>
      </c>
      <c r="C1936" s="1" t="s">
        <v>2058</v>
      </c>
      <c r="D1936" s="39">
        <v>0</v>
      </c>
      <c r="E1936" s="1" t="s">
        <v>2</v>
      </c>
      <c r="F1936" s="39">
        <v>0</v>
      </c>
    </row>
    <row r="1937" spans="1:6" x14ac:dyDescent="0.25">
      <c r="A1937" s="1">
        <v>6002132</v>
      </c>
      <c r="B1937" s="1" t="s">
        <v>3345</v>
      </c>
      <c r="C1937" s="1" t="s">
        <v>2058</v>
      </c>
      <c r="D1937" s="39">
        <v>0</v>
      </c>
      <c r="E1937" s="1" t="s">
        <v>2</v>
      </c>
      <c r="F1937" s="39">
        <v>0</v>
      </c>
    </row>
    <row r="1938" spans="1:6" x14ac:dyDescent="0.25">
      <c r="A1938" s="1">
        <v>6002133</v>
      </c>
      <c r="B1938" s="1" t="s">
        <v>3346</v>
      </c>
      <c r="C1938" s="1" t="s">
        <v>2058</v>
      </c>
      <c r="D1938" s="39">
        <v>0</v>
      </c>
      <c r="E1938" s="1" t="s">
        <v>2</v>
      </c>
      <c r="F1938" s="39">
        <v>0</v>
      </c>
    </row>
    <row r="1939" spans="1:6" x14ac:dyDescent="0.25">
      <c r="A1939" s="1">
        <v>6002136</v>
      </c>
      <c r="B1939" s="1" t="s">
        <v>3347</v>
      </c>
      <c r="C1939" s="1" t="s">
        <v>2058</v>
      </c>
      <c r="D1939" s="39">
        <v>0</v>
      </c>
      <c r="E1939" s="1" t="s">
        <v>1</v>
      </c>
      <c r="F1939" s="39">
        <v>0</v>
      </c>
    </row>
    <row r="1940" spans="1:6" x14ac:dyDescent="0.25">
      <c r="A1940" s="1">
        <v>6003781</v>
      </c>
      <c r="B1940" s="1" t="s">
        <v>3348</v>
      </c>
      <c r="C1940" s="1" t="s">
        <v>2058</v>
      </c>
      <c r="D1940" s="39">
        <v>0</v>
      </c>
      <c r="E1940" s="1" t="s">
        <v>1</v>
      </c>
      <c r="F1940" s="39">
        <v>0</v>
      </c>
    </row>
    <row r="1941" spans="1:6" x14ac:dyDescent="0.25">
      <c r="A1941" s="1">
        <v>6003922</v>
      </c>
      <c r="B1941" s="1" t="s">
        <v>3349</v>
      </c>
      <c r="C1941" s="1" t="s">
        <v>2058</v>
      </c>
      <c r="D1941" s="39">
        <v>0</v>
      </c>
      <c r="E1941" s="1" t="s">
        <v>1</v>
      </c>
      <c r="F1941" s="39">
        <v>0</v>
      </c>
    </row>
    <row r="1942" spans="1:6" x14ac:dyDescent="0.25">
      <c r="A1942" s="1">
        <v>6004625</v>
      </c>
      <c r="B1942" s="1" t="s">
        <v>3350</v>
      </c>
      <c r="C1942" s="1" t="s">
        <v>2058</v>
      </c>
      <c r="D1942" s="39">
        <v>0</v>
      </c>
      <c r="E1942" s="1" t="s">
        <v>1</v>
      </c>
      <c r="F1942" s="39">
        <v>0</v>
      </c>
    </row>
    <row r="1943" spans="1:6" x14ac:dyDescent="0.25">
      <c r="A1943" s="1">
        <v>6005057</v>
      </c>
      <c r="B1943" s="1" t="s">
        <v>3351</v>
      </c>
      <c r="C1943" s="1" t="s">
        <v>2058</v>
      </c>
      <c r="D1943" s="39">
        <v>0</v>
      </c>
      <c r="E1943" s="1" t="s">
        <v>2</v>
      </c>
      <c r="F1943" s="39">
        <v>0</v>
      </c>
    </row>
    <row r="1944" spans="1:6" x14ac:dyDescent="0.25">
      <c r="A1944" s="1">
        <v>6005869</v>
      </c>
      <c r="B1944" s="1" t="s">
        <v>3352</v>
      </c>
      <c r="C1944" s="1" t="s">
        <v>2058</v>
      </c>
      <c r="D1944" s="39">
        <v>0</v>
      </c>
      <c r="E1944" s="1" t="s">
        <v>1</v>
      </c>
      <c r="F1944" s="39">
        <v>0</v>
      </c>
    </row>
    <row r="1945" spans="1:6" x14ac:dyDescent="0.25">
      <c r="A1945" s="1">
        <v>6005895</v>
      </c>
      <c r="B1945" s="1" t="s">
        <v>3353</v>
      </c>
      <c r="C1945" s="1" t="s">
        <v>2058</v>
      </c>
      <c r="D1945" s="39">
        <v>0</v>
      </c>
      <c r="E1945" s="1" t="s">
        <v>1</v>
      </c>
      <c r="F1945" s="39">
        <v>0</v>
      </c>
    </row>
    <row r="1946" spans="1:6" x14ac:dyDescent="0.25">
      <c r="A1946" s="1">
        <v>6005964</v>
      </c>
      <c r="B1946" s="1" t="s">
        <v>3354</v>
      </c>
      <c r="C1946" s="1" t="s">
        <v>2058</v>
      </c>
      <c r="D1946" s="39">
        <v>0</v>
      </c>
      <c r="E1946" s="1" t="s">
        <v>1</v>
      </c>
      <c r="F1946" s="39">
        <v>0</v>
      </c>
    </row>
    <row r="1947" spans="1:6" x14ac:dyDescent="0.25">
      <c r="A1947" s="1">
        <v>6006368</v>
      </c>
      <c r="B1947" s="1" t="s">
        <v>3355</v>
      </c>
      <c r="C1947" s="1" t="s">
        <v>2058</v>
      </c>
      <c r="D1947" s="39">
        <v>0</v>
      </c>
      <c r="E1947" s="1" t="s">
        <v>1</v>
      </c>
      <c r="F1947" s="39">
        <v>0</v>
      </c>
    </row>
    <row r="1948" spans="1:6" x14ac:dyDescent="0.25">
      <c r="A1948" s="1">
        <v>6006554</v>
      </c>
      <c r="B1948" s="1" t="s">
        <v>3356</v>
      </c>
      <c r="C1948" s="1" t="s">
        <v>2058</v>
      </c>
      <c r="D1948" s="39">
        <v>0</v>
      </c>
      <c r="E1948" s="1" t="s">
        <v>1</v>
      </c>
      <c r="F1948" s="39">
        <v>0</v>
      </c>
    </row>
    <row r="1949" spans="1:6" x14ac:dyDescent="0.25">
      <c r="A1949" s="1">
        <v>6006557</v>
      </c>
      <c r="B1949" s="1" t="s">
        <v>3357</v>
      </c>
      <c r="C1949" s="1" t="s">
        <v>2058</v>
      </c>
      <c r="D1949" s="39">
        <v>0</v>
      </c>
      <c r="E1949" s="1" t="s">
        <v>1</v>
      </c>
      <c r="F1949" s="39">
        <v>0</v>
      </c>
    </row>
    <row r="1950" spans="1:6" x14ac:dyDescent="0.25">
      <c r="A1950" s="1">
        <v>6007017</v>
      </c>
      <c r="B1950" s="1" t="s">
        <v>3358</v>
      </c>
      <c r="C1950" s="1" t="s">
        <v>2058</v>
      </c>
      <c r="D1950" s="39">
        <v>0</v>
      </c>
      <c r="E1950" s="1" t="s">
        <v>1</v>
      </c>
      <c r="F1950" s="39">
        <v>0</v>
      </c>
    </row>
    <row r="1951" spans="1:6" x14ac:dyDescent="0.25">
      <c r="A1951" s="1">
        <v>6007018</v>
      </c>
      <c r="B1951" s="1" t="s">
        <v>3359</v>
      </c>
      <c r="C1951" s="1" t="s">
        <v>2058</v>
      </c>
      <c r="D1951" s="39">
        <v>0</v>
      </c>
      <c r="E1951" s="1" t="s">
        <v>1</v>
      </c>
      <c r="F1951" s="39">
        <v>0</v>
      </c>
    </row>
    <row r="1952" spans="1:6" x14ac:dyDescent="0.25">
      <c r="A1952" s="1">
        <v>6007019</v>
      </c>
      <c r="B1952" s="1" t="s">
        <v>3360</v>
      </c>
      <c r="C1952" s="1" t="s">
        <v>2058</v>
      </c>
      <c r="D1952" s="39">
        <v>0</v>
      </c>
      <c r="E1952" s="1" t="s">
        <v>1</v>
      </c>
      <c r="F1952" s="39">
        <v>0</v>
      </c>
    </row>
    <row r="1953" spans="1:6" x14ac:dyDescent="0.25">
      <c r="A1953" s="1">
        <v>6007020</v>
      </c>
      <c r="B1953" s="1" t="s">
        <v>3361</v>
      </c>
      <c r="C1953" s="1" t="s">
        <v>2058</v>
      </c>
      <c r="D1953" s="39">
        <v>0</v>
      </c>
      <c r="E1953" s="1" t="s">
        <v>1</v>
      </c>
      <c r="F1953" s="39">
        <v>0</v>
      </c>
    </row>
    <row r="1954" spans="1:6" x14ac:dyDescent="0.25">
      <c r="A1954" s="1">
        <v>6007355</v>
      </c>
      <c r="B1954" s="1" t="s">
        <v>3362</v>
      </c>
      <c r="C1954" s="1" t="s">
        <v>2058</v>
      </c>
      <c r="D1954" s="39">
        <v>0</v>
      </c>
      <c r="E1954" s="1" t="s">
        <v>1</v>
      </c>
      <c r="F1954" s="39">
        <v>0</v>
      </c>
    </row>
    <row r="1955" spans="1:6" x14ac:dyDescent="0.25">
      <c r="A1955" s="1">
        <v>6007399</v>
      </c>
      <c r="B1955" s="1" t="s">
        <v>3363</v>
      </c>
      <c r="C1955" s="1" t="s">
        <v>2058</v>
      </c>
      <c r="D1955" s="39">
        <v>0</v>
      </c>
      <c r="E1955" s="1" t="s">
        <v>1</v>
      </c>
      <c r="F1955" s="39">
        <v>0</v>
      </c>
    </row>
    <row r="1956" spans="1:6" x14ac:dyDescent="0.25">
      <c r="A1956" s="1">
        <v>6007401</v>
      </c>
      <c r="B1956" s="1" t="s">
        <v>3364</v>
      </c>
      <c r="C1956" s="1" t="s">
        <v>2058</v>
      </c>
      <c r="D1956" s="39">
        <v>0</v>
      </c>
      <c r="E1956" s="1" t="s">
        <v>1</v>
      </c>
      <c r="F1956" s="39">
        <v>0</v>
      </c>
    </row>
    <row r="1957" spans="1:6" x14ac:dyDescent="0.25">
      <c r="A1957" s="1">
        <v>6007428</v>
      </c>
      <c r="B1957" s="1" t="s">
        <v>3365</v>
      </c>
      <c r="C1957" s="1" t="s">
        <v>2058</v>
      </c>
      <c r="D1957" s="39">
        <v>0</v>
      </c>
      <c r="E1957" s="1" t="s">
        <v>1</v>
      </c>
      <c r="F1957" s="39">
        <v>0</v>
      </c>
    </row>
    <row r="1958" spans="1:6" x14ac:dyDescent="0.25">
      <c r="A1958" s="1">
        <v>6007606</v>
      </c>
      <c r="B1958" s="1" t="s">
        <v>3366</v>
      </c>
      <c r="C1958" s="1" t="s">
        <v>2058</v>
      </c>
      <c r="D1958" s="39">
        <v>0</v>
      </c>
      <c r="E1958" s="1" t="s">
        <v>1</v>
      </c>
      <c r="F1958" s="39">
        <v>0</v>
      </c>
    </row>
    <row r="1959" spans="1:6" x14ac:dyDescent="0.25">
      <c r="A1959" s="1">
        <v>6007608</v>
      </c>
      <c r="B1959" s="1" t="s">
        <v>3367</v>
      </c>
      <c r="C1959" s="1" t="s">
        <v>2058</v>
      </c>
      <c r="D1959" s="39">
        <v>0</v>
      </c>
      <c r="E1959" s="1" t="s">
        <v>1</v>
      </c>
      <c r="F1959" s="39">
        <v>0</v>
      </c>
    </row>
    <row r="1960" spans="1:6" x14ac:dyDescent="0.25">
      <c r="A1960" s="1">
        <v>6007640</v>
      </c>
      <c r="B1960" s="1" t="s">
        <v>3368</v>
      </c>
      <c r="C1960" s="1" t="s">
        <v>2058</v>
      </c>
      <c r="D1960" s="39">
        <v>0</v>
      </c>
      <c r="E1960" s="1" t="s">
        <v>1</v>
      </c>
      <c r="F1960" s="39">
        <v>0</v>
      </c>
    </row>
    <row r="1961" spans="1:6" x14ac:dyDescent="0.25">
      <c r="A1961" s="1">
        <v>6009362</v>
      </c>
      <c r="B1961" s="1" t="s">
        <v>3369</v>
      </c>
      <c r="C1961" s="1" t="s">
        <v>2058</v>
      </c>
      <c r="D1961" s="39">
        <v>0</v>
      </c>
      <c r="E1961" s="1" t="s">
        <v>1</v>
      </c>
      <c r="F1961" s="39">
        <v>0</v>
      </c>
    </row>
    <row r="1962" spans="1:6" x14ac:dyDescent="0.25">
      <c r="A1962" s="1">
        <v>6010892</v>
      </c>
      <c r="B1962" s="1" t="s">
        <v>3370</v>
      </c>
      <c r="C1962" s="1" t="s">
        <v>2058</v>
      </c>
      <c r="D1962" s="39">
        <v>0</v>
      </c>
      <c r="E1962" s="1" t="s">
        <v>3371</v>
      </c>
      <c r="F1962" s="39">
        <v>0</v>
      </c>
    </row>
    <row r="1963" spans="1:6" x14ac:dyDescent="0.25">
      <c r="A1963" s="1">
        <v>6010896</v>
      </c>
      <c r="B1963" s="1" t="s">
        <v>3372</v>
      </c>
      <c r="C1963" s="1" t="s">
        <v>2058</v>
      </c>
      <c r="D1963" s="39">
        <v>0</v>
      </c>
      <c r="E1963" s="1" t="s">
        <v>3371</v>
      </c>
      <c r="F1963" s="39">
        <v>0</v>
      </c>
    </row>
    <row r="1964" spans="1:6" x14ac:dyDescent="0.25">
      <c r="A1964" s="1">
        <v>6011561</v>
      </c>
      <c r="B1964" s="1" t="s">
        <v>3373</v>
      </c>
      <c r="C1964" s="1" t="s">
        <v>2058</v>
      </c>
      <c r="D1964" s="39">
        <v>0</v>
      </c>
      <c r="E1964" s="1" t="s">
        <v>3</v>
      </c>
      <c r="F1964" s="39">
        <v>0</v>
      </c>
    </row>
    <row r="1965" spans="1:6" x14ac:dyDescent="0.25">
      <c r="A1965" s="1">
        <v>6011892</v>
      </c>
      <c r="B1965" s="1" t="s">
        <v>3374</v>
      </c>
      <c r="C1965" s="1" t="s">
        <v>2058</v>
      </c>
      <c r="D1965" s="39">
        <v>0</v>
      </c>
      <c r="E1965" s="1" t="s">
        <v>1</v>
      </c>
      <c r="F1965" s="39">
        <v>0</v>
      </c>
    </row>
    <row r="1966" spans="1:6" x14ac:dyDescent="0.25">
      <c r="A1966" s="1">
        <v>6012592</v>
      </c>
      <c r="B1966" s="1" t="s">
        <v>3375</v>
      </c>
      <c r="C1966" s="1" t="s">
        <v>2058</v>
      </c>
      <c r="D1966" s="39">
        <v>0</v>
      </c>
      <c r="E1966" s="1" t="s">
        <v>1</v>
      </c>
      <c r="F1966" s="39">
        <v>0</v>
      </c>
    </row>
    <row r="1967" spans="1:6" x14ac:dyDescent="0.25">
      <c r="A1967" s="1">
        <v>6012783</v>
      </c>
      <c r="B1967" s="1" t="s">
        <v>3376</v>
      </c>
      <c r="C1967" s="1" t="s">
        <v>2058</v>
      </c>
      <c r="D1967" s="39">
        <v>0</v>
      </c>
      <c r="E1967" s="1" t="s">
        <v>1</v>
      </c>
      <c r="F1967" s="39">
        <v>0</v>
      </c>
    </row>
    <row r="1968" spans="1:6" x14ac:dyDescent="0.25">
      <c r="A1968" s="1">
        <v>6013110</v>
      </c>
      <c r="B1968" s="1" t="s">
        <v>3377</v>
      </c>
      <c r="C1968" s="1" t="s">
        <v>2058</v>
      </c>
      <c r="D1968" s="39">
        <v>0</v>
      </c>
      <c r="E1968" s="1" t="s">
        <v>1</v>
      </c>
      <c r="F1968" s="39">
        <v>0</v>
      </c>
    </row>
    <row r="1969" spans="1:6" x14ac:dyDescent="0.25">
      <c r="A1969" s="1">
        <v>6013111</v>
      </c>
      <c r="B1969" s="1" t="s">
        <v>3378</v>
      </c>
      <c r="C1969" s="1" t="s">
        <v>2058</v>
      </c>
      <c r="D1969" s="39">
        <v>0</v>
      </c>
      <c r="E1969" s="1" t="s">
        <v>1</v>
      </c>
      <c r="F1969" s="39">
        <v>0</v>
      </c>
    </row>
    <row r="1970" spans="1:6" x14ac:dyDescent="0.25">
      <c r="A1970" s="1">
        <v>6013189</v>
      </c>
      <c r="B1970" s="1" t="s">
        <v>3379</v>
      </c>
      <c r="C1970" s="1" t="s">
        <v>2058</v>
      </c>
      <c r="D1970" s="39">
        <v>0</v>
      </c>
      <c r="E1970" s="1" t="s">
        <v>1</v>
      </c>
      <c r="F1970" s="39">
        <v>0</v>
      </c>
    </row>
    <row r="1971" spans="1:6" x14ac:dyDescent="0.25">
      <c r="A1971" s="1">
        <v>6014049</v>
      </c>
      <c r="B1971" s="1" t="s">
        <v>3380</v>
      </c>
      <c r="C1971" s="1" t="s">
        <v>2058</v>
      </c>
      <c r="D1971" s="39">
        <v>0</v>
      </c>
      <c r="E1971" s="1" t="s">
        <v>1</v>
      </c>
      <c r="F1971" s="39">
        <v>0</v>
      </c>
    </row>
    <row r="1972" spans="1:6" x14ac:dyDescent="0.25">
      <c r="A1972" s="1">
        <v>6014258</v>
      </c>
      <c r="B1972" s="1" t="s">
        <v>3381</v>
      </c>
      <c r="C1972" s="1" t="s">
        <v>2058</v>
      </c>
      <c r="D1972" s="39">
        <v>0</v>
      </c>
      <c r="E1972" s="1" t="s">
        <v>1</v>
      </c>
      <c r="F1972" s="39">
        <v>0</v>
      </c>
    </row>
    <row r="1973" spans="1:6" x14ac:dyDescent="0.25">
      <c r="A1973" s="1">
        <v>9000007</v>
      </c>
      <c r="B1973" s="1" t="s">
        <v>3382</v>
      </c>
      <c r="C1973" s="1" t="s">
        <v>2058</v>
      </c>
      <c r="D1973" s="39">
        <v>0</v>
      </c>
      <c r="E1973" s="1" t="s">
        <v>1</v>
      </c>
      <c r="F1973" s="39">
        <v>0</v>
      </c>
    </row>
    <row r="1974" spans="1:6" x14ac:dyDescent="0.25">
      <c r="A1974" s="1">
        <v>9000008</v>
      </c>
      <c r="B1974" s="1" t="s">
        <v>3383</v>
      </c>
      <c r="C1974" s="1" t="s">
        <v>2058</v>
      </c>
      <c r="D1974" s="39">
        <v>0</v>
      </c>
      <c r="E1974" s="1" t="s">
        <v>1</v>
      </c>
      <c r="F1974" s="39">
        <v>0</v>
      </c>
    </row>
    <row r="1975" spans="1:6" x14ac:dyDescent="0.25">
      <c r="A1975" s="1">
        <v>9000028</v>
      </c>
      <c r="B1975" s="1" t="s">
        <v>3384</v>
      </c>
      <c r="C1975" s="1" t="s">
        <v>2058</v>
      </c>
      <c r="D1975" s="39">
        <v>0</v>
      </c>
      <c r="E1975" s="1" t="s">
        <v>1</v>
      </c>
      <c r="F1975" s="39">
        <v>0</v>
      </c>
    </row>
    <row r="1976" spans="1:6" x14ac:dyDescent="0.25">
      <c r="A1976" s="1">
        <v>9000040</v>
      </c>
      <c r="B1976" s="1" t="s">
        <v>3385</v>
      </c>
      <c r="C1976" s="1" t="s">
        <v>2058</v>
      </c>
      <c r="D1976" s="39">
        <v>0</v>
      </c>
      <c r="E1976" s="1" t="s">
        <v>1</v>
      </c>
      <c r="F1976" s="39">
        <v>0</v>
      </c>
    </row>
    <row r="1977" spans="1:6" x14ac:dyDescent="0.25">
      <c r="A1977" s="1">
        <v>9000203</v>
      </c>
      <c r="B1977" s="1" t="s">
        <v>3386</v>
      </c>
      <c r="C1977" s="1" t="s">
        <v>2058</v>
      </c>
      <c r="D1977" s="39">
        <v>0</v>
      </c>
      <c r="E1977" s="1" t="s">
        <v>1</v>
      </c>
      <c r="F1977" s="39">
        <v>0</v>
      </c>
    </row>
    <row r="1978" spans="1:6" x14ac:dyDescent="0.25">
      <c r="A1978" s="1">
        <v>9000211</v>
      </c>
      <c r="B1978" s="1" t="s">
        <v>3387</v>
      </c>
      <c r="C1978" s="1" t="s">
        <v>2058</v>
      </c>
      <c r="D1978" s="39">
        <v>0</v>
      </c>
      <c r="E1978" s="1" t="s">
        <v>1</v>
      </c>
      <c r="F1978" s="39">
        <v>0</v>
      </c>
    </row>
    <row r="1979" spans="1:6" x14ac:dyDescent="0.25">
      <c r="A1979" s="1">
        <v>9000249</v>
      </c>
      <c r="B1979" s="1" t="s">
        <v>3388</v>
      </c>
      <c r="C1979" s="1" t="s">
        <v>2058</v>
      </c>
      <c r="D1979" s="39">
        <v>0</v>
      </c>
      <c r="E1979" s="1" t="s">
        <v>3371</v>
      </c>
      <c r="F1979" s="39">
        <v>0</v>
      </c>
    </row>
    <row r="1980" spans="1:6" x14ac:dyDescent="0.25">
      <c r="A1980" s="1">
        <v>9000251</v>
      </c>
      <c r="B1980" s="1" t="s">
        <v>3389</v>
      </c>
      <c r="C1980" s="1" t="s">
        <v>2058</v>
      </c>
      <c r="D1980" s="39">
        <v>0</v>
      </c>
      <c r="E1980" s="1" t="s">
        <v>1</v>
      </c>
      <c r="F1980" s="39">
        <v>0</v>
      </c>
    </row>
    <row r="1981" spans="1:6" x14ac:dyDescent="0.25">
      <c r="A1981" s="1">
        <v>9000252</v>
      </c>
      <c r="B1981" s="1" t="s">
        <v>3390</v>
      </c>
      <c r="C1981" s="1" t="s">
        <v>2058</v>
      </c>
      <c r="D1981" s="39">
        <v>0</v>
      </c>
      <c r="E1981" s="1" t="s">
        <v>1</v>
      </c>
      <c r="F1981" s="39">
        <v>0</v>
      </c>
    </row>
    <row r="1982" spans="1:6" x14ac:dyDescent="0.25">
      <c r="A1982" s="1">
        <v>9000253</v>
      </c>
      <c r="B1982" s="1" t="s">
        <v>3391</v>
      </c>
      <c r="C1982" s="1" t="s">
        <v>2058</v>
      </c>
      <c r="D1982" s="39">
        <v>0</v>
      </c>
      <c r="E1982" s="1" t="s">
        <v>1</v>
      </c>
      <c r="F1982" s="39">
        <v>0</v>
      </c>
    </row>
    <row r="1983" spans="1:6" x14ac:dyDescent="0.25">
      <c r="A1983" s="1">
        <v>9000296</v>
      </c>
      <c r="B1983" s="1" t="s">
        <v>3392</v>
      </c>
      <c r="C1983" s="1" t="s">
        <v>2058</v>
      </c>
      <c r="D1983" s="39">
        <v>0</v>
      </c>
      <c r="E1983" s="1" t="s">
        <v>1</v>
      </c>
      <c r="F1983" s="39">
        <v>0</v>
      </c>
    </row>
    <row r="1984" spans="1:6" x14ac:dyDescent="0.25">
      <c r="A1984" s="1">
        <v>9000301</v>
      </c>
      <c r="B1984" s="1" t="s">
        <v>3393</v>
      </c>
      <c r="C1984" s="1" t="s">
        <v>2058</v>
      </c>
      <c r="D1984" s="39">
        <v>0</v>
      </c>
      <c r="E1984" s="1" t="s">
        <v>1</v>
      </c>
      <c r="F1984" s="39">
        <v>0</v>
      </c>
    </row>
    <row r="1985" spans="1:6" x14ac:dyDescent="0.25">
      <c r="A1985" s="1">
        <v>9000311</v>
      </c>
      <c r="B1985" s="1" t="s">
        <v>3394</v>
      </c>
      <c r="C1985" s="1" t="s">
        <v>2058</v>
      </c>
      <c r="D1985" s="39">
        <v>0</v>
      </c>
      <c r="E1985" s="1" t="s">
        <v>1</v>
      </c>
      <c r="F1985" s="39">
        <v>0</v>
      </c>
    </row>
    <row r="1986" spans="1:6" x14ac:dyDescent="0.25">
      <c r="A1986" s="1">
        <v>9000312</v>
      </c>
      <c r="B1986" s="1" t="s">
        <v>3395</v>
      </c>
      <c r="C1986" s="1" t="s">
        <v>2058</v>
      </c>
      <c r="D1986" s="39">
        <v>0</v>
      </c>
      <c r="E1986" s="1" t="s">
        <v>1</v>
      </c>
      <c r="F1986" s="39">
        <v>0</v>
      </c>
    </row>
    <row r="1987" spans="1:6" x14ac:dyDescent="0.25">
      <c r="A1987" s="1">
        <v>9000313</v>
      </c>
      <c r="B1987" s="1" t="s">
        <v>3396</v>
      </c>
      <c r="C1987" s="1" t="s">
        <v>2058</v>
      </c>
      <c r="D1987" s="39">
        <v>0</v>
      </c>
      <c r="E1987" s="1" t="s">
        <v>1</v>
      </c>
      <c r="F1987" s="39">
        <v>0</v>
      </c>
    </row>
    <row r="1988" spans="1:6" x14ac:dyDescent="0.25">
      <c r="A1988" s="1">
        <v>9000314</v>
      </c>
      <c r="B1988" s="1" t="s">
        <v>3397</v>
      </c>
      <c r="C1988" s="1" t="s">
        <v>2058</v>
      </c>
      <c r="D1988" s="39">
        <v>0</v>
      </c>
      <c r="E1988" s="1" t="s">
        <v>1</v>
      </c>
      <c r="F1988" s="39">
        <v>0</v>
      </c>
    </row>
    <row r="1989" spans="1:6" x14ac:dyDescent="0.25">
      <c r="A1989" s="1">
        <v>9000315</v>
      </c>
      <c r="B1989" s="1" t="s">
        <v>3398</v>
      </c>
      <c r="C1989" s="1" t="s">
        <v>2058</v>
      </c>
      <c r="D1989" s="39">
        <v>0</v>
      </c>
      <c r="E1989" s="1" t="s">
        <v>1</v>
      </c>
      <c r="F1989" s="39">
        <v>0</v>
      </c>
    </row>
    <row r="1990" spans="1:6" x14ac:dyDescent="0.25">
      <c r="A1990" s="1">
        <v>9000316</v>
      </c>
      <c r="B1990" s="1" t="s">
        <v>3399</v>
      </c>
      <c r="C1990" s="1" t="s">
        <v>2058</v>
      </c>
      <c r="D1990" s="39">
        <v>0</v>
      </c>
      <c r="E1990" s="1" t="s">
        <v>1</v>
      </c>
      <c r="F1990" s="39">
        <v>0</v>
      </c>
    </row>
    <row r="1991" spans="1:6" x14ac:dyDescent="0.25">
      <c r="A1991" s="1">
        <v>9000317</v>
      </c>
      <c r="B1991" s="1" t="s">
        <v>3400</v>
      </c>
      <c r="C1991" s="1" t="s">
        <v>2058</v>
      </c>
      <c r="D1991" s="39">
        <v>0</v>
      </c>
      <c r="E1991" s="1" t="s">
        <v>1</v>
      </c>
      <c r="F1991" s="39">
        <v>0</v>
      </c>
    </row>
    <row r="1992" spans="1:6" x14ac:dyDescent="0.25">
      <c r="A1992" s="1">
        <v>9000318</v>
      </c>
      <c r="B1992" s="1" t="s">
        <v>3401</v>
      </c>
      <c r="C1992" s="1" t="s">
        <v>2058</v>
      </c>
      <c r="D1992" s="39">
        <v>0</v>
      </c>
      <c r="E1992" s="1" t="s">
        <v>1</v>
      </c>
      <c r="F1992" s="39">
        <v>0</v>
      </c>
    </row>
    <row r="1993" spans="1:6" x14ac:dyDescent="0.25">
      <c r="A1993" s="1">
        <v>9000319</v>
      </c>
      <c r="B1993" s="1" t="s">
        <v>3402</v>
      </c>
      <c r="C1993" s="1" t="s">
        <v>2058</v>
      </c>
      <c r="D1993" s="39">
        <v>0</v>
      </c>
      <c r="E1993" s="1" t="s">
        <v>1</v>
      </c>
      <c r="F1993" s="39">
        <v>0</v>
      </c>
    </row>
    <row r="1994" spans="1:6" x14ac:dyDescent="0.25">
      <c r="A1994" s="1">
        <v>9000321</v>
      </c>
      <c r="B1994" s="1" t="s">
        <v>3403</v>
      </c>
      <c r="C1994" s="1" t="s">
        <v>2058</v>
      </c>
      <c r="D1994" s="39">
        <v>0</v>
      </c>
      <c r="E1994" s="1" t="s">
        <v>1</v>
      </c>
      <c r="F1994" s="39">
        <v>0</v>
      </c>
    </row>
    <row r="1995" spans="1:6" x14ac:dyDescent="0.25">
      <c r="A1995" s="1">
        <v>9000322</v>
      </c>
      <c r="B1995" s="1" t="s">
        <v>3404</v>
      </c>
      <c r="C1995" s="1" t="s">
        <v>2058</v>
      </c>
      <c r="D1995" s="39">
        <v>0</v>
      </c>
      <c r="E1995" s="1" t="s">
        <v>1</v>
      </c>
      <c r="F1995" s="39">
        <v>0</v>
      </c>
    </row>
    <row r="1996" spans="1:6" x14ac:dyDescent="0.25">
      <c r="A1996" s="1">
        <v>9000335</v>
      </c>
      <c r="B1996" s="1" t="s">
        <v>3405</v>
      </c>
      <c r="C1996" s="1" t="s">
        <v>2058</v>
      </c>
      <c r="D1996" s="39">
        <v>0</v>
      </c>
      <c r="E1996" s="1" t="s">
        <v>1</v>
      </c>
      <c r="F1996" s="39">
        <v>0</v>
      </c>
    </row>
    <row r="1997" spans="1:6" x14ac:dyDescent="0.25">
      <c r="A1997" s="1">
        <v>9000336</v>
      </c>
      <c r="B1997" s="1" t="s">
        <v>3406</v>
      </c>
      <c r="C1997" s="1" t="s">
        <v>2058</v>
      </c>
      <c r="D1997" s="39">
        <v>0</v>
      </c>
      <c r="E1997" s="1" t="s">
        <v>1</v>
      </c>
      <c r="F1997" s="39">
        <v>0</v>
      </c>
    </row>
    <row r="1998" spans="1:6" x14ac:dyDescent="0.25">
      <c r="A1998" s="1">
        <v>9000337</v>
      </c>
      <c r="B1998" s="1" t="s">
        <v>3407</v>
      </c>
      <c r="C1998" s="1" t="s">
        <v>2058</v>
      </c>
      <c r="D1998" s="39">
        <v>0</v>
      </c>
      <c r="E1998" s="1" t="s">
        <v>1</v>
      </c>
      <c r="F1998" s="39">
        <v>0</v>
      </c>
    </row>
    <row r="1999" spans="1:6" x14ac:dyDescent="0.25">
      <c r="A1999" s="1">
        <v>9000557</v>
      </c>
      <c r="B1999" s="1" t="s">
        <v>3408</v>
      </c>
      <c r="C1999" s="1" t="s">
        <v>2058</v>
      </c>
      <c r="D1999" s="39">
        <v>0</v>
      </c>
      <c r="E1999" s="1" t="s">
        <v>1</v>
      </c>
      <c r="F1999" s="39">
        <v>0</v>
      </c>
    </row>
    <row r="2000" spans="1:6" x14ac:dyDescent="0.25">
      <c r="A2000" s="1">
        <v>9000575</v>
      </c>
      <c r="B2000" s="1" t="s">
        <v>3409</v>
      </c>
      <c r="C2000" s="1" t="s">
        <v>2058</v>
      </c>
      <c r="D2000" s="39">
        <v>0</v>
      </c>
      <c r="E2000" s="1" t="s">
        <v>1</v>
      </c>
      <c r="F2000" s="39">
        <v>0</v>
      </c>
    </row>
    <row r="2001" spans="1:6" x14ac:dyDescent="0.25">
      <c r="A2001" s="1">
        <v>9000591</v>
      </c>
      <c r="B2001" s="1" t="s">
        <v>3410</v>
      </c>
      <c r="C2001" s="1" t="s">
        <v>2058</v>
      </c>
      <c r="D2001" s="39">
        <v>0</v>
      </c>
      <c r="E2001" s="1" t="s">
        <v>1</v>
      </c>
      <c r="F2001" s="39">
        <v>0</v>
      </c>
    </row>
    <row r="2002" spans="1:6" x14ac:dyDescent="0.25">
      <c r="A2002" s="1">
        <v>9000600</v>
      </c>
      <c r="B2002" s="1" t="s">
        <v>3411</v>
      </c>
      <c r="C2002" s="1" t="s">
        <v>2058</v>
      </c>
      <c r="D2002" s="39">
        <v>0</v>
      </c>
      <c r="E2002" s="1" t="s">
        <v>1</v>
      </c>
      <c r="F2002" s="39">
        <v>0</v>
      </c>
    </row>
    <row r="2003" spans="1:6" x14ac:dyDescent="0.25">
      <c r="A2003" s="1">
        <v>9000630</v>
      </c>
      <c r="B2003" s="1" t="s">
        <v>3412</v>
      </c>
      <c r="C2003" s="1" t="s">
        <v>2058</v>
      </c>
      <c r="D2003" s="39">
        <v>0</v>
      </c>
      <c r="E2003" s="1" t="s">
        <v>1</v>
      </c>
      <c r="F2003" s="39">
        <v>0</v>
      </c>
    </row>
    <row r="2004" spans="1:6" x14ac:dyDescent="0.25">
      <c r="A2004" s="1">
        <v>9000744</v>
      </c>
      <c r="B2004" s="1" t="s">
        <v>3413</v>
      </c>
      <c r="C2004" s="1" t="s">
        <v>2058</v>
      </c>
      <c r="D2004" s="39">
        <v>0</v>
      </c>
      <c r="E2004" s="1" t="s">
        <v>1</v>
      </c>
      <c r="F2004" s="39">
        <v>0</v>
      </c>
    </row>
    <row r="2005" spans="1:6" x14ac:dyDescent="0.25">
      <c r="A2005" s="1">
        <v>9000755</v>
      </c>
      <c r="B2005" s="1" t="s">
        <v>3414</v>
      </c>
      <c r="C2005" s="1" t="s">
        <v>2058</v>
      </c>
      <c r="D2005" s="39">
        <v>0</v>
      </c>
      <c r="E2005" s="1" t="s">
        <v>1</v>
      </c>
      <c r="F2005" s="39">
        <v>0</v>
      </c>
    </row>
    <row r="2006" spans="1:6" x14ac:dyDescent="0.25">
      <c r="A2006" s="1">
        <v>9000836</v>
      </c>
      <c r="B2006" s="1" t="s">
        <v>3415</v>
      </c>
      <c r="C2006" s="1" t="s">
        <v>2058</v>
      </c>
      <c r="D2006" s="39">
        <v>0</v>
      </c>
      <c r="E2006" s="1" t="s">
        <v>1</v>
      </c>
      <c r="F2006" s="39">
        <v>0</v>
      </c>
    </row>
    <row r="2007" spans="1:6" x14ac:dyDescent="0.25">
      <c r="A2007" s="1">
        <v>9000848</v>
      </c>
      <c r="B2007" s="1" t="s">
        <v>3416</v>
      </c>
      <c r="C2007" s="1" t="s">
        <v>2058</v>
      </c>
      <c r="D2007" s="39">
        <v>0</v>
      </c>
      <c r="E2007" s="1" t="s">
        <v>1</v>
      </c>
      <c r="F2007" s="39">
        <v>0</v>
      </c>
    </row>
    <row r="2008" spans="1:6" x14ac:dyDescent="0.25">
      <c r="A2008" s="1">
        <v>9001063</v>
      </c>
      <c r="B2008" s="1" t="s">
        <v>3417</v>
      </c>
      <c r="C2008" s="1" t="s">
        <v>2058</v>
      </c>
      <c r="D2008" s="39">
        <v>0</v>
      </c>
      <c r="E2008" s="1" t="s">
        <v>1</v>
      </c>
      <c r="F2008" s="39">
        <v>0</v>
      </c>
    </row>
    <row r="2009" spans="1:6" x14ac:dyDescent="0.25">
      <c r="A2009" s="1">
        <v>9001113</v>
      </c>
      <c r="B2009" s="1" t="s">
        <v>3418</v>
      </c>
      <c r="C2009" s="1" t="s">
        <v>2058</v>
      </c>
      <c r="D2009" s="39">
        <v>0</v>
      </c>
      <c r="E2009" s="1" t="s">
        <v>1</v>
      </c>
      <c r="F2009" s="39">
        <v>0</v>
      </c>
    </row>
    <row r="2010" spans="1:6" x14ac:dyDescent="0.25">
      <c r="A2010" s="1">
        <v>9001123</v>
      </c>
      <c r="B2010" s="1" t="s">
        <v>3419</v>
      </c>
      <c r="C2010" s="1" t="s">
        <v>2058</v>
      </c>
      <c r="D2010" s="39">
        <v>0</v>
      </c>
      <c r="E2010" s="1" t="s">
        <v>1</v>
      </c>
      <c r="F2010" s="39">
        <v>0</v>
      </c>
    </row>
    <row r="2011" spans="1:6" x14ac:dyDescent="0.25">
      <c r="A2011" s="1">
        <v>9001258</v>
      </c>
      <c r="B2011" s="1" t="s">
        <v>3420</v>
      </c>
      <c r="C2011" s="1" t="s">
        <v>2058</v>
      </c>
      <c r="D2011" s="39">
        <v>0</v>
      </c>
      <c r="E2011" s="1" t="s">
        <v>1</v>
      </c>
      <c r="F2011" s="39">
        <v>0</v>
      </c>
    </row>
    <row r="2012" spans="1:6" x14ac:dyDescent="0.25">
      <c r="A2012" s="1">
        <v>9001310</v>
      </c>
      <c r="B2012" s="1" t="s">
        <v>3421</v>
      </c>
      <c r="C2012" s="1" t="s">
        <v>2058</v>
      </c>
      <c r="D2012" s="39">
        <v>0</v>
      </c>
      <c r="E2012" s="1" t="s">
        <v>1</v>
      </c>
      <c r="F2012" s="39">
        <v>0</v>
      </c>
    </row>
    <row r="2013" spans="1:6" x14ac:dyDescent="0.25">
      <c r="A2013" s="1">
        <v>9001503</v>
      </c>
      <c r="B2013" s="1" t="s">
        <v>3422</v>
      </c>
      <c r="C2013" s="1" t="s">
        <v>2058</v>
      </c>
      <c r="D2013" s="39">
        <v>0</v>
      </c>
      <c r="E2013" s="1" t="s">
        <v>1</v>
      </c>
      <c r="F2013" s="39">
        <v>0</v>
      </c>
    </row>
    <row r="2014" spans="1:6" x14ac:dyDescent="0.25">
      <c r="A2014" s="1">
        <v>9001692</v>
      </c>
      <c r="B2014" s="1" t="s">
        <v>3423</v>
      </c>
      <c r="C2014" s="1" t="s">
        <v>2058</v>
      </c>
      <c r="D2014" s="39">
        <v>0</v>
      </c>
      <c r="E2014" s="1" t="s">
        <v>1</v>
      </c>
      <c r="F2014" s="39">
        <v>0</v>
      </c>
    </row>
    <row r="2015" spans="1:6" x14ac:dyDescent="0.25">
      <c r="A2015" s="1">
        <v>9001721</v>
      </c>
      <c r="B2015" s="1" t="s">
        <v>3424</v>
      </c>
      <c r="C2015" s="1" t="s">
        <v>2058</v>
      </c>
      <c r="D2015" s="39">
        <v>0</v>
      </c>
      <c r="E2015" s="1" t="s">
        <v>1</v>
      </c>
      <c r="F2015" s="39">
        <v>0</v>
      </c>
    </row>
    <row r="2016" spans="1:6" x14ac:dyDescent="0.25">
      <c r="A2016" s="1">
        <v>9001860</v>
      </c>
      <c r="B2016" s="1" t="s">
        <v>3425</v>
      </c>
      <c r="C2016" s="1" t="s">
        <v>2058</v>
      </c>
      <c r="D2016" s="39">
        <v>0</v>
      </c>
      <c r="E2016" s="1" t="s">
        <v>1</v>
      </c>
      <c r="F2016" s="39">
        <v>0</v>
      </c>
    </row>
    <row r="2017" spans="1:6" x14ac:dyDescent="0.25">
      <c r="A2017" s="1">
        <v>9001901</v>
      </c>
      <c r="B2017" s="1" t="s">
        <v>3426</v>
      </c>
      <c r="C2017" s="1" t="s">
        <v>2058</v>
      </c>
      <c r="D2017" s="39">
        <v>0</v>
      </c>
      <c r="E2017" s="1" t="s">
        <v>1</v>
      </c>
      <c r="F2017" s="39">
        <v>0</v>
      </c>
    </row>
    <row r="2018" spans="1:6" x14ac:dyDescent="0.25">
      <c r="A2018" s="1">
        <v>9001902</v>
      </c>
      <c r="B2018" s="1" t="s">
        <v>3427</v>
      </c>
      <c r="C2018" s="1" t="s">
        <v>2058</v>
      </c>
      <c r="D2018" s="39">
        <v>0</v>
      </c>
      <c r="E2018" s="1" t="s">
        <v>1</v>
      </c>
      <c r="F2018" s="39">
        <v>0</v>
      </c>
    </row>
    <row r="2019" spans="1:6" x14ac:dyDescent="0.25">
      <c r="A2019" s="1">
        <v>9002103</v>
      </c>
      <c r="B2019" s="1" t="s">
        <v>3428</v>
      </c>
      <c r="C2019" s="1" t="s">
        <v>2058</v>
      </c>
      <c r="D2019" s="39">
        <v>0</v>
      </c>
      <c r="E2019" s="1" t="s">
        <v>1</v>
      </c>
      <c r="F2019" s="39">
        <v>0</v>
      </c>
    </row>
    <row r="2020" spans="1:6" x14ac:dyDescent="0.25">
      <c r="A2020" s="1">
        <v>9002195</v>
      </c>
      <c r="B2020" s="1" t="s">
        <v>3429</v>
      </c>
      <c r="C2020" s="1" t="s">
        <v>2058</v>
      </c>
      <c r="D2020" s="39">
        <v>0</v>
      </c>
      <c r="E2020" s="1" t="s">
        <v>1</v>
      </c>
      <c r="F2020" s="39">
        <v>0</v>
      </c>
    </row>
    <row r="2021" spans="1:6" x14ac:dyDescent="0.25">
      <c r="A2021" s="1">
        <v>9002240</v>
      </c>
      <c r="B2021" s="1" t="s">
        <v>3430</v>
      </c>
      <c r="C2021" s="1" t="s">
        <v>2058</v>
      </c>
      <c r="D2021" s="39">
        <v>0</v>
      </c>
      <c r="E2021" s="1" t="s">
        <v>1</v>
      </c>
      <c r="F2021" s="39">
        <v>0</v>
      </c>
    </row>
    <row r="2022" spans="1:6" x14ac:dyDescent="0.25">
      <c r="A2022" s="1">
        <v>9002247</v>
      </c>
      <c r="B2022" s="1" t="s">
        <v>3431</v>
      </c>
      <c r="C2022" s="1" t="s">
        <v>2058</v>
      </c>
      <c r="D2022" s="39">
        <v>0</v>
      </c>
      <c r="E2022" s="1" t="s">
        <v>1</v>
      </c>
      <c r="F2022" s="39">
        <v>0</v>
      </c>
    </row>
    <row r="2023" spans="1:6" x14ac:dyDescent="0.25">
      <c r="A2023" s="1">
        <v>9002542</v>
      </c>
      <c r="B2023" s="1" t="s">
        <v>3432</v>
      </c>
      <c r="C2023" s="1" t="s">
        <v>2058</v>
      </c>
      <c r="D2023" s="39">
        <v>0</v>
      </c>
      <c r="E2023" s="1" t="s">
        <v>1</v>
      </c>
      <c r="F2023" s="39">
        <v>0</v>
      </c>
    </row>
    <row r="2024" spans="1:6" x14ac:dyDescent="0.25">
      <c r="A2024" s="1">
        <v>9002731</v>
      </c>
      <c r="B2024" s="1" t="s">
        <v>3433</v>
      </c>
      <c r="C2024" s="1" t="s">
        <v>2058</v>
      </c>
      <c r="D2024" s="39">
        <v>0</v>
      </c>
      <c r="E2024" s="1" t="s">
        <v>1</v>
      </c>
      <c r="F2024" s="39">
        <v>0</v>
      </c>
    </row>
    <row r="2025" spans="1:6" x14ac:dyDescent="0.25">
      <c r="A2025" s="1">
        <v>9002860</v>
      </c>
      <c r="B2025" s="1" t="s">
        <v>3434</v>
      </c>
      <c r="C2025" s="1" t="s">
        <v>2058</v>
      </c>
      <c r="D2025" s="39">
        <v>0</v>
      </c>
      <c r="E2025" s="1" t="s">
        <v>1</v>
      </c>
      <c r="F2025" s="39">
        <v>0</v>
      </c>
    </row>
    <row r="2026" spans="1:6" x14ac:dyDescent="0.25">
      <c r="A2026" s="1">
        <v>9003231</v>
      </c>
      <c r="B2026" s="1" t="s">
        <v>3435</v>
      </c>
      <c r="C2026" s="1" t="s">
        <v>2058</v>
      </c>
      <c r="D2026" s="39">
        <v>0</v>
      </c>
      <c r="E2026" s="1" t="s">
        <v>1</v>
      </c>
      <c r="F2026" s="39">
        <v>0</v>
      </c>
    </row>
    <row r="2027" spans="1:6" x14ac:dyDescent="0.25">
      <c r="A2027" s="1">
        <v>9003530</v>
      </c>
      <c r="B2027" s="1" t="s">
        <v>3436</v>
      </c>
      <c r="C2027" s="1" t="s">
        <v>2058</v>
      </c>
      <c r="D2027" s="39">
        <v>0</v>
      </c>
      <c r="E2027" s="1" t="s">
        <v>1</v>
      </c>
      <c r="F2027" s="39">
        <v>0</v>
      </c>
    </row>
    <row r="2028" spans="1:6" x14ac:dyDescent="0.25">
      <c r="A2028" s="1">
        <v>9004593</v>
      </c>
      <c r="B2028" s="1" t="s">
        <v>3437</v>
      </c>
      <c r="C2028" s="1" t="s">
        <v>2058</v>
      </c>
      <c r="D2028" s="39">
        <v>0</v>
      </c>
      <c r="E2028" s="1" t="s">
        <v>3371</v>
      </c>
      <c r="F2028" s="39">
        <v>0</v>
      </c>
    </row>
    <row r="2029" spans="1:6" x14ac:dyDescent="0.25">
      <c r="A2029" s="1">
        <v>9004641</v>
      </c>
      <c r="B2029" s="1" t="s">
        <v>3438</v>
      </c>
      <c r="C2029" s="1" t="s">
        <v>2058</v>
      </c>
      <c r="D2029" s="39">
        <v>0</v>
      </c>
      <c r="E2029" s="1" t="s">
        <v>1</v>
      </c>
      <c r="F2029" s="39">
        <v>0</v>
      </c>
    </row>
    <row r="2030" spans="1:6" x14ac:dyDescent="0.25">
      <c r="A2030" s="1">
        <v>9005175</v>
      </c>
      <c r="B2030" s="1" t="s">
        <v>3439</v>
      </c>
      <c r="C2030" s="1" t="s">
        <v>2058</v>
      </c>
      <c r="D2030" s="39">
        <v>0</v>
      </c>
      <c r="E2030" s="1" t="s">
        <v>1</v>
      </c>
      <c r="F2030" s="39">
        <v>0</v>
      </c>
    </row>
    <row r="2031" spans="1:6" x14ac:dyDescent="0.25">
      <c r="A2031" s="1">
        <v>9006174</v>
      </c>
      <c r="B2031" s="1" t="s">
        <v>3440</v>
      </c>
      <c r="C2031" s="1" t="s">
        <v>2058</v>
      </c>
      <c r="D2031" s="39">
        <v>0</v>
      </c>
      <c r="E2031" s="1" t="s">
        <v>1</v>
      </c>
      <c r="F2031" s="39">
        <v>0</v>
      </c>
    </row>
    <row r="2032" spans="1:6" x14ac:dyDescent="0.25">
      <c r="A2032" s="1">
        <v>9007293</v>
      </c>
      <c r="B2032" s="1" t="s">
        <v>3441</v>
      </c>
      <c r="C2032" s="1" t="s">
        <v>2058</v>
      </c>
      <c r="D2032" s="39">
        <v>0</v>
      </c>
      <c r="E2032" s="1" t="s">
        <v>1</v>
      </c>
      <c r="F2032" s="39">
        <v>0</v>
      </c>
    </row>
    <row r="2033" spans="1:6" x14ac:dyDescent="0.25">
      <c r="A2033" s="1">
        <v>9007350</v>
      </c>
      <c r="B2033" s="1" t="s">
        <v>3442</v>
      </c>
      <c r="C2033" s="1" t="s">
        <v>2058</v>
      </c>
      <c r="D2033" s="39">
        <v>0</v>
      </c>
      <c r="E2033" s="1" t="s">
        <v>1</v>
      </c>
      <c r="F2033" s="39">
        <v>0</v>
      </c>
    </row>
    <row r="2034" spans="1:6" x14ac:dyDescent="0.25">
      <c r="A2034" s="1">
        <v>9007440</v>
      </c>
      <c r="B2034" s="1" t="s">
        <v>3443</v>
      </c>
      <c r="C2034" s="1" t="s">
        <v>2058</v>
      </c>
      <c r="D2034" s="39">
        <v>0</v>
      </c>
      <c r="E2034" s="1" t="s">
        <v>1</v>
      </c>
      <c r="F2034" s="39">
        <v>0</v>
      </c>
    </row>
    <row r="2035" spans="1:6" x14ac:dyDescent="0.25">
      <c r="A2035" s="1">
        <v>11003731</v>
      </c>
      <c r="B2035" s="1" t="s">
        <v>3444</v>
      </c>
      <c r="C2035" s="1" t="s">
        <v>2058</v>
      </c>
      <c r="D2035" s="39">
        <v>0</v>
      </c>
      <c r="E2035" s="1" t="s">
        <v>3371</v>
      </c>
      <c r="F2035" s="39">
        <v>0</v>
      </c>
    </row>
    <row r="2036" spans="1:6" x14ac:dyDescent="0.25">
      <c r="A2036" s="1">
        <v>12000099</v>
      </c>
      <c r="B2036" s="1" t="s">
        <v>3445</v>
      </c>
      <c r="C2036" s="1" t="s">
        <v>2058</v>
      </c>
      <c r="D2036" s="39">
        <v>1</v>
      </c>
      <c r="E2036" s="1" t="s">
        <v>1</v>
      </c>
      <c r="F2036" s="3">
        <v>560</v>
      </c>
    </row>
    <row r="2037" spans="1:6" x14ac:dyDescent="0.25">
      <c r="A2037" s="1">
        <v>12000130</v>
      </c>
      <c r="B2037" s="1" t="s">
        <v>3446</v>
      </c>
      <c r="C2037" s="1" t="s">
        <v>2058</v>
      </c>
      <c r="D2037" s="39">
        <v>0</v>
      </c>
      <c r="E2037" s="1" t="s">
        <v>1</v>
      </c>
      <c r="F2037" s="39">
        <v>0</v>
      </c>
    </row>
    <row r="2038" spans="1:6" x14ac:dyDescent="0.25">
      <c r="A2038" s="1">
        <v>12000140</v>
      </c>
      <c r="B2038" s="1" t="s">
        <v>3447</v>
      </c>
      <c r="C2038" s="1" t="s">
        <v>2058</v>
      </c>
      <c r="D2038" s="39">
        <v>0</v>
      </c>
      <c r="E2038" s="1" t="s">
        <v>1</v>
      </c>
      <c r="F2038" s="39">
        <v>0</v>
      </c>
    </row>
    <row r="2039" spans="1:6" x14ac:dyDescent="0.25">
      <c r="A2039" s="1">
        <v>12000231</v>
      </c>
      <c r="B2039" s="1" t="s">
        <v>3448</v>
      </c>
      <c r="C2039" s="1" t="s">
        <v>2058</v>
      </c>
      <c r="D2039" s="39">
        <v>0</v>
      </c>
      <c r="E2039" s="1" t="s">
        <v>1</v>
      </c>
      <c r="F2039" s="39">
        <v>0</v>
      </c>
    </row>
    <row r="2040" spans="1:6" x14ac:dyDescent="0.25">
      <c r="A2040" s="1">
        <v>12000364</v>
      </c>
      <c r="B2040" s="1" t="s">
        <v>3449</v>
      </c>
      <c r="C2040" s="1" t="s">
        <v>2058</v>
      </c>
      <c r="D2040" s="39">
        <v>0</v>
      </c>
      <c r="E2040" s="1" t="s">
        <v>1</v>
      </c>
      <c r="F2040" s="39">
        <v>0</v>
      </c>
    </row>
    <row r="2041" spans="1:6" x14ac:dyDescent="0.25">
      <c r="A2041" s="1">
        <v>12000445</v>
      </c>
      <c r="B2041" s="1" t="s">
        <v>3450</v>
      </c>
      <c r="C2041" s="1" t="s">
        <v>2058</v>
      </c>
      <c r="D2041" s="39">
        <v>0</v>
      </c>
      <c r="E2041" s="1" t="s">
        <v>1</v>
      </c>
      <c r="F2041" s="39">
        <v>0</v>
      </c>
    </row>
    <row r="2042" spans="1:6" x14ac:dyDescent="0.25">
      <c r="A2042" s="1">
        <v>12000642</v>
      </c>
      <c r="B2042" s="1" t="s">
        <v>3451</v>
      </c>
      <c r="C2042" s="1" t="s">
        <v>2058</v>
      </c>
      <c r="D2042" s="39">
        <v>0</v>
      </c>
      <c r="E2042" s="1" t="s">
        <v>1</v>
      </c>
      <c r="F2042" s="39">
        <v>0</v>
      </c>
    </row>
    <row r="2043" spans="1:6" x14ac:dyDescent="0.25">
      <c r="A2043" s="1">
        <v>12000921</v>
      </c>
      <c r="B2043" s="1" t="s">
        <v>3452</v>
      </c>
      <c r="C2043" s="1" t="s">
        <v>2058</v>
      </c>
      <c r="D2043" s="39">
        <v>0</v>
      </c>
      <c r="E2043" s="1" t="s">
        <v>1</v>
      </c>
      <c r="F2043" s="39">
        <v>0</v>
      </c>
    </row>
    <row r="2044" spans="1:6" x14ac:dyDescent="0.25">
      <c r="A2044" s="1">
        <v>12001280</v>
      </c>
      <c r="B2044" s="1" t="s">
        <v>3453</v>
      </c>
      <c r="C2044" s="1" t="s">
        <v>2058</v>
      </c>
      <c r="D2044" s="39">
        <v>0</v>
      </c>
      <c r="E2044" s="1" t="s">
        <v>1</v>
      </c>
      <c r="F2044" s="39">
        <v>0</v>
      </c>
    </row>
    <row r="2045" spans="1:6" x14ac:dyDescent="0.25">
      <c r="A2045" s="1">
        <v>12003006</v>
      </c>
      <c r="B2045" s="1" t="s">
        <v>3454</v>
      </c>
      <c r="C2045" s="1" t="s">
        <v>2058</v>
      </c>
      <c r="D2045" s="39">
        <v>0</v>
      </c>
      <c r="E2045" s="1" t="s">
        <v>1</v>
      </c>
      <c r="F2045" s="39">
        <v>0</v>
      </c>
    </row>
    <row r="2046" spans="1:6" x14ac:dyDescent="0.25">
      <c r="A2046" s="1">
        <v>12003007</v>
      </c>
      <c r="B2046" s="1" t="s">
        <v>3455</v>
      </c>
      <c r="C2046" s="1" t="s">
        <v>2058</v>
      </c>
      <c r="D2046" s="39">
        <v>0</v>
      </c>
      <c r="E2046" s="1" t="s">
        <v>1</v>
      </c>
      <c r="F2046" s="39">
        <v>0</v>
      </c>
    </row>
    <row r="2047" spans="1:6" x14ac:dyDescent="0.25">
      <c r="A2047" s="1">
        <v>12005124</v>
      </c>
      <c r="B2047" s="1" t="s">
        <v>3456</v>
      </c>
      <c r="C2047" s="1" t="s">
        <v>2058</v>
      </c>
      <c r="D2047" s="39">
        <v>500</v>
      </c>
      <c r="E2047" s="1" t="s">
        <v>1</v>
      </c>
      <c r="F2047" s="3">
        <v>29351</v>
      </c>
    </row>
    <row r="2048" spans="1:6" x14ac:dyDescent="0.25">
      <c r="A2048" s="1">
        <v>12005125</v>
      </c>
      <c r="B2048" s="1" t="s">
        <v>3457</v>
      </c>
      <c r="C2048" s="1" t="s">
        <v>2058</v>
      </c>
      <c r="D2048" s="39">
        <v>1000</v>
      </c>
      <c r="E2048" s="1" t="s">
        <v>1</v>
      </c>
      <c r="F2048" s="3">
        <v>690</v>
      </c>
    </row>
    <row r="2049" spans="1:6" x14ac:dyDescent="0.25">
      <c r="A2049" s="1">
        <v>12005127</v>
      </c>
      <c r="B2049" s="1" t="s">
        <v>3458</v>
      </c>
      <c r="C2049" s="1" t="s">
        <v>2058</v>
      </c>
      <c r="D2049" s="39">
        <v>0</v>
      </c>
      <c r="E2049" s="1" t="s">
        <v>1</v>
      </c>
      <c r="F2049" s="39">
        <v>0</v>
      </c>
    </row>
    <row r="2050" spans="1:6" x14ac:dyDescent="0.25">
      <c r="A2050" s="1">
        <v>14000119</v>
      </c>
      <c r="B2050" s="1" t="s">
        <v>3459</v>
      </c>
      <c r="C2050" s="1" t="s">
        <v>2058</v>
      </c>
      <c r="D2050" s="39">
        <v>0</v>
      </c>
      <c r="E2050" s="1" t="s">
        <v>2401</v>
      </c>
      <c r="F2050" s="39">
        <v>0</v>
      </c>
    </row>
    <row r="2051" spans="1:6" x14ac:dyDescent="0.25">
      <c r="A2051" s="1">
        <v>14000347</v>
      </c>
      <c r="B2051" s="1" t="s">
        <v>3460</v>
      </c>
      <c r="C2051" s="1" t="s">
        <v>2058</v>
      </c>
      <c r="D2051" s="39">
        <v>0</v>
      </c>
      <c r="E2051" s="1" t="s">
        <v>3</v>
      </c>
      <c r="F2051" s="39">
        <v>0</v>
      </c>
    </row>
    <row r="2052" spans="1:6" x14ac:dyDescent="0.25">
      <c r="A2052" s="1">
        <v>14000760</v>
      </c>
      <c r="B2052" s="1" t="s">
        <v>370</v>
      </c>
      <c r="C2052" s="1" t="s">
        <v>2058</v>
      </c>
      <c r="D2052" s="39">
        <v>36813</v>
      </c>
      <c r="E2052" s="1" t="s">
        <v>1</v>
      </c>
      <c r="F2052" s="3">
        <v>12079.01</v>
      </c>
    </row>
    <row r="2053" spans="1:6" x14ac:dyDescent="0.25">
      <c r="A2053" s="1">
        <v>14003624</v>
      </c>
      <c r="B2053" s="1" t="s">
        <v>3461</v>
      </c>
      <c r="C2053" s="1" t="s">
        <v>2058</v>
      </c>
      <c r="D2053" s="39">
        <v>10</v>
      </c>
      <c r="E2053" s="1" t="s">
        <v>1</v>
      </c>
      <c r="F2053" s="3">
        <v>1744.45</v>
      </c>
    </row>
    <row r="2054" spans="1:6" x14ac:dyDescent="0.25">
      <c r="A2054" s="1">
        <v>14003625</v>
      </c>
      <c r="B2054" s="1" t="s">
        <v>3462</v>
      </c>
      <c r="C2054" s="1" t="s">
        <v>2058</v>
      </c>
      <c r="D2054" s="39">
        <v>167</v>
      </c>
      <c r="E2054" s="1" t="s">
        <v>1</v>
      </c>
      <c r="F2054" s="3">
        <v>49171.4</v>
      </c>
    </row>
    <row r="2055" spans="1:6" x14ac:dyDescent="0.25">
      <c r="A2055" s="1">
        <v>14003986</v>
      </c>
      <c r="B2055" s="1" t="s">
        <v>3463</v>
      </c>
      <c r="C2055" s="1" t="s">
        <v>2058</v>
      </c>
      <c r="D2055" s="39">
        <v>4</v>
      </c>
      <c r="E2055" s="1" t="s">
        <v>1</v>
      </c>
      <c r="F2055" s="3">
        <v>2229.6999999999998</v>
      </c>
    </row>
    <row r="2056" spans="1:6" x14ac:dyDescent="0.25">
      <c r="A2056" s="1">
        <v>14004001</v>
      </c>
      <c r="B2056" s="1" t="s">
        <v>3464</v>
      </c>
      <c r="C2056" s="1" t="s">
        <v>2058</v>
      </c>
      <c r="D2056" s="39">
        <v>3</v>
      </c>
      <c r="E2056" s="1" t="s">
        <v>1</v>
      </c>
      <c r="F2056" s="3">
        <v>710.84</v>
      </c>
    </row>
    <row r="2057" spans="1:6" x14ac:dyDescent="0.25">
      <c r="A2057" s="1">
        <v>14004057</v>
      </c>
      <c r="B2057" s="1" t="s">
        <v>3465</v>
      </c>
      <c r="C2057" s="1" t="s">
        <v>2058</v>
      </c>
      <c r="D2057" s="39">
        <v>9</v>
      </c>
      <c r="E2057" s="1" t="s">
        <v>1</v>
      </c>
      <c r="F2057" s="3">
        <v>625.51</v>
      </c>
    </row>
    <row r="2058" spans="1:6" x14ac:dyDescent="0.25">
      <c r="A2058" s="1" t="s">
        <v>3466</v>
      </c>
      <c r="B2058" s="1" t="s">
        <v>3467</v>
      </c>
      <c r="C2058" s="1" t="s">
        <v>2058</v>
      </c>
      <c r="D2058" s="39">
        <v>0</v>
      </c>
      <c r="E2058" s="1" t="s">
        <v>1</v>
      </c>
      <c r="F2058" s="39">
        <v>0</v>
      </c>
    </row>
    <row r="2059" spans="1:6" x14ac:dyDescent="0.25">
      <c r="A2059" s="1" t="s">
        <v>3468</v>
      </c>
      <c r="B2059" s="1" t="s">
        <v>3469</v>
      </c>
      <c r="C2059" s="1" t="s">
        <v>2058</v>
      </c>
      <c r="D2059" s="39">
        <v>0</v>
      </c>
      <c r="E2059" s="1" t="s">
        <v>1</v>
      </c>
      <c r="F2059" s="39">
        <v>0</v>
      </c>
    </row>
    <row r="2060" spans="1:6" x14ac:dyDescent="0.25">
      <c r="A2060" s="1" t="s">
        <v>3470</v>
      </c>
      <c r="B2060" s="1" t="s">
        <v>3471</v>
      </c>
      <c r="C2060" s="1" t="s">
        <v>2058</v>
      </c>
      <c r="D2060" s="39">
        <v>0</v>
      </c>
      <c r="E2060" s="1" t="s">
        <v>1</v>
      </c>
      <c r="F2060" s="39">
        <v>0</v>
      </c>
    </row>
    <row r="2061" spans="1:6" x14ac:dyDescent="0.25">
      <c r="A2061" s="1" t="s">
        <v>3472</v>
      </c>
      <c r="B2061" s="1" t="s">
        <v>3473</v>
      </c>
      <c r="C2061" s="1" t="s">
        <v>2058</v>
      </c>
      <c r="D2061" s="39">
        <v>0</v>
      </c>
      <c r="E2061" s="1" t="s">
        <v>1</v>
      </c>
      <c r="F2061" s="39">
        <v>0</v>
      </c>
    </row>
    <row r="2062" spans="1:6" x14ac:dyDescent="0.25">
      <c r="A2062" s="1" t="s">
        <v>3474</v>
      </c>
      <c r="B2062" s="1" t="s">
        <v>3475</v>
      </c>
      <c r="C2062" s="1" t="s">
        <v>2058</v>
      </c>
      <c r="D2062" s="39">
        <v>0</v>
      </c>
      <c r="E2062" s="1" t="s">
        <v>1</v>
      </c>
      <c r="F2062" s="39">
        <v>0</v>
      </c>
    </row>
    <row r="2063" spans="1:6" x14ac:dyDescent="0.25">
      <c r="A2063" s="1" t="s">
        <v>3476</v>
      </c>
      <c r="B2063" s="1" t="s">
        <v>3477</v>
      </c>
      <c r="C2063" s="1" t="s">
        <v>2058</v>
      </c>
      <c r="D2063" s="39">
        <v>0</v>
      </c>
      <c r="E2063" s="1" t="s">
        <v>1</v>
      </c>
      <c r="F2063" s="39">
        <v>0</v>
      </c>
    </row>
    <row r="2064" spans="1:6" x14ac:dyDescent="0.25">
      <c r="A2064" s="1" t="s">
        <v>1970</v>
      </c>
      <c r="B2064" s="1" t="s">
        <v>3478</v>
      </c>
      <c r="C2064" s="1" t="s">
        <v>2058</v>
      </c>
      <c r="D2064" s="39">
        <v>18480</v>
      </c>
      <c r="E2064" s="1" t="s">
        <v>1</v>
      </c>
      <c r="F2064" s="3">
        <v>22933.68</v>
      </c>
    </row>
    <row r="2065" spans="1:6" x14ac:dyDescent="0.25">
      <c r="A2065" s="1" t="s">
        <v>1971</v>
      </c>
      <c r="B2065" s="1" t="s">
        <v>3479</v>
      </c>
      <c r="C2065" s="1" t="s">
        <v>2058</v>
      </c>
      <c r="D2065" s="39">
        <v>42768</v>
      </c>
      <c r="E2065" s="1" t="s">
        <v>1</v>
      </c>
      <c r="F2065" s="3">
        <v>54122.9</v>
      </c>
    </row>
    <row r="2066" spans="1:6" x14ac:dyDescent="0.25">
      <c r="A2066" s="1" t="s">
        <v>1972</v>
      </c>
      <c r="B2066" s="1" t="s">
        <v>3480</v>
      </c>
      <c r="C2066" s="1" t="s">
        <v>2058</v>
      </c>
      <c r="D2066" s="39">
        <v>1488</v>
      </c>
      <c r="E2066" s="1" t="s">
        <v>1</v>
      </c>
      <c r="F2066" s="3">
        <v>1843.63</v>
      </c>
    </row>
    <row r="2067" spans="1:6" x14ac:dyDescent="0.25">
      <c r="A2067" s="1" t="s">
        <v>1975</v>
      </c>
      <c r="B2067" s="1" t="s">
        <v>3481</v>
      </c>
      <c r="C2067" s="1" t="s">
        <v>2058</v>
      </c>
      <c r="D2067" s="39">
        <v>24672</v>
      </c>
      <c r="E2067" s="1" t="s">
        <v>1</v>
      </c>
      <c r="F2067" s="3">
        <v>32552.240000000002</v>
      </c>
    </row>
    <row r="2068" spans="1:6" x14ac:dyDescent="0.25">
      <c r="A2068" s="1" t="s">
        <v>1974</v>
      </c>
      <c r="B2068" s="1" t="s">
        <v>3482</v>
      </c>
      <c r="C2068" s="1" t="s">
        <v>2058</v>
      </c>
      <c r="D2068" s="39">
        <v>43008</v>
      </c>
      <c r="E2068" s="1" t="s">
        <v>1</v>
      </c>
      <c r="F2068" s="3">
        <v>52099.89</v>
      </c>
    </row>
    <row r="2069" spans="1:6" x14ac:dyDescent="0.25">
      <c r="A2069" s="1" t="s">
        <v>1973</v>
      </c>
      <c r="B2069" s="1" t="s">
        <v>3483</v>
      </c>
      <c r="C2069" s="1" t="s">
        <v>2058</v>
      </c>
      <c r="D2069" s="39">
        <v>12672</v>
      </c>
      <c r="E2069" s="1" t="s">
        <v>1</v>
      </c>
      <c r="F2069" s="3">
        <v>15302.71</v>
      </c>
    </row>
    <row r="2070" spans="1:6" x14ac:dyDescent="0.25">
      <c r="A2070" s="1" t="s">
        <v>3484</v>
      </c>
      <c r="B2070" s="1" t="s">
        <v>3485</v>
      </c>
      <c r="C2070" s="1" t="s">
        <v>2058</v>
      </c>
      <c r="D2070" s="39">
        <v>0</v>
      </c>
      <c r="E2070" s="1" t="s">
        <v>1</v>
      </c>
      <c r="F2070" s="39">
        <v>0</v>
      </c>
    </row>
    <row r="2071" spans="1:6" x14ac:dyDescent="0.25">
      <c r="A2071" s="1" t="s">
        <v>3486</v>
      </c>
      <c r="B2071" s="1" t="s">
        <v>3487</v>
      </c>
      <c r="C2071" s="1" t="s">
        <v>2058</v>
      </c>
      <c r="D2071" s="39">
        <v>0</v>
      </c>
      <c r="E2071" s="1" t="s">
        <v>1</v>
      </c>
      <c r="F2071" s="39">
        <v>0</v>
      </c>
    </row>
    <row r="2072" spans="1:6" x14ac:dyDescent="0.25">
      <c r="A2072" s="1" t="s">
        <v>1976</v>
      </c>
      <c r="B2072" s="1" t="s">
        <v>3488</v>
      </c>
      <c r="C2072" s="1" t="s">
        <v>2058</v>
      </c>
      <c r="D2072" s="39">
        <v>48960</v>
      </c>
      <c r="E2072" s="1" t="s">
        <v>1</v>
      </c>
      <c r="F2072" s="3">
        <v>59050.65</v>
      </c>
    </row>
    <row r="2073" spans="1:6" x14ac:dyDescent="0.25">
      <c r="A2073" s="1" t="s">
        <v>1977</v>
      </c>
      <c r="B2073" s="1" t="s">
        <v>3489</v>
      </c>
      <c r="C2073" s="1" t="s">
        <v>2058</v>
      </c>
      <c r="D2073" s="39">
        <v>18768</v>
      </c>
      <c r="E2073" s="1" t="s">
        <v>1</v>
      </c>
      <c r="F2073" s="3">
        <v>22728.05</v>
      </c>
    </row>
    <row r="2074" spans="1:6" x14ac:dyDescent="0.25">
      <c r="A2074" s="1" t="s">
        <v>1978</v>
      </c>
      <c r="B2074" s="1" t="s">
        <v>3490</v>
      </c>
      <c r="C2074" s="1" t="s">
        <v>2058</v>
      </c>
      <c r="D2074" s="39">
        <v>12000</v>
      </c>
      <c r="E2074" s="1" t="s">
        <v>1</v>
      </c>
      <c r="F2074" s="3">
        <v>15260.4</v>
      </c>
    </row>
    <row r="2075" spans="1:6" x14ac:dyDescent="0.25">
      <c r="A2075" s="1" t="s">
        <v>3491</v>
      </c>
      <c r="B2075" s="1" t="s">
        <v>3492</v>
      </c>
      <c r="C2075" s="1" t="s">
        <v>2058</v>
      </c>
      <c r="D2075" s="39">
        <v>0</v>
      </c>
      <c r="E2075" s="1" t="s">
        <v>1</v>
      </c>
      <c r="F2075" s="39">
        <v>0</v>
      </c>
    </row>
    <row r="2076" spans="1:6" x14ac:dyDescent="0.25">
      <c r="A2076" s="1" t="s">
        <v>3493</v>
      </c>
      <c r="B2076" s="1" t="s">
        <v>3494</v>
      </c>
      <c r="C2076" s="1" t="s">
        <v>2058</v>
      </c>
      <c r="D2076" s="39">
        <v>0</v>
      </c>
      <c r="E2076" s="1" t="s">
        <v>1</v>
      </c>
      <c r="F2076" s="39">
        <v>0</v>
      </c>
    </row>
    <row r="2077" spans="1:6" x14ac:dyDescent="0.25">
      <c r="A2077" s="1" t="s">
        <v>3495</v>
      </c>
      <c r="B2077" s="1" t="s">
        <v>3496</v>
      </c>
      <c r="C2077" s="1" t="s">
        <v>2058</v>
      </c>
      <c r="D2077" s="39">
        <v>0</v>
      </c>
      <c r="E2077" s="1" t="s">
        <v>1</v>
      </c>
      <c r="F2077" s="39">
        <v>0</v>
      </c>
    </row>
    <row r="2078" spans="1:6" x14ac:dyDescent="0.25">
      <c r="A2078" s="1" t="s">
        <v>3497</v>
      </c>
      <c r="B2078" s="1" t="s">
        <v>3494</v>
      </c>
      <c r="C2078" s="1" t="s">
        <v>2058</v>
      </c>
      <c r="D2078" s="39">
        <v>0</v>
      </c>
      <c r="E2078" s="1" t="s">
        <v>1</v>
      </c>
      <c r="F2078" s="39">
        <v>0</v>
      </c>
    </row>
    <row r="2079" spans="1:6" x14ac:dyDescent="0.25">
      <c r="A2079" s="1" t="s">
        <v>1979</v>
      </c>
      <c r="B2079" s="1" t="s">
        <v>3498</v>
      </c>
      <c r="C2079" s="1" t="s">
        <v>2058</v>
      </c>
      <c r="D2079" s="39">
        <v>528</v>
      </c>
      <c r="E2079" s="1" t="s">
        <v>1</v>
      </c>
      <c r="F2079" s="3">
        <v>775.42</v>
      </c>
    </row>
    <row r="2080" spans="1:6" x14ac:dyDescent="0.25">
      <c r="A2080" s="1" t="s">
        <v>1980</v>
      </c>
      <c r="B2080" s="1" t="s">
        <v>3499</v>
      </c>
      <c r="C2080" s="1" t="s">
        <v>2058</v>
      </c>
      <c r="D2080" s="39">
        <v>7728</v>
      </c>
      <c r="E2080" s="1" t="s">
        <v>1</v>
      </c>
      <c r="F2080" s="3">
        <v>10725.69</v>
      </c>
    </row>
    <row r="2081" spans="1:6" x14ac:dyDescent="0.25">
      <c r="A2081" s="1" t="s">
        <v>1981</v>
      </c>
      <c r="B2081" s="1" t="s">
        <v>3500</v>
      </c>
      <c r="C2081" s="1" t="s">
        <v>2058</v>
      </c>
      <c r="D2081" s="39">
        <v>592</v>
      </c>
      <c r="E2081" s="1" t="s">
        <v>1</v>
      </c>
      <c r="F2081" s="3">
        <v>859.52</v>
      </c>
    </row>
    <row r="2082" spans="1:6" x14ac:dyDescent="0.25">
      <c r="A2082" s="1" t="s">
        <v>1984</v>
      </c>
      <c r="B2082" s="1" t="s">
        <v>3501</v>
      </c>
      <c r="C2082" s="1" t="s">
        <v>2058</v>
      </c>
      <c r="D2082" s="39">
        <v>192</v>
      </c>
      <c r="E2082" s="1" t="s">
        <v>1</v>
      </c>
      <c r="F2082" s="3">
        <v>335.6</v>
      </c>
    </row>
    <row r="2083" spans="1:6" x14ac:dyDescent="0.25">
      <c r="A2083" s="1" t="s">
        <v>1983</v>
      </c>
      <c r="B2083" s="1" t="s">
        <v>3502</v>
      </c>
      <c r="C2083" s="1" t="s">
        <v>2058</v>
      </c>
      <c r="D2083" s="39">
        <v>30528</v>
      </c>
      <c r="E2083" s="1" t="s">
        <v>1</v>
      </c>
      <c r="F2083" s="3">
        <v>40397.699999999997</v>
      </c>
    </row>
    <row r="2084" spans="1:6" x14ac:dyDescent="0.25">
      <c r="A2084" s="1" t="s">
        <v>1982</v>
      </c>
      <c r="B2084" s="1" t="s">
        <v>3503</v>
      </c>
      <c r="C2084" s="1" t="s">
        <v>2058</v>
      </c>
      <c r="D2084" s="39">
        <v>12096</v>
      </c>
      <c r="E2084" s="1" t="s">
        <v>1</v>
      </c>
      <c r="F2084" s="3">
        <v>16720.3</v>
      </c>
    </row>
    <row r="2085" spans="1:6" x14ac:dyDescent="0.25">
      <c r="A2085" s="1" t="s">
        <v>3504</v>
      </c>
      <c r="B2085" s="1" t="s">
        <v>3505</v>
      </c>
      <c r="C2085" s="1" t="s">
        <v>2058</v>
      </c>
      <c r="D2085" s="39">
        <v>0</v>
      </c>
      <c r="E2085" s="1" t="s">
        <v>1</v>
      </c>
      <c r="F2085" s="39">
        <v>0</v>
      </c>
    </row>
    <row r="2086" spans="1:6" x14ac:dyDescent="0.25">
      <c r="A2086" s="1" t="s">
        <v>3506</v>
      </c>
      <c r="B2086" s="1" t="s">
        <v>3507</v>
      </c>
      <c r="C2086" s="1" t="s">
        <v>2058</v>
      </c>
      <c r="D2086" s="39">
        <v>0</v>
      </c>
      <c r="E2086" s="1" t="s">
        <v>1</v>
      </c>
      <c r="F2086" s="39">
        <v>0</v>
      </c>
    </row>
    <row r="2087" spans="1:6" x14ac:dyDescent="0.25">
      <c r="A2087" s="1" t="s">
        <v>3508</v>
      </c>
      <c r="B2087" s="1" t="s">
        <v>3505</v>
      </c>
      <c r="C2087" s="1" t="s">
        <v>2058</v>
      </c>
      <c r="D2087" s="39">
        <v>0</v>
      </c>
      <c r="E2087" s="1" t="s">
        <v>1</v>
      </c>
      <c r="F2087" s="39">
        <v>0</v>
      </c>
    </row>
    <row r="2088" spans="1:6" x14ac:dyDescent="0.25">
      <c r="A2088" s="1" t="s">
        <v>1985</v>
      </c>
      <c r="B2088" s="1" t="s">
        <v>3509</v>
      </c>
      <c r="C2088" s="1" t="s">
        <v>2058</v>
      </c>
      <c r="D2088" s="39">
        <v>0</v>
      </c>
      <c r="E2088" s="1" t="s">
        <v>1</v>
      </c>
      <c r="F2088" s="39">
        <v>0</v>
      </c>
    </row>
    <row r="2089" spans="1:6" x14ac:dyDescent="0.25">
      <c r="A2089" s="1" t="s">
        <v>1986</v>
      </c>
      <c r="B2089" s="1" t="s">
        <v>3510</v>
      </c>
      <c r="C2089" s="1" t="s">
        <v>2058</v>
      </c>
      <c r="D2089" s="39">
        <v>5472</v>
      </c>
      <c r="E2089" s="1" t="s">
        <v>1</v>
      </c>
      <c r="F2089" s="3">
        <v>14804.5</v>
      </c>
    </row>
    <row r="2090" spans="1:6" x14ac:dyDescent="0.25">
      <c r="A2090" s="1" t="s">
        <v>1987</v>
      </c>
      <c r="B2090" s="1" t="s">
        <v>3511</v>
      </c>
      <c r="C2090" s="1" t="s">
        <v>2058</v>
      </c>
      <c r="D2090" s="39">
        <v>0</v>
      </c>
      <c r="E2090" s="1" t="s">
        <v>1</v>
      </c>
      <c r="F2090" s="39">
        <v>0</v>
      </c>
    </row>
    <row r="2091" spans="1:6" x14ac:dyDescent="0.25">
      <c r="A2091" s="1" t="s">
        <v>3512</v>
      </c>
      <c r="B2091" s="1" t="s">
        <v>3513</v>
      </c>
      <c r="C2091" s="1" t="s">
        <v>2058</v>
      </c>
      <c r="D2091" s="39">
        <v>0</v>
      </c>
      <c r="E2091" s="1" t="s">
        <v>1</v>
      </c>
      <c r="F2091" s="39">
        <v>0</v>
      </c>
    </row>
    <row r="2092" spans="1:6" x14ac:dyDescent="0.25">
      <c r="A2092" s="1" t="s">
        <v>3514</v>
      </c>
      <c r="B2092" s="1" t="s">
        <v>3515</v>
      </c>
      <c r="C2092" s="1" t="s">
        <v>2058</v>
      </c>
      <c r="D2092" s="39">
        <v>0</v>
      </c>
      <c r="E2092" s="1" t="s">
        <v>1</v>
      </c>
      <c r="F2092" s="39">
        <v>0</v>
      </c>
    </row>
    <row r="2093" spans="1:6" x14ac:dyDescent="0.25">
      <c r="A2093" s="1" t="s">
        <v>3516</v>
      </c>
      <c r="B2093" s="1" t="s">
        <v>3517</v>
      </c>
      <c r="C2093" s="1" t="s">
        <v>2058</v>
      </c>
      <c r="D2093" s="39">
        <v>0</v>
      </c>
      <c r="E2093" s="1" t="s">
        <v>1</v>
      </c>
      <c r="F2093" s="39">
        <v>0</v>
      </c>
    </row>
    <row r="2094" spans="1:6" x14ac:dyDescent="0.25">
      <c r="A2094" s="1" t="s">
        <v>3518</v>
      </c>
      <c r="B2094" s="1" t="s">
        <v>3519</v>
      </c>
      <c r="C2094" s="1" t="s">
        <v>2058</v>
      </c>
      <c r="D2094" s="39">
        <v>0</v>
      </c>
      <c r="E2094" s="1" t="s">
        <v>1</v>
      </c>
      <c r="F2094" s="39">
        <v>0</v>
      </c>
    </row>
    <row r="2095" spans="1:6" x14ac:dyDescent="0.25">
      <c r="A2095" s="1" t="s">
        <v>3520</v>
      </c>
      <c r="B2095" s="1" t="s">
        <v>3521</v>
      </c>
      <c r="C2095" s="1" t="s">
        <v>2058</v>
      </c>
      <c r="D2095" s="39">
        <v>0</v>
      </c>
      <c r="E2095" s="1" t="s">
        <v>1</v>
      </c>
      <c r="F2095" s="39">
        <v>0</v>
      </c>
    </row>
    <row r="2096" spans="1:6" x14ac:dyDescent="0.25">
      <c r="A2096" s="1" t="s">
        <v>3522</v>
      </c>
      <c r="B2096" s="1" t="s">
        <v>3519</v>
      </c>
      <c r="C2096" s="1" t="s">
        <v>2058</v>
      </c>
      <c r="D2096" s="39">
        <v>0</v>
      </c>
      <c r="E2096" s="1" t="s">
        <v>1</v>
      </c>
      <c r="F2096" s="39">
        <v>0</v>
      </c>
    </row>
    <row r="2097" spans="1:6" x14ac:dyDescent="0.25">
      <c r="A2097" s="1" t="s">
        <v>3523</v>
      </c>
      <c r="B2097" s="1" t="s">
        <v>3524</v>
      </c>
      <c r="C2097" s="1" t="s">
        <v>2058</v>
      </c>
      <c r="D2097" s="39">
        <v>0</v>
      </c>
      <c r="E2097" s="1" t="s">
        <v>1</v>
      </c>
      <c r="F2097" s="39">
        <v>0</v>
      </c>
    </row>
    <row r="2098" spans="1:6" x14ac:dyDescent="0.25">
      <c r="A2098" s="1" t="s">
        <v>3525</v>
      </c>
      <c r="B2098" s="1" t="s">
        <v>3526</v>
      </c>
      <c r="C2098" s="1" t="s">
        <v>2058</v>
      </c>
      <c r="D2098" s="39">
        <v>0</v>
      </c>
      <c r="E2098" s="1" t="s">
        <v>1</v>
      </c>
      <c r="F2098" s="39">
        <v>0</v>
      </c>
    </row>
    <row r="2099" spans="1:6" x14ac:dyDescent="0.25">
      <c r="A2099" s="1" t="s">
        <v>3527</v>
      </c>
      <c r="B2099" s="1" t="s">
        <v>3528</v>
      </c>
      <c r="C2099" s="1" t="s">
        <v>2058</v>
      </c>
      <c r="D2099" s="39">
        <v>0</v>
      </c>
      <c r="E2099" s="1" t="s">
        <v>1</v>
      </c>
      <c r="F2099" s="39">
        <v>0</v>
      </c>
    </row>
    <row r="2100" spans="1:6" x14ac:dyDescent="0.25">
      <c r="A2100" s="1" t="s">
        <v>3529</v>
      </c>
      <c r="B2100" s="1" t="s">
        <v>3530</v>
      </c>
      <c r="C2100" s="1" t="s">
        <v>2058</v>
      </c>
      <c r="D2100" s="39">
        <v>0</v>
      </c>
      <c r="E2100" s="1" t="s">
        <v>1</v>
      </c>
      <c r="F2100" s="39">
        <v>0</v>
      </c>
    </row>
    <row r="2101" spans="1:6" x14ac:dyDescent="0.25">
      <c r="A2101" s="1" t="s">
        <v>3531</v>
      </c>
      <c r="B2101" s="1" t="s">
        <v>3532</v>
      </c>
      <c r="C2101" s="1" t="s">
        <v>2058</v>
      </c>
      <c r="D2101" s="39">
        <v>0</v>
      </c>
      <c r="E2101" s="1" t="s">
        <v>1</v>
      </c>
      <c r="F2101" s="39">
        <v>0</v>
      </c>
    </row>
    <row r="2102" spans="1:6" x14ac:dyDescent="0.25">
      <c r="A2102" s="1" t="s">
        <v>3533</v>
      </c>
      <c r="B2102" s="1" t="s">
        <v>3534</v>
      </c>
      <c r="C2102" s="1" t="s">
        <v>2058</v>
      </c>
      <c r="D2102" s="39">
        <v>0</v>
      </c>
      <c r="E2102" s="1" t="s">
        <v>1</v>
      </c>
      <c r="F2102" s="39">
        <v>0</v>
      </c>
    </row>
    <row r="2103" spans="1:6" x14ac:dyDescent="0.25">
      <c r="A2103" s="1" t="s">
        <v>3535</v>
      </c>
      <c r="B2103" s="1" t="s">
        <v>3536</v>
      </c>
      <c r="C2103" s="1" t="s">
        <v>2058</v>
      </c>
      <c r="D2103" s="39">
        <v>0</v>
      </c>
      <c r="E2103" s="1" t="s">
        <v>1</v>
      </c>
      <c r="F2103" s="39">
        <v>0</v>
      </c>
    </row>
    <row r="2104" spans="1:6" x14ac:dyDescent="0.25">
      <c r="A2104" s="1" t="s">
        <v>3537</v>
      </c>
      <c r="B2104" s="1" t="s">
        <v>3538</v>
      </c>
      <c r="C2104" s="1" t="s">
        <v>2058</v>
      </c>
      <c r="D2104" s="39">
        <v>0</v>
      </c>
      <c r="E2104" s="1" t="s">
        <v>1</v>
      </c>
      <c r="F2104" s="39">
        <v>0</v>
      </c>
    </row>
    <row r="2105" spans="1:6" x14ac:dyDescent="0.25">
      <c r="A2105" s="1" t="s">
        <v>3539</v>
      </c>
      <c r="B2105" s="1" t="s">
        <v>3540</v>
      </c>
      <c r="C2105" s="1" t="s">
        <v>2058</v>
      </c>
      <c r="D2105" s="39">
        <v>480</v>
      </c>
      <c r="E2105" s="1" t="s">
        <v>1</v>
      </c>
      <c r="F2105" s="3">
        <v>9297.07</v>
      </c>
    </row>
    <row r="2106" spans="1:6" x14ac:dyDescent="0.25">
      <c r="A2106" s="1" t="s">
        <v>3541</v>
      </c>
      <c r="B2106" s="1" t="s">
        <v>3542</v>
      </c>
      <c r="C2106" s="1" t="s">
        <v>2058</v>
      </c>
      <c r="D2106" s="39">
        <v>0</v>
      </c>
      <c r="E2106" s="1" t="s">
        <v>1</v>
      </c>
      <c r="F2106" s="39">
        <v>0</v>
      </c>
    </row>
    <row r="2107" spans="1:6" x14ac:dyDescent="0.25">
      <c r="A2107" s="1" t="s">
        <v>3543</v>
      </c>
      <c r="B2107" s="1" t="s">
        <v>3544</v>
      </c>
      <c r="C2107" s="1" t="s">
        <v>2058</v>
      </c>
      <c r="D2107" s="39">
        <v>0</v>
      </c>
      <c r="E2107" s="1" t="s">
        <v>1</v>
      </c>
      <c r="F2107" s="39">
        <v>0</v>
      </c>
    </row>
    <row r="2108" spans="1:6" x14ac:dyDescent="0.25">
      <c r="A2108" s="1" t="s">
        <v>3545</v>
      </c>
      <c r="B2108" s="1" t="s">
        <v>3546</v>
      </c>
      <c r="C2108" s="1" t="s">
        <v>2058</v>
      </c>
      <c r="D2108" s="39">
        <v>0</v>
      </c>
      <c r="E2108" s="1" t="s">
        <v>1</v>
      </c>
      <c r="F2108" s="39">
        <v>0</v>
      </c>
    </row>
    <row r="2109" spans="1:6" x14ac:dyDescent="0.25">
      <c r="A2109" s="1" t="s">
        <v>3547</v>
      </c>
      <c r="B2109" s="1" t="s">
        <v>3548</v>
      </c>
      <c r="C2109" s="1" t="s">
        <v>2058</v>
      </c>
      <c r="D2109" s="39">
        <v>0</v>
      </c>
      <c r="E2109" s="1" t="s">
        <v>1</v>
      </c>
      <c r="F2109" s="39">
        <v>0</v>
      </c>
    </row>
    <row r="2110" spans="1:6" x14ac:dyDescent="0.25">
      <c r="A2110" s="1" t="s">
        <v>3549</v>
      </c>
      <c r="B2110" s="1" t="s">
        <v>3550</v>
      </c>
      <c r="C2110" s="1" t="s">
        <v>2058</v>
      </c>
      <c r="D2110" s="39">
        <v>0</v>
      </c>
      <c r="E2110" s="1" t="s">
        <v>1</v>
      </c>
      <c r="F2110" s="39">
        <v>0</v>
      </c>
    </row>
    <row r="2111" spans="1:6" x14ac:dyDescent="0.25">
      <c r="A2111" s="1" t="s">
        <v>3551</v>
      </c>
      <c r="B2111" s="1" t="s">
        <v>3552</v>
      </c>
      <c r="C2111" s="1" t="s">
        <v>2058</v>
      </c>
      <c r="D2111" s="39">
        <v>1180</v>
      </c>
      <c r="E2111" s="1" t="s">
        <v>1</v>
      </c>
      <c r="F2111" s="3">
        <v>21391.75</v>
      </c>
    </row>
    <row r="2112" spans="1:6" x14ac:dyDescent="0.25">
      <c r="A2112" s="1" t="s">
        <v>3553</v>
      </c>
      <c r="B2112" s="1" t="s">
        <v>3554</v>
      </c>
      <c r="C2112" s="1" t="s">
        <v>2058</v>
      </c>
      <c r="D2112" s="39">
        <v>0</v>
      </c>
      <c r="E2112" s="1" t="s">
        <v>1</v>
      </c>
      <c r="F2112" s="39">
        <v>0</v>
      </c>
    </row>
    <row r="2113" spans="1:6" x14ac:dyDescent="0.25">
      <c r="A2113" s="1" t="s">
        <v>1151</v>
      </c>
      <c r="B2113" s="1" t="s">
        <v>1152</v>
      </c>
      <c r="C2113" s="1" t="s">
        <v>2058</v>
      </c>
      <c r="D2113" s="39">
        <v>2788</v>
      </c>
      <c r="E2113" s="1" t="s">
        <v>1</v>
      </c>
      <c r="F2113" s="3">
        <v>17919.87</v>
      </c>
    </row>
    <row r="2114" spans="1:6" x14ac:dyDescent="0.25">
      <c r="A2114" s="1" t="s">
        <v>3555</v>
      </c>
      <c r="B2114" s="1" t="s">
        <v>3556</v>
      </c>
      <c r="C2114" s="1" t="s">
        <v>2058</v>
      </c>
      <c r="D2114" s="39">
        <v>0</v>
      </c>
      <c r="E2114" s="1" t="s">
        <v>1</v>
      </c>
      <c r="F2114" s="39">
        <v>0</v>
      </c>
    </row>
    <row r="2115" spans="1:6" x14ac:dyDescent="0.25">
      <c r="A2115" s="1" t="s">
        <v>3557</v>
      </c>
      <c r="B2115" s="1" t="s">
        <v>3558</v>
      </c>
      <c r="C2115" s="1" t="s">
        <v>2058</v>
      </c>
      <c r="D2115" s="39">
        <v>0</v>
      </c>
      <c r="E2115" s="1" t="s">
        <v>1</v>
      </c>
      <c r="F2115" s="39">
        <v>0</v>
      </c>
    </row>
    <row r="2116" spans="1:6" x14ac:dyDescent="0.25">
      <c r="A2116" s="1" t="s">
        <v>3559</v>
      </c>
      <c r="B2116" s="1" t="s">
        <v>2073</v>
      </c>
      <c r="C2116" s="1" t="s">
        <v>2058</v>
      </c>
      <c r="D2116" s="39">
        <v>0</v>
      </c>
      <c r="E2116" s="1" t="s">
        <v>1</v>
      </c>
      <c r="F2116" s="39">
        <v>0</v>
      </c>
    </row>
    <row r="2117" spans="1:6" x14ac:dyDescent="0.25">
      <c r="A2117" s="1" t="s">
        <v>3560</v>
      </c>
      <c r="B2117" s="1" t="s">
        <v>2074</v>
      </c>
      <c r="C2117" s="1" t="s">
        <v>2058</v>
      </c>
      <c r="D2117" s="39">
        <v>0</v>
      </c>
      <c r="E2117" s="1" t="s">
        <v>1</v>
      </c>
      <c r="F2117" s="39">
        <v>0</v>
      </c>
    </row>
    <row r="2118" spans="1:6" x14ac:dyDescent="0.25">
      <c r="A2118" s="1" t="s">
        <v>3561</v>
      </c>
      <c r="B2118" s="1" t="s">
        <v>3562</v>
      </c>
      <c r="C2118" s="1" t="s">
        <v>2058</v>
      </c>
      <c r="D2118" s="39">
        <v>0</v>
      </c>
      <c r="E2118" s="1" t="s">
        <v>1</v>
      </c>
      <c r="F2118" s="39">
        <v>0</v>
      </c>
    </row>
    <row r="2119" spans="1:6" x14ac:dyDescent="0.25">
      <c r="A2119" s="1" t="s">
        <v>3563</v>
      </c>
      <c r="B2119" s="1" t="s">
        <v>3564</v>
      </c>
      <c r="C2119" s="1" t="s">
        <v>2058</v>
      </c>
      <c r="D2119" s="39">
        <v>0</v>
      </c>
      <c r="E2119" s="1" t="s">
        <v>1</v>
      </c>
      <c r="F2119" s="39">
        <v>0</v>
      </c>
    </row>
    <row r="2120" spans="1:6" x14ac:dyDescent="0.25">
      <c r="A2120" s="1" t="s">
        <v>3565</v>
      </c>
      <c r="B2120" s="1" t="s">
        <v>3566</v>
      </c>
      <c r="C2120" s="1" t="s">
        <v>2058</v>
      </c>
      <c r="D2120" s="39">
        <v>0</v>
      </c>
      <c r="E2120" s="1" t="s">
        <v>1</v>
      </c>
      <c r="F2120" s="39">
        <v>0</v>
      </c>
    </row>
    <row r="2121" spans="1:6" x14ac:dyDescent="0.25">
      <c r="A2121" s="1" t="s">
        <v>3567</v>
      </c>
      <c r="B2121" s="1" t="s">
        <v>3568</v>
      </c>
      <c r="C2121" s="1" t="s">
        <v>2058</v>
      </c>
      <c r="D2121" s="39">
        <v>0</v>
      </c>
      <c r="E2121" s="1" t="s">
        <v>1</v>
      </c>
      <c r="F2121" s="39">
        <v>0</v>
      </c>
    </row>
    <row r="2122" spans="1:6" x14ac:dyDescent="0.25">
      <c r="A2122" s="1" t="s">
        <v>3569</v>
      </c>
      <c r="B2122" s="1" t="s">
        <v>3570</v>
      </c>
      <c r="C2122" s="1" t="s">
        <v>2058</v>
      </c>
      <c r="D2122" s="39">
        <v>0</v>
      </c>
      <c r="E2122" s="1" t="s">
        <v>1</v>
      </c>
      <c r="F2122" s="39">
        <v>0</v>
      </c>
    </row>
    <row r="2123" spans="1:6" x14ac:dyDescent="0.25">
      <c r="A2123" s="1" t="s">
        <v>3571</v>
      </c>
      <c r="B2123" s="1" t="s">
        <v>3572</v>
      </c>
      <c r="C2123" s="1" t="s">
        <v>2058</v>
      </c>
      <c r="D2123" s="39">
        <v>0</v>
      </c>
      <c r="E2123" s="1" t="s">
        <v>1</v>
      </c>
      <c r="F2123" s="39">
        <v>0</v>
      </c>
    </row>
    <row r="2124" spans="1:6" x14ac:dyDescent="0.25">
      <c r="A2124" s="1" t="s">
        <v>3573</v>
      </c>
      <c r="B2124" s="1" t="s">
        <v>2085</v>
      </c>
      <c r="C2124" s="1" t="s">
        <v>2058</v>
      </c>
      <c r="D2124" s="39">
        <v>0</v>
      </c>
      <c r="E2124" s="1" t="s">
        <v>1</v>
      </c>
      <c r="F2124" s="39">
        <v>0</v>
      </c>
    </row>
    <row r="2125" spans="1:6" x14ac:dyDescent="0.25">
      <c r="A2125" s="1" t="s">
        <v>3574</v>
      </c>
      <c r="B2125" s="1" t="s">
        <v>3575</v>
      </c>
      <c r="C2125" s="1" t="s">
        <v>2058</v>
      </c>
      <c r="D2125" s="39">
        <v>0</v>
      </c>
      <c r="E2125" s="1" t="s">
        <v>1</v>
      </c>
      <c r="F2125" s="39">
        <v>0</v>
      </c>
    </row>
    <row r="2126" spans="1:6" x14ac:dyDescent="0.25">
      <c r="A2126" s="1" t="s">
        <v>3576</v>
      </c>
      <c r="B2126" s="1" t="s">
        <v>2117</v>
      </c>
      <c r="C2126" s="1" t="s">
        <v>2058</v>
      </c>
      <c r="D2126" s="39">
        <v>0</v>
      </c>
      <c r="E2126" s="1" t="s">
        <v>1</v>
      </c>
      <c r="F2126" s="39">
        <v>0</v>
      </c>
    </row>
    <row r="2127" spans="1:6" x14ac:dyDescent="0.25">
      <c r="A2127" s="1" t="s">
        <v>3577</v>
      </c>
      <c r="B2127" s="1" t="s">
        <v>2118</v>
      </c>
      <c r="C2127" s="1" t="s">
        <v>2058</v>
      </c>
      <c r="D2127" s="39">
        <v>0</v>
      </c>
      <c r="E2127" s="1" t="s">
        <v>1</v>
      </c>
      <c r="F2127" s="39">
        <v>0</v>
      </c>
    </row>
    <row r="2128" spans="1:6" x14ac:dyDescent="0.25">
      <c r="A2128" s="1" t="s">
        <v>3578</v>
      </c>
      <c r="B2128" s="1" t="s">
        <v>2119</v>
      </c>
      <c r="C2128" s="1" t="s">
        <v>2058</v>
      </c>
      <c r="D2128" s="39">
        <v>0</v>
      </c>
      <c r="E2128" s="1" t="s">
        <v>1</v>
      </c>
      <c r="F2128" s="39">
        <v>0</v>
      </c>
    </row>
    <row r="2129" spans="1:6" x14ac:dyDescent="0.25">
      <c r="A2129" s="1" t="s">
        <v>3579</v>
      </c>
      <c r="B2129" s="1" t="s">
        <v>2120</v>
      </c>
      <c r="C2129" s="1" t="s">
        <v>2058</v>
      </c>
      <c r="D2129" s="39">
        <v>0</v>
      </c>
      <c r="E2129" s="1" t="s">
        <v>1</v>
      </c>
      <c r="F2129" s="39">
        <v>0</v>
      </c>
    </row>
    <row r="2130" spans="1:6" x14ac:dyDescent="0.25">
      <c r="A2130" s="1" t="s">
        <v>3580</v>
      </c>
      <c r="B2130" s="1" t="s">
        <v>2121</v>
      </c>
      <c r="C2130" s="1" t="s">
        <v>2058</v>
      </c>
      <c r="D2130" s="39">
        <v>0</v>
      </c>
      <c r="E2130" s="1" t="s">
        <v>1</v>
      </c>
      <c r="F2130" s="39">
        <v>0</v>
      </c>
    </row>
    <row r="2131" spans="1:6" x14ac:dyDescent="0.25">
      <c r="A2131" s="1" t="s">
        <v>3581</v>
      </c>
      <c r="B2131" s="1" t="s">
        <v>2124</v>
      </c>
      <c r="C2131" s="1" t="s">
        <v>2058</v>
      </c>
      <c r="D2131" s="39">
        <v>0</v>
      </c>
      <c r="E2131" s="1" t="s">
        <v>1</v>
      </c>
      <c r="F2131" s="39">
        <v>0</v>
      </c>
    </row>
    <row r="2132" spans="1:6" x14ac:dyDescent="0.25">
      <c r="A2132" s="1" t="s">
        <v>483</v>
      </c>
      <c r="B2132" s="1" t="s">
        <v>484</v>
      </c>
      <c r="C2132" s="1" t="s">
        <v>2058</v>
      </c>
      <c r="D2132" s="39">
        <v>0</v>
      </c>
      <c r="E2132" s="1" t="s">
        <v>1</v>
      </c>
      <c r="F2132" s="39">
        <v>0</v>
      </c>
    </row>
    <row r="2133" spans="1:6" x14ac:dyDescent="0.25">
      <c r="A2133" s="1" t="s">
        <v>3582</v>
      </c>
      <c r="B2133" s="1" t="s">
        <v>3583</v>
      </c>
      <c r="C2133" s="1" t="s">
        <v>2058</v>
      </c>
      <c r="D2133" s="39">
        <v>0</v>
      </c>
      <c r="E2133" s="1" t="s">
        <v>1</v>
      </c>
      <c r="F2133" s="39">
        <v>0</v>
      </c>
    </row>
    <row r="2134" spans="1:6" x14ac:dyDescent="0.25">
      <c r="A2134" s="1" t="s">
        <v>491</v>
      </c>
      <c r="B2134" s="1" t="s">
        <v>492</v>
      </c>
      <c r="C2134" s="1" t="s">
        <v>2058</v>
      </c>
      <c r="D2134" s="39">
        <v>0</v>
      </c>
      <c r="E2134" s="1" t="s">
        <v>1</v>
      </c>
      <c r="F2134" s="39">
        <v>0</v>
      </c>
    </row>
    <row r="2135" spans="1:6" x14ac:dyDescent="0.25">
      <c r="A2135" s="1" t="s">
        <v>3584</v>
      </c>
      <c r="B2135" s="1" t="s">
        <v>498</v>
      </c>
      <c r="C2135" s="1" t="s">
        <v>2058</v>
      </c>
      <c r="D2135" s="39">
        <v>0</v>
      </c>
      <c r="E2135" s="1" t="s">
        <v>1</v>
      </c>
      <c r="F2135" s="39">
        <v>0</v>
      </c>
    </row>
    <row r="2136" spans="1:6" x14ac:dyDescent="0.25">
      <c r="A2136" s="1" t="s">
        <v>3585</v>
      </c>
      <c r="B2136" s="1" t="s">
        <v>505</v>
      </c>
      <c r="C2136" s="1" t="s">
        <v>2058</v>
      </c>
      <c r="D2136" s="39">
        <v>0</v>
      </c>
      <c r="E2136" s="1" t="s">
        <v>1</v>
      </c>
      <c r="F2136" s="39">
        <v>0</v>
      </c>
    </row>
    <row r="2137" spans="1:6" x14ac:dyDescent="0.25">
      <c r="A2137" s="1" t="s">
        <v>499</v>
      </c>
      <c r="B2137" s="1" t="s">
        <v>500</v>
      </c>
      <c r="C2137" s="1" t="s">
        <v>2058</v>
      </c>
      <c r="D2137" s="39">
        <v>0</v>
      </c>
      <c r="E2137" s="1" t="s">
        <v>1</v>
      </c>
      <c r="F2137" s="39">
        <v>0</v>
      </c>
    </row>
    <row r="2138" spans="1:6" x14ac:dyDescent="0.25">
      <c r="A2138" s="1" t="s">
        <v>3586</v>
      </c>
      <c r="B2138" s="1" t="s">
        <v>3587</v>
      </c>
      <c r="C2138" s="1" t="s">
        <v>2058</v>
      </c>
      <c r="D2138" s="39">
        <v>0</v>
      </c>
      <c r="E2138" s="1" t="s">
        <v>1</v>
      </c>
      <c r="F2138" s="39">
        <v>0</v>
      </c>
    </row>
    <row r="2139" spans="1:6" x14ac:dyDescent="0.25">
      <c r="A2139" s="1" t="s">
        <v>506</v>
      </c>
      <c r="B2139" s="1" t="s">
        <v>507</v>
      </c>
      <c r="C2139" s="1" t="s">
        <v>2058</v>
      </c>
      <c r="D2139" s="39">
        <v>0</v>
      </c>
      <c r="E2139" s="1" t="s">
        <v>1</v>
      </c>
      <c r="F2139" s="39">
        <v>0</v>
      </c>
    </row>
    <row r="2140" spans="1:6" x14ac:dyDescent="0.25">
      <c r="A2140" s="1" t="s">
        <v>3588</v>
      </c>
      <c r="B2140" s="1" t="s">
        <v>511</v>
      </c>
      <c r="C2140" s="1" t="s">
        <v>2058</v>
      </c>
      <c r="D2140" s="39">
        <v>0</v>
      </c>
      <c r="E2140" s="1" t="s">
        <v>1</v>
      </c>
      <c r="F2140" s="39">
        <v>0</v>
      </c>
    </row>
    <row r="2141" spans="1:6" x14ac:dyDescent="0.25">
      <c r="A2141" s="1" t="s">
        <v>512</v>
      </c>
      <c r="B2141" s="1" t="s">
        <v>513</v>
      </c>
      <c r="C2141" s="1" t="s">
        <v>2058</v>
      </c>
      <c r="D2141" s="39">
        <v>0</v>
      </c>
      <c r="E2141" s="1" t="s">
        <v>1</v>
      </c>
      <c r="F2141" s="39">
        <v>0</v>
      </c>
    </row>
    <row r="2142" spans="1:6" x14ac:dyDescent="0.25">
      <c r="A2142" s="1" t="s">
        <v>3589</v>
      </c>
      <c r="B2142" s="1" t="s">
        <v>519</v>
      </c>
      <c r="C2142" s="1" t="s">
        <v>2058</v>
      </c>
      <c r="D2142" s="39">
        <v>0</v>
      </c>
      <c r="E2142" s="1" t="s">
        <v>1</v>
      </c>
      <c r="F2142" s="39">
        <v>0</v>
      </c>
    </row>
    <row r="2143" spans="1:6" x14ac:dyDescent="0.25">
      <c r="A2143" s="1" t="s">
        <v>3590</v>
      </c>
      <c r="B2143" s="1" t="s">
        <v>3591</v>
      </c>
      <c r="C2143" s="1" t="s">
        <v>2058</v>
      </c>
      <c r="D2143" s="39">
        <v>0</v>
      </c>
      <c r="E2143" s="1" t="s">
        <v>1</v>
      </c>
      <c r="F2143" s="39">
        <v>0</v>
      </c>
    </row>
    <row r="2144" spans="1:6" x14ac:dyDescent="0.25">
      <c r="A2144" s="1" t="s">
        <v>520</v>
      </c>
      <c r="B2144" s="1" t="s">
        <v>521</v>
      </c>
      <c r="C2144" s="1" t="s">
        <v>2058</v>
      </c>
      <c r="D2144" s="39">
        <v>0</v>
      </c>
      <c r="E2144" s="1" t="s">
        <v>1</v>
      </c>
      <c r="F2144" s="39">
        <v>0</v>
      </c>
    </row>
    <row r="2145" spans="1:6" x14ac:dyDescent="0.25">
      <c r="A2145" s="1" t="s">
        <v>3592</v>
      </c>
      <c r="B2145" s="1" t="s">
        <v>526</v>
      </c>
      <c r="C2145" s="1" t="s">
        <v>2058</v>
      </c>
      <c r="D2145" s="39">
        <v>0</v>
      </c>
      <c r="E2145" s="1" t="s">
        <v>1</v>
      </c>
      <c r="F2145" s="39">
        <v>0</v>
      </c>
    </row>
    <row r="2146" spans="1:6" x14ac:dyDescent="0.25">
      <c r="A2146" s="1" t="s">
        <v>3593</v>
      </c>
      <c r="B2146" s="1" t="s">
        <v>3594</v>
      </c>
      <c r="C2146" s="1" t="s">
        <v>2058</v>
      </c>
      <c r="D2146" s="39">
        <v>0</v>
      </c>
      <c r="E2146" s="1" t="s">
        <v>1</v>
      </c>
      <c r="F2146" s="39">
        <v>0</v>
      </c>
    </row>
    <row r="2147" spans="1:6" x14ac:dyDescent="0.25">
      <c r="A2147" s="1" t="s">
        <v>3595</v>
      </c>
      <c r="B2147" s="1" t="s">
        <v>29</v>
      </c>
      <c r="C2147" s="1" t="s">
        <v>2058</v>
      </c>
      <c r="D2147" s="39">
        <v>0</v>
      </c>
      <c r="E2147" s="1" t="s">
        <v>1</v>
      </c>
      <c r="F2147" s="39">
        <v>0</v>
      </c>
    </row>
    <row r="2148" spans="1:6" x14ac:dyDescent="0.25">
      <c r="A2148" s="1" t="s">
        <v>3596</v>
      </c>
      <c r="B2148" s="1" t="s">
        <v>3597</v>
      </c>
      <c r="C2148" s="1" t="s">
        <v>2058</v>
      </c>
      <c r="D2148" s="39">
        <v>0</v>
      </c>
      <c r="E2148" s="1" t="s">
        <v>1</v>
      </c>
      <c r="F2148" s="39">
        <v>0</v>
      </c>
    </row>
    <row r="2149" spans="1:6" x14ac:dyDescent="0.25">
      <c r="A2149" s="1" t="s">
        <v>3598</v>
      </c>
      <c r="B2149" s="1" t="s">
        <v>3599</v>
      </c>
      <c r="C2149" s="1" t="s">
        <v>2058</v>
      </c>
      <c r="D2149" s="39">
        <v>0</v>
      </c>
      <c r="E2149" s="1" t="s">
        <v>1</v>
      </c>
      <c r="F2149" s="39">
        <v>0</v>
      </c>
    </row>
    <row r="2150" spans="1:6" x14ac:dyDescent="0.25">
      <c r="A2150" s="1" t="s">
        <v>3600</v>
      </c>
      <c r="B2150" s="1" t="s">
        <v>3601</v>
      </c>
      <c r="C2150" s="1" t="s">
        <v>2058</v>
      </c>
      <c r="D2150" s="39">
        <v>0</v>
      </c>
      <c r="E2150" s="1" t="s">
        <v>1</v>
      </c>
      <c r="F2150" s="39">
        <v>0</v>
      </c>
    </row>
    <row r="2151" spans="1:6" x14ac:dyDescent="0.25">
      <c r="A2151" s="1" t="s">
        <v>3602</v>
      </c>
      <c r="B2151" s="1" t="s">
        <v>3603</v>
      </c>
      <c r="C2151" s="1" t="s">
        <v>2058</v>
      </c>
      <c r="D2151" s="39">
        <v>0</v>
      </c>
      <c r="E2151" s="1" t="s">
        <v>1</v>
      </c>
      <c r="F2151" s="39">
        <v>0</v>
      </c>
    </row>
    <row r="2152" spans="1:6" x14ac:dyDescent="0.25">
      <c r="A2152" s="1" t="s">
        <v>527</v>
      </c>
      <c r="B2152" s="1" t="s">
        <v>528</v>
      </c>
      <c r="C2152" s="1" t="s">
        <v>2058</v>
      </c>
      <c r="D2152" s="39">
        <v>0</v>
      </c>
      <c r="E2152" s="1" t="s">
        <v>1</v>
      </c>
      <c r="F2152" s="39">
        <v>0</v>
      </c>
    </row>
    <row r="2153" spans="1:6" x14ac:dyDescent="0.25">
      <c r="A2153" s="1" t="s">
        <v>3604</v>
      </c>
      <c r="B2153" s="1" t="s">
        <v>533</v>
      </c>
      <c r="C2153" s="1" t="s">
        <v>2058</v>
      </c>
      <c r="D2153" s="39">
        <v>0</v>
      </c>
      <c r="E2153" s="1" t="s">
        <v>1</v>
      </c>
      <c r="F2153" s="39">
        <v>0</v>
      </c>
    </row>
    <row r="2154" spans="1:6" x14ac:dyDescent="0.25">
      <c r="A2154" s="1" t="s">
        <v>3605</v>
      </c>
      <c r="B2154" s="1" t="s">
        <v>54</v>
      </c>
      <c r="C2154" s="1" t="s">
        <v>2058</v>
      </c>
      <c r="D2154" s="39">
        <v>0</v>
      </c>
      <c r="E2154" s="1" t="s">
        <v>1</v>
      </c>
      <c r="F2154" s="39">
        <v>0</v>
      </c>
    </row>
    <row r="2155" spans="1:6" x14ac:dyDescent="0.25">
      <c r="A2155" s="1" t="s">
        <v>3606</v>
      </c>
      <c r="B2155" s="1" t="s">
        <v>58</v>
      </c>
      <c r="C2155" s="1" t="s">
        <v>2058</v>
      </c>
      <c r="D2155" s="39">
        <v>0</v>
      </c>
      <c r="E2155" s="1" t="s">
        <v>1</v>
      </c>
      <c r="F2155" s="39">
        <v>0</v>
      </c>
    </row>
    <row r="2156" spans="1:6" x14ac:dyDescent="0.25">
      <c r="A2156" s="1" t="s">
        <v>3607</v>
      </c>
      <c r="B2156" s="1" t="s">
        <v>2417</v>
      </c>
      <c r="C2156" s="1" t="s">
        <v>2058</v>
      </c>
      <c r="D2156" s="39">
        <v>0</v>
      </c>
      <c r="E2156" s="1" t="s">
        <v>1</v>
      </c>
      <c r="F2156" s="39">
        <v>0</v>
      </c>
    </row>
    <row r="2157" spans="1:6" x14ac:dyDescent="0.25">
      <c r="A2157" s="1" t="s">
        <v>3608</v>
      </c>
      <c r="B2157" s="1" t="s">
        <v>2416</v>
      </c>
      <c r="C2157" s="1" t="s">
        <v>2058</v>
      </c>
      <c r="D2157" s="39">
        <v>0</v>
      </c>
      <c r="E2157" s="1" t="s">
        <v>1</v>
      </c>
      <c r="F2157" s="39">
        <v>0</v>
      </c>
    </row>
    <row r="2158" spans="1:6" x14ac:dyDescent="0.25">
      <c r="A2158" s="1" t="s">
        <v>3609</v>
      </c>
      <c r="B2158" s="1" t="s">
        <v>3610</v>
      </c>
      <c r="C2158" s="1" t="s">
        <v>2058</v>
      </c>
      <c r="D2158" s="39">
        <v>0</v>
      </c>
      <c r="E2158" s="1" t="s">
        <v>1</v>
      </c>
      <c r="F2158" s="39">
        <v>0</v>
      </c>
    </row>
    <row r="2159" spans="1:6" x14ac:dyDescent="0.25">
      <c r="A2159" s="1" t="s">
        <v>534</v>
      </c>
      <c r="B2159" s="1" t="s">
        <v>535</v>
      </c>
      <c r="C2159" s="1" t="s">
        <v>2058</v>
      </c>
      <c r="D2159" s="39">
        <v>0</v>
      </c>
      <c r="E2159" s="1" t="s">
        <v>1</v>
      </c>
      <c r="F2159" s="39">
        <v>0</v>
      </c>
    </row>
    <row r="2160" spans="1:6" x14ac:dyDescent="0.25">
      <c r="A2160" s="1" t="s">
        <v>3611</v>
      </c>
      <c r="B2160" s="1" t="s">
        <v>3612</v>
      </c>
      <c r="C2160" s="1" t="s">
        <v>2058</v>
      </c>
      <c r="D2160" s="39">
        <v>0</v>
      </c>
      <c r="E2160" s="1" t="s">
        <v>1</v>
      </c>
      <c r="F2160" s="39">
        <v>0</v>
      </c>
    </row>
    <row r="2161" spans="1:6" x14ac:dyDescent="0.25">
      <c r="A2161" s="1" t="s">
        <v>540</v>
      </c>
      <c r="B2161" s="1" t="s">
        <v>541</v>
      </c>
      <c r="C2161" s="1" t="s">
        <v>2058</v>
      </c>
      <c r="D2161" s="39">
        <v>0</v>
      </c>
      <c r="E2161" s="1" t="s">
        <v>1</v>
      </c>
      <c r="F2161" s="39">
        <v>0</v>
      </c>
    </row>
    <row r="2162" spans="1:6" x14ac:dyDescent="0.25">
      <c r="A2162" s="1" t="s">
        <v>3613</v>
      </c>
      <c r="B2162" s="1" t="s">
        <v>3614</v>
      </c>
      <c r="C2162" s="1" t="s">
        <v>2058</v>
      </c>
      <c r="D2162" s="39">
        <v>0</v>
      </c>
      <c r="E2162" s="1" t="s">
        <v>1</v>
      </c>
      <c r="F2162" s="39">
        <v>0</v>
      </c>
    </row>
    <row r="2163" spans="1:6" x14ac:dyDescent="0.25">
      <c r="A2163" s="1" t="s">
        <v>546</v>
      </c>
      <c r="B2163" s="1" t="s">
        <v>547</v>
      </c>
      <c r="C2163" s="1" t="s">
        <v>2058</v>
      </c>
      <c r="D2163" s="39">
        <v>0</v>
      </c>
      <c r="E2163" s="1" t="s">
        <v>1</v>
      </c>
      <c r="F2163" s="39">
        <v>0</v>
      </c>
    </row>
    <row r="2164" spans="1:6" x14ac:dyDescent="0.25">
      <c r="A2164" s="1" t="s">
        <v>3615</v>
      </c>
      <c r="B2164" s="1" t="s">
        <v>3616</v>
      </c>
      <c r="C2164" s="1" t="s">
        <v>2058</v>
      </c>
      <c r="D2164" s="39">
        <v>0</v>
      </c>
      <c r="E2164" s="1" t="s">
        <v>1</v>
      </c>
      <c r="F2164" s="39">
        <v>0</v>
      </c>
    </row>
    <row r="2165" spans="1:6" x14ac:dyDescent="0.25">
      <c r="A2165" s="1" t="s">
        <v>554</v>
      </c>
      <c r="B2165" s="1" t="s">
        <v>555</v>
      </c>
      <c r="C2165" s="1" t="s">
        <v>2058</v>
      </c>
      <c r="D2165" s="39">
        <v>225</v>
      </c>
      <c r="E2165" s="1" t="s">
        <v>1</v>
      </c>
      <c r="F2165" s="3">
        <v>1862.89</v>
      </c>
    </row>
    <row r="2166" spans="1:6" x14ac:dyDescent="0.25">
      <c r="A2166" s="1" t="s">
        <v>3617</v>
      </c>
      <c r="B2166" s="1" t="s">
        <v>3618</v>
      </c>
      <c r="C2166" s="1" t="s">
        <v>2058</v>
      </c>
      <c r="D2166" s="39">
        <v>0</v>
      </c>
      <c r="E2166" s="1" t="s">
        <v>1</v>
      </c>
      <c r="F2166" s="39">
        <v>0</v>
      </c>
    </row>
    <row r="2167" spans="1:6" x14ac:dyDescent="0.25">
      <c r="A2167" s="1" t="s">
        <v>3619</v>
      </c>
      <c r="B2167" s="1" t="s">
        <v>3620</v>
      </c>
      <c r="C2167" s="1" t="s">
        <v>2058</v>
      </c>
      <c r="D2167" s="39">
        <v>0</v>
      </c>
      <c r="E2167" s="1" t="s">
        <v>1</v>
      </c>
      <c r="F2167" s="39">
        <v>0</v>
      </c>
    </row>
    <row r="2168" spans="1:6" x14ac:dyDescent="0.25">
      <c r="A2168" s="1" t="s">
        <v>3621</v>
      </c>
      <c r="B2168" s="1" t="s">
        <v>3622</v>
      </c>
      <c r="C2168" s="1" t="s">
        <v>2058</v>
      </c>
      <c r="D2168" s="39">
        <v>0</v>
      </c>
      <c r="E2168" s="1" t="s">
        <v>1</v>
      </c>
      <c r="F2168" s="39">
        <v>0</v>
      </c>
    </row>
    <row r="2169" spans="1:6" x14ac:dyDescent="0.25">
      <c r="A2169" s="1" t="s">
        <v>3623</v>
      </c>
      <c r="B2169" s="1" t="s">
        <v>3624</v>
      </c>
      <c r="C2169" s="1" t="s">
        <v>2058</v>
      </c>
      <c r="D2169" s="39">
        <v>0</v>
      </c>
      <c r="E2169" s="1" t="s">
        <v>1</v>
      </c>
      <c r="F2169" s="39">
        <v>0</v>
      </c>
    </row>
    <row r="2170" spans="1:6" x14ac:dyDescent="0.25">
      <c r="A2170" s="1" t="s">
        <v>559</v>
      </c>
      <c r="B2170" s="1" t="s">
        <v>560</v>
      </c>
      <c r="C2170" s="1" t="s">
        <v>2058</v>
      </c>
      <c r="D2170" s="39">
        <v>0</v>
      </c>
      <c r="E2170" s="1" t="s">
        <v>1</v>
      </c>
      <c r="F2170" s="39">
        <v>0</v>
      </c>
    </row>
    <row r="2171" spans="1:6" x14ac:dyDescent="0.25">
      <c r="A2171" s="1" t="s">
        <v>3625</v>
      </c>
      <c r="B2171" s="1" t="s">
        <v>3626</v>
      </c>
      <c r="C2171" s="1" t="s">
        <v>2058</v>
      </c>
      <c r="D2171" s="39">
        <v>0</v>
      </c>
      <c r="E2171" s="1" t="s">
        <v>1</v>
      </c>
      <c r="F2171" s="39">
        <v>0</v>
      </c>
    </row>
    <row r="2172" spans="1:6" x14ac:dyDescent="0.25">
      <c r="A2172" s="1" t="s">
        <v>566</v>
      </c>
      <c r="B2172" s="1" t="s">
        <v>567</v>
      </c>
      <c r="C2172" s="1" t="s">
        <v>2058</v>
      </c>
      <c r="D2172" s="39">
        <v>0</v>
      </c>
      <c r="E2172" s="1" t="s">
        <v>1</v>
      </c>
      <c r="F2172" s="39">
        <v>0</v>
      </c>
    </row>
    <row r="2173" spans="1:6" x14ac:dyDescent="0.25">
      <c r="A2173" s="1" t="s">
        <v>3627</v>
      </c>
      <c r="B2173" s="1" t="s">
        <v>3628</v>
      </c>
      <c r="C2173" s="1" t="s">
        <v>2058</v>
      </c>
      <c r="D2173" s="39">
        <v>0</v>
      </c>
      <c r="E2173" s="1" t="s">
        <v>1</v>
      </c>
      <c r="F2173" s="39">
        <v>0</v>
      </c>
    </row>
    <row r="2174" spans="1:6" x14ac:dyDescent="0.25">
      <c r="A2174" s="1" t="s">
        <v>3629</v>
      </c>
      <c r="B2174" s="1" t="s">
        <v>2140</v>
      </c>
      <c r="C2174" s="1" t="s">
        <v>2058</v>
      </c>
      <c r="D2174" s="39">
        <v>0</v>
      </c>
      <c r="E2174" s="1" t="s">
        <v>1</v>
      </c>
      <c r="F2174" s="39">
        <v>0</v>
      </c>
    </row>
    <row r="2175" spans="1:6" x14ac:dyDescent="0.25">
      <c r="A2175" s="1" t="s">
        <v>3630</v>
      </c>
      <c r="B2175" s="1" t="s">
        <v>3631</v>
      </c>
      <c r="C2175" s="1" t="s">
        <v>2058</v>
      </c>
      <c r="D2175" s="39">
        <v>0</v>
      </c>
      <c r="E2175" s="1" t="s">
        <v>1</v>
      </c>
      <c r="F2175" s="39">
        <v>0</v>
      </c>
    </row>
    <row r="2176" spans="1:6" x14ac:dyDescent="0.25">
      <c r="A2176" s="1" t="s">
        <v>3632</v>
      </c>
      <c r="B2176" s="1" t="s">
        <v>3633</v>
      </c>
      <c r="C2176" s="1" t="s">
        <v>2058</v>
      </c>
      <c r="D2176" s="39">
        <v>0</v>
      </c>
      <c r="E2176" s="1" t="s">
        <v>1</v>
      </c>
      <c r="F2176" s="39">
        <v>0</v>
      </c>
    </row>
    <row r="2177" spans="1:6" x14ac:dyDescent="0.25">
      <c r="A2177" s="1" t="s">
        <v>3634</v>
      </c>
      <c r="B2177" s="1" t="s">
        <v>3633</v>
      </c>
      <c r="C2177" s="1" t="s">
        <v>2058</v>
      </c>
      <c r="D2177" s="39">
        <v>0</v>
      </c>
      <c r="E2177" s="1" t="s">
        <v>1</v>
      </c>
      <c r="F2177" s="39">
        <v>0</v>
      </c>
    </row>
    <row r="2178" spans="1:6" x14ac:dyDescent="0.25">
      <c r="A2178" s="1" t="s">
        <v>572</v>
      </c>
      <c r="B2178" s="1" t="s">
        <v>573</v>
      </c>
      <c r="C2178" s="1" t="s">
        <v>2058</v>
      </c>
      <c r="D2178" s="39">
        <v>0</v>
      </c>
      <c r="E2178" s="1" t="s">
        <v>1</v>
      </c>
      <c r="F2178" s="39">
        <v>0</v>
      </c>
    </row>
    <row r="2179" spans="1:6" x14ac:dyDescent="0.25">
      <c r="A2179" s="1" t="s">
        <v>3635</v>
      </c>
      <c r="B2179" s="1" t="s">
        <v>3636</v>
      </c>
      <c r="C2179" s="1" t="s">
        <v>2058</v>
      </c>
      <c r="D2179" s="39">
        <v>0</v>
      </c>
      <c r="E2179" s="1" t="s">
        <v>1</v>
      </c>
      <c r="F2179" s="39">
        <v>0</v>
      </c>
    </row>
    <row r="2180" spans="1:6" x14ac:dyDescent="0.25">
      <c r="A2180" s="1" t="s">
        <v>3637</v>
      </c>
      <c r="B2180" s="1" t="s">
        <v>3638</v>
      </c>
      <c r="C2180" s="1" t="s">
        <v>2058</v>
      </c>
      <c r="D2180" s="39">
        <v>0</v>
      </c>
      <c r="E2180" s="1" t="s">
        <v>1</v>
      </c>
      <c r="F2180" s="39">
        <v>0</v>
      </c>
    </row>
    <row r="2181" spans="1:6" x14ac:dyDescent="0.25">
      <c r="A2181" s="1" t="s">
        <v>3639</v>
      </c>
      <c r="B2181" s="1" t="s">
        <v>3640</v>
      </c>
      <c r="C2181" s="1" t="s">
        <v>2058</v>
      </c>
      <c r="D2181" s="39">
        <v>0</v>
      </c>
      <c r="E2181" s="1" t="s">
        <v>1</v>
      </c>
      <c r="F2181" s="39">
        <v>0</v>
      </c>
    </row>
    <row r="2182" spans="1:6" x14ac:dyDescent="0.25">
      <c r="A2182" s="1" t="s">
        <v>3641</v>
      </c>
      <c r="B2182" s="1" t="s">
        <v>3642</v>
      </c>
      <c r="C2182" s="1" t="s">
        <v>2058</v>
      </c>
      <c r="D2182" s="39">
        <v>0</v>
      </c>
      <c r="E2182" s="1" t="s">
        <v>1</v>
      </c>
      <c r="F2182" s="39">
        <v>0</v>
      </c>
    </row>
    <row r="2183" spans="1:6" x14ac:dyDescent="0.25">
      <c r="A2183" s="1" t="s">
        <v>3643</v>
      </c>
      <c r="B2183" s="1" t="s">
        <v>3644</v>
      </c>
      <c r="C2183" s="1" t="s">
        <v>2058</v>
      </c>
      <c r="D2183" s="39">
        <v>0</v>
      </c>
      <c r="E2183" s="1" t="s">
        <v>1</v>
      </c>
      <c r="F2183" s="39">
        <v>0</v>
      </c>
    </row>
    <row r="2184" spans="1:6" x14ac:dyDescent="0.25">
      <c r="A2184" s="1" t="s">
        <v>3645</v>
      </c>
      <c r="B2184" s="1" t="s">
        <v>2148</v>
      </c>
      <c r="C2184" s="1" t="s">
        <v>2058</v>
      </c>
      <c r="D2184" s="39">
        <v>0</v>
      </c>
      <c r="E2184" s="1" t="s">
        <v>1</v>
      </c>
      <c r="F2184" s="39">
        <v>0</v>
      </c>
    </row>
    <row r="2185" spans="1:6" x14ac:dyDescent="0.25">
      <c r="A2185" s="1" t="s">
        <v>582</v>
      </c>
      <c r="B2185" s="1" t="s">
        <v>583</v>
      </c>
      <c r="C2185" s="1" t="s">
        <v>2058</v>
      </c>
      <c r="D2185" s="39">
        <v>0</v>
      </c>
      <c r="E2185" s="1" t="s">
        <v>1</v>
      </c>
      <c r="F2185" s="39">
        <v>0</v>
      </c>
    </row>
    <row r="2186" spans="1:6" x14ac:dyDescent="0.25">
      <c r="A2186" s="1" t="s">
        <v>3646</v>
      </c>
      <c r="B2186" s="1" t="s">
        <v>3647</v>
      </c>
      <c r="C2186" s="1" t="s">
        <v>2058</v>
      </c>
      <c r="D2186" s="39">
        <v>0</v>
      </c>
      <c r="E2186" s="1" t="s">
        <v>1</v>
      </c>
      <c r="F2186" s="39">
        <v>0</v>
      </c>
    </row>
    <row r="2187" spans="1:6" x14ac:dyDescent="0.25">
      <c r="A2187" s="1" t="s">
        <v>588</v>
      </c>
      <c r="B2187" s="1" t="s">
        <v>589</v>
      </c>
      <c r="C2187" s="1" t="s">
        <v>2058</v>
      </c>
      <c r="D2187" s="39">
        <v>0</v>
      </c>
      <c r="E2187" s="1" t="s">
        <v>1</v>
      </c>
      <c r="F2187" s="39">
        <v>0</v>
      </c>
    </row>
    <row r="2188" spans="1:6" x14ac:dyDescent="0.25">
      <c r="A2188" s="1" t="s">
        <v>3648</v>
      </c>
      <c r="B2188" s="1" t="s">
        <v>593</v>
      </c>
      <c r="C2188" s="1" t="s">
        <v>2058</v>
      </c>
      <c r="D2188" s="39">
        <v>0</v>
      </c>
      <c r="E2188" s="1" t="s">
        <v>1</v>
      </c>
      <c r="F2188" s="39">
        <v>0</v>
      </c>
    </row>
    <row r="2189" spans="1:6" x14ac:dyDescent="0.25">
      <c r="A2189" s="1" t="s">
        <v>3649</v>
      </c>
      <c r="B2189" s="1" t="s">
        <v>3650</v>
      </c>
      <c r="C2189" s="1" t="s">
        <v>2058</v>
      </c>
      <c r="D2189" s="39">
        <v>0</v>
      </c>
      <c r="E2189" s="1" t="s">
        <v>1</v>
      </c>
      <c r="F2189" s="39">
        <v>0</v>
      </c>
    </row>
    <row r="2190" spans="1:6" x14ac:dyDescent="0.25">
      <c r="A2190" s="1" t="s">
        <v>3651</v>
      </c>
      <c r="B2190" s="1" t="s">
        <v>3652</v>
      </c>
      <c r="C2190" s="1" t="s">
        <v>2058</v>
      </c>
      <c r="D2190" s="39">
        <v>0</v>
      </c>
      <c r="E2190" s="1" t="s">
        <v>1</v>
      </c>
      <c r="F2190" s="39">
        <v>0</v>
      </c>
    </row>
    <row r="2191" spans="1:6" x14ac:dyDescent="0.25">
      <c r="A2191" s="1" t="s">
        <v>3653</v>
      </c>
      <c r="B2191" s="1" t="s">
        <v>3654</v>
      </c>
      <c r="C2191" s="1" t="s">
        <v>2058</v>
      </c>
      <c r="D2191" s="39">
        <v>0</v>
      </c>
      <c r="E2191" s="1" t="s">
        <v>1</v>
      </c>
      <c r="F2191" s="39">
        <v>0</v>
      </c>
    </row>
    <row r="2192" spans="1:6" x14ac:dyDescent="0.25">
      <c r="A2192" s="1" t="s">
        <v>3655</v>
      </c>
      <c r="B2192" s="1" t="s">
        <v>3656</v>
      </c>
      <c r="C2192" s="1" t="s">
        <v>2058</v>
      </c>
      <c r="D2192" s="39">
        <v>0</v>
      </c>
      <c r="E2192" s="1" t="s">
        <v>1</v>
      </c>
      <c r="F2192" s="39">
        <v>0</v>
      </c>
    </row>
    <row r="2193" spans="1:6" x14ac:dyDescent="0.25">
      <c r="A2193" s="1" t="s">
        <v>3657</v>
      </c>
      <c r="B2193" s="1" t="s">
        <v>3658</v>
      </c>
      <c r="C2193" s="1" t="s">
        <v>2058</v>
      </c>
      <c r="D2193" s="39">
        <v>0</v>
      </c>
      <c r="E2193" s="1" t="s">
        <v>1</v>
      </c>
      <c r="F2193" s="39">
        <v>0</v>
      </c>
    </row>
    <row r="2194" spans="1:6" x14ac:dyDescent="0.25">
      <c r="A2194" s="1" t="s">
        <v>594</v>
      </c>
      <c r="B2194" s="1" t="s">
        <v>595</v>
      </c>
      <c r="C2194" s="1" t="s">
        <v>2058</v>
      </c>
      <c r="D2194" s="39">
        <v>0</v>
      </c>
      <c r="E2194" s="1" t="s">
        <v>1</v>
      </c>
      <c r="F2194" s="39">
        <v>0</v>
      </c>
    </row>
    <row r="2195" spans="1:6" x14ac:dyDescent="0.25">
      <c r="A2195" s="1" t="s">
        <v>3659</v>
      </c>
      <c r="B2195" s="1" t="s">
        <v>599</v>
      </c>
      <c r="C2195" s="1" t="s">
        <v>2058</v>
      </c>
      <c r="D2195" s="39">
        <v>0</v>
      </c>
      <c r="E2195" s="1" t="s">
        <v>1</v>
      </c>
      <c r="F2195" s="39">
        <v>0</v>
      </c>
    </row>
    <row r="2196" spans="1:6" x14ac:dyDescent="0.25">
      <c r="A2196" s="1" t="s">
        <v>600</v>
      </c>
      <c r="B2196" s="1" t="s">
        <v>601</v>
      </c>
      <c r="C2196" s="1" t="s">
        <v>2058</v>
      </c>
      <c r="D2196" s="39">
        <v>0</v>
      </c>
      <c r="E2196" s="1" t="s">
        <v>1</v>
      </c>
      <c r="F2196" s="39">
        <v>0</v>
      </c>
    </row>
    <row r="2197" spans="1:6" x14ac:dyDescent="0.25">
      <c r="A2197" s="1" t="s">
        <v>3660</v>
      </c>
      <c r="B2197" s="1" t="s">
        <v>605</v>
      </c>
      <c r="C2197" s="1" t="s">
        <v>2058</v>
      </c>
      <c r="D2197" s="39">
        <v>0</v>
      </c>
      <c r="E2197" s="1" t="s">
        <v>1</v>
      </c>
      <c r="F2197" s="39">
        <v>0</v>
      </c>
    </row>
    <row r="2198" spans="1:6" x14ac:dyDescent="0.25">
      <c r="A2198" s="1" t="s">
        <v>3661</v>
      </c>
      <c r="B2198" s="1" t="s">
        <v>87</v>
      </c>
      <c r="C2198" s="1" t="s">
        <v>2058</v>
      </c>
      <c r="D2198" s="39">
        <v>0</v>
      </c>
      <c r="E2198" s="1" t="s">
        <v>1</v>
      </c>
      <c r="F2198" s="39">
        <v>0</v>
      </c>
    </row>
    <row r="2199" spans="1:6" x14ac:dyDescent="0.25">
      <c r="A2199" s="1" t="s">
        <v>606</v>
      </c>
      <c r="B2199" s="1" t="s">
        <v>607</v>
      </c>
      <c r="C2199" s="1" t="s">
        <v>2058</v>
      </c>
      <c r="D2199" s="39">
        <v>0</v>
      </c>
      <c r="E2199" s="1" t="s">
        <v>1</v>
      </c>
      <c r="F2199" s="39">
        <v>0</v>
      </c>
    </row>
    <row r="2200" spans="1:6" x14ac:dyDescent="0.25">
      <c r="A2200" s="1" t="s">
        <v>3662</v>
      </c>
      <c r="B2200" s="1" t="s">
        <v>611</v>
      </c>
      <c r="C2200" s="1" t="s">
        <v>2058</v>
      </c>
      <c r="D2200" s="39">
        <v>0</v>
      </c>
      <c r="E2200" s="1" t="s">
        <v>1</v>
      </c>
      <c r="F2200" s="39">
        <v>0</v>
      </c>
    </row>
    <row r="2201" spans="1:6" x14ac:dyDescent="0.25">
      <c r="A2201" s="1" t="s">
        <v>612</v>
      </c>
      <c r="B2201" s="1" t="s">
        <v>613</v>
      </c>
      <c r="C2201" s="1" t="s">
        <v>2058</v>
      </c>
      <c r="D2201" s="39">
        <v>0</v>
      </c>
      <c r="E2201" s="1" t="s">
        <v>1</v>
      </c>
      <c r="F2201" s="39">
        <v>0</v>
      </c>
    </row>
    <row r="2202" spans="1:6" x14ac:dyDescent="0.25">
      <c r="A2202" s="1" t="s">
        <v>3663</v>
      </c>
      <c r="B2202" s="1" t="s">
        <v>617</v>
      </c>
      <c r="C2202" s="1" t="s">
        <v>2058</v>
      </c>
      <c r="D2202" s="39">
        <v>0</v>
      </c>
      <c r="E2202" s="1" t="s">
        <v>1</v>
      </c>
      <c r="F2202" s="39">
        <v>0</v>
      </c>
    </row>
    <row r="2203" spans="1:6" x14ac:dyDescent="0.25">
      <c r="A2203" s="1" t="s">
        <v>3664</v>
      </c>
      <c r="B2203" s="1" t="s">
        <v>3665</v>
      </c>
      <c r="C2203" s="1" t="s">
        <v>2058</v>
      </c>
      <c r="D2203" s="39">
        <v>0</v>
      </c>
      <c r="E2203" s="1" t="s">
        <v>1</v>
      </c>
      <c r="F2203" s="39">
        <v>0</v>
      </c>
    </row>
    <row r="2204" spans="1:6" x14ac:dyDescent="0.25">
      <c r="A2204" s="1" t="s">
        <v>3666</v>
      </c>
      <c r="B2204" s="1" t="s">
        <v>3667</v>
      </c>
      <c r="C2204" s="1" t="s">
        <v>2058</v>
      </c>
      <c r="D2204" s="39">
        <v>0</v>
      </c>
      <c r="E2204" s="1" t="s">
        <v>1</v>
      </c>
      <c r="F2204" s="39">
        <v>0</v>
      </c>
    </row>
    <row r="2205" spans="1:6" x14ac:dyDescent="0.25">
      <c r="A2205" s="1" t="s">
        <v>3668</v>
      </c>
      <c r="B2205" s="1" t="s">
        <v>3669</v>
      </c>
      <c r="C2205" s="1" t="s">
        <v>2058</v>
      </c>
      <c r="D2205" s="39">
        <v>0</v>
      </c>
      <c r="E2205" s="1" t="s">
        <v>1</v>
      </c>
      <c r="F2205" s="39">
        <v>0</v>
      </c>
    </row>
    <row r="2206" spans="1:6" x14ac:dyDescent="0.25">
      <c r="A2206" s="1" t="s">
        <v>3670</v>
      </c>
      <c r="B2206" s="1" t="s">
        <v>3671</v>
      </c>
      <c r="C2206" s="1" t="s">
        <v>2058</v>
      </c>
      <c r="D2206" s="39">
        <v>0</v>
      </c>
      <c r="E2206" s="1" t="s">
        <v>1</v>
      </c>
      <c r="F2206" s="39">
        <v>0</v>
      </c>
    </row>
    <row r="2207" spans="1:6" x14ac:dyDescent="0.25">
      <c r="A2207" s="1" t="s">
        <v>3672</v>
      </c>
      <c r="B2207" s="1" t="s">
        <v>121</v>
      </c>
      <c r="C2207" s="1" t="s">
        <v>2058</v>
      </c>
      <c r="D2207" s="39">
        <v>0</v>
      </c>
      <c r="E2207" s="1" t="s">
        <v>1</v>
      </c>
      <c r="F2207" s="39">
        <v>0</v>
      </c>
    </row>
    <row r="2208" spans="1:6" x14ac:dyDescent="0.25">
      <c r="A2208" s="1" t="s">
        <v>3673</v>
      </c>
      <c r="B2208" s="1" t="s">
        <v>2454</v>
      </c>
      <c r="C2208" s="1" t="s">
        <v>2058</v>
      </c>
      <c r="D2208" s="39">
        <v>0</v>
      </c>
      <c r="E2208" s="1" t="s">
        <v>1</v>
      </c>
      <c r="F2208" s="39">
        <v>0</v>
      </c>
    </row>
    <row r="2209" spans="1:6" x14ac:dyDescent="0.25">
      <c r="A2209" s="1" t="s">
        <v>3674</v>
      </c>
      <c r="B2209" s="1" t="s">
        <v>2456</v>
      </c>
      <c r="C2209" s="1" t="s">
        <v>2058</v>
      </c>
      <c r="D2209" s="39">
        <v>0</v>
      </c>
      <c r="E2209" s="1" t="s">
        <v>1</v>
      </c>
      <c r="F2209" s="39">
        <v>0</v>
      </c>
    </row>
    <row r="2210" spans="1:6" x14ac:dyDescent="0.25">
      <c r="A2210" s="1" t="s">
        <v>3675</v>
      </c>
      <c r="B2210" s="1" t="s">
        <v>3676</v>
      </c>
      <c r="C2210" s="1" t="s">
        <v>2058</v>
      </c>
      <c r="D2210" s="39">
        <v>0</v>
      </c>
      <c r="E2210" s="1" t="s">
        <v>1</v>
      </c>
      <c r="F2210" s="39">
        <v>0</v>
      </c>
    </row>
    <row r="2211" spans="1:6" x14ac:dyDescent="0.25">
      <c r="A2211" s="1" t="s">
        <v>3677</v>
      </c>
      <c r="B2211" s="1" t="s">
        <v>3678</v>
      </c>
      <c r="C2211" s="1" t="s">
        <v>2058</v>
      </c>
      <c r="D2211" s="39">
        <v>0</v>
      </c>
      <c r="E2211" s="1" t="s">
        <v>1</v>
      </c>
      <c r="F2211" s="39">
        <v>0</v>
      </c>
    </row>
    <row r="2212" spans="1:6" x14ac:dyDescent="0.25">
      <c r="A2212" s="1" t="s">
        <v>3679</v>
      </c>
      <c r="B2212" s="1" t="s">
        <v>3680</v>
      </c>
      <c r="C2212" s="1" t="s">
        <v>2058</v>
      </c>
      <c r="D2212" s="39">
        <v>0</v>
      </c>
      <c r="E2212" s="1" t="s">
        <v>1</v>
      </c>
      <c r="F2212" s="39">
        <v>0</v>
      </c>
    </row>
    <row r="2213" spans="1:6" x14ac:dyDescent="0.25">
      <c r="A2213" s="1" t="s">
        <v>3681</v>
      </c>
      <c r="B2213" s="1" t="s">
        <v>3682</v>
      </c>
      <c r="C2213" s="1" t="s">
        <v>2058</v>
      </c>
      <c r="D2213" s="39">
        <v>0</v>
      </c>
      <c r="E2213" s="1" t="s">
        <v>1</v>
      </c>
      <c r="F2213" s="39">
        <v>0</v>
      </c>
    </row>
    <row r="2214" spans="1:6" x14ac:dyDescent="0.25">
      <c r="A2214" s="1" t="s">
        <v>3683</v>
      </c>
      <c r="B2214" s="1" t="s">
        <v>3682</v>
      </c>
      <c r="C2214" s="1" t="s">
        <v>2058</v>
      </c>
      <c r="D2214" s="39">
        <v>0</v>
      </c>
      <c r="E2214" s="1" t="s">
        <v>1</v>
      </c>
      <c r="F2214" s="39">
        <v>0</v>
      </c>
    </row>
    <row r="2215" spans="1:6" x14ac:dyDescent="0.25">
      <c r="A2215" s="1" t="s">
        <v>3684</v>
      </c>
      <c r="B2215" s="1" t="s">
        <v>3682</v>
      </c>
      <c r="C2215" s="1" t="s">
        <v>2058</v>
      </c>
      <c r="D2215" s="39">
        <v>0</v>
      </c>
      <c r="E2215" s="1" t="s">
        <v>1</v>
      </c>
      <c r="F2215" s="39">
        <v>0</v>
      </c>
    </row>
    <row r="2216" spans="1:6" x14ac:dyDescent="0.25">
      <c r="A2216" s="1" t="s">
        <v>3685</v>
      </c>
      <c r="B2216" s="1" t="s">
        <v>3682</v>
      </c>
      <c r="C2216" s="1" t="s">
        <v>2058</v>
      </c>
      <c r="D2216" s="39">
        <v>0</v>
      </c>
      <c r="E2216" s="1" t="s">
        <v>1</v>
      </c>
      <c r="F2216" s="39">
        <v>0</v>
      </c>
    </row>
    <row r="2217" spans="1:6" x14ac:dyDescent="0.25">
      <c r="A2217" s="1" t="s">
        <v>3686</v>
      </c>
      <c r="B2217" s="1" t="s">
        <v>3687</v>
      </c>
      <c r="C2217" s="1" t="s">
        <v>2058</v>
      </c>
      <c r="D2217" s="39">
        <v>0</v>
      </c>
      <c r="E2217" s="1" t="s">
        <v>1</v>
      </c>
      <c r="F2217" s="39">
        <v>0</v>
      </c>
    </row>
    <row r="2218" spans="1:6" x14ac:dyDescent="0.25">
      <c r="A2218" s="1" t="s">
        <v>3688</v>
      </c>
      <c r="B2218" s="1" t="s">
        <v>3689</v>
      </c>
      <c r="C2218" s="1" t="s">
        <v>2058</v>
      </c>
      <c r="D2218" s="39">
        <v>0</v>
      </c>
      <c r="E2218" s="1" t="s">
        <v>1</v>
      </c>
      <c r="F2218" s="39">
        <v>0</v>
      </c>
    </row>
    <row r="2219" spans="1:6" x14ac:dyDescent="0.25">
      <c r="A2219" s="1" t="s">
        <v>3690</v>
      </c>
      <c r="B2219" s="1" t="s">
        <v>3691</v>
      </c>
      <c r="C2219" s="1" t="s">
        <v>2058</v>
      </c>
      <c r="D2219" s="39">
        <v>0</v>
      </c>
      <c r="E2219" s="1" t="s">
        <v>1</v>
      </c>
      <c r="F2219" s="39">
        <v>0</v>
      </c>
    </row>
    <row r="2220" spans="1:6" x14ac:dyDescent="0.25">
      <c r="A2220" s="1" t="s">
        <v>3692</v>
      </c>
      <c r="B2220" s="1" t="s">
        <v>3691</v>
      </c>
      <c r="C2220" s="1" t="s">
        <v>2058</v>
      </c>
      <c r="D2220" s="39">
        <v>0</v>
      </c>
      <c r="E2220" s="1" t="s">
        <v>1</v>
      </c>
      <c r="F2220" s="39">
        <v>0</v>
      </c>
    </row>
    <row r="2221" spans="1:6" x14ac:dyDescent="0.25">
      <c r="A2221" s="1" t="s">
        <v>3693</v>
      </c>
      <c r="B2221" s="1" t="s">
        <v>3689</v>
      </c>
      <c r="C2221" s="1" t="s">
        <v>2058</v>
      </c>
      <c r="D2221" s="39">
        <v>0</v>
      </c>
      <c r="E2221" s="1" t="s">
        <v>1</v>
      </c>
      <c r="F2221" s="39">
        <v>0</v>
      </c>
    </row>
    <row r="2222" spans="1:6" x14ac:dyDescent="0.25">
      <c r="A2222" s="1" t="s">
        <v>3694</v>
      </c>
      <c r="B2222" s="1" t="s">
        <v>3689</v>
      </c>
      <c r="C2222" s="1" t="s">
        <v>2058</v>
      </c>
      <c r="D2222" s="39">
        <v>0</v>
      </c>
      <c r="E2222" s="1" t="s">
        <v>1</v>
      </c>
      <c r="F2222" s="39">
        <v>0</v>
      </c>
    </row>
    <row r="2223" spans="1:6" x14ac:dyDescent="0.25">
      <c r="A2223" s="1" t="s">
        <v>3695</v>
      </c>
      <c r="B2223" s="1" t="s">
        <v>3696</v>
      </c>
      <c r="C2223" s="1" t="s">
        <v>2058</v>
      </c>
      <c r="D2223" s="39">
        <v>0</v>
      </c>
      <c r="E2223" s="1" t="s">
        <v>1</v>
      </c>
      <c r="F2223" s="39">
        <v>0</v>
      </c>
    </row>
    <row r="2224" spans="1:6" x14ac:dyDescent="0.25">
      <c r="A2224" s="1" t="s">
        <v>1843</v>
      </c>
      <c r="B2224" s="1" t="s">
        <v>3697</v>
      </c>
      <c r="C2224" s="1" t="s">
        <v>2058</v>
      </c>
      <c r="D2224" s="39">
        <v>0</v>
      </c>
      <c r="E2224" s="1" t="s">
        <v>1</v>
      </c>
      <c r="F2224" s="39">
        <v>0</v>
      </c>
    </row>
    <row r="2225" spans="1:6" x14ac:dyDescent="0.25">
      <c r="A2225" s="1" t="s">
        <v>1844</v>
      </c>
      <c r="B2225" s="1" t="s">
        <v>3698</v>
      </c>
      <c r="C2225" s="1" t="s">
        <v>2058</v>
      </c>
      <c r="D2225" s="39">
        <v>0</v>
      </c>
      <c r="E2225" s="1" t="s">
        <v>1</v>
      </c>
      <c r="F2225" s="39">
        <v>0</v>
      </c>
    </row>
    <row r="2226" spans="1:6" x14ac:dyDescent="0.25">
      <c r="A2226" s="1" t="s">
        <v>1842</v>
      </c>
      <c r="B2226" s="1" t="s">
        <v>3699</v>
      </c>
      <c r="C2226" s="1" t="s">
        <v>2058</v>
      </c>
      <c r="D2226" s="39">
        <v>0</v>
      </c>
      <c r="E2226" s="1" t="s">
        <v>1</v>
      </c>
      <c r="F2226" s="39">
        <v>0</v>
      </c>
    </row>
    <row r="2227" spans="1:6" x14ac:dyDescent="0.25">
      <c r="A2227" s="1" t="s">
        <v>3700</v>
      </c>
      <c r="B2227" s="1" t="s">
        <v>3701</v>
      </c>
      <c r="C2227" s="1" t="s">
        <v>2058</v>
      </c>
      <c r="D2227" s="39">
        <v>0</v>
      </c>
      <c r="E2227" s="1" t="s">
        <v>1</v>
      </c>
      <c r="F2227" s="39">
        <v>0</v>
      </c>
    </row>
    <row r="2228" spans="1:6" x14ac:dyDescent="0.25">
      <c r="A2228" s="1" t="s">
        <v>1845</v>
      </c>
      <c r="B2228" s="1" t="s">
        <v>3702</v>
      </c>
      <c r="C2228" s="1" t="s">
        <v>2058</v>
      </c>
      <c r="D2228" s="39">
        <v>61</v>
      </c>
      <c r="E2228" s="1" t="s">
        <v>1</v>
      </c>
      <c r="F2228" s="3">
        <v>1634.21</v>
      </c>
    </row>
    <row r="2229" spans="1:6" x14ac:dyDescent="0.25">
      <c r="A2229" s="1" t="s">
        <v>3703</v>
      </c>
      <c r="B2229" s="1" t="s">
        <v>3704</v>
      </c>
      <c r="C2229" s="1" t="s">
        <v>2058</v>
      </c>
      <c r="D2229" s="39">
        <v>0</v>
      </c>
      <c r="E2229" s="1" t="s">
        <v>1</v>
      </c>
      <c r="F2229" s="39">
        <v>0</v>
      </c>
    </row>
    <row r="2230" spans="1:6" x14ac:dyDescent="0.25">
      <c r="A2230" s="1" t="s">
        <v>3705</v>
      </c>
      <c r="B2230" s="1" t="s">
        <v>2163</v>
      </c>
      <c r="C2230" s="1" t="s">
        <v>2058</v>
      </c>
      <c r="D2230" s="39">
        <v>0</v>
      </c>
      <c r="E2230" s="1" t="s">
        <v>1</v>
      </c>
      <c r="F2230" s="39">
        <v>0</v>
      </c>
    </row>
    <row r="2231" spans="1:6" x14ac:dyDescent="0.25">
      <c r="A2231" s="1" t="s">
        <v>3706</v>
      </c>
      <c r="B2231" s="1" t="s">
        <v>3707</v>
      </c>
      <c r="C2231" s="1" t="s">
        <v>2058</v>
      </c>
      <c r="D2231" s="39">
        <v>0</v>
      </c>
      <c r="E2231" s="1" t="s">
        <v>1</v>
      </c>
      <c r="F2231" s="39">
        <v>0</v>
      </c>
    </row>
    <row r="2232" spans="1:6" x14ac:dyDescent="0.25">
      <c r="A2232" s="1" t="s">
        <v>3708</v>
      </c>
      <c r="B2232" s="1" t="s">
        <v>144</v>
      </c>
      <c r="C2232" s="1" t="s">
        <v>2058</v>
      </c>
      <c r="D2232" s="39">
        <v>0</v>
      </c>
      <c r="E2232" s="1" t="s">
        <v>1</v>
      </c>
      <c r="F2232" s="39">
        <v>0</v>
      </c>
    </row>
    <row r="2233" spans="1:6" x14ac:dyDescent="0.25">
      <c r="A2233" s="1" t="s">
        <v>3709</v>
      </c>
      <c r="B2233" s="1" t="s">
        <v>3710</v>
      </c>
      <c r="C2233" s="1" t="s">
        <v>2058</v>
      </c>
      <c r="D2233" s="39">
        <v>0</v>
      </c>
      <c r="E2233" s="1" t="s">
        <v>1</v>
      </c>
      <c r="F2233" s="39">
        <v>0</v>
      </c>
    </row>
    <row r="2234" spans="1:6" x14ac:dyDescent="0.25">
      <c r="A2234" s="1" t="s">
        <v>3711</v>
      </c>
      <c r="B2234" s="1" t="s">
        <v>147</v>
      </c>
      <c r="C2234" s="1" t="s">
        <v>2058</v>
      </c>
      <c r="D2234" s="39">
        <v>0</v>
      </c>
      <c r="E2234" s="1" t="s">
        <v>1</v>
      </c>
      <c r="F2234" s="39">
        <v>0</v>
      </c>
    </row>
    <row r="2235" spans="1:6" x14ac:dyDescent="0.25">
      <c r="A2235" s="1" t="s">
        <v>3712</v>
      </c>
      <c r="B2235" s="1" t="s">
        <v>3713</v>
      </c>
      <c r="C2235" s="1" t="s">
        <v>2058</v>
      </c>
      <c r="D2235" s="39">
        <v>0</v>
      </c>
      <c r="E2235" s="1" t="s">
        <v>1</v>
      </c>
      <c r="F2235" s="39">
        <v>0</v>
      </c>
    </row>
    <row r="2236" spans="1:6" x14ac:dyDescent="0.25">
      <c r="A2236" s="1" t="s">
        <v>3714</v>
      </c>
      <c r="B2236" s="1" t="s">
        <v>150</v>
      </c>
      <c r="C2236" s="1" t="s">
        <v>2058</v>
      </c>
      <c r="D2236" s="39">
        <v>0</v>
      </c>
      <c r="E2236" s="1" t="s">
        <v>1</v>
      </c>
      <c r="F2236" s="39">
        <v>0</v>
      </c>
    </row>
    <row r="2237" spans="1:6" x14ac:dyDescent="0.25">
      <c r="A2237" s="1" t="s">
        <v>3715</v>
      </c>
      <c r="B2237" s="1" t="s">
        <v>3716</v>
      </c>
      <c r="C2237" s="1" t="s">
        <v>2058</v>
      </c>
      <c r="D2237" s="39">
        <v>0</v>
      </c>
      <c r="E2237" s="1" t="s">
        <v>1</v>
      </c>
      <c r="F2237" s="39">
        <v>0</v>
      </c>
    </row>
    <row r="2238" spans="1:6" x14ac:dyDescent="0.25">
      <c r="A2238" s="1" t="s">
        <v>3717</v>
      </c>
      <c r="B2238" s="1" t="s">
        <v>153</v>
      </c>
      <c r="C2238" s="1" t="s">
        <v>2058</v>
      </c>
      <c r="D2238" s="39">
        <v>0</v>
      </c>
      <c r="E2238" s="1" t="s">
        <v>1</v>
      </c>
      <c r="F2238" s="39">
        <v>0</v>
      </c>
    </row>
    <row r="2239" spans="1:6" x14ac:dyDescent="0.25">
      <c r="A2239" s="1" t="s">
        <v>3718</v>
      </c>
      <c r="B2239" s="1" t="s">
        <v>3719</v>
      </c>
      <c r="C2239" s="1" t="s">
        <v>2058</v>
      </c>
      <c r="D2239" s="39">
        <v>0</v>
      </c>
      <c r="E2239" s="1" t="s">
        <v>1</v>
      </c>
      <c r="F2239" s="39">
        <v>0</v>
      </c>
    </row>
    <row r="2240" spans="1:6" x14ac:dyDescent="0.25">
      <c r="A2240" s="1" t="s">
        <v>3720</v>
      </c>
      <c r="B2240" s="1" t="s">
        <v>3721</v>
      </c>
      <c r="C2240" s="1" t="s">
        <v>2058</v>
      </c>
      <c r="D2240" s="39">
        <v>0</v>
      </c>
      <c r="E2240" s="1" t="s">
        <v>1</v>
      </c>
      <c r="F2240" s="39">
        <v>0</v>
      </c>
    </row>
    <row r="2241" spans="1:6" x14ac:dyDescent="0.25">
      <c r="A2241" s="1" t="s">
        <v>3722</v>
      </c>
      <c r="B2241" s="1" t="s">
        <v>3723</v>
      </c>
      <c r="C2241" s="1" t="s">
        <v>2058</v>
      </c>
      <c r="D2241" s="39">
        <v>0</v>
      </c>
      <c r="E2241" s="1" t="s">
        <v>1</v>
      </c>
      <c r="F2241" s="39">
        <v>0</v>
      </c>
    </row>
    <row r="2242" spans="1:6" x14ac:dyDescent="0.25">
      <c r="A2242" s="1" t="s">
        <v>3724</v>
      </c>
      <c r="B2242" s="1" t="s">
        <v>3725</v>
      </c>
      <c r="C2242" s="1" t="s">
        <v>2058</v>
      </c>
      <c r="D2242" s="39">
        <v>0</v>
      </c>
      <c r="E2242" s="1" t="s">
        <v>1</v>
      </c>
      <c r="F2242" s="39">
        <v>0</v>
      </c>
    </row>
    <row r="2243" spans="1:6" x14ac:dyDescent="0.25">
      <c r="A2243" s="1" t="s">
        <v>3726</v>
      </c>
      <c r="B2243" s="1" t="s">
        <v>3727</v>
      </c>
      <c r="C2243" s="1" t="s">
        <v>2058</v>
      </c>
      <c r="D2243" s="39">
        <v>0</v>
      </c>
      <c r="E2243" s="1" t="s">
        <v>1</v>
      </c>
      <c r="F2243" s="39">
        <v>0</v>
      </c>
    </row>
    <row r="2244" spans="1:6" x14ac:dyDescent="0.25">
      <c r="A2244" s="1" t="s">
        <v>3728</v>
      </c>
      <c r="B2244" s="1" t="s">
        <v>176</v>
      </c>
      <c r="C2244" s="1" t="s">
        <v>2058</v>
      </c>
      <c r="D2244" s="39">
        <v>0</v>
      </c>
      <c r="E2244" s="1" t="s">
        <v>1</v>
      </c>
      <c r="F2244" s="39">
        <v>0</v>
      </c>
    </row>
    <row r="2245" spans="1:6" x14ac:dyDescent="0.25">
      <c r="A2245" s="1" t="s">
        <v>3729</v>
      </c>
      <c r="B2245" s="1" t="s">
        <v>2459</v>
      </c>
      <c r="C2245" s="1" t="s">
        <v>2058</v>
      </c>
      <c r="D2245" s="39">
        <v>0</v>
      </c>
      <c r="E2245" s="1" t="s">
        <v>1</v>
      </c>
      <c r="F2245" s="39">
        <v>0</v>
      </c>
    </row>
    <row r="2246" spans="1:6" x14ac:dyDescent="0.25">
      <c r="A2246" s="1" t="s">
        <v>618</v>
      </c>
      <c r="B2246" s="1" t="s">
        <v>619</v>
      </c>
      <c r="C2246" s="1" t="s">
        <v>2058</v>
      </c>
      <c r="D2246" s="39">
        <v>0</v>
      </c>
      <c r="E2246" s="1" t="s">
        <v>1</v>
      </c>
      <c r="F2246" s="39">
        <v>0</v>
      </c>
    </row>
    <row r="2247" spans="1:6" x14ac:dyDescent="0.25">
      <c r="A2247" s="1" t="s">
        <v>3730</v>
      </c>
      <c r="B2247" s="1" t="s">
        <v>3731</v>
      </c>
      <c r="C2247" s="1" t="s">
        <v>2058</v>
      </c>
      <c r="D2247" s="39">
        <v>0</v>
      </c>
      <c r="E2247" s="1" t="s">
        <v>1</v>
      </c>
      <c r="F2247" s="39">
        <v>0</v>
      </c>
    </row>
    <row r="2248" spans="1:6" x14ac:dyDescent="0.25">
      <c r="A2248" s="1" t="s">
        <v>3732</v>
      </c>
      <c r="B2248" s="1" t="s">
        <v>3733</v>
      </c>
      <c r="C2248" s="1" t="s">
        <v>2058</v>
      </c>
      <c r="D2248" s="39">
        <v>0</v>
      </c>
      <c r="E2248" s="1" t="s">
        <v>1</v>
      </c>
      <c r="F2248" s="39">
        <v>0</v>
      </c>
    </row>
    <row r="2249" spans="1:6" x14ac:dyDescent="0.25">
      <c r="A2249" s="1" t="s">
        <v>3734</v>
      </c>
      <c r="B2249" s="1" t="s">
        <v>3735</v>
      </c>
      <c r="C2249" s="1" t="s">
        <v>2058</v>
      </c>
      <c r="D2249" s="39">
        <v>0</v>
      </c>
      <c r="E2249" s="1" t="s">
        <v>1</v>
      </c>
      <c r="F2249" s="39">
        <v>0</v>
      </c>
    </row>
    <row r="2250" spans="1:6" x14ac:dyDescent="0.25">
      <c r="A2250" s="1" t="s">
        <v>3736</v>
      </c>
      <c r="B2250" s="1" t="s">
        <v>3737</v>
      </c>
      <c r="C2250" s="1" t="s">
        <v>2058</v>
      </c>
      <c r="D2250" s="39">
        <v>0</v>
      </c>
      <c r="E2250" s="1" t="s">
        <v>1</v>
      </c>
      <c r="F2250" s="39">
        <v>0</v>
      </c>
    </row>
    <row r="2251" spans="1:6" x14ac:dyDescent="0.25">
      <c r="A2251" s="1" t="s">
        <v>624</v>
      </c>
      <c r="B2251" s="1" t="s">
        <v>625</v>
      </c>
      <c r="C2251" s="1" t="s">
        <v>2058</v>
      </c>
      <c r="D2251" s="39">
        <v>0</v>
      </c>
      <c r="E2251" s="1" t="s">
        <v>1</v>
      </c>
      <c r="F2251" s="39">
        <v>0</v>
      </c>
    </row>
    <row r="2252" spans="1:6" x14ac:dyDescent="0.25">
      <c r="A2252" s="1" t="s">
        <v>626</v>
      </c>
      <c r="B2252" s="1" t="s">
        <v>627</v>
      </c>
      <c r="C2252" s="1" t="s">
        <v>2058</v>
      </c>
      <c r="D2252" s="39">
        <v>0</v>
      </c>
      <c r="E2252" s="1" t="s">
        <v>1</v>
      </c>
      <c r="F2252" s="39">
        <v>0</v>
      </c>
    </row>
    <row r="2253" spans="1:6" x14ac:dyDescent="0.25">
      <c r="A2253" s="1" t="s">
        <v>3738</v>
      </c>
      <c r="B2253" s="1" t="s">
        <v>3739</v>
      </c>
      <c r="C2253" s="1" t="s">
        <v>2058</v>
      </c>
      <c r="D2253" s="39">
        <v>0</v>
      </c>
      <c r="E2253" s="1" t="s">
        <v>1</v>
      </c>
      <c r="F2253" s="39">
        <v>0</v>
      </c>
    </row>
    <row r="2254" spans="1:6" x14ac:dyDescent="0.25">
      <c r="A2254" s="1" t="s">
        <v>628</v>
      </c>
      <c r="B2254" s="1" t="s">
        <v>629</v>
      </c>
      <c r="C2254" s="1" t="s">
        <v>2058</v>
      </c>
      <c r="D2254" s="39">
        <v>0</v>
      </c>
      <c r="E2254" s="1" t="s">
        <v>1</v>
      </c>
      <c r="F2254" s="39">
        <v>0</v>
      </c>
    </row>
    <row r="2255" spans="1:6" x14ac:dyDescent="0.25">
      <c r="A2255" s="1" t="s">
        <v>3740</v>
      </c>
      <c r="B2255" s="1" t="s">
        <v>3741</v>
      </c>
      <c r="C2255" s="1" t="s">
        <v>2058</v>
      </c>
      <c r="D2255" s="39">
        <v>0</v>
      </c>
      <c r="E2255" s="1" t="s">
        <v>1</v>
      </c>
      <c r="F2255" s="39">
        <v>0</v>
      </c>
    </row>
    <row r="2256" spans="1:6" x14ac:dyDescent="0.25">
      <c r="A2256" s="1" t="s">
        <v>630</v>
      </c>
      <c r="B2256" s="1" t="s">
        <v>631</v>
      </c>
      <c r="C2256" s="1" t="s">
        <v>2058</v>
      </c>
      <c r="D2256" s="39">
        <v>0</v>
      </c>
      <c r="E2256" s="1" t="s">
        <v>1</v>
      </c>
      <c r="F2256" s="39">
        <v>0</v>
      </c>
    </row>
    <row r="2257" spans="1:6" x14ac:dyDescent="0.25">
      <c r="A2257" s="1" t="s">
        <v>3742</v>
      </c>
      <c r="B2257" s="1" t="s">
        <v>3743</v>
      </c>
      <c r="C2257" s="1" t="s">
        <v>2058</v>
      </c>
      <c r="D2257" s="39">
        <v>0</v>
      </c>
      <c r="E2257" s="1" t="s">
        <v>1</v>
      </c>
      <c r="F2257" s="39">
        <v>0</v>
      </c>
    </row>
    <row r="2258" spans="1:6" x14ac:dyDescent="0.25">
      <c r="A2258" s="1" t="s">
        <v>3744</v>
      </c>
      <c r="B2258" s="1" t="s">
        <v>3745</v>
      </c>
      <c r="C2258" s="1" t="s">
        <v>2058</v>
      </c>
      <c r="D2258" s="39">
        <v>0</v>
      </c>
      <c r="E2258" s="1" t="s">
        <v>1</v>
      </c>
      <c r="F2258" s="39">
        <v>0</v>
      </c>
    </row>
    <row r="2259" spans="1:6" x14ac:dyDescent="0.25">
      <c r="A2259" s="1" t="s">
        <v>3746</v>
      </c>
      <c r="B2259" s="1" t="s">
        <v>3745</v>
      </c>
      <c r="C2259" s="1" t="s">
        <v>2058</v>
      </c>
      <c r="D2259" s="39">
        <v>0</v>
      </c>
      <c r="E2259" s="1" t="s">
        <v>1</v>
      </c>
      <c r="F2259" s="39">
        <v>0</v>
      </c>
    </row>
    <row r="2260" spans="1:6" x14ac:dyDescent="0.25">
      <c r="A2260" s="1" t="s">
        <v>638</v>
      </c>
      <c r="B2260" s="1" t="s">
        <v>639</v>
      </c>
      <c r="C2260" s="1" t="s">
        <v>2058</v>
      </c>
      <c r="D2260" s="39">
        <v>0</v>
      </c>
      <c r="E2260" s="1" t="s">
        <v>1</v>
      </c>
      <c r="F2260" s="39">
        <v>0</v>
      </c>
    </row>
    <row r="2261" spans="1:6" x14ac:dyDescent="0.25">
      <c r="A2261" s="1" t="s">
        <v>3747</v>
      </c>
      <c r="B2261" s="1" t="s">
        <v>643</v>
      </c>
      <c r="C2261" s="1" t="s">
        <v>2058</v>
      </c>
      <c r="D2261" s="39">
        <v>0</v>
      </c>
      <c r="E2261" s="1" t="s">
        <v>1</v>
      </c>
      <c r="F2261" s="39">
        <v>0</v>
      </c>
    </row>
    <row r="2262" spans="1:6" x14ac:dyDescent="0.25">
      <c r="A2262" s="1" t="s">
        <v>3748</v>
      </c>
      <c r="B2262" s="1" t="s">
        <v>3749</v>
      </c>
      <c r="C2262" s="1" t="s">
        <v>2058</v>
      </c>
      <c r="D2262" s="39">
        <v>0</v>
      </c>
      <c r="E2262" s="1" t="s">
        <v>1</v>
      </c>
      <c r="F2262" s="39">
        <v>0</v>
      </c>
    </row>
    <row r="2263" spans="1:6" x14ac:dyDescent="0.25">
      <c r="A2263" s="1" t="s">
        <v>3750</v>
      </c>
      <c r="B2263" s="1" t="s">
        <v>3751</v>
      </c>
      <c r="C2263" s="1" t="s">
        <v>2058</v>
      </c>
      <c r="D2263" s="39">
        <v>0</v>
      </c>
      <c r="E2263" s="1" t="s">
        <v>1</v>
      </c>
      <c r="F2263" s="39">
        <v>0</v>
      </c>
    </row>
    <row r="2264" spans="1:6" x14ac:dyDescent="0.25">
      <c r="A2264" s="1" t="s">
        <v>3752</v>
      </c>
      <c r="B2264" s="1" t="s">
        <v>3753</v>
      </c>
      <c r="C2264" s="1" t="s">
        <v>2058</v>
      </c>
      <c r="D2264" s="39">
        <v>0</v>
      </c>
      <c r="E2264" s="1" t="s">
        <v>1</v>
      </c>
      <c r="F2264" s="39">
        <v>0</v>
      </c>
    </row>
    <row r="2265" spans="1:6" x14ac:dyDescent="0.25">
      <c r="A2265" s="1" t="s">
        <v>3754</v>
      </c>
      <c r="B2265" s="1" t="s">
        <v>3755</v>
      </c>
      <c r="C2265" s="1" t="s">
        <v>2058</v>
      </c>
      <c r="D2265" s="39">
        <v>0</v>
      </c>
      <c r="E2265" s="1" t="s">
        <v>1</v>
      </c>
      <c r="F2265" s="39">
        <v>0</v>
      </c>
    </row>
    <row r="2266" spans="1:6" x14ac:dyDescent="0.25">
      <c r="A2266" s="1" t="s">
        <v>3756</v>
      </c>
      <c r="B2266" s="1" t="s">
        <v>3757</v>
      </c>
      <c r="C2266" s="1" t="s">
        <v>2058</v>
      </c>
      <c r="D2266" s="39">
        <v>0</v>
      </c>
      <c r="E2266" s="1" t="s">
        <v>1</v>
      </c>
      <c r="F2266" s="39">
        <v>0</v>
      </c>
    </row>
    <row r="2267" spans="1:6" x14ac:dyDescent="0.25">
      <c r="A2267" s="1" t="s">
        <v>3758</v>
      </c>
      <c r="B2267" s="1" t="s">
        <v>3759</v>
      </c>
      <c r="C2267" s="1" t="s">
        <v>2058</v>
      </c>
      <c r="D2267" s="39">
        <v>0</v>
      </c>
      <c r="E2267" s="1" t="s">
        <v>1</v>
      </c>
      <c r="F2267" s="39">
        <v>0</v>
      </c>
    </row>
    <row r="2268" spans="1:6" x14ac:dyDescent="0.25">
      <c r="A2268" s="1" t="s">
        <v>3760</v>
      </c>
      <c r="B2268" s="1" t="s">
        <v>3761</v>
      </c>
      <c r="C2268" s="1" t="s">
        <v>2058</v>
      </c>
      <c r="D2268" s="39">
        <v>0</v>
      </c>
      <c r="E2268" s="1" t="s">
        <v>1</v>
      </c>
      <c r="F2268" s="39">
        <v>0</v>
      </c>
    </row>
    <row r="2269" spans="1:6" x14ac:dyDescent="0.25">
      <c r="A2269" s="1" t="s">
        <v>3762</v>
      </c>
      <c r="B2269" s="1" t="s">
        <v>3763</v>
      </c>
      <c r="C2269" s="1" t="s">
        <v>2058</v>
      </c>
      <c r="D2269" s="39">
        <v>0</v>
      </c>
      <c r="E2269" s="1" t="s">
        <v>1</v>
      </c>
      <c r="F2269" s="39">
        <v>0</v>
      </c>
    </row>
    <row r="2270" spans="1:6" x14ac:dyDescent="0.25">
      <c r="A2270" s="1" t="s">
        <v>3764</v>
      </c>
      <c r="B2270" s="1" t="s">
        <v>3765</v>
      </c>
      <c r="C2270" s="1" t="s">
        <v>2058</v>
      </c>
      <c r="D2270" s="39">
        <v>0</v>
      </c>
      <c r="E2270" s="1" t="s">
        <v>1</v>
      </c>
      <c r="F2270" s="39">
        <v>0</v>
      </c>
    </row>
    <row r="2271" spans="1:6" x14ac:dyDescent="0.25">
      <c r="A2271" s="1" t="s">
        <v>3766</v>
      </c>
      <c r="B2271" s="1" t="s">
        <v>3765</v>
      </c>
      <c r="C2271" s="1" t="s">
        <v>2058</v>
      </c>
      <c r="D2271" s="39">
        <v>0</v>
      </c>
      <c r="E2271" s="1" t="s">
        <v>1</v>
      </c>
      <c r="F2271" s="39">
        <v>0</v>
      </c>
    </row>
    <row r="2272" spans="1:6" x14ac:dyDescent="0.25">
      <c r="A2272" s="1" t="s">
        <v>3767</v>
      </c>
      <c r="B2272" s="1" t="s">
        <v>3768</v>
      </c>
      <c r="C2272" s="1" t="s">
        <v>2058</v>
      </c>
      <c r="D2272" s="39">
        <v>0</v>
      </c>
      <c r="E2272" s="1" t="s">
        <v>1</v>
      </c>
      <c r="F2272" s="39">
        <v>0</v>
      </c>
    </row>
    <row r="2273" spans="1:6" x14ac:dyDescent="0.25">
      <c r="A2273" s="1" t="s">
        <v>3769</v>
      </c>
      <c r="B2273" s="1" t="s">
        <v>3770</v>
      </c>
      <c r="C2273" s="1" t="s">
        <v>2058</v>
      </c>
      <c r="D2273" s="39">
        <v>0</v>
      </c>
      <c r="E2273" s="1" t="s">
        <v>1</v>
      </c>
      <c r="F2273" s="39">
        <v>0</v>
      </c>
    </row>
    <row r="2274" spans="1:6" x14ac:dyDescent="0.25">
      <c r="A2274" s="1" t="s">
        <v>3771</v>
      </c>
      <c r="B2274" s="1" t="s">
        <v>3770</v>
      </c>
      <c r="C2274" s="1" t="s">
        <v>2058</v>
      </c>
      <c r="D2274" s="39">
        <v>0</v>
      </c>
      <c r="E2274" s="1" t="s">
        <v>1</v>
      </c>
      <c r="F2274" s="39">
        <v>0</v>
      </c>
    </row>
    <row r="2275" spans="1:6" x14ac:dyDescent="0.25">
      <c r="A2275" s="1" t="s">
        <v>3772</v>
      </c>
      <c r="B2275" s="1" t="s">
        <v>3773</v>
      </c>
      <c r="C2275" s="1" t="s">
        <v>2058</v>
      </c>
      <c r="D2275" s="39">
        <v>0</v>
      </c>
      <c r="E2275" s="1" t="s">
        <v>1</v>
      </c>
      <c r="F2275" s="39">
        <v>0</v>
      </c>
    </row>
    <row r="2276" spans="1:6" x14ac:dyDescent="0.25">
      <c r="A2276" s="1" t="s">
        <v>3774</v>
      </c>
      <c r="B2276" s="1" t="s">
        <v>3775</v>
      </c>
      <c r="C2276" s="1" t="s">
        <v>2058</v>
      </c>
      <c r="D2276" s="39">
        <v>0</v>
      </c>
      <c r="E2276" s="1" t="s">
        <v>1</v>
      </c>
      <c r="F2276" s="39">
        <v>0</v>
      </c>
    </row>
    <row r="2277" spans="1:6" x14ac:dyDescent="0.25">
      <c r="A2277" s="1" t="s">
        <v>3776</v>
      </c>
      <c r="B2277" s="1" t="s">
        <v>3777</v>
      </c>
      <c r="C2277" s="1" t="s">
        <v>2058</v>
      </c>
      <c r="D2277" s="39">
        <v>0</v>
      </c>
      <c r="E2277" s="1" t="s">
        <v>1</v>
      </c>
      <c r="F2277" s="39">
        <v>0</v>
      </c>
    </row>
    <row r="2278" spans="1:6" x14ac:dyDescent="0.25">
      <c r="A2278" s="1" t="s">
        <v>3778</v>
      </c>
      <c r="B2278" s="1" t="s">
        <v>3779</v>
      </c>
      <c r="C2278" s="1" t="s">
        <v>2058</v>
      </c>
      <c r="D2278" s="39">
        <v>0</v>
      </c>
      <c r="E2278" s="1" t="s">
        <v>1</v>
      </c>
      <c r="F2278" s="39">
        <v>0</v>
      </c>
    </row>
    <row r="2279" spans="1:6" x14ac:dyDescent="0.25">
      <c r="A2279" s="1" t="s">
        <v>3780</v>
      </c>
      <c r="B2279" s="1" t="s">
        <v>3781</v>
      </c>
      <c r="C2279" s="1" t="s">
        <v>2058</v>
      </c>
      <c r="D2279" s="39">
        <v>0</v>
      </c>
      <c r="E2279" s="1" t="s">
        <v>1</v>
      </c>
      <c r="F2279" s="39">
        <v>0</v>
      </c>
    </row>
    <row r="2280" spans="1:6" x14ac:dyDescent="0.25">
      <c r="A2280" s="1" t="s">
        <v>3782</v>
      </c>
      <c r="B2280" s="1" t="s">
        <v>3783</v>
      </c>
      <c r="C2280" s="1" t="s">
        <v>2058</v>
      </c>
      <c r="D2280" s="39">
        <v>0</v>
      </c>
      <c r="E2280" s="1" t="s">
        <v>1</v>
      </c>
      <c r="F2280" s="39">
        <v>0</v>
      </c>
    </row>
    <row r="2281" spans="1:6" x14ac:dyDescent="0.25">
      <c r="A2281" s="1" t="s">
        <v>3784</v>
      </c>
      <c r="B2281" s="1" t="s">
        <v>3785</v>
      </c>
      <c r="C2281" s="1" t="s">
        <v>2058</v>
      </c>
      <c r="D2281" s="39">
        <v>0</v>
      </c>
      <c r="E2281" s="1" t="s">
        <v>1</v>
      </c>
      <c r="F2281" s="39">
        <v>0</v>
      </c>
    </row>
    <row r="2282" spans="1:6" x14ac:dyDescent="0.25">
      <c r="A2282" s="1" t="s">
        <v>3786</v>
      </c>
      <c r="B2282" s="1" t="s">
        <v>3787</v>
      </c>
      <c r="C2282" s="1" t="s">
        <v>2058</v>
      </c>
      <c r="D2282" s="39">
        <v>0</v>
      </c>
      <c r="E2282" s="1" t="s">
        <v>1</v>
      </c>
      <c r="F2282" s="39">
        <v>0</v>
      </c>
    </row>
    <row r="2283" spans="1:6" x14ac:dyDescent="0.25">
      <c r="A2283" s="1" t="s">
        <v>644</v>
      </c>
      <c r="B2283" s="1" t="s">
        <v>645</v>
      </c>
      <c r="C2283" s="1" t="s">
        <v>2058</v>
      </c>
      <c r="D2283" s="39">
        <v>954</v>
      </c>
      <c r="E2283" s="1" t="s">
        <v>1</v>
      </c>
      <c r="F2283" s="3">
        <v>25393.58</v>
      </c>
    </row>
    <row r="2284" spans="1:6" x14ac:dyDescent="0.25">
      <c r="A2284" s="1" t="s">
        <v>1887</v>
      </c>
      <c r="B2284" s="1" t="s">
        <v>3788</v>
      </c>
      <c r="C2284" s="1" t="s">
        <v>2058</v>
      </c>
      <c r="D2284" s="39">
        <v>0</v>
      </c>
      <c r="E2284" s="1" t="s">
        <v>1</v>
      </c>
      <c r="F2284" s="39">
        <v>0</v>
      </c>
    </row>
    <row r="2285" spans="1:6" x14ac:dyDescent="0.25">
      <c r="A2285" s="1" t="s">
        <v>3789</v>
      </c>
      <c r="B2285" s="1" t="s">
        <v>3790</v>
      </c>
      <c r="C2285" s="1" t="s">
        <v>2058</v>
      </c>
      <c r="D2285" s="39">
        <v>0</v>
      </c>
      <c r="E2285" s="1" t="s">
        <v>1</v>
      </c>
      <c r="F2285" s="39">
        <v>0</v>
      </c>
    </row>
    <row r="2286" spans="1:6" x14ac:dyDescent="0.25">
      <c r="A2286" s="1" t="s">
        <v>3791</v>
      </c>
      <c r="B2286" s="1" t="s">
        <v>3792</v>
      </c>
      <c r="C2286" s="1" t="s">
        <v>2058</v>
      </c>
      <c r="D2286" s="39">
        <v>0</v>
      </c>
      <c r="E2286" s="1" t="s">
        <v>1</v>
      </c>
      <c r="F2286" s="39">
        <v>0</v>
      </c>
    </row>
    <row r="2287" spans="1:6" x14ac:dyDescent="0.25">
      <c r="A2287" s="1" t="s">
        <v>3793</v>
      </c>
      <c r="B2287" s="1" t="s">
        <v>3794</v>
      </c>
      <c r="C2287" s="1" t="s">
        <v>2058</v>
      </c>
      <c r="D2287" s="39">
        <v>0</v>
      </c>
      <c r="E2287" s="1" t="s">
        <v>1</v>
      </c>
      <c r="F2287" s="39">
        <v>0</v>
      </c>
    </row>
    <row r="2288" spans="1:6" x14ac:dyDescent="0.25">
      <c r="A2288" s="1" t="s">
        <v>3795</v>
      </c>
      <c r="B2288" s="1" t="s">
        <v>3796</v>
      </c>
      <c r="C2288" s="1" t="s">
        <v>2058</v>
      </c>
      <c r="D2288" s="39">
        <v>0</v>
      </c>
      <c r="E2288" s="1" t="s">
        <v>1</v>
      </c>
      <c r="F2288" s="39">
        <v>0</v>
      </c>
    </row>
    <row r="2289" spans="1:6" x14ac:dyDescent="0.25">
      <c r="A2289" s="1" t="s">
        <v>3797</v>
      </c>
      <c r="B2289" s="1" t="s">
        <v>3798</v>
      </c>
      <c r="C2289" s="1" t="s">
        <v>2058</v>
      </c>
      <c r="D2289" s="39">
        <v>0</v>
      </c>
      <c r="E2289" s="1" t="s">
        <v>1</v>
      </c>
      <c r="F2289" s="39">
        <v>0</v>
      </c>
    </row>
    <row r="2290" spans="1:6" x14ac:dyDescent="0.25">
      <c r="A2290" s="1" t="s">
        <v>3799</v>
      </c>
      <c r="B2290" s="1" t="s">
        <v>3800</v>
      </c>
      <c r="C2290" s="1" t="s">
        <v>2058</v>
      </c>
      <c r="D2290" s="39">
        <v>0</v>
      </c>
      <c r="E2290" s="1" t="s">
        <v>1</v>
      </c>
      <c r="F2290" s="39">
        <v>0</v>
      </c>
    </row>
    <row r="2291" spans="1:6" x14ac:dyDescent="0.25">
      <c r="A2291" s="1" t="s">
        <v>3801</v>
      </c>
      <c r="B2291" s="1" t="s">
        <v>3802</v>
      </c>
      <c r="C2291" s="1" t="s">
        <v>2058</v>
      </c>
      <c r="D2291" s="39">
        <v>0</v>
      </c>
      <c r="E2291" s="1" t="s">
        <v>1</v>
      </c>
      <c r="F2291" s="39">
        <v>0</v>
      </c>
    </row>
    <row r="2292" spans="1:6" x14ac:dyDescent="0.25">
      <c r="A2292" s="1" t="s">
        <v>3803</v>
      </c>
      <c r="B2292" s="1" t="s">
        <v>3804</v>
      </c>
      <c r="C2292" s="1" t="s">
        <v>2058</v>
      </c>
      <c r="D2292" s="39">
        <v>0</v>
      </c>
      <c r="E2292" s="1" t="s">
        <v>1</v>
      </c>
      <c r="F2292" s="39">
        <v>0</v>
      </c>
    </row>
    <row r="2293" spans="1:6" x14ac:dyDescent="0.25">
      <c r="A2293" s="1" t="s">
        <v>3805</v>
      </c>
      <c r="B2293" s="1" t="s">
        <v>3806</v>
      </c>
      <c r="C2293" s="1" t="s">
        <v>2058</v>
      </c>
      <c r="D2293" s="39">
        <v>0</v>
      </c>
      <c r="E2293" s="1" t="s">
        <v>1</v>
      </c>
      <c r="F2293" s="39">
        <v>0</v>
      </c>
    </row>
    <row r="2294" spans="1:6" x14ac:dyDescent="0.25">
      <c r="A2294" s="1" t="s">
        <v>3807</v>
      </c>
      <c r="B2294" s="1" t="s">
        <v>3808</v>
      </c>
      <c r="C2294" s="1" t="s">
        <v>2058</v>
      </c>
      <c r="D2294" s="39">
        <v>0</v>
      </c>
      <c r="E2294" s="1" t="s">
        <v>1</v>
      </c>
      <c r="F2294" s="39">
        <v>0</v>
      </c>
    </row>
    <row r="2295" spans="1:6" x14ac:dyDescent="0.25">
      <c r="A2295" s="1" t="s">
        <v>3809</v>
      </c>
      <c r="B2295" s="1" t="s">
        <v>3810</v>
      </c>
      <c r="C2295" s="1" t="s">
        <v>2058</v>
      </c>
      <c r="D2295" s="39">
        <v>0</v>
      </c>
      <c r="E2295" s="1" t="s">
        <v>1</v>
      </c>
      <c r="F2295" s="39">
        <v>0</v>
      </c>
    </row>
    <row r="2296" spans="1:6" x14ac:dyDescent="0.25">
      <c r="A2296" s="1" t="s">
        <v>3811</v>
      </c>
      <c r="B2296" s="1" t="s">
        <v>3812</v>
      </c>
      <c r="C2296" s="1" t="s">
        <v>2058</v>
      </c>
      <c r="D2296" s="39">
        <v>0</v>
      </c>
      <c r="E2296" s="1" t="s">
        <v>1</v>
      </c>
      <c r="F2296" s="39">
        <v>0</v>
      </c>
    </row>
    <row r="2297" spans="1:6" x14ac:dyDescent="0.25">
      <c r="A2297" s="1" t="s">
        <v>3813</v>
      </c>
      <c r="B2297" s="1" t="s">
        <v>3814</v>
      </c>
      <c r="C2297" s="1" t="s">
        <v>2058</v>
      </c>
      <c r="D2297" s="39">
        <v>0</v>
      </c>
      <c r="E2297" s="1" t="s">
        <v>1</v>
      </c>
      <c r="F2297" s="39">
        <v>0</v>
      </c>
    </row>
    <row r="2298" spans="1:6" x14ac:dyDescent="0.25">
      <c r="A2298" s="1" t="s">
        <v>3815</v>
      </c>
      <c r="B2298" s="1" t="s">
        <v>3816</v>
      </c>
      <c r="C2298" s="1" t="s">
        <v>2058</v>
      </c>
      <c r="D2298" s="39">
        <v>0</v>
      </c>
      <c r="E2298" s="1" t="s">
        <v>1</v>
      </c>
      <c r="F2298" s="39">
        <v>0</v>
      </c>
    </row>
    <row r="2299" spans="1:6" x14ac:dyDescent="0.25">
      <c r="A2299" s="1" t="s">
        <v>3817</v>
      </c>
      <c r="B2299" s="1" t="s">
        <v>3818</v>
      </c>
      <c r="C2299" s="1" t="s">
        <v>2058</v>
      </c>
      <c r="D2299" s="39">
        <v>0</v>
      </c>
      <c r="E2299" s="1" t="s">
        <v>1</v>
      </c>
      <c r="F2299" s="39">
        <v>0</v>
      </c>
    </row>
    <row r="2300" spans="1:6" x14ac:dyDescent="0.25">
      <c r="A2300" s="1" t="s">
        <v>3819</v>
      </c>
      <c r="B2300" s="1" t="s">
        <v>3820</v>
      </c>
      <c r="C2300" s="1" t="s">
        <v>2058</v>
      </c>
      <c r="D2300" s="39">
        <v>0</v>
      </c>
      <c r="E2300" s="1" t="s">
        <v>1</v>
      </c>
      <c r="F2300" s="39">
        <v>0</v>
      </c>
    </row>
    <row r="2301" spans="1:6" x14ac:dyDescent="0.25">
      <c r="A2301" s="1" t="s">
        <v>3821</v>
      </c>
      <c r="B2301" s="1" t="s">
        <v>2187</v>
      </c>
      <c r="C2301" s="1" t="s">
        <v>2058</v>
      </c>
      <c r="D2301" s="39">
        <v>0</v>
      </c>
      <c r="E2301" s="1" t="s">
        <v>1</v>
      </c>
      <c r="F2301" s="39">
        <v>0</v>
      </c>
    </row>
    <row r="2302" spans="1:6" x14ac:dyDescent="0.25">
      <c r="A2302" s="1" t="s">
        <v>3822</v>
      </c>
      <c r="B2302" s="1" t="s">
        <v>3823</v>
      </c>
      <c r="C2302" s="1" t="s">
        <v>2058</v>
      </c>
      <c r="D2302" s="39">
        <v>0</v>
      </c>
      <c r="E2302" s="1" t="s">
        <v>1</v>
      </c>
      <c r="F2302" s="39">
        <v>0</v>
      </c>
    </row>
    <row r="2303" spans="1:6" x14ac:dyDescent="0.25">
      <c r="A2303" s="1" t="s">
        <v>3824</v>
      </c>
      <c r="B2303" s="1" t="s">
        <v>2188</v>
      </c>
      <c r="C2303" s="1" t="s">
        <v>2058</v>
      </c>
      <c r="D2303" s="39">
        <v>0</v>
      </c>
      <c r="E2303" s="1" t="s">
        <v>1</v>
      </c>
      <c r="F2303" s="39">
        <v>0</v>
      </c>
    </row>
    <row r="2304" spans="1:6" x14ac:dyDescent="0.25">
      <c r="A2304" s="1" t="s">
        <v>3825</v>
      </c>
      <c r="B2304" s="1" t="s">
        <v>3826</v>
      </c>
      <c r="C2304" s="1" t="s">
        <v>2058</v>
      </c>
      <c r="D2304" s="39">
        <v>0</v>
      </c>
      <c r="E2304" s="1" t="s">
        <v>1</v>
      </c>
      <c r="F2304" s="39">
        <v>0</v>
      </c>
    </row>
    <row r="2305" spans="1:6" x14ac:dyDescent="0.25">
      <c r="A2305" s="1" t="s">
        <v>3827</v>
      </c>
      <c r="B2305" s="1" t="s">
        <v>3828</v>
      </c>
      <c r="C2305" s="1" t="s">
        <v>2058</v>
      </c>
      <c r="D2305" s="39">
        <v>0</v>
      </c>
      <c r="E2305" s="1" t="s">
        <v>1</v>
      </c>
      <c r="F2305" s="39">
        <v>0</v>
      </c>
    </row>
    <row r="2306" spans="1:6" x14ac:dyDescent="0.25">
      <c r="A2306" s="1" t="s">
        <v>3829</v>
      </c>
      <c r="B2306" s="1" t="s">
        <v>3830</v>
      </c>
      <c r="C2306" s="1" t="s">
        <v>2058</v>
      </c>
      <c r="D2306" s="39">
        <v>0</v>
      </c>
      <c r="E2306" s="1" t="s">
        <v>1</v>
      </c>
      <c r="F2306" s="39">
        <v>0</v>
      </c>
    </row>
    <row r="2307" spans="1:6" x14ac:dyDescent="0.25">
      <c r="A2307" s="1" t="s">
        <v>3831</v>
      </c>
      <c r="B2307" s="1" t="s">
        <v>3832</v>
      </c>
      <c r="C2307" s="1" t="s">
        <v>2058</v>
      </c>
      <c r="D2307" s="39">
        <v>0</v>
      </c>
      <c r="E2307" s="1" t="s">
        <v>1</v>
      </c>
      <c r="F2307" s="39">
        <v>0</v>
      </c>
    </row>
    <row r="2308" spans="1:6" x14ac:dyDescent="0.25">
      <c r="A2308" s="1" t="s">
        <v>3833</v>
      </c>
      <c r="B2308" s="1" t="s">
        <v>3834</v>
      </c>
      <c r="C2308" s="1" t="s">
        <v>2058</v>
      </c>
      <c r="D2308" s="39">
        <v>0</v>
      </c>
      <c r="E2308" s="1" t="s">
        <v>1</v>
      </c>
      <c r="F2308" s="39">
        <v>0</v>
      </c>
    </row>
    <row r="2309" spans="1:6" x14ac:dyDescent="0.25">
      <c r="A2309" s="1" t="s">
        <v>3835</v>
      </c>
      <c r="B2309" s="1" t="s">
        <v>3836</v>
      </c>
      <c r="C2309" s="1" t="s">
        <v>2058</v>
      </c>
      <c r="D2309" s="39">
        <v>0</v>
      </c>
      <c r="E2309" s="1" t="s">
        <v>1</v>
      </c>
      <c r="F2309" s="39">
        <v>0</v>
      </c>
    </row>
    <row r="2310" spans="1:6" x14ac:dyDescent="0.25">
      <c r="A2310" s="1" t="s">
        <v>3837</v>
      </c>
      <c r="B2310" s="1" t="s">
        <v>3838</v>
      </c>
      <c r="C2310" s="1" t="s">
        <v>2058</v>
      </c>
      <c r="D2310" s="39">
        <v>0</v>
      </c>
      <c r="E2310" s="1" t="s">
        <v>1</v>
      </c>
      <c r="F2310" s="39">
        <v>0</v>
      </c>
    </row>
    <row r="2311" spans="1:6" x14ac:dyDescent="0.25">
      <c r="A2311" s="1" t="s">
        <v>3839</v>
      </c>
      <c r="B2311" s="1" t="s">
        <v>3840</v>
      </c>
      <c r="C2311" s="1" t="s">
        <v>2058</v>
      </c>
      <c r="D2311" s="39">
        <v>0</v>
      </c>
      <c r="E2311" s="1" t="s">
        <v>1</v>
      </c>
      <c r="F2311" s="39">
        <v>0</v>
      </c>
    </row>
    <row r="2312" spans="1:6" x14ac:dyDescent="0.25">
      <c r="A2312" s="1" t="s">
        <v>3841</v>
      </c>
      <c r="B2312" s="1" t="s">
        <v>3842</v>
      </c>
      <c r="C2312" s="1" t="s">
        <v>2058</v>
      </c>
      <c r="D2312" s="39">
        <v>0</v>
      </c>
      <c r="E2312" s="1" t="s">
        <v>1</v>
      </c>
      <c r="F2312" s="39">
        <v>0</v>
      </c>
    </row>
    <row r="2313" spans="1:6" x14ac:dyDescent="0.25">
      <c r="A2313" s="1" t="s">
        <v>3843</v>
      </c>
      <c r="B2313" s="1" t="s">
        <v>3844</v>
      </c>
      <c r="C2313" s="1" t="s">
        <v>2058</v>
      </c>
      <c r="D2313" s="39">
        <v>0</v>
      </c>
      <c r="E2313" s="1" t="s">
        <v>1</v>
      </c>
      <c r="F2313" s="39">
        <v>0</v>
      </c>
    </row>
    <row r="2314" spans="1:6" x14ac:dyDescent="0.25">
      <c r="A2314" s="1" t="s">
        <v>3845</v>
      </c>
      <c r="B2314" s="1" t="s">
        <v>3846</v>
      </c>
      <c r="C2314" s="1" t="s">
        <v>2058</v>
      </c>
      <c r="D2314" s="39">
        <v>0</v>
      </c>
      <c r="E2314" s="1" t="s">
        <v>1</v>
      </c>
      <c r="F2314" s="39">
        <v>0</v>
      </c>
    </row>
    <row r="2315" spans="1:6" x14ac:dyDescent="0.25">
      <c r="A2315" s="1" t="s">
        <v>3847</v>
      </c>
      <c r="B2315" s="1" t="s">
        <v>3848</v>
      </c>
      <c r="C2315" s="1" t="s">
        <v>2058</v>
      </c>
      <c r="D2315" s="39">
        <v>0</v>
      </c>
      <c r="E2315" s="1" t="s">
        <v>1</v>
      </c>
      <c r="F2315" s="39">
        <v>0</v>
      </c>
    </row>
    <row r="2316" spans="1:6" x14ac:dyDescent="0.25">
      <c r="A2316" s="1" t="s">
        <v>3849</v>
      </c>
      <c r="B2316" s="1" t="s">
        <v>3850</v>
      </c>
      <c r="C2316" s="1" t="s">
        <v>2058</v>
      </c>
      <c r="D2316" s="39">
        <v>0</v>
      </c>
      <c r="E2316" s="1" t="s">
        <v>1</v>
      </c>
      <c r="F2316" s="39">
        <v>0</v>
      </c>
    </row>
    <row r="2317" spans="1:6" x14ac:dyDescent="0.25">
      <c r="A2317" s="1" t="s">
        <v>3851</v>
      </c>
      <c r="B2317" s="1" t="s">
        <v>3852</v>
      </c>
      <c r="C2317" s="1" t="s">
        <v>2058</v>
      </c>
      <c r="D2317" s="39">
        <v>0</v>
      </c>
      <c r="E2317" s="1" t="s">
        <v>1</v>
      </c>
      <c r="F2317" s="39">
        <v>0</v>
      </c>
    </row>
    <row r="2318" spans="1:6" x14ac:dyDescent="0.25">
      <c r="A2318" s="1" t="s">
        <v>3853</v>
      </c>
      <c r="B2318" s="1" t="s">
        <v>3854</v>
      </c>
      <c r="C2318" s="1" t="s">
        <v>2058</v>
      </c>
      <c r="D2318" s="39">
        <v>0</v>
      </c>
      <c r="E2318" s="1" t="s">
        <v>1</v>
      </c>
      <c r="F2318" s="39">
        <v>0</v>
      </c>
    </row>
    <row r="2319" spans="1:6" x14ac:dyDescent="0.25">
      <c r="A2319" s="1" t="s">
        <v>3855</v>
      </c>
      <c r="B2319" s="1" t="s">
        <v>3856</v>
      </c>
      <c r="C2319" s="1" t="s">
        <v>2058</v>
      </c>
      <c r="D2319" s="39">
        <v>0</v>
      </c>
      <c r="E2319" s="1" t="s">
        <v>1</v>
      </c>
      <c r="F2319" s="39">
        <v>0</v>
      </c>
    </row>
    <row r="2320" spans="1:6" x14ac:dyDescent="0.25">
      <c r="A2320" s="1" t="s">
        <v>647</v>
      </c>
      <c r="B2320" s="1" t="s">
        <v>648</v>
      </c>
      <c r="C2320" s="1" t="s">
        <v>2058</v>
      </c>
      <c r="D2320" s="39">
        <v>0</v>
      </c>
      <c r="E2320" s="1" t="s">
        <v>1</v>
      </c>
      <c r="F2320" s="39">
        <v>0</v>
      </c>
    </row>
    <row r="2321" spans="1:6" x14ac:dyDescent="0.25">
      <c r="A2321" s="1" t="s">
        <v>650</v>
      </c>
      <c r="B2321" s="1" t="s">
        <v>651</v>
      </c>
      <c r="C2321" s="1" t="s">
        <v>2058</v>
      </c>
      <c r="D2321" s="39">
        <v>0</v>
      </c>
      <c r="E2321" s="1" t="s">
        <v>1</v>
      </c>
      <c r="F2321" s="39">
        <v>0</v>
      </c>
    </row>
    <row r="2322" spans="1:6" x14ac:dyDescent="0.25">
      <c r="A2322" s="1" t="s">
        <v>3857</v>
      </c>
      <c r="B2322" s="1" t="s">
        <v>3858</v>
      </c>
      <c r="C2322" s="1" t="s">
        <v>2058</v>
      </c>
      <c r="D2322" s="39">
        <v>69</v>
      </c>
      <c r="E2322" s="1" t="s">
        <v>1</v>
      </c>
      <c r="F2322" s="3">
        <v>2843.16</v>
      </c>
    </row>
    <row r="2323" spans="1:6" x14ac:dyDescent="0.25">
      <c r="A2323" s="1" t="s">
        <v>653</v>
      </c>
      <c r="B2323" s="1" t="s">
        <v>654</v>
      </c>
      <c r="C2323" s="1" t="s">
        <v>2058</v>
      </c>
      <c r="D2323" s="39">
        <v>0</v>
      </c>
      <c r="E2323" s="1" t="s">
        <v>1</v>
      </c>
      <c r="F2323" s="39">
        <v>0</v>
      </c>
    </row>
    <row r="2324" spans="1:6" x14ac:dyDescent="0.25">
      <c r="A2324" s="1" t="s">
        <v>3859</v>
      </c>
      <c r="B2324" s="1" t="s">
        <v>3860</v>
      </c>
      <c r="C2324" s="1" t="s">
        <v>2058</v>
      </c>
      <c r="D2324" s="39">
        <v>0</v>
      </c>
      <c r="E2324" s="1" t="s">
        <v>1</v>
      </c>
      <c r="F2324" s="39">
        <v>0</v>
      </c>
    </row>
    <row r="2325" spans="1:6" x14ac:dyDescent="0.25">
      <c r="A2325" s="1" t="s">
        <v>657</v>
      </c>
      <c r="B2325" s="1" t="s">
        <v>658</v>
      </c>
      <c r="C2325" s="1" t="s">
        <v>2058</v>
      </c>
      <c r="D2325" s="39">
        <v>0</v>
      </c>
      <c r="E2325" s="1" t="s">
        <v>1</v>
      </c>
      <c r="F2325" s="39">
        <v>0</v>
      </c>
    </row>
    <row r="2326" spans="1:6" x14ac:dyDescent="0.25">
      <c r="A2326" s="1" t="s">
        <v>3861</v>
      </c>
      <c r="B2326" s="1" t="s">
        <v>3862</v>
      </c>
      <c r="C2326" s="1" t="s">
        <v>2058</v>
      </c>
      <c r="D2326" s="39">
        <v>0</v>
      </c>
      <c r="E2326" s="1" t="s">
        <v>1</v>
      </c>
      <c r="F2326" s="39">
        <v>0</v>
      </c>
    </row>
    <row r="2327" spans="1:6" x14ac:dyDescent="0.25">
      <c r="A2327" s="1" t="s">
        <v>660</v>
      </c>
      <c r="B2327" s="1" t="s">
        <v>661</v>
      </c>
      <c r="C2327" s="1" t="s">
        <v>2058</v>
      </c>
      <c r="D2327" s="39">
        <v>0</v>
      </c>
      <c r="E2327" s="1" t="s">
        <v>1</v>
      </c>
      <c r="F2327" s="39">
        <v>0</v>
      </c>
    </row>
    <row r="2328" spans="1:6" x14ac:dyDescent="0.25">
      <c r="A2328" s="1" t="s">
        <v>663</v>
      </c>
      <c r="B2328" s="1" t="s">
        <v>664</v>
      </c>
      <c r="C2328" s="1" t="s">
        <v>2058</v>
      </c>
      <c r="D2328" s="39">
        <v>0</v>
      </c>
      <c r="E2328" s="1" t="s">
        <v>1</v>
      </c>
      <c r="F2328" s="39">
        <v>0</v>
      </c>
    </row>
    <row r="2329" spans="1:6" x14ac:dyDescent="0.25">
      <c r="A2329" s="1" t="s">
        <v>3863</v>
      </c>
      <c r="B2329" s="1" t="s">
        <v>3864</v>
      </c>
      <c r="C2329" s="1" t="s">
        <v>2058</v>
      </c>
      <c r="D2329" s="39">
        <v>0</v>
      </c>
      <c r="E2329" s="1" t="s">
        <v>1</v>
      </c>
      <c r="F2329" s="39">
        <v>0</v>
      </c>
    </row>
    <row r="2330" spans="1:6" x14ac:dyDescent="0.25">
      <c r="A2330" s="1" t="s">
        <v>3865</v>
      </c>
      <c r="B2330" s="1" t="s">
        <v>3866</v>
      </c>
      <c r="C2330" s="1" t="s">
        <v>2058</v>
      </c>
      <c r="D2330" s="39">
        <v>0</v>
      </c>
      <c r="E2330" s="1" t="s">
        <v>1</v>
      </c>
      <c r="F2330" s="39">
        <v>0</v>
      </c>
    </row>
    <row r="2331" spans="1:6" x14ac:dyDescent="0.25">
      <c r="A2331" s="1" t="s">
        <v>3867</v>
      </c>
      <c r="B2331" s="1" t="s">
        <v>3844</v>
      </c>
      <c r="C2331" s="1" t="s">
        <v>2058</v>
      </c>
      <c r="D2331" s="39">
        <v>0</v>
      </c>
      <c r="E2331" s="1" t="s">
        <v>1</v>
      </c>
      <c r="F2331" s="39">
        <v>0</v>
      </c>
    </row>
    <row r="2332" spans="1:6" x14ac:dyDescent="0.25">
      <c r="A2332" s="1" t="s">
        <v>3868</v>
      </c>
      <c r="B2332" s="1" t="s">
        <v>3869</v>
      </c>
      <c r="C2332" s="1" t="s">
        <v>2058</v>
      </c>
      <c r="D2332" s="39">
        <v>0</v>
      </c>
      <c r="E2332" s="1" t="s">
        <v>1</v>
      </c>
      <c r="F2332" s="39">
        <v>0</v>
      </c>
    </row>
    <row r="2333" spans="1:6" x14ac:dyDescent="0.25">
      <c r="A2333" s="1" t="s">
        <v>3870</v>
      </c>
      <c r="B2333" s="1" t="s">
        <v>3871</v>
      </c>
      <c r="C2333" s="1" t="s">
        <v>2058</v>
      </c>
      <c r="D2333" s="39">
        <v>0</v>
      </c>
      <c r="E2333" s="1" t="s">
        <v>1</v>
      </c>
      <c r="F2333" s="39">
        <v>0</v>
      </c>
    </row>
    <row r="2334" spans="1:6" x14ac:dyDescent="0.25">
      <c r="A2334" s="1" t="s">
        <v>3872</v>
      </c>
      <c r="B2334" s="1" t="s">
        <v>3873</v>
      </c>
      <c r="C2334" s="1" t="s">
        <v>2058</v>
      </c>
      <c r="D2334" s="39">
        <v>0</v>
      </c>
      <c r="E2334" s="1" t="s">
        <v>1</v>
      </c>
      <c r="F2334" s="39">
        <v>0</v>
      </c>
    </row>
    <row r="2335" spans="1:6" x14ac:dyDescent="0.25">
      <c r="A2335" s="1" t="s">
        <v>666</v>
      </c>
      <c r="B2335" s="1" t="s">
        <v>667</v>
      </c>
      <c r="C2335" s="1" t="s">
        <v>2058</v>
      </c>
      <c r="D2335" s="39">
        <v>0</v>
      </c>
      <c r="E2335" s="1" t="s">
        <v>1</v>
      </c>
      <c r="F2335" s="39">
        <v>0</v>
      </c>
    </row>
    <row r="2336" spans="1:6" x14ac:dyDescent="0.25">
      <c r="A2336" s="1" t="s">
        <v>3874</v>
      </c>
      <c r="B2336" s="1" t="s">
        <v>3875</v>
      </c>
      <c r="C2336" s="1" t="s">
        <v>2058</v>
      </c>
      <c r="D2336" s="39">
        <v>0</v>
      </c>
      <c r="E2336" s="1" t="s">
        <v>1</v>
      </c>
      <c r="F2336" s="39">
        <v>0</v>
      </c>
    </row>
    <row r="2337" spans="1:6" x14ac:dyDescent="0.25">
      <c r="A2337" s="1" t="s">
        <v>669</v>
      </c>
      <c r="B2337" s="1" t="s">
        <v>670</v>
      </c>
      <c r="C2337" s="1" t="s">
        <v>2058</v>
      </c>
      <c r="D2337" s="39">
        <v>0</v>
      </c>
      <c r="E2337" s="1" t="s">
        <v>1</v>
      </c>
      <c r="F2337" s="39">
        <v>0</v>
      </c>
    </row>
    <row r="2338" spans="1:6" x14ac:dyDescent="0.25">
      <c r="A2338" s="1" t="s">
        <v>3876</v>
      </c>
      <c r="B2338" s="1" t="s">
        <v>3877</v>
      </c>
      <c r="C2338" s="1" t="s">
        <v>2058</v>
      </c>
      <c r="D2338" s="39">
        <v>0</v>
      </c>
      <c r="E2338" s="1" t="s">
        <v>1</v>
      </c>
      <c r="F2338" s="39">
        <v>0</v>
      </c>
    </row>
    <row r="2339" spans="1:6" x14ac:dyDescent="0.25">
      <c r="A2339" s="1" t="s">
        <v>672</v>
      </c>
      <c r="B2339" s="1" t="s">
        <v>673</v>
      </c>
      <c r="C2339" s="1" t="s">
        <v>2058</v>
      </c>
      <c r="D2339" s="39">
        <v>0</v>
      </c>
      <c r="E2339" s="1" t="s">
        <v>1</v>
      </c>
      <c r="F2339" s="39">
        <v>0</v>
      </c>
    </row>
    <row r="2340" spans="1:6" x14ac:dyDescent="0.25">
      <c r="A2340" s="1" t="s">
        <v>3878</v>
      </c>
      <c r="B2340" s="1" t="s">
        <v>3879</v>
      </c>
      <c r="C2340" s="1" t="s">
        <v>2058</v>
      </c>
      <c r="D2340" s="39">
        <v>0</v>
      </c>
      <c r="E2340" s="1" t="s">
        <v>1</v>
      </c>
      <c r="F2340" s="39">
        <v>0</v>
      </c>
    </row>
    <row r="2341" spans="1:6" x14ac:dyDescent="0.25">
      <c r="A2341" s="1" t="s">
        <v>675</v>
      </c>
      <c r="B2341" s="1" t="s">
        <v>676</v>
      </c>
      <c r="C2341" s="1" t="s">
        <v>2058</v>
      </c>
      <c r="D2341" s="39">
        <v>0</v>
      </c>
      <c r="E2341" s="1" t="s">
        <v>1</v>
      </c>
      <c r="F2341" s="39">
        <v>0</v>
      </c>
    </row>
    <row r="2342" spans="1:6" x14ac:dyDescent="0.25">
      <c r="A2342" s="1" t="s">
        <v>678</v>
      </c>
      <c r="B2342" s="1" t="s">
        <v>679</v>
      </c>
      <c r="C2342" s="1" t="s">
        <v>2058</v>
      </c>
      <c r="D2342" s="39">
        <v>0</v>
      </c>
      <c r="E2342" s="1" t="s">
        <v>1</v>
      </c>
      <c r="F2342" s="39">
        <v>0</v>
      </c>
    </row>
    <row r="2343" spans="1:6" x14ac:dyDescent="0.25">
      <c r="A2343" s="1" t="s">
        <v>681</v>
      </c>
      <c r="B2343" s="1" t="s">
        <v>682</v>
      </c>
      <c r="C2343" s="1" t="s">
        <v>2058</v>
      </c>
      <c r="D2343" s="39">
        <v>0</v>
      </c>
      <c r="E2343" s="1" t="s">
        <v>1</v>
      </c>
      <c r="F2343" s="39">
        <v>0</v>
      </c>
    </row>
    <row r="2344" spans="1:6" x14ac:dyDescent="0.25">
      <c r="A2344" s="1" t="s">
        <v>3880</v>
      </c>
      <c r="B2344" s="1" t="s">
        <v>3881</v>
      </c>
      <c r="C2344" s="1" t="s">
        <v>2058</v>
      </c>
      <c r="D2344" s="39">
        <v>0</v>
      </c>
      <c r="E2344" s="1" t="s">
        <v>1</v>
      </c>
      <c r="F2344" s="39">
        <v>0</v>
      </c>
    </row>
    <row r="2345" spans="1:6" x14ac:dyDescent="0.25">
      <c r="A2345" s="1" t="s">
        <v>3882</v>
      </c>
      <c r="B2345" s="1" t="s">
        <v>3883</v>
      </c>
      <c r="C2345" s="1" t="s">
        <v>2058</v>
      </c>
      <c r="D2345" s="39">
        <v>0</v>
      </c>
      <c r="E2345" s="1" t="s">
        <v>1</v>
      </c>
      <c r="F2345" s="39">
        <v>0</v>
      </c>
    </row>
    <row r="2346" spans="1:6" x14ac:dyDescent="0.25">
      <c r="A2346" s="1" t="s">
        <v>3884</v>
      </c>
      <c r="B2346" s="1" t="s">
        <v>3854</v>
      </c>
      <c r="C2346" s="1" t="s">
        <v>2058</v>
      </c>
      <c r="D2346" s="39">
        <v>0</v>
      </c>
      <c r="E2346" s="1" t="s">
        <v>1</v>
      </c>
      <c r="F2346" s="39">
        <v>0</v>
      </c>
    </row>
    <row r="2347" spans="1:6" x14ac:dyDescent="0.25">
      <c r="A2347" s="1" t="s">
        <v>3885</v>
      </c>
      <c r="B2347" s="1" t="s">
        <v>3886</v>
      </c>
      <c r="C2347" s="1" t="s">
        <v>2058</v>
      </c>
      <c r="D2347" s="39">
        <v>0</v>
      </c>
      <c r="E2347" s="1" t="s">
        <v>1</v>
      </c>
      <c r="F2347" s="39">
        <v>0</v>
      </c>
    </row>
    <row r="2348" spans="1:6" x14ac:dyDescent="0.25">
      <c r="A2348" s="1" t="s">
        <v>3887</v>
      </c>
      <c r="B2348" s="1" t="s">
        <v>3888</v>
      </c>
      <c r="C2348" s="1" t="s">
        <v>2058</v>
      </c>
      <c r="D2348" s="39">
        <v>0</v>
      </c>
      <c r="E2348" s="1" t="s">
        <v>1</v>
      </c>
      <c r="F2348" s="39">
        <v>0</v>
      </c>
    </row>
    <row r="2349" spans="1:6" x14ac:dyDescent="0.25">
      <c r="A2349" s="1" t="s">
        <v>3889</v>
      </c>
      <c r="B2349" s="1" t="s">
        <v>3890</v>
      </c>
      <c r="C2349" s="1" t="s">
        <v>2058</v>
      </c>
      <c r="D2349" s="39">
        <v>0</v>
      </c>
      <c r="E2349" s="1" t="s">
        <v>1</v>
      </c>
      <c r="F2349" s="39">
        <v>0</v>
      </c>
    </row>
    <row r="2350" spans="1:6" x14ac:dyDescent="0.25">
      <c r="A2350" s="1" t="s">
        <v>684</v>
      </c>
      <c r="B2350" s="1" t="s">
        <v>685</v>
      </c>
      <c r="C2350" s="1" t="s">
        <v>2058</v>
      </c>
      <c r="D2350" s="39">
        <v>15</v>
      </c>
      <c r="E2350" s="1" t="s">
        <v>1</v>
      </c>
      <c r="F2350" s="3">
        <v>2807.5</v>
      </c>
    </row>
    <row r="2351" spans="1:6" x14ac:dyDescent="0.25">
      <c r="A2351" s="1" t="s">
        <v>3891</v>
      </c>
      <c r="B2351" s="1" t="s">
        <v>3892</v>
      </c>
      <c r="C2351" s="1" t="s">
        <v>2058</v>
      </c>
      <c r="D2351" s="39">
        <v>0</v>
      </c>
      <c r="E2351" s="1" t="s">
        <v>1</v>
      </c>
      <c r="F2351" s="39">
        <v>0</v>
      </c>
    </row>
    <row r="2352" spans="1:6" x14ac:dyDescent="0.25">
      <c r="A2352" s="1" t="s">
        <v>687</v>
      </c>
      <c r="B2352" s="1" t="s">
        <v>688</v>
      </c>
      <c r="C2352" s="1" t="s">
        <v>2058</v>
      </c>
      <c r="D2352" s="39">
        <v>0</v>
      </c>
      <c r="E2352" s="1" t="s">
        <v>1</v>
      </c>
      <c r="F2352" s="39">
        <v>0</v>
      </c>
    </row>
    <row r="2353" spans="1:6" x14ac:dyDescent="0.25">
      <c r="A2353" s="1" t="s">
        <v>3893</v>
      </c>
      <c r="B2353" s="1" t="s">
        <v>3894</v>
      </c>
      <c r="C2353" s="1" t="s">
        <v>2058</v>
      </c>
      <c r="D2353" s="39">
        <v>0</v>
      </c>
      <c r="E2353" s="1" t="s">
        <v>1</v>
      </c>
      <c r="F2353" s="39">
        <v>0</v>
      </c>
    </row>
    <row r="2354" spans="1:6" x14ac:dyDescent="0.25">
      <c r="A2354" s="1" t="s">
        <v>3895</v>
      </c>
      <c r="B2354" s="1" t="s">
        <v>3896</v>
      </c>
      <c r="C2354" s="1" t="s">
        <v>2058</v>
      </c>
      <c r="D2354" s="39">
        <v>0</v>
      </c>
      <c r="E2354" s="1" t="s">
        <v>1</v>
      </c>
      <c r="F2354" s="39">
        <v>0</v>
      </c>
    </row>
    <row r="2355" spans="1:6" x14ac:dyDescent="0.25">
      <c r="A2355" s="1" t="s">
        <v>3897</v>
      </c>
      <c r="B2355" s="1" t="s">
        <v>3898</v>
      </c>
      <c r="C2355" s="1" t="s">
        <v>2058</v>
      </c>
      <c r="D2355" s="39">
        <v>0</v>
      </c>
      <c r="E2355" s="1" t="s">
        <v>1</v>
      </c>
      <c r="F2355" s="39">
        <v>0</v>
      </c>
    </row>
    <row r="2356" spans="1:6" x14ac:dyDescent="0.25">
      <c r="A2356" s="1" t="s">
        <v>3899</v>
      </c>
      <c r="B2356" s="1" t="s">
        <v>2198</v>
      </c>
      <c r="C2356" s="1" t="s">
        <v>2058</v>
      </c>
      <c r="D2356" s="39">
        <v>0</v>
      </c>
      <c r="E2356" s="1" t="s">
        <v>1</v>
      </c>
      <c r="F2356" s="39">
        <v>0</v>
      </c>
    </row>
    <row r="2357" spans="1:6" x14ac:dyDescent="0.25">
      <c r="A2357" s="1" t="s">
        <v>3900</v>
      </c>
      <c r="B2357" s="1" t="s">
        <v>3901</v>
      </c>
      <c r="C2357" s="1" t="s">
        <v>2058</v>
      </c>
      <c r="D2357" s="39">
        <v>0</v>
      </c>
      <c r="E2357" s="1" t="s">
        <v>1</v>
      </c>
      <c r="F2357" s="39">
        <v>0</v>
      </c>
    </row>
    <row r="2358" spans="1:6" x14ac:dyDescent="0.25">
      <c r="A2358" s="1" t="s">
        <v>3902</v>
      </c>
      <c r="B2358" s="1" t="s">
        <v>3903</v>
      </c>
      <c r="C2358" s="1" t="s">
        <v>2058</v>
      </c>
      <c r="D2358" s="39">
        <v>0</v>
      </c>
      <c r="E2358" s="1" t="s">
        <v>1</v>
      </c>
      <c r="F2358" s="39">
        <v>0</v>
      </c>
    </row>
    <row r="2359" spans="1:6" x14ac:dyDescent="0.25">
      <c r="A2359" s="1" t="s">
        <v>3904</v>
      </c>
      <c r="B2359" s="1" t="s">
        <v>3905</v>
      </c>
      <c r="C2359" s="1" t="s">
        <v>2058</v>
      </c>
      <c r="D2359" s="39">
        <v>0</v>
      </c>
      <c r="E2359" s="1" t="s">
        <v>1</v>
      </c>
      <c r="F2359" s="39">
        <v>0</v>
      </c>
    </row>
    <row r="2360" spans="1:6" x14ac:dyDescent="0.25">
      <c r="A2360" s="1" t="s">
        <v>3906</v>
      </c>
      <c r="B2360" s="1" t="s">
        <v>232</v>
      </c>
      <c r="C2360" s="1" t="s">
        <v>2058</v>
      </c>
      <c r="D2360" s="39">
        <v>0</v>
      </c>
      <c r="E2360" s="1" t="s">
        <v>1</v>
      </c>
      <c r="F2360" s="39">
        <v>0</v>
      </c>
    </row>
    <row r="2361" spans="1:6" x14ac:dyDescent="0.25">
      <c r="A2361" s="1" t="s">
        <v>690</v>
      </c>
      <c r="B2361" s="1" t="s">
        <v>691</v>
      </c>
      <c r="C2361" s="1" t="s">
        <v>2058</v>
      </c>
      <c r="D2361" s="39">
        <v>0</v>
      </c>
      <c r="E2361" s="1" t="s">
        <v>1</v>
      </c>
      <c r="F2361" s="39">
        <v>0</v>
      </c>
    </row>
    <row r="2362" spans="1:6" x14ac:dyDescent="0.25">
      <c r="A2362" s="1" t="s">
        <v>3907</v>
      </c>
      <c r="B2362" s="1" t="s">
        <v>3908</v>
      </c>
      <c r="C2362" s="1" t="s">
        <v>2058</v>
      </c>
      <c r="D2362" s="39">
        <v>0</v>
      </c>
      <c r="E2362" s="1" t="s">
        <v>1</v>
      </c>
      <c r="F2362" s="39">
        <v>0</v>
      </c>
    </row>
    <row r="2363" spans="1:6" x14ac:dyDescent="0.25">
      <c r="A2363" s="1" t="s">
        <v>3909</v>
      </c>
      <c r="B2363" s="1" t="s">
        <v>3910</v>
      </c>
      <c r="C2363" s="1" t="s">
        <v>2058</v>
      </c>
      <c r="D2363" s="39">
        <v>0</v>
      </c>
      <c r="E2363" s="1" t="s">
        <v>1</v>
      </c>
      <c r="F2363" s="39">
        <v>0</v>
      </c>
    </row>
    <row r="2364" spans="1:6" x14ac:dyDescent="0.25">
      <c r="A2364" s="1" t="s">
        <v>3911</v>
      </c>
      <c r="B2364" s="1" t="s">
        <v>2514</v>
      </c>
      <c r="C2364" s="1" t="s">
        <v>2058</v>
      </c>
      <c r="D2364" s="39">
        <v>0</v>
      </c>
      <c r="E2364" s="1" t="s">
        <v>1</v>
      </c>
      <c r="F2364" s="39">
        <v>0</v>
      </c>
    </row>
    <row r="2365" spans="1:6" x14ac:dyDescent="0.25">
      <c r="A2365" s="1" t="s">
        <v>3912</v>
      </c>
      <c r="B2365" s="1" t="s">
        <v>245</v>
      </c>
      <c r="C2365" s="1" t="s">
        <v>2058</v>
      </c>
      <c r="D2365" s="39">
        <v>0</v>
      </c>
      <c r="E2365" s="1" t="s">
        <v>1</v>
      </c>
      <c r="F2365" s="39">
        <v>0</v>
      </c>
    </row>
    <row r="2366" spans="1:6" x14ac:dyDescent="0.25">
      <c r="A2366" s="1" t="s">
        <v>698</v>
      </c>
      <c r="B2366" s="1" t="s">
        <v>699</v>
      </c>
      <c r="C2366" s="1" t="s">
        <v>2058</v>
      </c>
      <c r="D2366" s="39">
        <v>0</v>
      </c>
      <c r="E2366" s="1" t="s">
        <v>1</v>
      </c>
      <c r="F2366" s="39">
        <v>0</v>
      </c>
    </row>
    <row r="2367" spans="1:6" x14ac:dyDescent="0.25">
      <c r="A2367" s="1" t="s">
        <v>3913</v>
      </c>
      <c r="B2367" s="1" t="s">
        <v>3914</v>
      </c>
      <c r="C2367" s="1" t="s">
        <v>2058</v>
      </c>
      <c r="D2367" s="39">
        <v>0</v>
      </c>
      <c r="E2367" s="1" t="s">
        <v>1</v>
      </c>
      <c r="F2367" s="39">
        <v>0</v>
      </c>
    </row>
    <row r="2368" spans="1:6" x14ac:dyDescent="0.25">
      <c r="A2368" s="1" t="s">
        <v>3915</v>
      </c>
      <c r="B2368" s="1" t="s">
        <v>3916</v>
      </c>
      <c r="C2368" s="1" t="s">
        <v>2058</v>
      </c>
      <c r="D2368" s="39">
        <v>0</v>
      </c>
      <c r="E2368" s="1" t="s">
        <v>1</v>
      </c>
      <c r="F2368" s="39">
        <v>0</v>
      </c>
    </row>
    <row r="2369" spans="1:6" x14ac:dyDescent="0.25">
      <c r="A2369" s="1" t="s">
        <v>3917</v>
      </c>
      <c r="B2369" s="1" t="s">
        <v>3918</v>
      </c>
      <c r="C2369" s="1" t="s">
        <v>2058</v>
      </c>
      <c r="D2369" s="39">
        <v>0</v>
      </c>
      <c r="E2369" s="1" t="s">
        <v>1</v>
      </c>
      <c r="F2369" s="39">
        <v>0</v>
      </c>
    </row>
    <row r="2370" spans="1:6" x14ac:dyDescent="0.25">
      <c r="A2370" s="1" t="s">
        <v>3919</v>
      </c>
      <c r="B2370" s="1" t="s">
        <v>3920</v>
      </c>
      <c r="C2370" s="1" t="s">
        <v>2058</v>
      </c>
      <c r="D2370" s="39">
        <v>0</v>
      </c>
      <c r="E2370" s="1" t="s">
        <v>1</v>
      </c>
      <c r="F2370" s="39">
        <v>0</v>
      </c>
    </row>
    <row r="2371" spans="1:6" x14ac:dyDescent="0.25">
      <c r="A2371" s="1" t="s">
        <v>3921</v>
      </c>
      <c r="B2371" s="1" t="s">
        <v>278</v>
      </c>
      <c r="C2371" s="1" t="s">
        <v>2058</v>
      </c>
      <c r="D2371" s="39">
        <v>0</v>
      </c>
      <c r="E2371" s="1" t="s">
        <v>1</v>
      </c>
      <c r="F2371" s="39">
        <v>0</v>
      </c>
    </row>
    <row r="2372" spans="1:6" x14ac:dyDescent="0.25">
      <c r="A2372" s="1" t="s">
        <v>3922</v>
      </c>
      <c r="B2372" s="1" t="s">
        <v>3923</v>
      </c>
      <c r="C2372" s="1" t="s">
        <v>2058</v>
      </c>
      <c r="D2372" s="39">
        <v>0</v>
      </c>
      <c r="E2372" s="1" t="s">
        <v>1</v>
      </c>
      <c r="F2372" s="39">
        <v>0</v>
      </c>
    </row>
    <row r="2373" spans="1:6" x14ac:dyDescent="0.25">
      <c r="A2373" s="1" t="s">
        <v>3924</v>
      </c>
      <c r="B2373" s="1" t="s">
        <v>3925</v>
      </c>
      <c r="C2373" s="1" t="s">
        <v>2058</v>
      </c>
      <c r="D2373" s="39">
        <v>0</v>
      </c>
      <c r="E2373" s="1" t="s">
        <v>1</v>
      </c>
      <c r="F2373" s="39">
        <v>0</v>
      </c>
    </row>
    <row r="2374" spans="1:6" x14ac:dyDescent="0.25">
      <c r="A2374" s="1" t="s">
        <v>3926</v>
      </c>
      <c r="B2374" s="1" t="s">
        <v>2250</v>
      </c>
      <c r="C2374" s="1" t="s">
        <v>2058</v>
      </c>
      <c r="D2374" s="39">
        <v>0</v>
      </c>
      <c r="E2374" s="1" t="s">
        <v>1</v>
      </c>
      <c r="F2374" s="39">
        <v>0</v>
      </c>
    </row>
    <row r="2375" spans="1:6" x14ac:dyDescent="0.25">
      <c r="A2375" s="1" t="s">
        <v>3927</v>
      </c>
      <c r="B2375" s="1" t="s">
        <v>3928</v>
      </c>
      <c r="C2375" s="1" t="s">
        <v>2058</v>
      </c>
      <c r="D2375" s="39">
        <v>0</v>
      </c>
      <c r="E2375" s="1" t="s">
        <v>1</v>
      </c>
      <c r="F2375" s="39">
        <v>0</v>
      </c>
    </row>
    <row r="2376" spans="1:6" x14ac:dyDescent="0.25">
      <c r="A2376" s="1" t="s">
        <v>3929</v>
      </c>
      <c r="B2376" s="1" t="s">
        <v>3930</v>
      </c>
      <c r="C2376" s="1" t="s">
        <v>2058</v>
      </c>
      <c r="D2376" s="39">
        <v>0</v>
      </c>
      <c r="E2376" s="1" t="s">
        <v>1</v>
      </c>
      <c r="F2376" s="39">
        <v>0</v>
      </c>
    </row>
    <row r="2377" spans="1:6" x14ac:dyDescent="0.25">
      <c r="A2377" s="1" t="s">
        <v>3931</v>
      </c>
      <c r="B2377" s="1" t="s">
        <v>3932</v>
      </c>
      <c r="C2377" s="1" t="s">
        <v>2058</v>
      </c>
      <c r="D2377" s="39">
        <v>0</v>
      </c>
      <c r="E2377" s="1" t="s">
        <v>1</v>
      </c>
      <c r="F2377" s="39">
        <v>0</v>
      </c>
    </row>
    <row r="2378" spans="1:6" x14ac:dyDescent="0.25">
      <c r="A2378" s="1" t="s">
        <v>3933</v>
      </c>
      <c r="B2378" s="1" t="s">
        <v>293</v>
      </c>
      <c r="C2378" s="1" t="s">
        <v>2058</v>
      </c>
      <c r="D2378" s="39">
        <v>0</v>
      </c>
      <c r="E2378" s="1" t="s">
        <v>1</v>
      </c>
      <c r="F2378" s="39">
        <v>0</v>
      </c>
    </row>
    <row r="2379" spans="1:6" x14ac:dyDescent="0.25">
      <c r="A2379" s="1" t="s">
        <v>3934</v>
      </c>
      <c r="B2379" s="1" t="s">
        <v>2251</v>
      </c>
      <c r="C2379" s="1" t="s">
        <v>2058</v>
      </c>
      <c r="D2379" s="39">
        <v>0</v>
      </c>
      <c r="E2379" s="1" t="s">
        <v>1</v>
      </c>
      <c r="F2379" s="39">
        <v>0</v>
      </c>
    </row>
    <row r="2380" spans="1:6" x14ac:dyDescent="0.25">
      <c r="A2380" s="1" t="s">
        <v>3935</v>
      </c>
      <c r="B2380" s="1" t="s">
        <v>3936</v>
      </c>
      <c r="C2380" s="1" t="s">
        <v>2058</v>
      </c>
      <c r="D2380" s="39">
        <v>0</v>
      </c>
      <c r="E2380" s="1" t="s">
        <v>1</v>
      </c>
      <c r="F2380" s="39">
        <v>0</v>
      </c>
    </row>
    <row r="2381" spans="1:6" x14ac:dyDescent="0.25">
      <c r="A2381" s="1" t="s">
        <v>3937</v>
      </c>
      <c r="B2381" s="1" t="s">
        <v>3938</v>
      </c>
      <c r="C2381" s="1" t="s">
        <v>2058</v>
      </c>
      <c r="D2381" s="39">
        <v>0</v>
      </c>
      <c r="E2381" s="1" t="s">
        <v>1</v>
      </c>
      <c r="F2381" s="39">
        <v>0</v>
      </c>
    </row>
    <row r="2382" spans="1:6" x14ac:dyDescent="0.25">
      <c r="A2382" s="1" t="s">
        <v>3939</v>
      </c>
      <c r="B2382" s="1" t="s">
        <v>3940</v>
      </c>
      <c r="C2382" s="1" t="s">
        <v>2058</v>
      </c>
      <c r="D2382" s="39">
        <v>0</v>
      </c>
      <c r="E2382" s="1" t="s">
        <v>1</v>
      </c>
      <c r="F2382" s="39">
        <v>0</v>
      </c>
    </row>
    <row r="2383" spans="1:6" x14ac:dyDescent="0.25">
      <c r="A2383" s="1" t="s">
        <v>3941</v>
      </c>
      <c r="B2383" s="1" t="s">
        <v>3942</v>
      </c>
      <c r="C2383" s="1" t="s">
        <v>2058</v>
      </c>
      <c r="D2383" s="39">
        <v>0</v>
      </c>
      <c r="E2383" s="1" t="s">
        <v>1</v>
      </c>
      <c r="F2383" s="39">
        <v>0</v>
      </c>
    </row>
    <row r="2384" spans="1:6" x14ac:dyDescent="0.25">
      <c r="A2384" s="1" t="s">
        <v>3943</v>
      </c>
      <c r="B2384" s="1" t="s">
        <v>318</v>
      </c>
      <c r="C2384" s="1" t="s">
        <v>2058</v>
      </c>
      <c r="D2384" s="39">
        <v>0</v>
      </c>
      <c r="E2384" s="1" t="s">
        <v>1</v>
      </c>
      <c r="F2384" s="39">
        <v>0</v>
      </c>
    </row>
    <row r="2385" spans="1:6" x14ac:dyDescent="0.25">
      <c r="A2385" s="1" t="s">
        <v>3944</v>
      </c>
      <c r="B2385" s="1" t="s">
        <v>3945</v>
      </c>
      <c r="C2385" s="1" t="s">
        <v>2058</v>
      </c>
      <c r="D2385" s="39">
        <v>0</v>
      </c>
      <c r="E2385" s="1" t="s">
        <v>1</v>
      </c>
      <c r="F2385" s="39">
        <v>0</v>
      </c>
    </row>
    <row r="2386" spans="1:6" x14ac:dyDescent="0.25">
      <c r="A2386" s="1" t="s">
        <v>3946</v>
      </c>
      <c r="B2386" s="1" t="s">
        <v>3947</v>
      </c>
      <c r="C2386" s="1" t="s">
        <v>2058</v>
      </c>
      <c r="D2386" s="39">
        <v>0</v>
      </c>
      <c r="E2386" s="1" t="s">
        <v>1</v>
      </c>
      <c r="F2386" s="39">
        <v>0</v>
      </c>
    </row>
    <row r="2387" spans="1:6" x14ac:dyDescent="0.25">
      <c r="A2387" s="1" t="s">
        <v>3948</v>
      </c>
      <c r="B2387" s="1" t="s">
        <v>3947</v>
      </c>
      <c r="C2387" s="1" t="s">
        <v>2058</v>
      </c>
      <c r="D2387" s="39">
        <v>0</v>
      </c>
      <c r="E2387" s="1" t="s">
        <v>1</v>
      </c>
      <c r="F2387" s="39">
        <v>0</v>
      </c>
    </row>
    <row r="2388" spans="1:6" x14ac:dyDescent="0.25">
      <c r="A2388" s="1" t="s">
        <v>3949</v>
      </c>
      <c r="B2388" s="1" t="s">
        <v>3950</v>
      </c>
      <c r="C2388" s="1" t="s">
        <v>2058</v>
      </c>
      <c r="D2388" s="39">
        <v>0</v>
      </c>
      <c r="E2388" s="1" t="s">
        <v>1</v>
      </c>
      <c r="F2388" s="39">
        <v>0</v>
      </c>
    </row>
    <row r="2389" spans="1:6" x14ac:dyDescent="0.25">
      <c r="A2389" s="1" t="s">
        <v>703</v>
      </c>
      <c r="B2389" s="1" t="s">
        <v>704</v>
      </c>
      <c r="C2389" s="1" t="s">
        <v>2058</v>
      </c>
      <c r="D2389" s="39">
        <v>0</v>
      </c>
      <c r="E2389" s="1" t="s">
        <v>1</v>
      </c>
      <c r="F2389" s="39">
        <v>0</v>
      </c>
    </row>
    <row r="2390" spans="1:6" x14ac:dyDescent="0.25">
      <c r="A2390" s="1" t="s">
        <v>709</v>
      </c>
      <c r="B2390" s="1" t="s">
        <v>710</v>
      </c>
      <c r="C2390" s="1" t="s">
        <v>2058</v>
      </c>
      <c r="D2390" s="39">
        <v>0</v>
      </c>
      <c r="E2390" s="1" t="s">
        <v>1</v>
      </c>
      <c r="F2390" s="39">
        <v>0</v>
      </c>
    </row>
    <row r="2391" spans="1:6" x14ac:dyDescent="0.25">
      <c r="A2391" s="1" t="s">
        <v>3951</v>
      </c>
      <c r="B2391" s="1" t="s">
        <v>2462</v>
      </c>
      <c r="C2391" s="1" t="s">
        <v>2058</v>
      </c>
      <c r="D2391" s="39">
        <v>0</v>
      </c>
      <c r="E2391" s="1" t="s">
        <v>1</v>
      </c>
      <c r="F2391" s="39">
        <v>0</v>
      </c>
    </row>
    <row r="2392" spans="1:6" x14ac:dyDescent="0.25">
      <c r="A2392" s="1" t="s">
        <v>3952</v>
      </c>
      <c r="B2392" s="1" t="s">
        <v>332</v>
      </c>
      <c r="C2392" s="1" t="s">
        <v>2058</v>
      </c>
      <c r="D2392" s="39">
        <v>0</v>
      </c>
      <c r="E2392" s="1" t="s">
        <v>1</v>
      </c>
      <c r="F2392" s="39">
        <v>0</v>
      </c>
    </row>
    <row r="2393" spans="1:6" x14ac:dyDescent="0.25">
      <c r="A2393" s="1" t="s">
        <v>3953</v>
      </c>
      <c r="B2393" s="1" t="s">
        <v>3954</v>
      </c>
      <c r="C2393" s="1" t="s">
        <v>2058</v>
      </c>
      <c r="D2393" s="39">
        <v>0</v>
      </c>
      <c r="E2393" s="1" t="s">
        <v>1</v>
      </c>
      <c r="F2393" s="39">
        <v>0</v>
      </c>
    </row>
    <row r="2394" spans="1:6" x14ac:dyDescent="0.25">
      <c r="A2394" s="1" t="s">
        <v>3955</v>
      </c>
      <c r="B2394" s="1" t="s">
        <v>3956</v>
      </c>
      <c r="C2394" s="1" t="s">
        <v>2058</v>
      </c>
      <c r="D2394" s="39">
        <v>0</v>
      </c>
      <c r="E2394" s="1" t="s">
        <v>1</v>
      </c>
      <c r="F2394" s="39">
        <v>0</v>
      </c>
    </row>
    <row r="2395" spans="1:6" x14ac:dyDescent="0.25">
      <c r="A2395" s="1" t="s">
        <v>3957</v>
      </c>
      <c r="B2395" s="1" t="s">
        <v>3958</v>
      </c>
      <c r="C2395" s="1" t="s">
        <v>2058</v>
      </c>
      <c r="D2395" s="39">
        <v>0</v>
      </c>
      <c r="E2395" s="1" t="s">
        <v>1</v>
      </c>
      <c r="F2395" s="39">
        <v>0</v>
      </c>
    </row>
    <row r="2396" spans="1:6" x14ac:dyDescent="0.25">
      <c r="A2396" s="1" t="s">
        <v>714</v>
      </c>
      <c r="B2396" s="1" t="s">
        <v>715</v>
      </c>
      <c r="C2396" s="1" t="s">
        <v>2058</v>
      </c>
      <c r="D2396" s="39">
        <v>0</v>
      </c>
      <c r="E2396" s="1" t="s">
        <v>1</v>
      </c>
      <c r="F2396" s="39">
        <v>0</v>
      </c>
    </row>
    <row r="2397" spans="1:6" x14ac:dyDescent="0.25">
      <c r="A2397" s="1" t="s">
        <v>721</v>
      </c>
      <c r="B2397" s="1" t="s">
        <v>722</v>
      </c>
      <c r="C2397" s="1" t="s">
        <v>2058</v>
      </c>
      <c r="D2397" s="39">
        <v>0</v>
      </c>
      <c r="E2397" s="1" t="s">
        <v>1</v>
      </c>
      <c r="F2397" s="39">
        <v>0</v>
      </c>
    </row>
    <row r="2398" spans="1:6" x14ac:dyDescent="0.25">
      <c r="A2398" s="1" t="s">
        <v>3959</v>
      </c>
      <c r="B2398" s="1" t="s">
        <v>3960</v>
      </c>
      <c r="C2398" s="1" t="s">
        <v>2058</v>
      </c>
      <c r="D2398" s="39">
        <v>0</v>
      </c>
      <c r="E2398" s="1" t="s">
        <v>1</v>
      </c>
      <c r="F2398" s="39">
        <v>0</v>
      </c>
    </row>
    <row r="2399" spans="1:6" x14ac:dyDescent="0.25">
      <c r="A2399" s="1" t="s">
        <v>726</v>
      </c>
      <c r="B2399" s="1" t="s">
        <v>727</v>
      </c>
      <c r="C2399" s="1" t="s">
        <v>2058</v>
      </c>
      <c r="D2399" s="39">
        <v>0</v>
      </c>
      <c r="E2399" s="1" t="s">
        <v>1</v>
      </c>
      <c r="F2399" s="39">
        <v>0</v>
      </c>
    </row>
    <row r="2400" spans="1:6" x14ac:dyDescent="0.25">
      <c r="A2400" s="1" t="s">
        <v>731</v>
      </c>
      <c r="B2400" s="1" t="s">
        <v>732</v>
      </c>
      <c r="C2400" s="1" t="s">
        <v>2058</v>
      </c>
      <c r="D2400" s="39">
        <v>0</v>
      </c>
      <c r="E2400" s="1" t="s">
        <v>1</v>
      </c>
      <c r="F2400" s="39">
        <v>0</v>
      </c>
    </row>
    <row r="2401" spans="1:6" x14ac:dyDescent="0.25">
      <c r="A2401" s="1" t="s">
        <v>3961</v>
      </c>
      <c r="B2401" s="1" t="s">
        <v>3962</v>
      </c>
      <c r="C2401" s="1" t="s">
        <v>2058</v>
      </c>
      <c r="D2401" s="39">
        <v>0</v>
      </c>
      <c r="E2401" s="1" t="s">
        <v>1</v>
      </c>
      <c r="F2401" s="39">
        <v>0</v>
      </c>
    </row>
    <row r="2402" spans="1:6" x14ac:dyDescent="0.25">
      <c r="A2402" s="1" t="s">
        <v>3963</v>
      </c>
      <c r="B2402" s="1" t="s">
        <v>358</v>
      </c>
      <c r="C2402" s="1" t="s">
        <v>2058</v>
      </c>
      <c r="D2402" s="39">
        <v>0</v>
      </c>
      <c r="E2402" s="1" t="s">
        <v>1</v>
      </c>
      <c r="F2402" s="39">
        <v>0</v>
      </c>
    </row>
    <row r="2403" spans="1:6" x14ac:dyDescent="0.25">
      <c r="A2403" s="1" t="s">
        <v>3964</v>
      </c>
      <c r="B2403" s="1" t="s">
        <v>2223</v>
      </c>
      <c r="C2403" s="1" t="s">
        <v>2058</v>
      </c>
      <c r="D2403" s="39">
        <v>0</v>
      </c>
      <c r="E2403" s="1" t="s">
        <v>1</v>
      </c>
      <c r="F2403" s="39">
        <v>0</v>
      </c>
    </row>
    <row r="2404" spans="1:6" x14ac:dyDescent="0.25">
      <c r="A2404" s="1" t="s">
        <v>3965</v>
      </c>
      <c r="B2404" s="1" t="s">
        <v>3966</v>
      </c>
      <c r="C2404" s="1" t="s">
        <v>2058</v>
      </c>
      <c r="D2404" s="39">
        <v>0</v>
      </c>
      <c r="E2404" s="1" t="s">
        <v>1</v>
      </c>
      <c r="F2404" s="39">
        <v>0</v>
      </c>
    </row>
    <row r="2405" spans="1:6" x14ac:dyDescent="0.25">
      <c r="A2405" s="1" t="s">
        <v>3967</v>
      </c>
      <c r="B2405" s="1" t="s">
        <v>3968</v>
      </c>
      <c r="C2405" s="1" t="s">
        <v>2058</v>
      </c>
      <c r="D2405" s="39">
        <v>0</v>
      </c>
      <c r="E2405" s="1" t="s">
        <v>1</v>
      </c>
      <c r="F2405" s="39">
        <v>0</v>
      </c>
    </row>
    <row r="2406" spans="1:6" x14ac:dyDescent="0.25">
      <c r="A2406" s="1" t="s">
        <v>3969</v>
      </c>
      <c r="B2406" s="1" t="s">
        <v>3970</v>
      </c>
      <c r="C2406" s="1" t="s">
        <v>2058</v>
      </c>
      <c r="D2406" s="39">
        <v>0</v>
      </c>
      <c r="E2406" s="1" t="s">
        <v>1</v>
      </c>
      <c r="F2406" s="39">
        <v>0</v>
      </c>
    </row>
    <row r="2407" spans="1:6" x14ac:dyDescent="0.25">
      <c r="A2407" s="1" t="s">
        <v>736</v>
      </c>
      <c r="B2407" s="1" t="s">
        <v>737</v>
      </c>
      <c r="C2407" s="1" t="s">
        <v>2058</v>
      </c>
      <c r="D2407" s="39">
        <v>0</v>
      </c>
      <c r="E2407" s="1" t="s">
        <v>1</v>
      </c>
      <c r="F2407" s="39">
        <v>0</v>
      </c>
    </row>
    <row r="2408" spans="1:6" x14ac:dyDescent="0.25">
      <c r="A2408" s="1" t="s">
        <v>3971</v>
      </c>
      <c r="B2408" s="1" t="s">
        <v>3972</v>
      </c>
      <c r="C2408" s="1" t="s">
        <v>2058</v>
      </c>
      <c r="D2408" s="39">
        <v>0</v>
      </c>
      <c r="E2408" s="1" t="s">
        <v>1</v>
      </c>
      <c r="F2408" s="39">
        <v>0</v>
      </c>
    </row>
    <row r="2409" spans="1:6" x14ac:dyDescent="0.25">
      <c r="A2409" s="1" t="s">
        <v>3973</v>
      </c>
      <c r="B2409" s="1" t="s">
        <v>3974</v>
      </c>
      <c r="C2409" s="1" t="s">
        <v>2058</v>
      </c>
      <c r="D2409" s="39">
        <v>0</v>
      </c>
      <c r="E2409" s="1" t="s">
        <v>1</v>
      </c>
      <c r="F2409" s="39">
        <v>0</v>
      </c>
    </row>
    <row r="2410" spans="1:6" x14ac:dyDescent="0.25">
      <c r="A2410" s="1" t="s">
        <v>3975</v>
      </c>
      <c r="B2410" s="1" t="s">
        <v>404</v>
      </c>
      <c r="C2410" s="1" t="s">
        <v>2058</v>
      </c>
      <c r="D2410" s="39">
        <v>0</v>
      </c>
      <c r="E2410" s="1" t="s">
        <v>1</v>
      </c>
      <c r="F2410" s="39">
        <v>0</v>
      </c>
    </row>
    <row r="2411" spans="1:6" x14ac:dyDescent="0.25">
      <c r="A2411" s="1" t="s">
        <v>3976</v>
      </c>
      <c r="B2411" s="1" t="s">
        <v>407</v>
      </c>
      <c r="C2411" s="1" t="s">
        <v>2058</v>
      </c>
      <c r="D2411" s="39">
        <v>0</v>
      </c>
      <c r="E2411" s="1" t="s">
        <v>1</v>
      </c>
      <c r="F2411" s="39">
        <v>0</v>
      </c>
    </row>
    <row r="2412" spans="1:6" x14ac:dyDescent="0.25">
      <c r="A2412" s="1" t="s">
        <v>3977</v>
      </c>
      <c r="B2412" s="1" t="s">
        <v>413</v>
      </c>
      <c r="C2412" s="1" t="s">
        <v>2058</v>
      </c>
      <c r="D2412" s="39">
        <v>0</v>
      </c>
      <c r="E2412" s="1" t="s">
        <v>1</v>
      </c>
      <c r="F2412" s="39">
        <v>0</v>
      </c>
    </row>
    <row r="2413" spans="1:6" x14ac:dyDescent="0.25">
      <c r="A2413" s="1" t="s">
        <v>3978</v>
      </c>
      <c r="B2413" s="1" t="s">
        <v>3979</v>
      </c>
      <c r="C2413" s="1" t="s">
        <v>2058</v>
      </c>
      <c r="D2413" s="39">
        <v>0</v>
      </c>
      <c r="E2413" s="1" t="s">
        <v>1</v>
      </c>
      <c r="F2413" s="39">
        <v>0</v>
      </c>
    </row>
    <row r="2414" spans="1:6" x14ac:dyDescent="0.25">
      <c r="A2414" s="1" t="s">
        <v>3980</v>
      </c>
      <c r="B2414" s="1" t="s">
        <v>3981</v>
      </c>
      <c r="C2414" s="1" t="s">
        <v>2058</v>
      </c>
      <c r="D2414" s="39">
        <v>0</v>
      </c>
      <c r="E2414" s="1" t="s">
        <v>1</v>
      </c>
      <c r="F2414" s="39">
        <v>0</v>
      </c>
    </row>
    <row r="2415" spans="1:6" x14ac:dyDescent="0.25">
      <c r="A2415" s="1" t="s">
        <v>3982</v>
      </c>
      <c r="B2415" s="1" t="s">
        <v>428</v>
      </c>
      <c r="C2415" s="1" t="s">
        <v>2058</v>
      </c>
      <c r="D2415" s="39">
        <v>0</v>
      </c>
      <c r="E2415" s="1" t="s">
        <v>1</v>
      </c>
      <c r="F2415" s="39">
        <v>0</v>
      </c>
    </row>
    <row r="2416" spans="1:6" x14ac:dyDescent="0.25">
      <c r="A2416" s="1" t="s">
        <v>3983</v>
      </c>
      <c r="B2416" s="1" t="s">
        <v>3984</v>
      </c>
      <c r="C2416" s="1" t="s">
        <v>2058</v>
      </c>
      <c r="D2416" s="39">
        <v>0</v>
      </c>
      <c r="E2416" s="1" t="s">
        <v>1</v>
      </c>
      <c r="F2416" s="39">
        <v>0</v>
      </c>
    </row>
    <row r="2417" spans="1:6" x14ac:dyDescent="0.25">
      <c r="A2417" s="1" t="s">
        <v>3985</v>
      </c>
      <c r="B2417" s="1" t="s">
        <v>3986</v>
      </c>
      <c r="C2417" s="1" t="s">
        <v>2058</v>
      </c>
      <c r="D2417" s="39">
        <v>0</v>
      </c>
      <c r="E2417" s="1" t="s">
        <v>1</v>
      </c>
      <c r="F2417" s="39">
        <v>0</v>
      </c>
    </row>
    <row r="2418" spans="1:6" x14ac:dyDescent="0.25">
      <c r="A2418" s="1" t="s">
        <v>3987</v>
      </c>
      <c r="B2418" s="1" t="s">
        <v>3988</v>
      </c>
      <c r="C2418" s="1" t="s">
        <v>2058</v>
      </c>
      <c r="D2418" s="39">
        <v>0</v>
      </c>
      <c r="E2418" s="1" t="s">
        <v>1</v>
      </c>
      <c r="F2418" s="39">
        <v>0</v>
      </c>
    </row>
    <row r="2419" spans="1:6" x14ac:dyDescent="0.25">
      <c r="A2419" s="1" t="s">
        <v>3989</v>
      </c>
      <c r="B2419" s="1" t="s">
        <v>3990</v>
      </c>
      <c r="C2419" s="1" t="s">
        <v>2058</v>
      </c>
      <c r="D2419" s="39">
        <v>0</v>
      </c>
      <c r="E2419" s="1" t="s">
        <v>1</v>
      </c>
      <c r="F2419" s="39">
        <v>0</v>
      </c>
    </row>
    <row r="2420" spans="1:6" x14ac:dyDescent="0.25">
      <c r="A2420" s="1" t="s">
        <v>3991</v>
      </c>
      <c r="B2420" s="1" t="s">
        <v>3992</v>
      </c>
      <c r="C2420" s="1" t="s">
        <v>2058</v>
      </c>
      <c r="D2420" s="39">
        <v>0</v>
      </c>
      <c r="E2420" s="1" t="s">
        <v>1</v>
      </c>
      <c r="F2420" s="39">
        <v>0</v>
      </c>
    </row>
    <row r="2421" spans="1:6" x14ac:dyDescent="0.25">
      <c r="A2421" s="1" t="s">
        <v>3993</v>
      </c>
      <c r="B2421" s="1" t="s">
        <v>3994</v>
      </c>
      <c r="C2421" s="1" t="s">
        <v>2058</v>
      </c>
      <c r="D2421" s="39">
        <v>0</v>
      </c>
      <c r="E2421" s="1" t="s">
        <v>1</v>
      </c>
      <c r="F2421" s="39">
        <v>0</v>
      </c>
    </row>
    <row r="2422" spans="1:6" x14ac:dyDescent="0.25">
      <c r="A2422" s="1" t="s">
        <v>3995</v>
      </c>
      <c r="B2422" s="1" t="s">
        <v>3996</v>
      </c>
      <c r="C2422" s="1" t="s">
        <v>2058</v>
      </c>
      <c r="D2422" s="39">
        <v>0</v>
      </c>
      <c r="E2422" s="1" t="s">
        <v>1</v>
      </c>
      <c r="F2422" s="39">
        <v>0</v>
      </c>
    </row>
    <row r="2423" spans="1:6" x14ac:dyDescent="0.25">
      <c r="A2423" s="1" t="s">
        <v>3997</v>
      </c>
      <c r="B2423" s="1" t="s">
        <v>3998</v>
      </c>
      <c r="C2423" s="1" t="s">
        <v>2058</v>
      </c>
      <c r="D2423" s="39">
        <v>0</v>
      </c>
      <c r="E2423" s="1" t="s">
        <v>1</v>
      </c>
      <c r="F2423" s="39">
        <v>0</v>
      </c>
    </row>
    <row r="2424" spans="1:6" x14ac:dyDescent="0.25">
      <c r="A2424" s="1" t="s">
        <v>3999</v>
      </c>
      <c r="B2424" s="1" t="s">
        <v>4000</v>
      </c>
      <c r="C2424" s="1" t="s">
        <v>2058</v>
      </c>
      <c r="D2424" s="39">
        <v>0</v>
      </c>
      <c r="E2424" s="1" t="s">
        <v>1</v>
      </c>
      <c r="F2424" s="39">
        <v>0</v>
      </c>
    </row>
    <row r="2425" spans="1:6" x14ac:dyDescent="0.25">
      <c r="A2425" s="1" t="s">
        <v>4001</v>
      </c>
      <c r="B2425" s="1" t="s">
        <v>4002</v>
      </c>
      <c r="C2425" s="1" t="s">
        <v>2058</v>
      </c>
      <c r="D2425" s="39">
        <v>0</v>
      </c>
      <c r="E2425" s="1" t="s">
        <v>1</v>
      </c>
      <c r="F2425" s="39">
        <v>0</v>
      </c>
    </row>
    <row r="2426" spans="1:6" x14ac:dyDescent="0.25">
      <c r="A2426" s="1" t="s">
        <v>4003</v>
      </c>
      <c r="B2426" s="1" t="s">
        <v>4004</v>
      </c>
      <c r="C2426" s="1" t="s">
        <v>2058</v>
      </c>
      <c r="D2426" s="39">
        <v>0</v>
      </c>
      <c r="E2426" s="1" t="s">
        <v>1</v>
      </c>
      <c r="F2426" s="39">
        <v>0</v>
      </c>
    </row>
    <row r="2427" spans="1:6" x14ac:dyDescent="0.25">
      <c r="A2427" s="1" t="s">
        <v>4005</v>
      </c>
      <c r="B2427" s="1" t="s">
        <v>4006</v>
      </c>
      <c r="C2427" s="1" t="s">
        <v>2058</v>
      </c>
      <c r="D2427" s="39">
        <v>0</v>
      </c>
      <c r="E2427" s="1" t="s">
        <v>1</v>
      </c>
      <c r="F2427" s="39">
        <v>0</v>
      </c>
    </row>
    <row r="2428" spans="1:6" x14ac:dyDescent="0.25">
      <c r="A2428" s="1" t="s">
        <v>4007</v>
      </c>
      <c r="B2428" s="1" t="s">
        <v>4008</v>
      </c>
      <c r="C2428" s="1" t="s">
        <v>2058</v>
      </c>
      <c r="D2428" s="39">
        <v>0</v>
      </c>
      <c r="E2428" s="1" t="s">
        <v>1</v>
      </c>
      <c r="F2428" s="39">
        <v>0</v>
      </c>
    </row>
    <row r="2429" spans="1:6" x14ac:dyDescent="0.25">
      <c r="A2429" s="1" t="s">
        <v>4009</v>
      </c>
      <c r="B2429" s="1" t="s">
        <v>4010</v>
      </c>
      <c r="C2429" s="1" t="s">
        <v>2058</v>
      </c>
      <c r="D2429" s="39">
        <v>0</v>
      </c>
      <c r="E2429" s="1" t="s">
        <v>1</v>
      </c>
      <c r="F2429" s="39">
        <v>0</v>
      </c>
    </row>
    <row r="2430" spans="1:6" x14ac:dyDescent="0.25">
      <c r="A2430" s="1" t="s">
        <v>4011</v>
      </c>
      <c r="B2430" s="1" t="s">
        <v>4012</v>
      </c>
      <c r="C2430" s="1" t="s">
        <v>2058</v>
      </c>
      <c r="D2430" s="39">
        <v>0</v>
      </c>
      <c r="E2430" s="1" t="s">
        <v>1</v>
      </c>
      <c r="F2430" s="39">
        <v>0</v>
      </c>
    </row>
    <row r="2431" spans="1:6" x14ac:dyDescent="0.25">
      <c r="A2431" s="1" t="s">
        <v>4013</v>
      </c>
      <c r="B2431" s="1" t="s">
        <v>4014</v>
      </c>
      <c r="C2431" s="1" t="s">
        <v>2058</v>
      </c>
      <c r="D2431" s="39">
        <v>0</v>
      </c>
      <c r="E2431" s="1" t="s">
        <v>1</v>
      </c>
      <c r="F2431" s="39">
        <v>0</v>
      </c>
    </row>
    <row r="2432" spans="1:6" x14ac:dyDescent="0.25">
      <c r="A2432" s="1" t="s">
        <v>4015</v>
      </c>
      <c r="B2432" s="1" t="s">
        <v>4016</v>
      </c>
      <c r="C2432" s="1" t="s">
        <v>2058</v>
      </c>
      <c r="D2432" s="39">
        <v>0</v>
      </c>
      <c r="E2432" s="1" t="s">
        <v>1</v>
      </c>
      <c r="F2432" s="39">
        <v>0</v>
      </c>
    </row>
    <row r="2433" spans="1:6" x14ac:dyDescent="0.25">
      <c r="A2433" s="1" t="s">
        <v>4017</v>
      </c>
      <c r="B2433" s="1" t="s">
        <v>4018</v>
      </c>
      <c r="C2433" s="1" t="s">
        <v>2058</v>
      </c>
      <c r="D2433" s="39">
        <v>0</v>
      </c>
      <c r="E2433" s="1" t="s">
        <v>1</v>
      </c>
      <c r="F2433" s="39">
        <v>0</v>
      </c>
    </row>
    <row r="2434" spans="1:6" x14ac:dyDescent="0.25">
      <c r="A2434" s="1" t="s">
        <v>4019</v>
      </c>
      <c r="B2434" s="1" t="s">
        <v>4020</v>
      </c>
      <c r="C2434" s="1" t="s">
        <v>2058</v>
      </c>
      <c r="D2434" s="39">
        <v>0</v>
      </c>
      <c r="E2434" s="1" t="s">
        <v>1</v>
      </c>
      <c r="F2434" s="39">
        <v>0</v>
      </c>
    </row>
    <row r="2435" spans="1:6" x14ac:dyDescent="0.25">
      <c r="A2435" s="1" t="s">
        <v>4021</v>
      </c>
      <c r="B2435" s="1" t="s">
        <v>4022</v>
      </c>
      <c r="C2435" s="1" t="s">
        <v>2058</v>
      </c>
      <c r="D2435" s="39">
        <v>0</v>
      </c>
      <c r="E2435" s="1" t="s">
        <v>1</v>
      </c>
      <c r="F2435" s="39">
        <v>0</v>
      </c>
    </row>
    <row r="2436" spans="1:6" x14ac:dyDescent="0.25">
      <c r="A2436" s="1" t="s">
        <v>4023</v>
      </c>
      <c r="B2436" s="1" t="s">
        <v>4024</v>
      </c>
      <c r="C2436" s="1" t="s">
        <v>2058</v>
      </c>
      <c r="D2436" s="39">
        <v>0</v>
      </c>
      <c r="E2436" s="1" t="s">
        <v>1</v>
      </c>
      <c r="F2436" s="39">
        <v>0</v>
      </c>
    </row>
    <row r="2437" spans="1:6" x14ac:dyDescent="0.25">
      <c r="A2437" s="1" t="s">
        <v>4025</v>
      </c>
      <c r="B2437" s="1" t="s">
        <v>4026</v>
      </c>
      <c r="C2437" s="1" t="s">
        <v>2058</v>
      </c>
      <c r="D2437" s="39">
        <v>0</v>
      </c>
      <c r="E2437" s="1" t="s">
        <v>1</v>
      </c>
      <c r="F2437" s="39">
        <v>0</v>
      </c>
    </row>
    <row r="2438" spans="1:6" x14ac:dyDescent="0.25">
      <c r="A2438" s="1" t="s">
        <v>4027</v>
      </c>
      <c r="B2438" s="1" t="s">
        <v>4028</v>
      </c>
      <c r="C2438" s="1" t="s">
        <v>2058</v>
      </c>
      <c r="D2438" s="39">
        <v>0</v>
      </c>
      <c r="E2438" s="1" t="s">
        <v>1</v>
      </c>
      <c r="F2438" s="39">
        <v>0</v>
      </c>
    </row>
    <row r="2439" spans="1:6" x14ac:dyDescent="0.25">
      <c r="A2439" s="1" t="s">
        <v>4029</v>
      </c>
      <c r="B2439" s="1" t="s">
        <v>4030</v>
      </c>
      <c r="C2439" s="1" t="s">
        <v>2058</v>
      </c>
      <c r="D2439" s="39">
        <v>0</v>
      </c>
      <c r="E2439" s="1" t="s">
        <v>1</v>
      </c>
      <c r="F2439" s="39">
        <v>0</v>
      </c>
    </row>
    <row r="2440" spans="1:6" x14ac:dyDescent="0.25">
      <c r="A2440" s="1" t="s">
        <v>4031</v>
      </c>
      <c r="B2440" s="1" t="s">
        <v>4032</v>
      </c>
      <c r="C2440" s="1" t="s">
        <v>2058</v>
      </c>
      <c r="D2440" s="39">
        <v>0</v>
      </c>
      <c r="E2440" s="1" t="s">
        <v>1</v>
      </c>
      <c r="F2440" s="39">
        <v>0</v>
      </c>
    </row>
    <row r="2441" spans="1:6" x14ac:dyDescent="0.25">
      <c r="A2441" s="1" t="s">
        <v>4033</v>
      </c>
      <c r="B2441" s="1" t="s">
        <v>4034</v>
      </c>
      <c r="C2441" s="1" t="s">
        <v>2058</v>
      </c>
      <c r="D2441" s="39">
        <v>0</v>
      </c>
      <c r="E2441" s="1" t="s">
        <v>1</v>
      </c>
      <c r="F2441" s="39">
        <v>0</v>
      </c>
    </row>
    <row r="2442" spans="1:6" x14ac:dyDescent="0.25">
      <c r="A2442" s="1" t="s">
        <v>4035</v>
      </c>
      <c r="B2442" s="1" t="s">
        <v>4036</v>
      </c>
      <c r="C2442" s="1" t="s">
        <v>2058</v>
      </c>
      <c r="D2442" s="39">
        <v>0</v>
      </c>
      <c r="E2442" s="1" t="s">
        <v>1</v>
      </c>
      <c r="F2442" s="39">
        <v>0</v>
      </c>
    </row>
    <row r="2443" spans="1:6" x14ac:dyDescent="0.25">
      <c r="A2443" s="1" t="s">
        <v>4037</v>
      </c>
      <c r="B2443" s="1" t="s">
        <v>4038</v>
      </c>
      <c r="C2443" s="1" t="s">
        <v>2058</v>
      </c>
      <c r="D2443" s="39">
        <v>0</v>
      </c>
      <c r="E2443" s="1" t="s">
        <v>1</v>
      </c>
      <c r="F2443" s="39">
        <v>0</v>
      </c>
    </row>
    <row r="2444" spans="1:6" x14ac:dyDescent="0.25">
      <c r="A2444" s="1" t="s">
        <v>4039</v>
      </c>
      <c r="B2444" s="1" t="s">
        <v>4040</v>
      </c>
      <c r="C2444" s="1" t="s">
        <v>2058</v>
      </c>
      <c r="D2444" s="39">
        <v>0</v>
      </c>
      <c r="E2444" s="1" t="s">
        <v>1</v>
      </c>
      <c r="F2444" s="39">
        <v>0</v>
      </c>
    </row>
    <row r="2445" spans="1:6" x14ac:dyDescent="0.25">
      <c r="A2445" s="1" t="s">
        <v>4041</v>
      </c>
      <c r="B2445" s="1" t="s">
        <v>4042</v>
      </c>
      <c r="C2445" s="1" t="s">
        <v>2058</v>
      </c>
      <c r="D2445" s="39">
        <v>0</v>
      </c>
      <c r="E2445" s="1" t="s">
        <v>1</v>
      </c>
      <c r="F2445" s="39">
        <v>0</v>
      </c>
    </row>
    <row r="2446" spans="1:6" x14ac:dyDescent="0.25">
      <c r="A2446" s="1" t="s">
        <v>4043</v>
      </c>
      <c r="B2446" s="1" t="s">
        <v>4044</v>
      </c>
      <c r="C2446" s="1" t="s">
        <v>2058</v>
      </c>
      <c r="D2446" s="39">
        <v>0</v>
      </c>
      <c r="E2446" s="1" t="s">
        <v>1</v>
      </c>
      <c r="F2446" s="39">
        <v>0</v>
      </c>
    </row>
    <row r="2447" spans="1:6" x14ac:dyDescent="0.25">
      <c r="A2447" s="1" t="s">
        <v>4045</v>
      </c>
      <c r="B2447" s="1" t="s">
        <v>4046</v>
      </c>
      <c r="C2447" s="1" t="s">
        <v>2058</v>
      </c>
      <c r="D2447" s="39">
        <v>0</v>
      </c>
      <c r="E2447" s="1" t="s">
        <v>1</v>
      </c>
      <c r="F2447" s="39">
        <v>0</v>
      </c>
    </row>
    <row r="2448" spans="1:6" x14ac:dyDescent="0.25">
      <c r="A2448" s="1" t="s">
        <v>4047</v>
      </c>
      <c r="B2448" s="1" t="s">
        <v>4048</v>
      </c>
      <c r="C2448" s="1" t="s">
        <v>2058</v>
      </c>
      <c r="D2448" s="39">
        <v>0</v>
      </c>
      <c r="E2448" s="1" t="s">
        <v>1</v>
      </c>
      <c r="F2448" s="39">
        <v>0</v>
      </c>
    </row>
    <row r="2449" spans="1:6" x14ac:dyDescent="0.25">
      <c r="A2449" s="1" t="s">
        <v>4049</v>
      </c>
      <c r="B2449" s="1" t="s">
        <v>4050</v>
      </c>
      <c r="C2449" s="1" t="s">
        <v>2058</v>
      </c>
      <c r="D2449" s="39">
        <v>0</v>
      </c>
      <c r="E2449" s="1" t="s">
        <v>1</v>
      </c>
      <c r="F2449" s="39">
        <v>0</v>
      </c>
    </row>
    <row r="2450" spans="1:6" x14ac:dyDescent="0.25">
      <c r="A2450" s="1" t="s">
        <v>4051</v>
      </c>
      <c r="B2450" s="1" t="s">
        <v>4052</v>
      </c>
      <c r="C2450" s="1" t="s">
        <v>2058</v>
      </c>
      <c r="D2450" s="39">
        <v>0</v>
      </c>
      <c r="E2450" s="1" t="s">
        <v>1</v>
      </c>
      <c r="F2450" s="39">
        <v>0</v>
      </c>
    </row>
    <row r="2451" spans="1:6" x14ac:dyDescent="0.25">
      <c r="A2451" s="1" t="s">
        <v>4053</v>
      </c>
      <c r="B2451" s="1" t="s">
        <v>4054</v>
      </c>
      <c r="C2451" s="1" t="s">
        <v>2058</v>
      </c>
      <c r="D2451" s="39">
        <v>0</v>
      </c>
      <c r="E2451" s="1" t="s">
        <v>1</v>
      </c>
      <c r="F2451" s="39">
        <v>0</v>
      </c>
    </row>
    <row r="2452" spans="1:6" x14ac:dyDescent="0.25">
      <c r="A2452" s="1" t="s">
        <v>4055</v>
      </c>
      <c r="B2452" s="1" t="s">
        <v>4056</v>
      </c>
      <c r="C2452" s="1" t="s">
        <v>2058</v>
      </c>
      <c r="D2452" s="39">
        <v>0</v>
      </c>
      <c r="E2452" s="1" t="s">
        <v>1</v>
      </c>
      <c r="F2452" s="39">
        <v>0</v>
      </c>
    </row>
    <row r="2453" spans="1:6" x14ac:dyDescent="0.25">
      <c r="A2453" s="1" t="s">
        <v>4057</v>
      </c>
      <c r="B2453" s="1" t="s">
        <v>4058</v>
      </c>
      <c r="C2453" s="1" t="s">
        <v>2058</v>
      </c>
      <c r="D2453" s="39">
        <v>0</v>
      </c>
      <c r="E2453" s="1" t="s">
        <v>1</v>
      </c>
      <c r="F2453" s="39">
        <v>0</v>
      </c>
    </row>
    <row r="2454" spans="1:6" x14ac:dyDescent="0.25">
      <c r="A2454" s="1" t="s">
        <v>4059</v>
      </c>
      <c r="B2454" s="1" t="s">
        <v>4060</v>
      </c>
      <c r="C2454" s="1" t="s">
        <v>2058</v>
      </c>
      <c r="D2454" s="39">
        <v>0</v>
      </c>
      <c r="E2454" s="1" t="s">
        <v>1</v>
      </c>
      <c r="F2454" s="39">
        <v>0</v>
      </c>
    </row>
    <row r="2455" spans="1:6" x14ac:dyDescent="0.25">
      <c r="A2455" s="1" t="s">
        <v>4061</v>
      </c>
      <c r="B2455" s="1" t="s">
        <v>4062</v>
      </c>
      <c r="C2455" s="1" t="s">
        <v>2058</v>
      </c>
      <c r="D2455" s="39">
        <v>0</v>
      </c>
      <c r="E2455" s="1" t="s">
        <v>1</v>
      </c>
      <c r="F2455" s="39">
        <v>0</v>
      </c>
    </row>
    <row r="2456" spans="1:6" x14ac:dyDescent="0.25">
      <c r="A2456" s="1" t="s">
        <v>4063</v>
      </c>
      <c r="B2456" s="1" t="s">
        <v>4064</v>
      </c>
      <c r="C2456" s="1" t="s">
        <v>2058</v>
      </c>
      <c r="D2456" s="39">
        <v>0</v>
      </c>
      <c r="E2456" s="1" t="s">
        <v>1</v>
      </c>
      <c r="F2456" s="39">
        <v>0</v>
      </c>
    </row>
    <row r="2457" spans="1:6" x14ac:dyDescent="0.25">
      <c r="A2457" s="1" t="s">
        <v>4065</v>
      </c>
      <c r="B2457" s="1" t="s">
        <v>4066</v>
      </c>
      <c r="C2457" s="1" t="s">
        <v>2058</v>
      </c>
      <c r="D2457" s="39">
        <v>0</v>
      </c>
      <c r="E2457" s="1" t="s">
        <v>1</v>
      </c>
      <c r="F2457" s="39">
        <v>0</v>
      </c>
    </row>
    <row r="2458" spans="1:6" x14ac:dyDescent="0.25">
      <c r="A2458" s="1" t="s">
        <v>4067</v>
      </c>
      <c r="B2458" s="1" t="s">
        <v>4068</v>
      </c>
      <c r="C2458" s="1" t="s">
        <v>2058</v>
      </c>
      <c r="D2458" s="39">
        <v>0</v>
      </c>
      <c r="E2458" s="1" t="s">
        <v>1</v>
      </c>
      <c r="F2458" s="39">
        <v>0</v>
      </c>
    </row>
    <row r="2459" spans="1:6" x14ac:dyDescent="0.25">
      <c r="A2459" s="1" t="s">
        <v>4069</v>
      </c>
      <c r="B2459" s="1" t="s">
        <v>4070</v>
      </c>
      <c r="C2459" s="1" t="s">
        <v>2058</v>
      </c>
      <c r="D2459" s="39">
        <v>0</v>
      </c>
      <c r="E2459" s="1" t="s">
        <v>1</v>
      </c>
      <c r="F2459" s="39">
        <v>0</v>
      </c>
    </row>
    <row r="2460" spans="1:6" x14ac:dyDescent="0.25">
      <c r="A2460" s="1" t="s">
        <v>4071</v>
      </c>
      <c r="B2460" s="1" t="s">
        <v>4072</v>
      </c>
      <c r="C2460" s="1" t="s">
        <v>2058</v>
      </c>
      <c r="D2460" s="39">
        <v>0</v>
      </c>
      <c r="E2460" s="1" t="s">
        <v>1</v>
      </c>
      <c r="F2460" s="39">
        <v>0</v>
      </c>
    </row>
    <row r="2461" spans="1:6" x14ac:dyDescent="0.25">
      <c r="A2461" s="1" t="s">
        <v>4073</v>
      </c>
      <c r="B2461" s="1" t="s">
        <v>4074</v>
      </c>
      <c r="C2461" s="1" t="s">
        <v>2058</v>
      </c>
      <c r="D2461" s="39">
        <v>0</v>
      </c>
      <c r="E2461" s="1" t="s">
        <v>1</v>
      </c>
      <c r="F2461" s="39">
        <v>0</v>
      </c>
    </row>
    <row r="2462" spans="1:6" x14ac:dyDescent="0.25">
      <c r="A2462" s="1" t="s">
        <v>4075</v>
      </c>
      <c r="B2462" s="1" t="s">
        <v>4076</v>
      </c>
      <c r="C2462" s="1" t="s">
        <v>2058</v>
      </c>
      <c r="D2462" s="39">
        <v>0</v>
      </c>
      <c r="E2462" s="1" t="s">
        <v>1</v>
      </c>
      <c r="F2462" s="39">
        <v>0</v>
      </c>
    </row>
    <row r="2463" spans="1:6" x14ac:dyDescent="0.25">
      <c r="A2463" s="1" t="s">
        <v>4077</v>
      </c>
      <c r="B2463" s="1" t="s">
        <v>4078</v>
      </c>
      <c r="C2463" s="1" t="s">
        <v>2058</v>
      </c>
      <c r="D2463" s="39">
        <v>0</v>
      </c>
      <c r="E2463" s="1" t="s">
        <v>1</v>
      </c>
      <c r="F2463" s="39">
        <v>0</v>
      </c>
    </row>
    <row r="2464" spans="1:6" x14ac:dyDescent="0.25">
      <c r="A2464" s="1" t="s">
        <v>4079</v>
      </c>
      <c r="B2464" s="1" t="s">
        <v>4080</v>
      </c>
      <c r="C2464" s="1" t="s">
        <v>2058</v>
      </c>
      <c r="D2464" s="39">
        <v>0</v>
      </c>
      <c r="E2464" s="1" t="s">
        <v>1</v>
      </c>
      <c r="F2464" s="39">
        <v>0</v>
      </c>
    </row>
    <row r="2465" spans="1:6" x14ac:dyDescent="0.25">
      <c r="A2465" s="1" t="s">
        <v>4081</v>
      </c>
      <c r="B2465" s="1" t="s">
        <v>4082</v>
      </c>
      <c r="C2465" s="1" t="s">
        <v>2058</v>
      </c>
      <c r="D2465" s="39">
        <v>0</v>
      </c>
      <c r="E2465" s="1" t="s">
        <v>1</v>
      </c>
      <c r="F2465" s="39">
        <v>0</v>
      </c>
    </row>
    <row r="2466" spans="1:6" x14ac:dyDescent="0.25">
      <c r="A2466" s="1" t="s">
        <v>4083</v>
      </c>
      <c r="B2466" s="1" t="s">
        <v>4084</v>
      </c>
      <c r="C2466" s="1" t="s">
        <v>2058</v>
      </c>
      <c r="D2466" s="39">
        <v>0</v>
      </c>
      <c r="E2466" s="1" t="s">
        <v>1</v>
      </c>
      <c r="F2466" s="39">
        <v>0</v>
      </c>
    </row>
    <row r="2467" spans="1:6" x14ac:dyDescent="0.25">
      <c r="A2467" s="1" t="s">
        <v>4085</v>
      </c>
      <c r="B2467" s="1" t="s">
        <v>4086</v>
      </c>
      <c r="C2467" s="1" t="s">
        <v>2058</v>
      </c>
      <c r="D2467" s="39">
        <v>0</v>
      </c>
      <c r="E2467" s="1" t="s">
        <v>1</v>
      </c>
      <c r="F2467" s="39">
        <v>0</v>
      </c>
    </row>
    <row r="2468" spans="1:6" x14ac:dyDescent="0.25">
      <c r="A2468" s="1" t="s">
        <v>4087</v>
      </c>
      <c r="B2468" s="1" t="s">
        <v>4088</v>
      </c>
      <c r="C2468" s="1" t="s">
        <v>2058</v>
      </c>
      <c r="D2468" s="39">
        <v>0</v>
      </c>
      <c r="E2468" s="1" t="s">
        <v>1</v>
      </c>
      <c r="F2468" s="39">
        <v>0</v>
      </c>
    </row>
    <row r="2469" spans="1:6" x14ac:dyDescent="0.25">
      <c r="A2469" s="1" t="s">
        <v>4089</v>
      </c>
      <c r="B2469" s="1" t="s">
        <v>4090</v>
      </c>
      <c r="C2469" s="1" t="s">
        <v>2058</v>
      </c>
      <c r="D2469" s="39">
        <v>0</v>
      </c>
      <c r="E2469" s="1" t="s">
        <v>1</v>
      </c>
      <c r="F2469" s="39">
        <v>0</v>
      </c>
    </row>
    <row r="2470" spans="1:6" x14ac:dyDescent="0.25">
      <c r="A2470" s="1" t="s">
        <v>4091</v>
      </c>
      <c r="B2470" s="1" t="s">
        <v>4092</v>
      </c>
      <c r="C2470" s="1" t="s">
        <v>2058</v>
      </c>
      <c r="D2470" s="39">
        <v>0</v>
      </c>
      <c r="E2470" s="1" t="s">
        <v>1</v>
      </c>
      <c r="F2470" s="39">
        <v>0</v>
      </c>
    </row>
    <row r="2471" spans="1:6" x14ac:dyDescent="0.25">
      <c r="A2471" s="1" t="s">
        <v>4093</v>
      </c>
      <c r="B2471" s="1" t="s">
        <v>4094</v>
      </c>
      <c r="C2471" s="1" t="s">
        <v>2058</v>
      </c>
      <c r="D2471" s="39">
        <v>0</v>
      </c>
      <c r="E2471" s="1" t="s">
        <v>1</v>
      </c>
      <c r="F2471" s="39">
        <v>0</v>
      </c>
    </row>
    <row r="2472" spans="1:6" x14ac:dyDescent="0.25">
      <c r="A2472" s="1" t="s">
        <v>4095</v>
      </c>
      <c r="B2472" s="1" t="s">
        <v>4096</v>
      </c>
      <c r="C2472" s="1" t="s">
        <v>2058</v>
      </c>
      <c r="D2472" s="39">
        <v>0</v>
      </c>
      <c r="E2472" s="1" t="s">
        <v>1</v>
      </c>
      <c r="F2472" s="39">
        <v>0</v>
      </c>
    </row>
    <row r="2473" spans="1:6" x14ac:dyDescent="0.25">
      <c r="A2473" s="1" t="s">
        <v>4097</v>
      </c>
      <c r="B2473" s="1" t="s">
        <v>4098</v>
      </c>
      <c r="C2473" s="1" t="s">
        <v>2058</v>
      </c>
      <c r="D2473" s="39">
        <v>0</v>
      </c>
      <c r="E2473" s="1" t="s">
        <v>1</v>
      </c>
      <c r="F2473" s="39">
        <v>0</v>
      </c>
    </row>
    <row r="2474" spans="1:6" x14ac:dyDescent="0.25">
      <c r="A2474" s="1" t="s">
        <v>4099</v>
      </c>
      <c r="B2474" s="1" t="s">
        <v>4100</v>
      </c>
      <c r="C2474" s="1" t="s">
        <v>2058</v>
      </c>
      <c r="D2474" s="39">
        <v>0</v>
      </c>
      <c r="E2474" s="1" t="s">
        <v>1</v>
      </c>
      <c r="F2474" s="39">
        <v>0</v>
      </c>
    </row>
    <row r="2475" spans="1:6" x14ac:dyDescent="0.25">
      <c r="A2475" s="1" t="s">
        <v>4101</v>
      </c>
      <c r="B2475" s="1" t="s">
        <v>4102</v>
      </c>
      <c r="C2475" s="1" t="s">
        <v>2058</v>
      </c>
      <c r="D2475" s="39">
        <v>0</v>
      </c>
      <c r="E2475" s="1" t="s">
        <v>1</v>
      </c>
      <c r="F2475" s="39">
        <v>0</v>
      </c>
    </row>
    <row r="2476" spans="1:6" x14ac:dyDescent="0.25">
      <c r="A2476" s="1" t="s">
        <v>4103</v>
      </c>
      <c r="B2476" s="1" t="s">
        <v>4104</v>
      </c>
      <c r="C2476" s="1" t="s">
        <v>2058</v>
      </c>
      <c r="D2476" s="39">
        <v>0</v>
      </c>
      <c r="E2476" s="1" t="s">
        <v>1</v>
      </c>
      <c r="F2476" s="39">
        <v>0</v>
      </c>
    </row>
    <row r="2477" spans="1:6" x14ac:dyDescent="0.25">
      <c r="A2477" s="1" t="s">
        <v>4105</v>
      </c>
      <c r="B2477" s="1" t="s">
        <v>4106</v>
      </c>
      <c r="C2477" s="1" t="s">
        <v>2058</v>
      </c>
      <c r="D2477" s="39">
        <v>0</v>
      </c>
      <c r="E2477" s="1" t="s">
        <v>1</v>
      </c>
      <c r="F2477" s="39">
        <v>0</v>
      </c>
    </row>
    <row r="2478" spans="1:6" x14ac:dyDescent="0.25">
      <c r="A2478" s="1" t="s">
        <v>4107</v>
      </c>
      <c r="B2478" s="1" t="s">
        <v>4108</v>
      </c>
      <c r="C2478" s="1" t="s">
        <v>2058</v>
      </c>
      <c r="D2478" s="39">
        <v>0</v>
      </c>
      <c r="E2478" s="1" t="s">
        <v>1</v>
      </c>
      <c r="F2478" s="39">
        <v>0</v>
      </c>
    </row>
    <row r="2479" spans="1:6" x14ac:dyDescent="0.25">
      <c r="A2479" s="1" t="s">
        <v>4109</v>
      </c>
      <c r="B2479" s="1" t="s">
        <v>4110</v>
      </c>
      <c r="C2479" s="1" t="s">
        <v>2058</v>
      </c>
      <c r="D2479" s="39">
        <v>0</v>
      </c>
      <c r="E2479" s="1" t="s">
        <v>1</v>
      </c>
      <c r="F2479" s="39">
        <v>0</v>
      </c>
    </row>
    <row r="2480" spans="1:6" x14ac:dyDescent="0.25">
      <c r="A2480" s="1" t="s">
        <v>4111</v>
      </c>
      <c r="B2480" s="1" t="s">
        <v>4112</v>
      </c>
      <c r="C2480" s="1" t="s">
        <v>2058</v>
      </c>
      <c r="D2480" s="39">
        <v>0</v>
      </c>
      <c r="E2480" s="1" t="s">
        <v>1</v>
      </c>
      <c r="F2480" s="39">
        <v>0</v>
      </c>
    </row>
    <row r="2481" spans="1:6" x14ac:dyDescent="0.25">
      <c r="A2481" s="1" t="s">
        <v>4113</v>
      </c>
      <c r="B2481" s="1" t="s">
        <v>4114</v>
      </c>
      <c r="C2481" s="1" t="s">
        <v>2058</v>
      </c>
      <c r="D2481" s="39">
        <v>0</v>
      </c>
      <c r="E2481" s="1" t="s">
        <v>1</v>
      </c>
      <c r="F2481" s="39">
        <v>0</v>
      </c>
    </row>
    <row r="2482" spans="1:6" x14ac:dyDescent="0.25">
      <c r="A2482" s="1" t="s">
        <v>4115</v>
      </c>
      <c r="B2482" s="1" t="s">
        <v>4116</v>
      </c>
      <c r="C2482" s="1" t="s">
        <v>2058</v>
      </c>
      <c r="D2482" s="39">
        <v>0</v>
      </c>
      <c r="E2482" s="1" t="s">
        <v>1</v>
      </c>
      <c r="F2482" s="39">
        <v>0</v>
      </c>
    </row>
    <row r="2483" spans="1:6" x14ac:dyDescent="0.25">
      <c r="A2483" s="1" t="s">
        <v>4117</v>
      </c>
      <c r="B2483" s="1" t="s">
        <v>4118</v>
      </c>
      <c r="C2483" s="1" t="s">
        <v>2058</v>
      </c>
      <c r="D2483" s="39">
        <v>0</v>
      </c>
      <c r="E2483" s="1" t="s">
        <v>1</v>
      </c>
      <c r="F2483" s="39">
        <v>0</v>
      </c>
    </row>
    <row r="2484" spans="1:6" x14ac:dyDescent="0.25">
      <c r="A2484" s="1" t="s">
        <v>4119</v>
      </c>
      <c r="B2484" s="1" t="s">
        <v>4120</v>
      </c>
      <c r="C2484" s="1" t="s">
        <v>2058</v>
      </c>
      <c r="D2484" s="39">
        <v>0</v>
      </c>
      <c r="E2484" s="1" t="s">
        <v>1</v>
      </c>
      <c r="F2484" s="39">
        <v>0</v>
      </c>
    </row>
    <row r="2485" spans="1:6" x14ac:dyDescent="0.25">
      <c r="A2485" s="1" t="s">
        <v>4121</v>
      </c>
      <c r="B2485" s="1" t="s">
        <v>4122</v>
      </c>
      <c r="C2485" s="1" t="s">
        <v>2058</v>
      </c>
      <c r="D2485" s="39">
        <v>0</v>
      </c>
      <c r="E2485" s="1" t="s">
        <v>1</v>
      </c>
      <c r="F2485" s="39">
        <v>0</v>
      </c>
    </row>
    <row r="2486" spans="1:6" x14ac:dyDescent="0.25">
      <c r="A2486" s="1" t="s">
        <v>4123</v>
      </c>
      <c r="B2486" s="1" t="s">
        <v>4124</v>
      </c>
      <c r="C2486" s="1" t="s">
        <v>2058</v>
      </c>
      <c r="D2486" s="39">
        <v>0</v>
      </c>
      <c r="E2486" s="1" t="s">
        <v>1</v>
      </c>
      <c r="F2486" s="39">
        <v>0</v>
      </c>
    </row>
    <row r="2487" spans="1:6" x14ac:dyDescent="0.25">
      <c r="A2487" s="1" t="s">
        <v>4125</v>
      </c>
      <c r="B2487" s="1" t="s">
        <v>4126</v>
      </c>
      <c r="C2487" s="1" t="s">
        <v>2058</v>
      </c>
      <c r="D2487" s="39">
        <v>0</v>
      </c>
      <c r="E2487" s="1" t="s">
        <v>1</v>
      </c>
      <c r="F2487" s="39">
        <v>0</v>
      </c>
    </row>
    <row r="2488" spans="1:6" x14ac:dyDescent="0.25">
      <c r="A2488" s="1" t="s">
        <v>4127</v>
      </c>
      <c r="B2488" s="1" t="s">
        <v>4128</v>
      </c>
      <c r="C2488" s="1" t="s">
        <v>2058</v>
      </c>
      <c r="D2488" s="39">
        <v>0</v>
      </c>
      <c r="E2488" s="1" t="s">
        <v>1</v>
      </c>
      <c r="F2488" s="39">
        <v>0</v>
      </c>
    </row>
    <row r="2489" spans="1:6" x14ac:dyDescent="0.25">
      <c r="A2489" s="1" t="s">
        <v>4129</v>
      </c>
      <c r="B2489" s="1" t="s">
        <v>4130</v>
      </c>
      <c r="C2489" s="1" t="s">
        <v>2058</v>
      </c>
      <c r="D2489" s="39">
        <v>0</v>
      </c>
      <c r="E2489" s="1" t="s">
        <v>1</v>
      </c>
      <c r="F2489" s="39">
        <v>0</v>
      </c>
    </row>
    <row r="2490" spans="1:6" x14ac:dyDescent="0.25">
      <c r="A2490" s="1" t="s">
        <v>4131</v>
      </c>
      <c r="B2490" s="1" t="s">
        <v>4132</v>
      </c>
      <c r="C2490" s="1" t="s">
        <v>2058</v>
      </c>
      <c r="D2490" s="39">
        <v>0</v>
      </c>
      <c r="E2490" s="1" t="s">
        <v>1</v>
      </c>
      <c r="F2490" s="39">
        <v>0</v>
      </c>
    </row>
    <row r="2491" spans="1:6" x14ac:dyDescent="0.25">
      <c r="A2491" s="1" t="s">
        <v>4133</v>
      </c>
      <c r="B2491" s="1" t="s">
        <v>4096</v>
      </c>
      <c r="C2491" s="1" t="s">
        <v>2058</v>
      </c>
      <c r="D2491" s="39">
        <v>0</v>
      </c>
      <c r="E2491" s="1" t="s">
        <v>1</v>
      </c>
      <c r="F2491" s="39">
        <v>0</v>
      </c>
    </row>
    <row r="2492" spans="1:6" x14ac:dyDescent="0.25">
      <c r="A2492" s="1" t="s">
        <v>4134</v>
      </c>
      <c r="B2492" s="1" t="s">
        <v>4135</v>
      </c>
      <c r="C2492" s="1" t="s">
        <v>2058</v>
      </c>
      <c r="D2492" s="39">
        <v>0</v>
      </c>
      <c r="E2492" s="1" t="s">
        <v>1</v>
      </c>
      <c r="F2492" s="39">
        <v>0</v>
      </c>
    </row>
    <row r="2493" spans="1:6" x14ac:dyDescent="0.25">
      <c r="A2493" s="1" t="s">
        <v>4136</v>
      </c>
      <c r="B2493" s="1" t="s">
        <v>2148</v>
      </c>
      <c r="C2493" s="1" t="s">
        <v>2058</v>
      </c>
      <c r="D2493" s="39">
        <v>0</v>
      </c>
      <c r="E2493" s="1" t="s">
        <v>1</v>
      </c>
      <c r="F2493" s="39">
        <v>0</v>
      </c>
    </row>
    <row r="2494" spans="1:6" x14ac:dyDescent="0.25">
      <c r="A2494" s="1" t="s">
        <v>4137</v>
      </c>
      <c r="B2494" s="1" t="s">
        <v>4138</v>
      </c>
      <c r="C2494" s="1" t="s">
        <v>2058</v>
      </c>
      <c r="D2494" s="39">
        <v>0</v>
      </c>
      <c r="E2494" s="1" t="s">
        <v>1</v>
      </c>
      <c r="F2494" s="39">
        <v>0</v>
      </c>
    </row>
    <row r="2495" spans="1:6" x14ac:dyDescent="0.25">
      <c r="A2495" s="1" t="s">
        <v>4139</v>
      </c>
      <c r="B2495" s="1" t="s">
        <v>4140</v>
      </c>
      <c r="C2495" s="1" t="s">
        <v>2058</v>
      </c>
      <c r="D2495" s="39">
        <v>0</v>
      </c>
      <c r="E2495" s="1" t="s">
        <v>1</v>
      </c>
      <c r="F2495" s="39">
        <v>0</v>
      </c>
    </row>
    <row r="2496" spans="1:6" x14ac:dyDescent="0.25">
      <c r="A2496" s="1" t="s">
        <v>4141</v>
      </c>
      <c r="B2496" s="1" t="s">
        <v>4142</v>
      </c>
      <c r="C2496" s="1" t="s">
        <v>2058</v>
      </c>
      <c r="D2496" s="39">
        <v>0</v>
      </c>
      <c r="E2496" s="1" t="s">
        <v>1</v>
      </c>
      <c r="F2496" s="39">
        <v>0</v>
      </c>
    </row>
    <row r="2497" spans="1:6" x14ac:dyDescent="0.25">
      <c r="A2497" s="1" t="s">
        <v>4143</v>
      </c>
      <c r="B2497" s="1" t="s">
        <v>4144</v>
      </c>
      <c r="C2497" s="1" t="s">
        <v>2058</v>
      </c>
      <c r="D2497" s="39">
        <v>0</v>
      </c>
      <c r="E2497" s="1" t="s">
        <v>1</v>
      </c>
      <c r="F2497" s="39">
        <v>0</v>
      </c>
    </row>
    <row r="2498" spans="1:6" x14ac:dyDescent="0.25">
      <c r="A2498" s="1" t="s">
        <v>4145</v>
      </c>
      <c r="B2498" s="1" t="s">
        <v>4146</v>
      </c>
      <c r="C2498" s="1" t="s">
        <v>2058</v>
      </c>
      <c r="D2498" s="39">
        <v>0</v>
      </c>
      <c r="E2498" s="1" t="s">
        <v>1</v>
      </c>
      <c r="F2498" s="39">
        <v>0</v>
      </c>
    </row>
    <row r="2499" spans="1:6" x14ac:dyDescent="0.25">
      <c r="A2499" s="1" t="s">
        <v>4147</v>
      </c>
      <c r="B2499" s="1" t="s">
        <v>3467</v>
      </c>
      <c r="C2499" s="1" t="s">
        <v>2058</v>
      </c>
      <c r="D2499" s="39">
        <v>0</v>
      </c>
      <c r="E2499" s="1" t="s">
        <v>1</v>
      </c>
      <c r="F2499" s="39">
        <v>0</v>
      </c>
    </row>
    <row r="2500" spans="1:6" x14ac:dyDescent="0.25">
      <c r="A2500" s="1" t="s">
        <v>4148</v>
      </c>
      <c r="B2500" s="1" t="s">
        <v>3467</v>
      </c>
      <c r="C2500" s="1" t="s">
        <v>2058</v>
      </c>
      <c r="D2500" s="39">
        <v>0</v>
      </c>
      <c r="E2500" s="1" t="s">
        <v>1</v>
      </c>
      <c r="F2500" s="39">
        <v>0</v>
      </c>
    </row>
    <row r="2501" spans="1:6" x14ac:dyDescent="0.25">
      <c r="A2501" s="1" t="s">
        <v>4149</v>
      </c>
      <c r="B2501" s="1" t="s">
        <v>4150</v>
      </c>
      <c r="C2501" s="1" t="s">
        <v>2058</v>
      </c>
      <c r="D2501" s="39">
        <v>0</v>
      </c>
      <c r="E2501" s="1" t="s">
        <v>1</v>
      </c>
      <c r="F2501" s="39">
        <v>0</v>
      </c>
    </row>
    <row r="2502" spans="1:6" x14ac:dyDescent="0.25">
      <c r="A2502" s="1" t="s">
        <v>4151</v>
      </c>
      <c r="B2502" s="1" t="s">
        <v>4152</v>
      </c>
      <c r="C2502" s="1" t="s">
        <v>2058</v>
      </c>
      <c r="D2502" s="39">
        <v>0</v>
      </c>
      <c r="E2502" s="1" t="s">
        <v>1</v>
      </c>
      <c r="F2502" s="39">
        <v>0</v>
      </c>
    </row>
    <row r="2503" spans="1:6" x14ac:dyDescent="0.25">
      <c r="A2503" s="1" t="s">
        <v>436</v>
      </c>
      <c r="B2503" s="1" t="s">
        <v>437</v>
      </c>
      <c r="C2503" s="1" t="s">
        <v>2058</v>
      </c>
      <c r="D2503" s="39">
        <v>0</v>
      </c>
      <c r="E2503" s="1" t="s">
        <v>1</v>
      </c>
      <c r="F2503" s="39">
        <v>0</v>
      </c>
    </row>
    <row r="2504" spans="1:6" x14ac:dyDescent="0.25">
      <c r="A2504" s="1" t="s">
        <v>4153</v>
      </c>
      <c r="B2504" s="1" t="s">
        <v>4154</v>
      </c>
      <c r="C2504" s="1" t="s">
        <v>2058</v>
      </c>
      <c r="D2504" s="39">
        <v>0</v>
      </c>
      <c r="E2504" s="1" t="s">
        <v>1</v>
      </c>
      <c r="F2504" s="39">
        <v>0</v>
      </c>
    </row>
    <row r="2505" spans="1:6" x14ac:dyDescent="0.25">
      <c r="A2505" s="1" t="s">
        <v>439</v>
      </c>
      <c r="B2505" s="1" t="s">
        <v>440</v>
      </c>
      <c r="C2505" s="1" t="s">
        <v>2058</v>
      </c>
      <c r="D2505" s="39">
        <v>0</v>
      </c>
      <c r="E2505" s="1" t="s">
        <v>1</v>
      </c>
      <c r="F2505" s="39">
        <v>0</v>
      </c>
    </row>
    <row r="2506" spans="1:6" x14ac:dyDescent="0.25">
      <c r="A2506" s="1" t="s">
        <v>4155</v>
      </c>
      <c r="B2506" s="1" t="s">
        <v>3471</v>
      </c>
      <c r="C2506" s="1" t="s">
        <v>2058</v>
      </c>
      <c r="D2506" s="39">
        <v>0</v>
      </c>
      <c r="E2506" s="1" t="s">
        <v>1</v>
      </c>
      <c r="F2506" s="39">
        <v>0</v>
      </c>
    </row>
    <row r="2507" spans="1:6" x14ac:dyDescent="0.25">
      <c r="A2507" s="1" t="s">
        <v>442</v>
      </c>
      <c r="B2507" s="1" t="s">
        <v>443</v>
      </c>
      <c r="C2507" s="1" t="s">
        <v>2058</v>
      </c>
      <c r="D2507" s="39">
        <v>0</v>
      </c>
      <c r="E2507" s="1" t="s">
        <v>1</v>
      </c>
      <c r="F2507" s="39">
        <v>0</v>
      </c>
    </row>
    <row r="2508" spans="1:6" x14ac:dyDescent="0.25">
      <c r="A2508" s="1" t="s">
        <v>4156</v>
      </c>
      <c r="B2508" s="1" t="s">
        <v>3473</v>
      </c>
      <c r="C2508" s="1" t="s">
        <v>2058</v>
      </c>
      <c r="D2508" s="39">
        <v>0</v>
      </c>
      <c r="E2508" s="1" t="s">
        <v>1</v>
      </c>
      <c r="F2508" s="39">
        <v>0</v>
      </c>
    </row>
    <row r="2509" spans="1:6" x14ac:dyDescent="0.25">
      <c r="A2509" s="1" t="s">
        <v>445</v>
      </c>
      <c r="B2509" s="1" t="s">
        <v>446</v>
      </c>
      <c r="C2509" s="1" t="s">
        <v>2058</v>
      </c>
      <c r="D2509" s="39">
        <v>0</v>
      </c>
      <c r="E2509" s="1" t="s">
        <v>1</v>
      </c>
      <c r="F2509" s="39">
        <v>0</v>
      </c>
    </row>
    <row r="2510" spans="1:6" x14ac:dyDescent="0.25">
      <c r="A2510" s="1" t="s">
        <v>4157</v>
      </c>
      <c r="B2510" s="1" t="s">
        <v>4158</v>
      </c>
      <c r="C2510" s="1" t="s">
        <v>2058</v>
      </c>
      <c r="D2510" s="39">
        <v>0</v>
      </c>
      <c r="E2510" s="1" t="s">
        <v>1</v>
      </c>
      <c r="F2510" s="39">
        <v>0</v>
      </c>
    </row>
    <row r="2511" spans="1:6" x14ac:dyDescent="0.25">
      <c r="A2511" s="1" t="s">
        <v>4159</v>
      </c>
      <c r="B2511" s="1" t="s">
        <v>4160</v>
      </c>
      <c r="C2511" s="1" t="s">
        <v>2058</v>
      </c>
      <c r="D2511" s="39">
        <v>0</v>
      </c>
      <c r="E2511" s="1" t="s">
        <v>1</v>
      </c>
      <c r="F2511" s="39">
        <v>0</v>
      </c>
    </row>
    <row r="2512" spans="1:6" x14ac:dyDescent="0.25">
      <c r="A2512" s="1" t="s">
        <v>448</v>
      </c>
      <c r="B2512" s="1" t="s">
        <v>449</v>
      </c>
      <c r="C2512" s="1" t="s">
        <v>2058</v>
      </c>
      <c r="D2512" s="39">
        <v>0</v>
      </c>
      <c r="E2512" s="1" t="s">
        <v>1</v>
      </c>
      <c r="F2512" s="39">
        <v>0</v>
      </c>
    </row>
    <row r="2513" spans="1:6" x14ac:dyDescent="0.25">
      <c r="A2513" s="1" t="s">
        <v>4161</v>
      </c>
      <c r="B2513" s="1" t="s">
        <v>4162</v>
      </c>
      <c r="C2513" s="1" t="s">
        <v>2058</v>
      </c>
      <c r="D2513" s="39">
        <v>0</v>
      </c>
      <c r="E2513" s="1" t="s">
        <v>1</v>
      </c>
      <c r="F2513" s="39">
        <v>0</v>
      </c>
    </row>
    <row r="2514" spans="1:6" x14ac:dyDescent="0.25">
      <c r="A2514" s="1" t="s">
        <v>451</v>
      </c>
      <c r="B2514" s="1" t="s">
        <v>452</v>
      </c>
      <c r="C2514" s="1" t="s">
        <v>2058</v>
      </c>
      <c r="D2514" s="39">
        <v>0</v>
      </c>
      <c r="E2514" s="1" t="s">
        <v>1</v>
      </c>
      <c r="F2514" s="39">
        <v>0</v>
      </c>
    </row>
    <row r="2515" spans="1:6" x14ac:dyDescent="0.25">
      <c r="A2515" s="1" t="s">
        <v>4163</v>
      </c>
      <c r="B2515" s="1" t="s">
        <v>4164</v>
      </c>
      <c r="C2515" s="1" t="s">
        <v>2058</v>
      </c>
      <c r="D2515" s="39">
        <v>0</v>
      </c>
      <c r="E2515" s="1" t="s">
        <v>1</v>
      </c>
      <c r="F2515" s="39">
        <v>0</v>
      </c>
    </row>
    <row r="2516" spans="1:6" x14ac:dyDescent="0.25">
      <c r="A2516" s="1" t="s">
        <v>4165</v>
      </c>
      <c r="B2516" s="1" t="s">
        <v>3477</v>
      </c>
      <c r="C2516" s="1" t="s">
        <v>2058</v>
      </c>
      <c r="D2516" s="39">
        <v>0</v>
      </c>
      <c r="E2516" s="1" t="s">
        <v>1</v>
      </c>
      <c r="F2516" s="39">
        <v>0</v>
      </c>
    </row>
    <row r="2517" spans="1:6" x14ac:dyDescent="0.25">
      <c r="A2517" s="1" t="s">
        <v>454</v>
      </c>
      <c r="B2517" s="1" t="s">
        <v>455</v>
      </c>
      <c r="C2517" s="1" t="s">
        <v>2058</v>
      </c>
      <c r="D2517" s="39">
        <v>0</v>
      </c>
      <c r="E2517" s="1" t="s">
        <v>1</v>
      </c>
      <c r="F2517" s="39">
        <v>0</v>
      </c>
    </row>
    <row r="2518" spans="1:6" x14ac:dyDescent="0.25">
      <c r="A2518" s="1" t="s">
        <v>4166</v>
      </c>
      <c r="B2518" s="1" t="s">
        <v>3494</v>
      </c>
      <c r="C2518" s="1" t="s">
        <v>2058</v>
      </c>
      <c r="D2518" s="39">
        <v>0</v>
      </c>
      <c r="E2518" s="1" t="s">
        <v>1</v>
      </c>
      <c r="F2518" s="39">
        <v>0</v>
      </c>
    </row>
    <row r="2519" spans="1:6" x14ac:dyDescent="0.25">
      <c r="A2519" s="1" t="s">
        <v>4167</v>
      </c>
      <c r="B2519" s="1" t="s">
        <v>3494</v>
      </c>
      <c r="C2519" s="1" t="s">
        <v>2058</v>
      </c>
      <c r="D2519" s="39">
        <v>0</v>
      </c>
      <c r="E2519" s="1" t="s">
        <v>1</v>
      </c>
      <c r="F2519" s="39">
        <v>0</v>
      </c>
    </row>
    <row r="2520" spans="1:6" x14ac:dyDescent="0.25">
      <c r="A2520" s="1" t="s">
        <v>4168</v>
      </c>
      <c r="B2520" s="1" t="s">
        <v>3494</v>
      </c>
      <c r="C2520" s="1" t="s">
        <v>2058</v>
      </c>
      <c r="D2520" s="39">
        <v>0</v>
      </c>
      <c r="E2520" s="1" t="s">
        <v>1</v>
      </c>
      <c r="F2520" s="39">
        <v>0</v>
      </c>
    </row>
    <row r="2521" spans="1:6" x14ac:dyDescent="0.25">
      <c r="A2521" s="1" t="s">
        <v>4169</v>
      </c>
      <c r="B2521" s="1" t="s">
        <v>3487</v>
      </c>
      <c r="C2521" s="1" t="s">
        <v>2058</v>
      </c>
      <c r="D2521" s="39">
        <v>0</v>
      </c>
      <c r="E2521" s="1" t="s">
        <v>1</v>
      </c>
      <c r="F2521" s="39">
        <v>0</v>
      </c>
    </row>
    <row r="2522" spans="1:6" x14ac:dyDescent="0.25">
      <c r="A2522" s="1" t="s">
        <v>4170</v>
      </c>
      <c r="B2522" s="1" t="s">
        <v>3487</v>
      </c>
      <c r="C2522" s="1" t="s">
        <v>2058</v>
      </c>
      <c r="D2522" s="39">
        <v>0</v>
      </c>
      <c r="E2522" s="1" t="s">
        <v>1</v>
      </c>
      <c r="F2522" s="39">
        <v>0</v>
      </c>
    </row>
    <row r="2523" spans="1:6" x14ac:dyDescent="0.25">
      <c r="A2523" s="1" t="s">
        <v>4171</v>
      </c>
      <c r="B2523" s="1" t="s">
        <v>3487</v>
      </c>
      <c r="C2523" s="1" t="s">
        <v>2058</v>
      </c>
      <c r="D2523" s="39">
        <v>0</v>
      </c>
      <c r="E2523" s="1" t="s">
        <v>1</v>
      </c>
      <c r="F2523" s="39">
        <v>0</v>
      </c>
    </row>
    <row r="2524" spans="1:6" x14ac:dyDescent="0.25">
      <c r="A2524" s="1" t="s">
        <v>4172</v>
      </c>
      <c r="B2524" s="1" t="s">
        <v>3494</v>
      </c>
      <c r="C2524" s="1" t="s">
        <v>2058</v>
      </c>
      <c r="D2524" s="39">
        <v>0</v>
      </c>
      <c r="E2524" s="1" t="s">
        <v>1</v>
      </c>
      <c r="F2524" s="39">
        <v>0</v>
      </c>
    </row>
    <row r="2525" spans="1:6" x14ac:dyDescent="0.25">
      <c r="A2525" s="1" t="s">
        <v>4173</v>
      </c>
      <c r="B2525" s="1" t="s">
        <v>3487</v>
      </c>
      <c r="C2525" s="1" t="s">
        <v>2058</v>
      </c>
      <c r="D2525" s="39">
        <v>0</v>
      </c>
      <c r="E2525" s="1" t="s">
        <v>1</v>
      </c>
      <c r="F2525" s="39">
        <v>0</v>
      </c>
    </row>
    <row r="2526" spans="1:6" x14ac:dyDescent="0.25">
      <c r="A2526" s="1" t="s">
        <v>4174</v>
      </c>
      <c r="B2526" s="1" t="s">
        <v>3494</v>
      </c>
      <c r="C2526" s="1" t="s">
        <v>2058</v>
      </c>
      <c r="D2526" s="39">
        <v>0</v>
      </c>
      <c r="E2526" s="1" t="s">
        <v>1</v>
      </c>
      <c r="F2526" s="39">
        <v>0</v>
      </c>
    </row>
    <row r="2527" spans="1:6" x14ac:dyDescent="0.25">
      <c r="A2527" s="1" t="s">
        <v>4175</v>
      </c>
      <c r="B2527" s="1" t="s">
        <v>3505</v>
      </c>
      <c r="C2527" s="1" t="s">
        <v>2058</v>
      </c>
      <c r="D2527" s="39">
        <v>0</v>
      </c>
      <c r="E2527" s="1" t="s">
        <v>1</v>
      </c>
      <c r="F2527" s="39">
        <v>0</v>
      </c>
    </row>
    <row r="2528" spans="1:6" x14ac:dyDescent="0.25">
      <c r="A2528" s="1" t="s">
        <v>4176</v>
      </c>
      <c r="B2528" s="1" t="s">
        <v>3505</v>
      </c>
      <c r="C2528" s="1" t="s">
        <v>2058</v>
      </c>
      <c r="D2528" s="39">
        <v>0</v>
      </c>
      <c r="E2528" s="1" t="s">
        <v>1</v>
      </c>
      <c r="F2528" s="39">
        <v>0</v>
      </c>
    </row>
    <row r="2529" spans="1:6" x14ac:dyDescent="0.25">
      <c r="A2529" s="1" t="s">
        <v>4177</v>
      </c>
      <c r="B2529" s="1" t="s">
        <v>3505</v>
      </c>
      <c r="C2529" s="1" t="s">
        <v>2058</v>
      </c>
      <c r="D2529" s="39">
        <v>0</v>
      </c>
      <c r="E2529" s="1" t="s">
        <v>1</v>
      </c>
      <c r="F2529" s="39">
        <v>0</v>
      </c>
    </row>
    <row r="2530" spans="1:6" x14ac:dyDescent="0.25">
      <c r="A2530" s="1" t="s">
        <v>4178</v>
      </c>
      <c r="B2530" s="1" t="s">
        <v>4179</v>
      </c>
      <c r="C2530" s="1" t="s">
        <v>2058</v>
      </c>
      <c r="D2530" s="39">
        <v>0</v>
      </c>
      <c r="E2530" s="1" t="s">
        <v>1</v>
      </c>
      <c r="F2530" s="39">
        <v>0</v>
      </c>
    </row>
    <row r="2531" spans="1:6" x14ac:dyDescent="0.25">
      <c r="A2531" s="1" t="s">
        <v>4180</v>
      </c>
      <c r="B2531" s="1" t="s">
        <v>4179</v>
      </c>
      <c r="C2531" s="1" t="s">
        <v>2058</v>
      </c>
      <c r="D2531" s="39">
        <v>0</v>
      </c>
      <c r="E2531" s="1" t="s">
        <v>1</v>
      </c>
      <c r="F2531" s="39">
        <v>0</v>
      </c>
    </row>
    <row r="2532" spans="1:6" x14ac:dyDescent="0.25">
      <c r="A2532" s="1" t="s">
        <v>4181</v>
      </c>
      <c r="B2532" s="1" t="s">
        <v>4182</v>
      </c>
      <c r="C2532" s="1" t="s">
        <v>2058</v>
      </c>
      <c r="D2532" s="39">
        <v>0</v>
      </c>
      <c r="E2532" s="1" t="s">
        <v>1</v>
      </c>
      <c r="F2532" s="39">
        <v>0</v>
      </c>
    </row>
    <row r="2533" spans="1:6" x14ac:dyDescent="0.25">
      <c r="A2533" s="1" t="s">
        <v>4183</v>
      </c>
      <c r="B2533" s="1" t="s">
        <v>4184</v>
      </c>
      <c r="C2533" s="1" t="s">
        <v>2058</v>
      </c>
      <c r="D2533" s="39">
        <v>0</v>
      </c>
      <c r="E2533" s="1" t="s">
        <v>1</v>
      </c>
      <c r="F2533" s="39">
        <v>0</v>
      </c>
    </row>
    <row r="2534" spans="1:6" x14ac:dyDescent="0.25">
      <c r="A2534" s="1" t="s">
        <v>4185</v>
      </c>
      <c r="B2534" s="1" t="s">
        <v>4184</v>
      </c>
      <c r="C2534" s="1" t="s">
        <v>2058</v>
      </c>
      <c r="D2534" s="39">
        <v>0</v>
      </c>
      <c r="E2534" s="1" t="s">
        <v>1</v>
      </c>
      <c r="F2534" s="39">
        <v>0</v>
      </c>
    </row>
    <row r="2535" spans="1:6" x14ac:dyDescent="0.25">
      <c r="A2535" s="1" t="s">
        <v>4186</v>
      </c>
      <c r="B2535" s="1" t="s">
        <v>4184</v>
      </c>
      <c r="C2535" s="1" t="s">
        <v>2058</v>
      </c>
      <c r="D2535" s="39">
        <v>0</v>
      </c>
      <c r="E2535" s="1" t="s">
        <v>1</v>
      </c>
      <c r="F2535" s="39">
        <v>0</v>
      </c>
    </row>
    <row r="2536" spans="1:6" x14ac:dyDescent="0.25">
      <c r="A2536" s="1" t="s">
        <v>4187</v>
      </c>
      <c r="B2536" s="1" t="s">
        <v>4188</v>
      </c>
      <c r="C2536" s="1" t="s">
        <v>2058</v>
      </c>
      <c r="D2536" s="39">
        <v>0</v>
      </c>
      <c r="E2536" s="1" t="s">
        <v>1</v>
      </c>
      <c r="F2536" s="39">
        <v>0</v>
      </c>
    </row>
    <row r="2537" spans="1:6" x14ac:dyDescent="0.25">
      <c r="A2537" s="1" t="s">
        <v>4189</v>
      </c>
      <c r="B2537" s="1" t="s">
        <v>3515</v>
      </c>
      <c r="C2537" s="1" t="s">
        <v>2058</v>
      </c>
      <c r="D2537" s="39">
        <v>0</v>
      </c>
      <c r="E2537" s="1" t="s">
        <v>1</v>
      </c>
      <c r="F2537" s="39">
        <v>0</v>
      </c>
    </row>
    <row r="2538" spans="1:6" x14ac:dyDescent="0.25">
      <c r="A2538" s="1" t="s">
        <v>4190</v>
      </c>
      <c r="B2538" s="1" t="s">
        <v>4188</v>
      </c>
      <c r="C2538" s="1" t="s">
        <v>2058</v>
      </c>
      <c r="D2538" s="39">
        <v>0</v>
      </c>
      <c r="E2538" s="1" t="s">
        <v>1</v>
      </c>
      <c r="F2538" s="39">
        <v>0</v>
      </c>
    </row>
    <row r="2539" spans="1:6" x14ac:dyDescent="0.25">
      <c r="A2539" s="1" t="s">
        <v>4191</v>
      </c>
      <c r="B2539" s="1" t="s">
        <v>3519</v>
      </c>
      <c r="C2539" s="1" t="s">
        <v>2058</v>
      </c>
      <c r="D2539" s="39">
        <v>0</v>
      </c>
      <c r="E2539" s="1" t="s">
        <v>1</v>
      </c>
      <c r="F2539" s="39">
        <v>0</v>
      </c>
    </row>
    <row r="2540" spans="1:6" x14ac:dyDescent="0.25">
      <c r="A2540" s="1" t="s">
        <v>4192</v>
      </c>
      <c r="B2540" s="1" t="s">
        <v>3519</v>
      </c>
      <c r="C2540" s="1" t="s">
        <v>2058</v>
      </c>
      <c r="D2540" s="39">
        <v>0</v>
      </c>
      <c r="E2540" s="1" t="s">
        <v>1</v>
      </c>
      <c r="F2540" s="39">
        <v>0</v>
      </c>
    </row>
    <row r="2541" spans="1:6" x14ac:dyDescent="0.25">
      <c r="A2541" s="1" t="s">
        <v>4193</v>
      </c>
      <c r="B2541" s="1" t="s">
        <v>3519</v>
      </c>
      <c r="C2541" s="1" t="s">
        <v>2058</v>
      </c>
      <c r="D2541" s="39">
        <v>0</v>
      </c>
      <c r="E2541" s="1" t="s">
        <v>1</v>
      </c>
      <c r="F2541" s="39">
        <v>0</v>
      </c>
    </row>
    <row r="2542" spans="1:6" x14ac:dyDescent="0.25">
      <c r="A2542" s="1" t="s">
        <v>4194</v>
      </c>
      <c r="B2542" s="1" t="s">
        <v>3524</v>
      </c>
      <c r="C2542" s="1" t="s">
        <v>2058</v>
      </c>
      <c r="D2542" s="39">
        <v>0</v>
      </c>
      <c r="E2542" s="1" t="s">
        <v>1</v>
      </c>
      <c r="F2542" s="39">
        <v>0</v>
      </c>
    </row>
    <row r="2543" spans="1:6" x14ac:dyDescent="0.25">
      <c r="A2543" s="1" t="s">
        <v>4195</v>
      </c>
      <c r="B2543" s="1" t="s">
        <v>3526</v>
      </c>
      <c r="C2543" s="1" t="s">
        <v>2058</v>
      </c>
      <c r="D2543" s="39">
        <v>0</v>
      </c>
      <c r="E2543" s="1" t="s">
        <v>1</v>
      </c>
      <c r="F2543" s="39">
        <v>0</v>
      </c>
    </row>
    <row r="2544" spans="1:6" x14ac:dyDescent="0.25">
      <c r="A2544" s="1" t="s">
        <v>4196</v>
      </c>
      <c r="B2544" s="1" t="s">
        <v>3528</v>
      </c>
      <c r="C2544" s="1" t="s">
        <v>2058</v>
      </c>
      <c r="D2544" s="39">
        <v>0</v>
      </c>
      <c r="E2544" s="1" t="s">
        <v>1</v>
      </c>
      <c r="F2544" s="39">
        <v>0</v>
      </c>
    </row>
    <row r="2545" spans="1:6" x14ac:dyDescent="0.25">
      <c r="A2545" s="1" t="s">
        <v>458</v>
      </c>
      <c r="B2545" s="1" t="s">
        <v>459</v>
      </c>
      <c r="C2545" s="1" t="s">
        <v>2058</v>
      </c>
      <c r="D2545" s="39">
        <v>0</v>
      </c>
      <c r="E2545" s="1" t="s">
        <v>1</v>
      </c>
      <c r="F2545" s="39">
        <v>0</v>
      </c>
    </row>
    <row r="2546" spans="1:6" x14ac:dyDescent="0.25">
      <c r="A2546" s="1" t="s">
        <v>462</v>
      </c>
      <c r="B2546" s="1" t="s">
        <v>463</v>
      </c>
      <c r="C2546" s="1" t="s">
        <v>2058</v>
      </c>
      <c r="D2546" s="39">
        <v>0</v>
      </c>
      <c r="E2546" s="1" t="s">
        <v>1</v>
      </c>
      <c r="F2546" s="39">
        <v>0</v>
      </c>
    </row>
    <row r="2547" spans="1:6" x14ac:dyDescent="0.25">
      <c r="A2547" s="1" t="s">
        <v>4197</v>
      </c>
      <c r="B2547" s="1" t="s">
        <v>2241</v>
      </c>
      <c r="C2547" s="1" t="s">
        <v>2058</v>
      </c>
      <c r="D2547" s="39">
        <v>0</v>
      </c>
      <c r="E2547" s="1" t="s">
        <v>1</v>
      </c>
      <c r="F2547" s="39">
        <v>0</v>
      </c>
    </row>
    <row r="2548" spans="1:6" x14ac:dyDescent="0.25">
      <c r="A2548" s="1" t="s">
        <v>465</v>
      </c>
      <c r="B2548" s="1" t="s">
        <v>466</v>
      </c>
      <c r="C2548" s="1" t="s">
        <v>2058</v>
      </c>
      <c r="D2548" s="39">
        <v>0</v>
      </c>
      <c r="E2548" s="1" t="s">
        <v>1</v>
      </c>
      <c r="F2548" s="39">
        <v>0</v>
      </c>
    </row>
    <row r="2549" spans="1:6" x14ac:dyDescent="0.25">
      <c r="A2549" s="1" t="s">
        <v>468</v>
      </c>
      <c r="B2549" s="1" t="s">
        <v>469</v>
      </c>
      <c r="C2549" s="1" t="s">
        <v>2058</v>
      </c>
      <c r="D2549" s="39">
        <v>0</v>
      </c>
      <c r="E2549" s="1" t="s">
        <v>1</v>
      </c>
      <c r="F2549" s="39">
        <v>0</v>
      </c>
    </row>
    <row r="2550" spans="1:6" x14ac:dyDescent="0.25">
      <c r="A2550" s="1" t="s">
        <v>796</v>
      </c>
      <c r="B2550" s="1" t="s">
        <v>797</v>
      </c>
      <c r="C2550" s="1" t="s">
        <v>2058</v>
      </c>
      <c r="D2550" s="39">
        <v>0</v>
      </c>
      <c r="E2550" s="1" t="s">
        <v>1</v>
      </c>
      <c r="F2550" s="39">
        <v>0</v>
      </c>
    </row>
    <row r="2551" spans="1:6" x14ac:dyDescent="0.25">
      <c r="A2551" s="1" t="s">
        <v>4198</v>
      </c>
      <c r="B2551" s="1" t="s">
        <v>4199</v>
      </c>
      <c r="C2551" s="1" t="s">
        <v>2058</v>
      </c>
      <c r="D2551" s="39">
        <v>0</v>
      </c>
      <c r="E2551" s="1" t="s">
        <v>1</v>
      </c>
      <c r="F2551" s="39">
        <v>0</v>
      </c>
    </row>
    <row r="2552" spans="1:6" x14ac:dyDescent="0.25">
      <c r="A2552" s="1" t="s">
        <v>4200</v>
      </c>
      <c r="B2552" s="1" t="s">
        <v>4201</v>
      </c>
      <c r="C2552" s="1" t="s">
        <v>2058</v>
      </c>
      <c r="D2552" s="39">
        <v>0</v>
      </c>
      <c r="E2552" s="1" t="s">
        <v>1</v>
      </c>
      <c r="F2552" s="39">
        <v>0</v>
      </c>
    </row>
    <row r="2553" spans="1:6" x14ac:dyDescent="0.25">
      <c r="A2553" s="1" t="s">
        <v>4202</v>
      </c>
      <c r="B2553" s="1" t="s">
        <v>4203</v>
      </c>
      <c r="C2553" s="1" t="s">
        <v>2058</v>
      </c>
      <c r="D2553" s="39">
        <v>0</v>
      </c>
      <c r="E2553" s="1" t="s">
        <v>1</v>
      </c>
      <c r="F2553" s="39">
        <v>0</v>
      </c>
    </row>
    <row r="2554" spans="1:6" x14ac:dyDescent="0.25">
      <c r="A2554" s="1" t="s">
        <v>4204</v>
      </c>
      <c r="B2554" s="1" t="s">
        <v>4205</v>
      </c>
      <c r="C2554" s="1" t="s">
        <v>2058</v>
      </c>
      <c r="D2554" s="39">
        <v>0</v>
      </c>
      <c r="E2554" s="1" t="s">
        <v>1</v>
      </c>
      <c r="F2554" s="39">
        <v>0</v>
      </c>
    </row>
    <row r="2555" spans="1:6" x14ac:dyDescent="0.25">
      <c r="A2555" s="1" t="s">
        <v>4206</v>
      </c>
      <c r="B2555" s="1" t="s">
        <v>2086</v>
      </c>
      <c r="C2555" s="1" t="s">
        <v>2058</v>
      </c>
      <c r="D2555" s="39">
        <v>0</v>
      </c>
      <c r="E2555" s="1" t="s">
        <v>1</v>
      </c>
      <c r="F2555" s="39">
        <v>0</v>
      </c>
    </row>
    <row r="2556" spans="1:6" x14ac:dyDescent="0.25">
      <c r="A2556" s="1" t="s">
        <v>4207</v>
      </c>
      <c r="B2556" s="1" t="s">
        <v>2097</v>
      </c>
      <c r="C2556" s="1" t="s">
        <v>2058</v>
      </c>
      <c r="D2556" s="39">
        <v>0</v>
      </c>
      <c r="E2556" s="1" t="s">
        <v>1</v>
      </c>
      <c r="F2556" s="39">
        <v>0</v>
      </c>
    </row>
    <row r="2557" spans="1:6" x14ac:dyDescent="0.25">
      <c r="A2557" s="1" t="s">
        <v>4208</v>
      </c>
      <c r="B2557" s="1" t="s">
        <v>2098</v>
      </c>
      <c r="C2557" s="1" t="s">
        <v>2058</v>
      </c>
      <c r="D2557" s="39">
        <v>0</v>
      </c>
      <c r="E2557" s="1" t="s">
        <v>1</v>
      </c>
      <c r="F2557" s="39">
        <v>0</v>
      </c>
    </row>
    <row r="2558" spans="1:6" x14ac:dyDescent="0.25">
      <c r="A2558" s="1" t="s">
        <v>4209</v>
      </c>
      <c r="B2558" s="1" t="s">
        <v>2099</v>
      </c>
      <c r="C2558" s="1" t="s">
        <v>2058</v>
      </c>
      <c r="D2558" s="39">
        <v>0</v>
      </c>
      <c r="E2558" s="1" t="s">
        <v>1</v>
      </c>
      <c r="F2558" s="39">
        <v>0</v>
      </c>
    </row>
    <row r="2559" spans="1:6" x14ac:dyDescent="0.25">
      <c r="A2559" s="1" t="s">
        <v>4210</v>
      </c>
      <c r="B2559" s="1" t="s">
        <v>2100</v>
      </c>
      <c r="C2559" s="1" t="s">
        <v>2058</v>
      </c>
      <c r="D2559" s="39">
        <v>0</v>
      </c>
      <c r="E2559" s="1" t="s">
        <v>1</v>
      </c>
      <c r="F2559" s="39">
        <v>0</v>
      </c>
    </row>
    <row r="2560" spans="1:6" x14ac:dyDescent="0.25">
      <c r="A2560" s="1" t="s">
        <v>4211</v>
      </c>
      <c r="B2560" s="1" t="s">
        <v>4212</v>
      </c>
      <c r="C2560" s="1" t="s">
        <v>2058</v>
      </c>
      <c r="D2560" s="39">
        <v>0</v>
      </c>
      <c r="E2560" s="1" t="s">
        <v>1</v>
      </c>
      <c r="F2560" s="39">
        <v>0</v>
      </c>
    </row>
    <row r="2561" spans="1:6" x14ac:dyDescent="0.25">
      <c r="A2561" s="1" t="s">
        <v>4213</v>
      </c>
      <c r="B2561" s="1" t="s">
        <v>4214</v>
      </c>
      <c r="C2561" s="1" t="s">
        <v>2058</v>
      </c>
      <c r="D2561" s="39">
        <v>0</v>
      </c>
      <c r="E2561" s="1" t="s">
        <v>1</v>
      </c>
      <c r="F2561" s="39">
        <v>0</v>
      </c>
    </row>
    <row r="2562" spans="1:6" x14ac:dyDescent="0.25">
      <c r="A2562" s="1" t="s">
        <v>4215</v>
      </c>
      <c r="B2562" s="1" t="s">
        <v>2103</v>
      </c>
      <c r="C2562" s="1" t="s">
        <v>2058</v>
      </c>
      <c r="D2562" s="39">
        <v>0</v>
      </c>
      <c r="E2562" s="1" t="s">
        <v>1</v>
      </c>
      <c r="F2562" s="39">
        <v>0</v>
      </c>
    </row>
    <row r="2563" spans="1:6" x14ac:dyDescent="0.25">
      <c r="A2563" s="1" t="s">
        <v>4216</v>
      </c>
      <c r="B2563" s="1" t="s">
        <v>2104</v>
      </c>
      <c r="C2563" s="1" t="s">
        <v>2058</v>
      </c>
      <c r="D2563" s="39">
        <v>0</v>
      </c>
      <c r="E2563" s="1" t="s">
        <v>1</v>
      </c>
      <c r="F2563" s="39">
        <v>0</v>
      </c>
    </row>
    <row r="2564" spans="1:6" x14ac:dyDescent="0.25">
      <c r="A2564" s="1" t="s">
        <v>4217</v>
      </c>
      <c r="B2564" s="1" t="s">
        <v>2105</v>
      </c>
      <c r="C2564" s="1" t="s">
        <v>2058</v>
      </c>
      <c r="D2564" s="39">
        <v>0</v>
      </c>
      <c r="E2564" s="1" t="s">
        <v>1</v>
      </c>
      <c r="F2564" s="39">
        <v>0</v>
      </c>
    </row>
    <row r="2565" spans="1:6" x14ac:dyDescent="0.25">
      <c r="A2565" s="1" t="s">
        <v>4218</v>
      </c>
      <c r="B2565" s="1" t="s">
        <v>2106</v>
      </c>
      <c r="C2565" s="1" t="s">
        <v>2058</v>
      </c>
      <c r="D2565" s="39">
        <v>0</v>
      </c>
      <c r="E2565" s="1" t="s">
        <v>1</v>
      </c>
      <c r="F2565" s="39">
        <v>0</v>
      </c>
    </row>
    <row r="2566" spans="1:6" x14ac:dyDescent="0.25">
      <c r="A2566" s="1" t="s">
        <v>4219</v>
      </c>
      <c r="B2566" s="1" t="s">
        <v>2107</v>
      </c>
      <c r="C2566" s="1" t="s">
        <v>2058</v>
      </c>
      <c r="D2566" s="39">
        <v>0</v>
      </c>
      <c r="E2566" s="1" t="s">
        <v>1</v>
      </c>
      <c r="F2566" s="39">
        <v>0</v>
      </c>
    </row>
    <row r="2567" spans="1:6" x14ac:dyDescent="0.25">
      <c r="A2567" s="1" t="s">
        <v>4220</v>
      </c>
      <c r="B2567" s="1" t="s">
        <v>2108</v>
      </c>
      <c r="C2567" s="1" t="s">
        <v>2058</v>
      </c>
      <c r="D2567" s="39">
        <v>0</v>
      </c>
      <c r="E2567" s="1" t="s">
        <v>1</v>
      </c>
      <c r="F2567" s="39">
        <v>0</v>
      </c>
    </row>
    <row r="2568" spans="1:6" x14ac:dyDescent="0.25">
      <c r="A2568" s="1" t="s">
        <v>4221</v>
      </c>
      <c r="B2568" s="1" t="s">
        <v>2109</v>
      </c>
      <c r="C2568" s="1" t="s">
        <v>2058</v>
      </c>
      <c r="D2568" s="39">
        <v>0</v>
      </c>
      <c r="E2568" s="1" t="s">
        <v>1</v>
      </c>
      <c r="F2568" s="39">
        <v>0</v>
      </c>
    </row>
    <row r="2569" spans="1:6" x14ac:dyDescent="0.25">
      <c r="A2569" s="1" t="s">
        <v>4222</v>
      </c>
      <c r="B2569" s="1" t="s">
        <v>4223</v>
      </c>
      <c r="C2569" s="1" t="s">
        <v>2058</v>
      </c>
      <c r="D2569" s="39">
        <v>0</v>
      </c>
      <c r="E2569" s="1" t="s">
        <v>1</v>
      </c>
      <c r="F2569" s="39">
        <v>0</v>
      </c>
    </row>
    <row r="2570" spans="1:6" x14ac:dyDescent="0.25">
      <c r="A2570" s="1" t="s">
        <v>4224</v>
      </c>
      <c r="B2570" s="1" t="s">
        <v>2111</v>
      </c>
      <c r="C2570" s="1" t="s">
        <v>2058</v>
      </c>
      <c r="D2570" s="39">
        <v>0</v>
      </c>
      <c r="E2570" s="1" t="s">
        <v>1</v>
      </c>
      <c r="F2570" s="39">
        <v>0</v>
      </c>
    </row>
    <row r="2571" spans="1:6" x14ac:dyDescent="0.25">
      <c r="A2571" s="1" t="s">
        <v>4225</v>
      </c>
      <c r="B2571" s="1" t="s">
        <v>2112</v>
      </c>
      <c r="C2571" s="1" t="s">
        <v>2058</v>
      </c>
      <c r="D2571" s="39">
        <v>0</v>
      </c>
      <c r="E2571" s="1" t="s">
        <v>1</v>
      </c>
      <c r="F2571" s="39">
        <v>0</v>
      </c>
    </row>
    <row r="2572" spans="1:6" x14ac:dyDescent="0.25">
      <c r="A2572" s="1" t="s">
        <v>4226</v>
      </c>
      <c r="B2572" s="1" t="s">
        <v>2113</v>
      </c>
      <c r="C2572" s="1" t="s">
        <v>2058</v>
      </c>
      <c r="D2572" s="39">
        <v>0</v>
      </c>
      <c r="E2572" s="1" t="s">
        <v>1</v>
      </c>
      <c r="F2572" s="39">
        <v>0</v>
      </c>
    </row>
    <row r="2573" spans="1:6" x14ac:dyDescent="0.25">
      <c r="A2573" s="1" t="s">
        <v>4227</v>
      </c>
      <c r="B2573" s="1" t="s">
        <v>2114</v>
      </c>
      <c r="C2573" s="1" t="s">
        <v>2058</v>
      </c>
      <c r="D2573" s="39">
        <v>0</v>
      </c>
      <c r="E2573" s="1" t="s">
        <v>1</v>
      </c>
      <c r="F2573" s="39">
        <v>0</v>
      </c>
    </row>
    <row r="2574" spans="1:6" x14ac:dyDescent="0.25">
      <c r="A2574" s="1" t="s">
        <v>4228</v>
      </c>
      <c r="B2574" s="1" t="s">
        <v>2115</v>
      </c>
      <c r="C2574" s="1" t="s">
        <v>2058</v>
      </c>
      <c r="D2574" s="39">
        <v>0</v>
      </c>
      <c r="E2574" s="1" t="s">
        <v>1</v>
      </c>
      <c r="F2574" s="39">
        <v>0</v>
      </c>
    </row>
    <row r="2575" spans="1:6" x14ac:dyDescent="0.25">
      <c r="A2575" s="1" t="s">
        <v>4229</v>
      </c>
      <c r="B2575" s="1" t="s">
        <v>3575</v>
      </c>
      <c r="C2575" s="1" t="s">
        <v>2058</v>
      </c>
      <c r="D2575" s="39">
        <v>0</v>
      </c>
      <c r="E2575" s="1" t="s">
        <v>1</v>
      </c>
      <c r="F2575" s="39">
        <v>0</v>
      </c>
    </row>
    <row r="2576" spans="1:6" x14ac:dyDescent="0.25">
      <c r="A2576" s="1" t="s">
        <v>4230</v>
      </c>
      <c r="B2576" s="1" t="s">
        <v>2116</v>
      </c>
      <c r="C2576" s="1" t="s">
        <v>2058</v>
      </c>
      <c r="D2576" s="39">
        <v>0</v>
      </c>
      <c r="E2576" s="1" t="s">
        <v>1</v>
      </c>
      <c r="F2576" s="39">
        <v>0</v>
      </c>
    </row>
    <row r="2577" spans="1:6" x14ac:dyDescent="0.25">
      <c r="A2577" s="1" t="s">
        <v>4231</v>
      </c>
      <c r="B2577" s="1" t="s">
        <v>2117</v>
      </c>
      <c r="C2577" s="1" t="s">
        <v>2058</v>
      </c>
      <c r="D2577" s="39">
        <v>0</v>
      </c>
      <c r="E2577" s="1" t="s">
        <v>1</v>
      </c>
      <c r="F2577" s="39">
        <v>0</v>
      </c>
    </row>
    <row r="2578" spans="1:6" x14ac:dyDescent="0.25">
      <c r="A2578" s="1" t="s">
        <v>4232</v>
      </c>
      <c r="B2578" s="1" t="s">
        <v>2117</v>
      </c>
      <c r="C2578" s="1" t="s">
        <v>2058</v>
      </c>
      <c r="D2578" s="39">
        <v>0</v>
      </c>
      <c r="E2578" s="1" t="s">
        <v>1</v>
      </c>
      <c r="F2578" s="39">
        <v>0</v>
      </c>
    </row>
    <row r="2579" spans="1:6" x14ac:dyDescent="0.25">
      <c r="A2579" s="1" t="s">
        <v>4233</v>
      </c>
      <c r="B2579" s="1" t="s">
        <v>2118</v>
      </c>
      <c r="C2579" s="1" t="s">
        <v>2058</v>
      </c>
      <c r="D2579" s="39">
        <v>0</v>
      </c>
      <c r="E2579" s="1" t="s">
        <v>1</v>
      </c>
      <c r="F2579" s="39">
        <v>0</v>
      </c>
    </row>
    <row r="2580" spans="1:6" x14ac:dyDescent="0.25">
      <c r="A2580" s="1" t="s">
        <v>4234</v>
      </c>
      <c r="B2580" s="1" t="s">
        <v>2118</v>
      </c>
      <c r="C2580" s="1" t="s">
        <v>2058</v>
      </c>
      <c r="D2580" s="39">
        <v>0</v>
      </c>
      <c r="E2580" s="1" t="s">
        <v>1</v>
      </c>
      <c r="F2580" s="39">
        <v>0</v>
      </c>
    </row>
    <row r="2581" spans="1:6" x14ac:dyDescent="0.25">
      <c r="A2581" s="1" t="s">
        <v>4235</v>
      </c>
      <c r="B2581" s="1" t="s">
        <v>2119</v>
      </c>
      <c r="C2581" s="1" t="s">
        <v>2058</v>
      </c>
      <c r="D2581" s="39">
        <v>0</v>
      </c>
      <c r="E2581" s="1" t="s">
        <v>1</v>
      </c>
      <c r="F2581" s="39">
        <v>0</v>
      </c>
    </row>
    <row r="2582" spans="1:6" x14ac:dyDescent="0.25">
      <c r="A2582" s="1" t="s">
        <v>4236</v>
      </c>
      <c r="B2582" s="1" t="s">
        <v>2119</v>
      </c>
      <c r="C2582" s="1" t="s">
        <v>2058</v>
      </c>
      <c r="D2582" s="39">
        <v>0</v>
      </c>
      <c r="E2582" s="1" t="s">
        <v>1</v>
      </c>
      <c r="F2582" s="39">
        <v>0</v>
      </c>
    </row>
    <row r="2583" spans="1:6" x14ac:dyDescent="0.25">
      <c r="A2583" s="1" t="s">
        <v>4237</v>
      </c>
      <c r="B2583" s="1" t="s">
        <v>2120</v>
      </c>
      <c r="C2583" s="1" t="s">
        <v>2058</v>
      </c>
      <c r="D2583" s="39">
        <v>0</v>
      </c>
      <c r="E2583" s="1" t="s">
        <v>1</v>
      </c>
      <c r="F2583" s="39">
        <v>0</v>
      </c>
    </row>
    <row r="2584" spans="1:6" x14ac:dyDescent="0.25">
      <c r="A2584" s="1" t="s">
        <v>4238</v>
      </c>
      <c r="B2584" s="1" t="s">
        <v>2120</v>
      </c>
      <c r="C2584" s="1" t="s">
        <v>2058</v>
      </c>
      <c r="D2584" s="39">
        <v>0</v>
      </c>
      <c r="E2584" s="1" t="s">
        <v>1</v>
      </c>
      <c r="F2584" s="39">
        <v>0</v>
      </c>
    </row>
    <row r="2585" spans="1:6" x14ac:dyDescent="0.25">
      <c r="A2585" s="1" t="s">
        <v>4239</v>
      </c>
      <c r="B2585" s="1" t="s">
        <v>2121</v>
      </c>
      <c r="C2585" s="1" t="s">
        <v>2058</v>
      </c>
      <c r="D2585" s="39">
        <v>0</v>
      </c>
      <c r="E2585" s="1" t="s">
        <v>1</v>
      </c>
      <c r="F2585" s="39">
        <v>0</v>
      </c>
    </row>
    <row r="2586" spans="1:6" x14ac:dyDescent="0.25">
      <c r="A2586" s="1" t="s">
        <v>4240</v>
      </c>
      <c r="B2586" s="1" t="s">
        <v>2121</v>
      </c>
      <c r="C2586" s="1" t="s">
        <v>2058</v>
      </c>
      <c r="D2586" s="39">
        <v>0</v>
      </c>
      <c r="E2586" s="1" t="s">
        <v>1</v>
      </c>
      <c r="F2586" s="39">
        <v>0</v>
      </c>
    </row>
    <row r="2587" spans="1:6" x14ac:dyDescent="0.25">
      <c r="A2587" s="1" t="s">
        <v>4241</v>
      </c>
      <c r="B2587" s="1" t="s">
        <v>2122</v>
      </c>
      <c r="C2587" s="1" t="s">
        <v>2058</v>
      </c>
      <c r="D2587" s="39">
        <v>0</v>
      </c>
      <c r="E2587" s="1" t="s">
        <v>1</v>
      </c>
      <c r="F2587" s="39">
        <v>0</v>
      </c>
    </row>
    <row r="2588" spans="1:6" x14ac:dyDescent="0.25">
      <c r="A2588" s="1" t="s">
        <v>4242</v>
      </c>
      <c r="B2588" s="1" t="s">
        <v>2123</v>
      </c>
      <c r="C2588" s="1" t="s">
        <v>2058</v>
      </c>
      <c r="D2588" s="39">
        <v>0</v>
      </c>
      <c r="E2588" s="1" t="s">
        <v>1</v>
      </c>
      <c r="F2588" s="39">
        <v>0</v>
      </c>
    </row>
    <row r="2589" spans="1:6" x14ac:dyDescent="0.25">
      <c r="A2589" s="1" t="s">
        <v>4243</v>
      </c>
      <c r="B2589" s="1" t="s">
        <v>2124</v>
      </c>
      <c r="C2589" s="1" t="s">
        <v>2058</v>
      </c>
      <c r="D2589" s="39">
        <v>0</v>
      </c>
      <c r="E2589" s="1" t="s">
        <v>1</v>
      </c>
      <c r="F2589" s="39">
        <v>0</v>
      </c>
    </row>
    <row r="2590" spans="1:6" x14ac:dyDescent="0.25">
      <c r="A2590" s="1" t="s">
        <v>4244</v>
      </c>
      <c r="B2590" s="1" t="s">
        <v>2124</v>
      </c>
      <c r="C2590" s="1" t="s">
        <v>2058</v>
      </c>
      <c r="D2590" s="39">
        <v>0</v>
      </c>
      <c r="E2590" s="1" t="s">
        <v>1</v>
      </c>
      <c r="F2590" s="39">
        <v>0</v>
      </c>
    </row>
    <row r="2591" spans="1:6" x14ac:dyDescent="0.25">
      <c r="A2591" s="1" t="s">
        <v>4245</v>
      </c>
      <c r="B2591" s="1" t="s">
        <v>2125</v>
      </c>
      <c r="C2591" s="1" t="s">
        <v>2058</v>
      </c>
      <c r="D2591" s="39">
        <v>0</v>
      </c>
      <c r="E2591" s="1" t="s">
        <v>1</v>
      </c>
      <c r="F2591" s="39">
        <v>0</v>
      </c>
    </row>
    <row r="2592" spans="1:6" x14ac:dyDescent="0.25">
      <c r="A2592" s="1" t="s">
        <v>4246</v>
      </c>
      <c r="B2592" s="1" t="s">
        <v>2126</v>
      </c>
      <c r="C2592" s="1" t="s">
        <v>2058</v>
      </c>
      <c r="D2592" s="39">
        <v>0</v>
      </c>
      <c r="E2592" s="1" t="s">
        <v>1</v>
      </c>
      <c r="F2592" s="39">
        <v>0</v>
      </c>
    </row>
    <row r="2593" spans="1:6" x14ac:dyDescent="0.25">
      <c r="A2593" s="1" t="s">
        <v>4247</v>
      </c>
      <c r="B2593" s="1" t="s">
        <v>2127</v>
      </c>
      <c r="C2593" s="1" t="s">
        <v>2058</v>
      </c>
      <c r="D2593" s="39">
        <v>0</v>
      </c>
      <c r="E2593" s="1" t="s">
        <v>1</v>
      </c>
      <c r="F2593" s="39">
        <v>0</v>
      </c>
    </row>
    <row r="2594" spans="1:6" x14ac:dyDescent="0.25">
      <c r="A2594" s="1" t="s">
        <v>4248</v>
      </c>
      <c r="B2594" s="1" t="s">
        <v>2128</v>
      </c>
      <c r="C2594" s="1" t="s">
        <v>2058</v>
      </c>
      <c r="D2594" s="39">
        <v>0</v>
      </c>
      <c r="E2594" s="1" t="s">
        <v>1</v>
      </c>
      <c r="F2594" s="39">
        <v>0</v>
      </c>
    </row>
    <row r="2595" spans="1:6" x14ac:dyDescent="0.25">
      <c r="A2595" s="1" t="s">
        <v>4249</v>
      </c>
      <c r="B2595" s="1" t="s">
        <v>2129</v>
      </c>
      <c r="C2595" s="1" t="s">
        <v>2058</v>
      </c>
      <c r="D2595" s="39">
        <v>0</v>
      </c>
      <c r="E2595" s="1" t="s">
        <v>1</v>
      </c>
      <c r="F2595" s="39">
        <v>0</v>
      </c>
    </row>
    <row r="2596" spans="1:6" x14ac:dyDescent="0.25">
      <c r="A2596" s="1" t="s">
        <v>4250</v>
      </c>
      <c r="B2596" s="1" t="s">
        <v>2130</v>
      </c>
      <c r="C2596" s="1" t="s">
        <v>2058</v>
      </c>
      <c r="D2596" s="39">
        <v>0</v>
      </c>
      <c r="E2596" s="1" t="s">
        <v>1</v>
      </c>
      <c r="F2596" s="39">
        <v>0</v>
      </c>
    </row>
    <row r="2597" spans="1:6" x14ac:dyDescent="0.25">
      <c r="A2597" s="1" t="s">
        <v>4251</v>
      </c>
      <c r="B2597" s="1" t="s">
        <v>2131</v>
      </c>
      <c r="C2597" s="1" t="s">
        <v>2058</v>
      </c>
      <c r="D2597" s="39">
        <v>0</v>
      </c>
      <c r="E2597" s="1" t="s">
        <v>1</v>
      </c>
      <c r="F2597" s="39">
        <v>0</v>
      </c>
    </row>
    <row r="2598" spans="1:6" x14ac:dyDescent="0.25">
      <c r="A2598" s="1" t="s">
        <v>4252</v>
      </c>
      <c r="B2598" s="1" t="s">
        <v>2132</v>
      </c>
      <c r="C2598" s="1" t="s">
        <v>2058</v>
      </c>
      <c r="D2598" s="39">
        <v>0</v>
      </c>
      <c r="E2598" s="1" t="s">
        <v>1</v>
      </c>
      <c r="F2598" s="39">
        <v>0</v>
      </c>
    </row>
    <row r="2599" spans="1:6" x14ac:dyDescent="0.25">
      <c r="A2599" s="1" t="s">
        <v>4253</v>
      </c>
      <c r="B2599" s="1" t="s">
        <v>2133</v>
      </c>
      <c r="C2599" s="1" t="s">
        <v>2058</v>
      </c>
      <c r="D2599" s="39">
        <v>0</v>
      </c>
      <c r="E2599" s="1" t="s">
        <v>1</v>
      </c>
      <c r="F2599" s="39">
        <v>0</v>
      </c>
    </row>
    <row r="2600" spans="1:6" x14ac:dyDescent="0.25">
      <c r="A2600" s="1" t="s">
        <v>4254</v>
      </c>
      <c r="B2600" s="1" t="s">
        <v>2134</v>
      </c>
      <c r="C2600" s="1" t="s">
        <v>2058</v>
      </c>
      <c r="D2600" s="39">
        <v>0</v>
      </c>
      <c r="E2600" s="1" t="s">
        <v>1</v>
      </c>
      <c r="F2600" s="39">
        <v>0</v>
      </c>
    </row>
    <row r="2601" spans="1:6" x14ac:dyDescent="0.25">
      <c r="A2601" s="1" t="s">
        <v>4255</v>
      </c>
      <c r="B2601" s="1" t="s">
        <v>2135</v>
      </c>
      <c r="C2601" s="1" t="s">
        <v>2058</v>
      </c>
      <c r="D2601" s="39">
        <v>0</v>
      </c>
      <c r="E2601" s="1" t="s">
        <v>1</v>
      </c>
      <c r="F2601" s="39">
        <v>0</v>
      </c>
    </row>
    <row r="2602" spans="1:6" x14ac:dyDescent="0.25">
      <c r="A2602" s="1" t="s">
        <v>489</v>
      </c>
      <c r="B2602" s="1" t="s">
        <v>490</v>
      </c>
      <c r="C2602" s="1" t="s">
        <v>2058</v>
      </c>
      <c r="D2602" s="39">
        <v>0</v>
      </c>
      <c r="E2602" s="1" t="s">
        <v>1</v>
      </c>
      <c r="F2602" s="39">
        <v>0</v>
      </c>
    </row>
    <row r="2603" spans="1:6" x14ac:dyDescent="0.25">
      <c r="A2603" s="1" t="s">
        <v>4256</v>
      </c>
      <c r="B2603" s="1" t="s">
        <v>3583</v>
      </c>
      <c r="C2603" s="1" t="s">
        <v>2058</v>
      </c>
      <c r="D2603" s="39">
        <v>0</v>
      </c>
      <c r="E2603" s="1" t="s">
        <v>1</v>
      </c>
      <c r="F2603" s="39">
        <v>0</v>
      </c>
    </row>
    <row r="2604" spans="1:6" x14ac:dyDescent="0.25">
      <c r="A2604" s="1" t="s">
        <v>497</v>
      </c>
      <c r="B2604" s="1" t="s">
        <v>498</v>
      </c>
      <c r="C2604" s="1" t="s">
        <v>2058</v>
      </c>
      <c r="D2604" s="39">
        <v>0</v>
      </c>
      <c r="E2604" s="1" t="s">
        <v>1</v>
      </c>
      <c r="F2604" s="39">
        <v>0</v>
      </c>
    </row>
    <row r="2605" spans="1:6" x14ac:dyDescent="0.25">
      <c r="A2605" s="1" t="s">
        <v>4257</v>
      </c>
      <c r="B2605" s="1" t="s">
        <v>498</v>
      </c>
      <c r="C2605" s="1" t="s">
        <v>2058</v>
      </c>
      <c r="D2605" s="39">
        <v>0</v>
      </c>
      <c r="E2605" s="1" t="s">
        <v>1</v>
      </c>
      <c r="F2605" s="39">
        <v>0</v>
      </c>
    </row>
    <row r="2606" spans="1:6" x14ac:dyDescent="0.25">
      <c r="A2606" s="1" t="s">
        <v>4258</v>
      </c>
      <c r="B2606" s="1" t="s">
        <v>3587</v>
      </c>
      <c r="C2606" s="1" t="s">
        <v>2058</v>
      </c>
      <c r="D2606" s="39">
        <v>0</v>
      </c>
      <c r="E2606" s="1" t="s">
        <v>1</v>
      </c>
      <c r="F2606" s="39">
        <v>0</v>
      </c>
    </row>
    <row r="2607" spans="1:6" x14ac:dyDescent="0.25">
      <c r="A2607" s="1" t="s">
        <v>4259</v>
      </c>
      <c r="B2607" s="1" t="s">
        <v>4260</v>
      </c>
      <c r="C2607" s="1" t="s">
        <v>2058</v>
      </c>
      <c r="D2607" s="39">
        <v>0</v>
      </c>
      <c r="E2607" s="1" t="s">
        <v>1</v>
      </c>
      <c r="F2607" s="39">
        <v>0</v>
      </c>
    </row>
    <row r="2608" spans="1:6" x14ac:dyDescent="0.25">
      <c r="A2608" s="1" t="s">
        <v>4261</v>
      </c>
      <c r="B2608" s="1" t="s">
        <v>4262</v>
      </c>
      <c r="C2608" s="1" t="s">
        <v>2058</v>
      </c>
      <c r="D2608" s="39">
        <v>0</v>
      </c>
      <c r="E2608" s="1" t="s">
        <v>1</v>
      </c>
      <c r="F2608" s="39">
        <v>0</v>
      </c>
    </row>
    <row r="2609" spans="1:6" x14ac:dyDescent="0.25">
      <c r="A2609" s="1" t="s">
        <v>504</v>
      </c>
      <c r="B2609" s="1" t="s">
        <v>505</v>
      </c>
      <c r="C2609" s="1" t="s">
        <v>2058</v>
      </c>
      <c r="D2609" s="39">
        <v>0</v>
      </c>
      <c r="E2609" s="1" t="s">
        <v>1</v>
      </c>
      <c r="F2609" s="39">
        <v>0</v>
      </c>
    </row>
    <row r="2610" spans="1:6" x14ac:dyDescent="0.25">
      <c r="A2610" s="1" t="s">
        <v>4263</v>
      </c>
      <c r="B2610" s="1" t="s">
        <v>4264</v>
      </c>
      <c r="C2610" s="1" t="s">
        <v>2058</v>
      </c>
      <c r="D2610" s="39">
        <v>0</v>
      </c>
      <c r="E2610" s="1" t="s">
        <v>1</v>
      </c>
      <c r="F2610" s="39">
        <v>0</v>
      </c>
    </row>
    <row r="2611" spans="1:6" x14ac:dyDescent="0.25">
      <c r="A2611" s="1" t="s">
        <v>4265</v>
      </c>
      <c r="B2611" s="1" t="s">
        <v>4266</v>
      </c>
      <c r="C2611" s="1" t="s">
        <v>2058</v>
      </c>
      <c r="D2611" s="39">
        <v>0</v>
      </c>
      <c r="E2611" s="1" t="s">
        <v>1</v>
      </c>
      <c r="F2611" s="39">
        <v>0</v>
      </c>
    </row>
    <row r="2612" spans="1:6" x14ac:dyDescent="0.25">
      <c r="A2612" s="1" t="s">
        <v>4267</v>
      </c>
      <c r="B2612" s="1" t="s">
        <v>4268</v>
      </c>
      <c r="C2612" s="1" t="s">
        <v>2058</v>
      </c>
      <c r="D2612" s="39">
        <v>0</v>
      </c>
      <c r="E2612" s="1" t="s">
        <v>1</v>
      </c>
      <c r="F2612" s="39">
        <v>0</v>
      </c>
    </row>
    <row r="2613" spans="1:6" x14ac:dyDescent="0.25">
      <c r="A2613" s="1" t="s">
        <v>4269</v>
      </c>
      <c r="B2613" s="1" t="s">
        <v>3587</v>
      </c>
      <c r="C2613" s="1" t="s">
        <v>2058</v>
      </c>
      <c r="D2613" s="39">
        <v>0</v>
      </c>
      <c r="E2613" s="1" t="s">
        <v>1</v>
      </c>
      <c r="F2613" s="39">
        <v>0</v>
      </c>
    </row>
    <row r="2614" spans="1:6" x14ac:dyDescent="0.25">
      <c r="A2614" s="1" t="s">
        <v>4270</v>
      </c>
      <c r="B2614" s="1" t="s">
        <v>4271</v>
      </c>
      <c r="C2614" s="1" t="s">
        <v>2058</v>
      </c>
      <c r="D2614" s="39">
        <v>0</v>
      </c>
      <c r="E2614" s="1" t="s">
        <v>1</v>
      </c>
      <c r="F2614" s="39">
        <v>0</v>
      </c>
    </row>
    <row r="2615" spans="1:6" x14ac:dyDescent="0.25">
      <c r="A2615" s="1" t="s">
        <v>4272</v>
      </c>
      <c r="B2615" s="1" t="s">
        <v>4273</v>
      </c>
      <c r="C2615" s="1" t="s">
        <v>2058</v>
      </c>
      <c r="D2615" s="39">
        <v>0</v>
      </c>
      <c r="E2615" s="1" t="s">
        <v>1</v>
      </c>
      <c r="F2615" s="39">
        <v>0</v>
      </c>
    </row>
    <row r="2616" spans="1:6" x14ac:dyDescent="0.25">
      <c r="A2616" s="1" t="s">
        <v>510</v>
      </c>
      <c r="B2616" s="1" t="s">
        <v>511</v>
      </c>
      <c r="C2616" s="1" t="s">
        <v>2058</v>
      </c>
      <c r="D2616" s="39">
        <v>0</v>
      </c>
      <c r="E2616" s="1" t="s">
        <v>1</v>
      </c>
      <c r="F2616" s="39">
        <v>0</v>
      </c>
    </row>
    <row r="2617" spans="1:6" x14ac:dyDescent="0.25">
      <c r="A2617" s="1" t="s">
        <v>4274</v>
      </c>
      <c r="B2617" s="1" t="s">
        <v>4275</v>
      </c>
      <c r="C2617" s="1" t="s">
        <v>2058</v>
      </c>
      <c r="D2617" s="39">
        <v>0</v>
      </c>
      <c r="E2617" s="1" t="s">
        <v>1</v>
      </c>
      <c r="F2617" s="39">
        <v>0</v>
      </c>
    </row>
    <row r="2618" spans="1:6" x14ac:dyDescent="0.25">
      <c r="A2618" s="1" t="s">
        <v>4276</v>
      </c>
      <c r="B2618" s="1" t="s">
        <v>4277</v>
      </c>
      <c r="C2618" s="1" t="s">
        <v>2058</v>
      </c>
      <c r="D2618" s="39">
        <v>0</v>
      </c>
      <c r="E2618" s="1" t="s">
        <v>1</v>
      </c>
      <c r="F2618" s="39">
        <v>0</v>
      </c>
    </row>
    <row r="2619" spans="1:6" x14ac:dyDescent="0.25">
      <c r="A2619" s="1" t="s">
        <v>518</v>
      </c>
      <c r="B2619" s="1" t="s">
        <v>519</v>
      </c>
      <c r="C2619" s="1" t="s">
        <v>2058</v>
      </c>
      <c r="D2619" s="39">
        <v>0</v>
      </c>
      <c r="E2619" s="1" t="s">
        <v>1</v>
      </c>
      <c r="F2619" s="39">
        <v>0</v>
      </c>
    </row>
    <row r="2620" spans="1:6" x14ac:dyDescent="0.25">
      <c r="A2620" s="1" t="s">
        <v>4278</v>
      </c>
      <c r="B2620" s="1" t="s">
        <v>519</v>
      </c>
      <c r="C2620" s="1" t="s">
        <v>2058</v>
      </c>
      <c r="D2620" s="39">
        <v>0</v>
      </c>
      <c r="E2620" s="1" t="s">
        <v>1</v>
      </c>
      <c r="F2620" s="39">
        <v>0</v>
      </c>
    </row>
    <row r="2621" spans="1:6" x14ac:dyDescent="0.25">
      <c r="A2621" s="1" t="s">
        <v>22</v>
      </c>
      <c r="B2621" s="1" t="s">
        <v>23</v>
      </c>
      <c r="C2621" s="1" t="s">
        <v>2058</v>
      </c>
      <c r="D2621" s="39">
        <v>0</v>
      </c>
      <c r="E2621" s="1" t="s">
        <v>1</v>
      </c>
      <c r="F2621" s="39">
        <v>0</v>
      </c>
    </row>
    <row r="2622" spans="1:6" x14ac:dyDescent="0.25">
      <c r="A2622" s="1" t="s">
        <v>4279</v>
      </c>
      <c r="B2622" s="1" t="s">
        <v>3591</v>
      </c>
      <c r="C2622" s="1" t="s">
        <v>2058</v>
      </c>
      <c r="D2622" s="39">
        <v>0</v>
      </c>
      <c r="E2622" s="1" t="s">
        <v>1</v>
      </c>
      <c r="F2622" s="39">
        <v>0</v>
      </c>
    </row>
    <row r="2623" spans="1:6" x14ac:dyDescent="0.25">
      <c r="A2623" s="1" t="s">
        <v>525</v>
      </c>
      <c r="B2623" s="1" t="s">
        <v>526</v>
      </c>
      <c r="C2623" s="1" t="s">
        <v>2058</v>
      </c>
      <c r="D2623" s="39">
        <v>0</v>
      </c>
      <c r="E2623" s="1" t="s">
        <v>1</v>
      </c>
      <c r="F2623" s="39">
        <v>0</v>
      </c>
    </row>
    <row r="2624" spans="1:6" x14ac:dyDescent="0.25">
      <c r="A2624" s="1" t="s">
        <v>4280</v>
      </c>
      <c r="B2624" s="1" t="s">
        <v>526</v>
      </c>
      <c r="C2624" s="1" t="s">
        <v>2058</v>
      </c>
      <c r="D2624" s="39">
        <v>0</v>
      </c>
      <c r="E2624" s="1" t="s">
        <v>1</v>
      </c>
      <c r="F2624" s="39">
        <v>0</v>
      </c>
    </row>
    <row r="2625" spans="1:6" x14ac:dyDescent="0.25">
      <c r="A2625" s="1" t="s">
        <v>4281</v>
      </c>
      <c r="B2625" s="1" t="s">
        <v>4282</v>
      </c>
      <c r="C2625" s="1" t="s">
        <v>2058</v>
      </c>
      <c r="D2625" s="39">
        <v>0</v>
      </c>
      <c r="E2625" s="1" t="s">
        <v>1</v>
      </c>
      <c r="F2625" s="39">
        <v>0</v>
      </c>
    </row>
    <row r="2626" spans="1:6" x14ac:dyDescent="0.25">
      <c r="A2626" s="1" t="s">
        <v>28</v>
      </c>
      <c r="B2626" s="1" t="s">
        <v>29</v>
      </c>
      <c r="C2626" s="1" t="s">
        <v>2058</v>
      </c>
      <c r="D2626" s="39">
        <v>0</v>
      </c>
      <c r="E2626" s="1" t="s">
        <v>1</v>
      </c>
      <c r="F2626" s="39">
        <v>0</v>
      </c>
    </row>
    <row r="2627" spans="1:6" x14ac:dyDescent="0.25">
      <c r="A2627" s="1" t="s">
        <v>4283</v>
      </c>
      <c r="B2627" s="1" t="s">
        <v>29</v>
      </c>
      <c r="C2627" s="1" t="s">
        <v>2058</v>
      </c>
      <c r="D2627" s="39">
        <v>0</v>
      </c>
      <c r="E2627" s="1" t="s">
        <v>1</v>
      </c>
      <c r="F2627" s="39">
        <v>0</v>
      </c>
    </row>
    <row r="2628" spans="1:6" x14ac:dyDescent="0.25">
      <c r="A2628" s="1" t="s">
        <v>32</v>
      </c>
      <c r="B2628" s="1" t="s">
        <v>33</v>
      </c>
      <c r="C2628" s="1" t="s">
        <v>2058</v>
      </c>
      <c r="D2628" s="39">
        <v>0</v>
      </c>
      <c r="E2628" s="1" t="s">
        <v>1</v>
      </c>
      <c r="F2628" s="39">
        <v>0</v>
      </c>
    </row>
    <row r="2629" spans="1:6" x14ac:dyDescent="0.25">
      <c r="A2629" s="1" t="s">
        <v>4284</v>
      </c>
      <c r="B2629" s="1" t="s">
        <v>4285</v>
      </c>
      <c r="C2629" s="1" t="s">
        <v>2058</v>
      </c>
      <c r="D2629" s="39">
        <v>0</v>
      </c>
      <c r="E2629" s="1" t="s">
        <v>1</v>
      </c>
      <c r="F2629" s="39">
        <v>0</v>
      </c>
    </row>
    <row r="2630" spans="1:6" x14ac:dyDescent="0.25">
      <c r="A2630" s="1" t="s">
        <v>4286</v>
      </c>
      <c r="B2630" s="1" t="s">
        <v>4287</v>
      </c>
      <c r="C2630" s="1" t="s">
        <v>2058</v>
      </c>
      <c r="D2630" s="39">
        <v>0</v>
      </c>
      <c r="E2630" s="1" t="s">
        <v>1</v>
      </c>
      <c r="F2630" s="39">
        <v>0</v>
      </c>
    </row>
    <row r="2631" spans="1:6" x14ac:dyDescent="0.25">
      <c r="A2631" s="1" t="s">
        <v>4288</v>
      </c>
      <c r="B2631" s="1" t="s">
        <v>4289</v>
      </c>
      <c r="C2631" s="1" t="s">
        <v>2058</v>
      </c>
      <c r="D2631" s="39">
        <v>0</v>
      </c>
      <c r="E2631" s="1" t="s">
        <v>1</v>
      </c>
      <c r="F2631" s="39">
        <v>0</v>
      </c>
    </row>
    <row r="2632" spans="1:6" x14ac:dyDescent="0.25">
      <c r="A2632" s="1" t="s">
        <v>4290</v>
      </c>
      <c r="B2632" s="1" t="s">
        <v>3599</v>
      </c>
      <c r="C2632" s="1" t="s">
        <v>2058</v>
      </c>
      <c r="D2632" s="39">
        <v>0</v>
      </c>
      <c r="E2632" s="1" t="s">
        <v>1</v>
      </c>
      <c r="F2632" s="39">
        <v>0</v>
      </c>
    </row>
    <row r="2633" spans="1:6" x14ac:dyDescent="0.25">
      <c r="A2633" s="1" t="s">
        <v>43</v>
      </c>
      <c r="B2633" s="1" t="s">
        <v>44</v>
      </c>
      <c r="C2633" s="1" t="s">
        <v>2058</v>
      </c>
      <c r="D2633" s="39">
        <v>0</v>
      </c>
      <c r="E2633" s="1" t="s">
        <v>1</v>
      </c>
      <c r="F2633" s="39">
        <v>0</v>
      </c>
    </row>
    <row r="2634" spans="1:6" x14ac:dyDescent="0.25">
      <c r="A2634" s="1" t="s">
        <v>4291</v>
      </c>
      <c r="B2634" s="1" t="s">
        <v>3601</v>
      </c>
      <c r="C2634" s="1" t="s">
        <v>2058</v>
      </c>
      <c r="D2634" s="39">
        <v>0</v>
      </c>
      <c r="E2634" s="1" t="s">
        <v>1</v>
      </c>
      <c r="F2634" s="39">
        <v>0</v>
      </c>
    </row>
    <row r="2635" spans="1:6" x14ac:dyDescent="0.25">
      <c r="A2635" s="1" t="s">
        <v>4292</v>
      </c>
      <c r="B2635" s="1" t="s">
        <v>4293</v>
      </c>
      <c r="C2635" s="1" t="s">
        <v>2058</v>
      </c>
      <c r="D2635" s="39">
        <v>0</v>
      </c>
      <c r="E2635" s="1" t="s">
        <v>1</v>
      </c>
      <c r="F2635" s="39">
        <v>0</v>
      </c>
    </row>
    <row r="2636" spans="1:6" x14ac:dyDescent="0.25">
      <c r="A2636" s="1" t="s">
        <v>4294</v>
      </c>
      <c r="B2636" s="1" t="s">
        <v>4295</v>
      </c>
      <c r="C2636" s="1" t="s">
        <v>2058</v>
      </c>
      <c r="D2636" s="39">
        <v>0</v>
      </c>
      <c r="E2636" s="1" t="s">
        <v>1</v>
      </c>
      <c r="F2636" s="39">
        <v>0</v>
      </c>
    </row>
    <row r="2637" spans="1:6" x14ac:dyDescent="0.25">
      <c r="A2637" s="1" t="s">
        <v>4296</v>
      </c>
      <c r="B2637" s="1" t="s">
        <v>3603</v>
      </c>
      <c r="C2637" s="1" t="s">
        <v>2058</v>
      </c>
      <c r="D2637" s="39">
        <v>0</v>
      </c>
      <c r="E2637" s="1" t="s">
        <v>1</v>
      </c>
      <c r="F2637" s="39">
        <v>0</v>
      </c>
    </row>
    <row r="2638" spans="1:6" x14ac:dyDescent="0.25">
      <c r="A2638" s="1" t="s">
        <v>4297</v>
      </c>
      <c r="B2638" s="1" t="s">
        <v>3603</v>
      </c>
      <c r="C2638" s="1" t="s">
        <v>2058</v>
      </c>
      <c r="D2638" s="39">
        <v>0</v>
      </c>
      <c r="E2638" s="1" t="s">
        <v>1</v>
      </c>
      <c r="F2638" s="39">
        <v>0</v>
      </c>
    </row>
    <row r="2639" spans="1:6" x14ac:dyDescent="0.25">
      <c r="A2639" s="1" t="s">
        <v>578</v>
      </c>
      <c r="B2639" s="1" t="s">
        <v>579</v>
      </c>
      <c r="C2639" s="1" t="s">
        <v>2058</v>
      </c>
      <c r="D2639" s="39">
        <v>0</v>
      </c>
      <c r="E2639" s="1" t="s">
        <v>1</v>
      </c>
      <c r="F2639" s="39">
        <v>0</v>
      </c>
    </row>
    <row r="2640" spans="1:6" x14ac:dyDescent="0.25">
      <c r="A2640" s="1" t="s">
        <v>532</v>
      </c>
      <c r="B2640" s="1" t="s">
        <v>533</v>
      </c>
      <c r="C2640" s="1" t="s">
        <v>2058</v>
      </c>
      <c r="D2640" s="39">
        <v>0</v>
      </c>
      <c r="E2640" s="1" t="s">
        <v>1</v>
      </c>
      <c r="F2640" s="39">
        <v>0</v>
      </c>
    </row>
    <row r="2641" spans="1:6" x14ac:dyDescent="0.25">
      <c r="A2641" s="1" t="s">
        <v>4298</v>
      </c>
      <c r="B2641" s="1" t="s">
        <v>533</v>
      </c>
      <c r="C2641" s="1" t="s">
        <v>2058</v>
      </c>
      <c r="D2641" s="39">
        <v>0</v>
      </c>
      <c r="E2641" s="1" t="s">
        <v>1</v>
      </c>
      <c r="F2641" s="39">
        <v>0</v>
      </c>
    </row>
    <row r="2642" spans="1:6" x14ac:dyDescent="0.25">
      <c r="A2642" s="1" t="s">
        <v>53</v>
      </c>
      <c r="B2642" s="1" t="s">
        <v>54</v>
      </c>
      <c r="C2642" s="1" t="s">
        <v>2058</v>
      </c>
      <c r="D2642" s="39">
        <v>0</v>
      </c>
      <c r="E2642" s="1" t="s">
        <v>1</v>
      </c>
      <c r="F2642" s="39">
        <v>0</v>
      </c>
    </row>
    <row r="2643" spans="1:6" x14ac:dyDescent="0.25">
      <c r="A2643" s="1" t="s">
        <v>4299</v>
      </c>
      <c r="B2643" s="1" t="s">
        <v>54</v>
      </c>
      <c r="C2643" s="1" t="s">
        <v>2058</v>
      </c>
      <c r="D2643" s="39">
        <v>0</v>
      </c>
      <c r="E2643" s="1" t="s">
        <v>1</v>
      </c>
      <c r="F2643" s="39">
        <v>0</v>
      </c>
    </row>
    <row r="2644" spans="1:6" x14ac:dyDescent="0.25">
      <c r="A2644" s="1" t="s">
        <v>57</v>
      </c>
      <c r="B2644" s="1" t="s">
        <v>58</v>
      </c>
      <c r="C2644" s="1" t="s">
        <v>2058</v>
      </c>
      <c r="D2644" s="39">
        <v>0</v>
      </c>
      <c r="E2644" s="1" t="s">
        <v>1</v>
      </c>
      <c r="F2644" s="39">
        <v>0</v>
      </c>
    </row>
    <row r="2645" spans="1:6" x14ac:dyDescent="0.25">
      <c r="A2645" s="1" t="s">
        <v>4300</v>
      </c>
      <c r="B2645" s="1" t="s">
        <v>58</v>
      </c>
      <c r="C2645" s="1" t="s">
        <v>2058</v>
      </c>
      <c r="D2645" s="39">
        <v>0</v>
      </c>
      <c r="E2645" s="1" t="s">
        <v>1</v>
      </c>
      <c r="F2645" s="39">
        <v>0</v>
      </c>
    </row>
    <row r="2646" spans="1:6" x14ac:dyDescent="0.25">
      <c r="A2646" s="1" t="s">
        <v>60</v>
      </c>
      <c r="B2646" s="1" t="s">
        <v>61</v>
      </c>
      <c r="C2646" s="1" t="s">
        <v>2058</v>
      </c>
      <c r="D2646" s="39">
        <v>0</v>
      </c>
      <c r="E2646" s="1" t="s">
        <v>1</v>
      </c>
      <c r="F2646" s="39">
        <v>0</v>
      </c>
    </row>
    <row r="2647" spans="1:6" x14ac:dyDescent="0.25">
      <c r="A2647" s="1" t="s">
        <v>4301</v>
      </c>
      <c r="B2647" s="1" t="s">
        <v>3610</v>
      </c>
      <c r="C2647" s="1" t="s">
        <v>2058</v>
      </c>
      <c r="D2647" s="39">
        <v>0</v>
      </c>
      <c r="E2647" s="1" t="s">
        <v>1</v>
      </c>
      <c r="F2647" s="39">
        <v>0</v>
      </c>
    </row>
    <row r="2648" spans="1:6" x14ac:dyDescent="0.25">
      <c r="A2648" s="1" t="s">
        <v>4302</v>
      </c>
      <c r="B2648" s="1" t="s">
        <v>2417</v>
      </c>
      <c r="C2648" s="1" t="s">
        <v>2058</v>
      </c>
      <c r="D2648" s="39">
        <v>0</v>
      </c>
      <c r="E2648" s="1" t="s">
        <v>1</v>
      </c>
      <c r="F2648" s="39">
        <v>0</v>
      </c>
    </row>
    <row r="2649" spans="1:6" x14ac:dyDescent="0.25">
      <c r="A2649" s="1" t="s">
        <v>4303</v>
      </c>
      <c r="B2649" s="1" t="s">
        <v>2416</v>
      </c>
      <c r="C2649" s="1" t="s">
        <v>2058</v>
      </c>
      <c r="D2649" s="39">
        <v>0</v>
      </c>
      <c r="E2649" s="1" t="s">
        <v>1</v>
      </c>
      <c r="F2649" s="39">
        <v>0</v>
      </c>
    </row>
    <row r="2650" spans="1:6" x14ac:dyDescent="0.25">
      <c r="A2650" s="1" t="s">
        <v>4304</v>
      </c>
      <c r="B2650" s="1" t="s">
        <v>4305</v>
      </c>
      <c r="C2650" s="1" t="s">
        <v>2058</v>
      </c>
      <c r="D2650" s="39">
        <v>0</v>
      </c>
      <c r="E2650" s="1" t="s">
        <v>1</v>
      </c>
      <c r="F2650" s="39">
        <v>0</v>
      </c>
    </row>
    <row r="2651" spans="1:6" x14ac:dyDescent="0.25">
      <c r="A2651" s="1" t="s">
        <v>538</v>
      </c>
      <c r="B2651" s="1" t="s">
        <v>539</v>
      </c>
      <c r="C2651" s="1" t="s">
        <v>2058</v>
      </c>
      <c r="D2651" s="39">
        <v>0</v>
      </c>
      <c r="E2651" s="1" t="s">
        <v>1</v>
      </c>
      <c r="F2651" s="39">
        <v>0</v>
      </c>
    </row>
    <row r="2652" spans="1:6" x14ac:dyDescent="0.25">
      <c r="A2652" s="1" t="s">
        <v>4306</v>
      </c>
      <c r="B2652" s="1" t="s">
        <v>3612</v>
      </c>
      <c r="C2652" s="1" t="s">
        <v>2058</v>
      </c>
      <c r="D2652" s="39">
        <v>0</v>
      </c>
      <c r="E2652" s="1" t="s">
        <v>1</v>
      </c>
      <c r="F2652" s="39">
        <v>0</v>
      </c>
    </row>
    <row r="2653" spans="1:6" x14ac:dyDescent="0.25">
      <c r="A2653" s="1" t="s">
        <v>544</v>
      </c>
      <c r="B2653" s="1" t="s">
        <v>545</v>
      </c>
      <c r="C2653" s="1" t="s">
        <v>2058</v>
      </c>
      <c r="D2653" s="39">
        <v>0</v>
      </c>
      <c r="E2653" s="1" t="s">
        <v>1</v>
      </c>
      <c r="F2653" s="39">
        <v>0</v>
      </c>
    </row>
    <row r="2654" spans="1:6" x14ac:dyDescent="0.25">
      <c r="A2654" s="1" t="s">
        <v>4307</v>
      </c>
      <c r="B2654" s="1" t="s">
        <v>3614</v>
      </c>
      <c r="C2654" s="1" t="s">
        <v>2058</v>
      </c>
      <c r="D2654" s="39">
        <v>0</v>
      </c>
      <c r="E2654" s="1" t="s">
        <v>1</v>
      </c>
      <c r="F2654" s="39">
        <v>0</v>
      </c>
    </row>
    <row r="2655" spans="1:6" x14ac:dyDescent="0.25">
      <c r="A2655" s="1" t="s">
        <v>552</v>
      </c>
      <c r="B2655" s="1" t="s">
        <v>553</v>
      </c>
      <c r="C2655" s="1" t="s">
        <v>2058</v>
      </c>
      <c r="D2655" s="39">
        <v>0</v>
      </c>
      <c r="E2655" s="1" t="s">
        <v>1</v>
      </c>
      <c r="F2655" s="39">
        <v>0</v>
      </c>
    </row>
    <row r="2656" spans="1:6" x14ac:dyDescent="0.25">
      <c r="A2656" s="1" t="s">
        <v>557</v>
      </c>
      <c r="B2656" s="1" t="s">
        <v>558</v>
      </c>
      <c r="C2656" s="1" t="s">
        <v>2058</v>
      </c>
      <c r="D2656" s="39">
        <v>0</v>
      </c>
      <c r="E2656" s="1" t="s">
        <v>1</v>
      </c>
      <c r="F2656" s="39">
        <v>0</v>
      </c>
    </row>
    <row r="2657" spans="1:6" x14ac:dyDescent="0.25">
      <c r="A2657" s="1" t="s">
        <v>4308</v>
      </c>
      <c r="B2657" s="1" t="s">
        <v>4309</v>
      </c>
      <c r="C2657" s="1" t="s">
        <v>2058</v>
      </c>
      <c r="D2657" s="39">
        <v>0</v>
      </c>
      <c r="E2657" s="1" t="s">
        <v>1</v>
      </c>
      <c r="F2657" s="39">
        <v>0</v>
      </c>
    </row>
    <row r="2658" spans="1:6" x14ac:dyDescent="0.25">
      <c r="A2658" s="1" t="s">
        <v>4310</v>
      </c>
      <c r="B2658" s="1" t="s">
        <v>4311</v>
      </c>
      <c r="C2658" s="1" t="s">
        <v>2058</v>
      </c>
      <c r="D2658" s="39">
        <v>0</v>
      </c>
      <c r="E2658" s="1" t="s">
        <v>1</v>
      </c>
      <c r="F2658" s="39">
        <v>0</v>
      </c>
    </row>
    <row r="2659" spans="1:6" x14ac:dyDescent="0.25">
      <c r="A2659" s="1" t="s">
        <v>4312</v>
      </c>
      <c r="B2659" s="1" t="s">
        <v>4313</v>
      </c>
      <c r="C2659" s="1" t="s">
        <v>2058</v>
      </c>
      <c r="D2659" s="39">
        <v>0</v>
      </c>
      <c r="E2659" s="1" t="s">
        <v>1</v>
      </c>
      <c r="F2659" s="39">
        <v>0</v>
      </c>
    </row>
    <row r="2660" spans="1:6" x14ac:dyDescent="0.25">
      <c r="A2660" s="1" t="s">
        <v>4314</v>
      </c>
      <c r="B2660" s="1" t="s">
        <v>4315</v>
      </c>
      <c r="C2660" s="1" t="s">
        <v>2058</v>
      </c>
      <c r="D2660" s="39">
        <v>0</v>
      </c>
      <c r="E2660" s="1" t="s">
        <v>1</v>
      </c>
      <c r="F2660" s="39">
        <v>0</v>
      </c>
    </row>
    <row r="2661" spans="1:6" x14ac:dyDescent="0.25">
      <c r="A2661" s="1" t="s">
        <v>4316</v>
      </c>
      <c r="B2661" s="1" t="s">
        <v>4317</v>
      </c>
      <c r="C2661" s="1" t="s">
        <v>2058</v>
      </c>
      <c r="D2661" s="39">
        <v>0</v>
      </c>
      <c r="E2661" s="1" t="s">
        <v>1</v>
      </c>
      <c r="F2661" s="39">
        <v>0</v>
      </c>
    </row>
    <row r="2662" spans="1:6" x14ac:dyDescent="0.25">
      <c r="A2662" s="1" t="s">
        <v>4318</v>
      </c>
      <c r="B2662" s="1" t="s">
        <v>3624</v>
      </c>
      <c r="C2662" s="1" t="s">
        <v>2058</v>
      </c>
      <c r="D2662" s="39">
        <v>0</v>
      </c>
      <c r="E2662" s="1" t="s">
        <v>1</v>
      </c>
      <c r="F2662" s="39">
        <v>0</v>
      </c>
    </row>
    <row r="2663" spans="1:6" x14ac:dyDescent="0.25">
      <c r="A2663" s="1" t="s">
        <v>4319</v>
      </c>
      <c r="B2663" s="1" t="s">
        <v>4320</v>
      </c>
      <c r="C2663" s="1" t="s">
        <v>2058</v>
      </c>
      <c r="D2663" s="39">
        <v>0</v>
      </c>
      <c r="E2663" s="1" t="s">
        <v>1</v>
      </c>
      <c r="F2663" s="39">
        <v>0</v>
      </c>
    </row>
    <row r="2664" spans="1:6" x14ac:dyDescent="0.25">
      <c r="A2664" s="1" t="s">
        <v>4321</v>
      </c>
      <c r="B2664" s="1" t="s">
        <v>4322</v>
      </c>
      <c r="C2664" s="1" t="s">
        <v>2058</v>
      </c>
      <c r="D2664" s="39">
        <v>0</v>
      </c>
      <c r="E2664" s="1" t="s">
        <v>1</v>
      </c>
      <c r="F2664" s="39">
        <v>0</v>
      </c>
    </row>
    <row r="2665" spans="1:6" x14ac:dyDescent="0.25">
      <c r="A2665" s="1" t="s">
        <v>4323</v>
      </c>
      <c r="B2665" s="1" t="s">
        <v>4324</v>
      </c>
      <c r="C2665" s="1" t="s">
        <v>2058</v>
      </c>
      <c r="D2665" s="39">
        <v>0</v>
      </c>
      <c r="E2665" s="1" t="s">
        <v>1</v>
      </c>
      <c r="F2665" s="39">
        <v>0</v>
      </c>
    </row>
    <row r="2666" spans="1:6" x14ac:dyDescent="0.25">
      <c r="A2666" s="1" t="s">
        <v>564</v>
      </c>
      <c r="B2666" s="1" t="s">
        <v>565</v>
      </c>
      <c r="C2666" s="1" t="s">
        <v>2058</v>
      </c>
      <c r="D2666" s="39">
        <v>0</v>
      </c>
      <c r="E2666" s="1" t="s">
        <v>1</v>
      </c>
      <c r="F2666" s="39">
        <v>0</v>
      </c>
    </row>
    <row r="2667" spans="1:6" x14ac:dyDescent="0.25">
      <c r="A2667" s="1" t="s">
        <v>4325</v>
      </c>
      <c r="B2667" s="1" t="s">
        <v>3626</v>
      </c>
      <c r="C2667" s="1" t="s">
        <v>2058</v>
      </c>
      <c r="D2667" s="39">
        <v>0</v>
      </c>
      <c r="E2667" s="1" t="s">
        <v>1</v>
      </c>
      <c r="F2667" s="39">
        <v>0</v>
      </c>
    </row>
    <row r="2668" spans="1:6" x14ac:dyDescent="0.25">
      <c r="A2668" s="1" t="s">
        <v>4326</v>
      </c>
      <c r="B2668" s="1" t="s">
        <v>4327</v>
      </c>
      <c r="C2668" s="1" t="s">
        <v>2058</v>
      </c>
      <c r="D2668" s="39">
        <v>0</v>
      </c>
      <c r="E2668" s="1" t="s">
        <v>1</v>
      </c>
      <c r="F2668" s="39">
        <v>0</v>
      </c>
    </row>
    <row r="2669" spans="1:6" x14ac:dyDescent="0.25">
      <c r="A2669" s="1" t="s">
        <v>4328</v>
      </c>
      <c r="B2669" s="1" t="s">
        <v>4329</v>
      </c>
      <c r="C2669" s="1" t="s">
        <v>2058</v>
      </c>
      <c r="D2669" s="39">
        <v>0</v>
      </c>
      <c r="E2669" s="1" t="s">
        <v>1</v>
      </c>
      <c r="F2669" s="39">
        <v>0</v>
      </c>
    </row>
    <row r="2670" spans="1:6" x14ac:dyDescent="0.25">
      <c r="A2670" s="1" t="s">
        <v>4330</v>
      </c>
      <c r="B2670" s="1" t="s">
        <v>4331</v>
      </c>
      <c r="C2670" s="1" t="s">
        <v>2058</v>
      </c>
      <c r="D2670" s="39">
        <v>0</v>
      </c>
      <c r="E2670" s="1" t="s">
        <v>1</v>
      </c>
      <c r="F2670" s="39">
        <v>0</v>
      </c>
    </row>
    <row r="2671" spans="1:6" x14ac:dyDescent="0.25">
      <c r="A2671" s="1" t="s">
        <v>4332</v>
      </c>
      <c r="B2671" s="1" t="s">
        <v>4333</v>
      </c>
      <c r="C2671" s="1" t="s">
        <v>2058</v>
      </c>
      <c r="D2671" s="39">
        <v>0</v>
      </c>
      <c r="E2671" s="1" t="s">
        <v>1</v>
      </c>
      <c r="F2671" s="39">
        <v>0</v>
      </c>
    </row>
    <row r="2672" spans="1:6" x14ac:dyDescent="0.25">
      <c r="A2672" s="1" t="s">
        <v>570</v>
      </c>
      <c r="B2672" s="1" t="s">
        <v>571</v>
      </c>
      <c r="C2672" s="1" t="s">
        <v>2058</v>
      </c>
      <c r="D2672" s="39">
        <v>0</v>
      </c>
      <c r="E2672" s="1" t="s">
        <v>1</v>
      </c>
      <c r="F2672" s="39">
        <v>0</v>
      </c>
    </row>
    <row r="2673" spans="1:6" x14ac:dyDescent="0.25">
      <c r="A2673" s="1" t="s">
        <v>4334</v>
      </c>
      <c r="B2673" s="1" t="s">
        <v>3628</v>
      </c>
      <c r="C2673" s="1" t="s">
        <v>2058</v>
      </c>
      <c r="D2673" s="39">
        <v>0</v>
      </c>
      <c r="E2673" s="1" t="s">
        <v>1</v>
      </c>
      <c r="F2673" s="39">
        <v>0</v>
      </c>
    </row>
    <row r="2674" spans="1:6" x14ac:dyDescent="0.25">
      <c r="A2674" s="1" t="s">
        <v>4335</v>
      </c>
      <c r="B2674" s="1" t="s">
        <v>4336</v>
      </c>
      <c r="C2674" s="1" t="s">
        <v>2058</v>
      </c>
      <c r="D2674" s="39">
        <v>0</v>
      </c>
      <c r="E2674" s="1" t="s">
        <v>1</v>
      </c>
      <c r="F2674" s="39">
        <v>0</v>
      </c>
    </row>
    <row r="2675" spans="1:6" x14ac:dyDescent="0.25">
      <c r="A2675" s="1" t="s">
        <v>4337</v>
      </c>
      <c r="B2675" s="1" t="s">
        <v>4338</v>
      </c>
      <c r="C2675" s="1" t="s">
        <v>2058</v>
      </c>
      <c r="D2675" s="39">
        <v>0</v>
      </c>
      <c r="E2675" s="1" t="s">
        <v>1</v>
      </c>
      <c r="F2675" s="39">
        <v>0</v>
      </c>
    </row>
    <row r="2676" spans="1:6" x14ac:dyDescent="0.25">
      <c r="A2676" s="1" t="s">
        <v>4339</v>
      </c>
      <c r="B2676" s="1" t="s">
        <v>2140</v>
      </c>
      <c r="C2676" s="1" t="s">
        <v>2058</v>
      </c>
      <c r="D2676" s="39">
        <v>0</v>
      </c>
      <c r="E2676" s="1" t="s">
        <v>1</v>
      </c>
      <c r="F2676" s="39">
        <v>0</v>
      </c>
    </row>
    <row r="2677" spans="1:6" x14ac:dyDescent="0.25">
      <c r="A2677" s="1" t="s">
        <v>4340</v>
      </c>
      <c r="B2677" s="1" t="s">
        <v>2140</v>
      </c>
      <c r="C2677" s="1" t="s">
        <v>2058</v>
      </c>
      <c r="D2677" s="39">
        <v>0</v>
      </c>
      <c r="E2677" s="1" t="s">
        <v>1</v>
      </c>
      <c r="F2677" s="39">
        <v>0</v>
      </c>
    </row>
    <row r="2678" spans="1:6" x14ac:dyDescent="0.25">
      <c r="A2678" s="1" t="s">
        <v>4341</v>
      </c>
      <c r="B2678" s="1" t="s">
        <v>4342</v>
      </c>
      <c r="C2678" s="1" t="s">
        <v>2058</v>
      </c>
      <c r="D2678" s="39">
        <v>0</v>
      </c>
      <c r="E2678" s="1" t="s">
        <v>1</v>
      </c>
      <c r="F2678" s="39">
        <v>0</v>
      </c>
    </row>
    <row r="2679" spans="1:6" x14ac:dyDescent="0.25">
      <c r="A2679" s="1" t="s">
        <v>4343</v>
      </c>
      <c r="B2679" s="1" t="s">
        <v>4344</v>
      </c>
      <c r="C2679" s="1" t="s">
        <v>2058</v>
      </c>
      <c r="D2679" s="39">
        <v>0</v>
      </c>
      <c r="E2679" s="1" t="s">
        <v>1</v>
      </c>
      <c r="F2679" s="39">
        <v>0</v>
      </c>
    </row>
    <row r="2680" spans="1:6" x14ac:dyDescent="0.25">
      <c r="A2680" s="1" t="s">
        <v>4345</v>
      </c>
      <c r="B2680" s="1" t="s">
        <v>4346</v>
      </c>
      <c r="C2680" s="1" t="s">
        <v>2058</v>
      </c>
      <c r="D2680" s="39">
        <v>0</v>
      </c>
      <c r="E2680" s="1" t="s">
        <v>1</v>
      </c>
      <c r="F2680" s="39">
        <v>0</v>
      </c>
    </row>
    <row r="2681" spans="1:6" x14ac:dyDescent="0.25">
      <c r="A2681" s="1" t="s">
        <v>4347</v>
      </c>
      <c r="B2681" s="1" t="s">
        <v>4348</v>
      </c>
      <c r="C2681" s="1" t="s">
        <v>2058</v>
      </c>
      <c r="D2681" s="39">
        <v>0</v>
      </c>
      <c r="E2681" s="1" t="s">
        <v>1</v>
      </c>
      <c r="F2681" s="39">
        <v>0</v>
      </c>
    </row>
    <row r="2682" spans="1:6" x14ac:dyDescent="0.25">
      <c r="A2682" s="1" t="s">
        <v>580</v>
      </c>
      <c r="B2682" s="1" t="s">
        <v>581</v>
      </c>
      <c r="C2682" s="1" t="s">
        <v>2058</v>
      </c>
      <c r="D2682" s="39">
        <v>0</v>
      </c>
      <c r="E2682" s="1" t="s">
        <v>1</v>
      </c>
      <c r="F2682" s="39">
        <v>0</v>
      </c>
    </row>
    <row r="2683" spans="1:6" x14ac:dyDescent="0.25">
      <c r="A2683" s="1" t="s">
        <v>4349</v>
      </c>
      <c r="B2683" s="1" t="s">
        <v>3636</v>
      </c>
      <c r="C2683" s="1" t="s">
        <v>2058</v>
      </c>
      <c r="D2683" s="39">
        <v>0</v>
      </c>
      <c r="E2683" s="1" t="s">
        <v>1</v>
      </c>
      <c r="F2683" s="39">
        <v>0</v>
      </c>
    </row>
    <row r="2684" spans="1:6" x14ac:dyDescent="0.25">
      <c r="A2684" s="1" t="s">
        <v>4350</v>
      </c>
      <c r="B2684" s="1" t="s">
        <v>3638</v>
      </c>
      <c r="C2684" s="1" t="s">
        <v>2058</v>
      </c>
      <c r="D2684" s="39">
        <v>0</v>
      </c>
      <c r="E2684" s="1" t="s">
        <v>1</v>
      </c>
      <c r="F2684" s="39">
        <v>0</v>
      </c>
    </row>
    <row r="2685" spans="1:6" x14ac:dyDescent="0.25">
      <c r="A2685" s="1" t="s">
        <v>4351</v>
      </c>
      <c r="B2685" s="1" t="s">
        <v>3638</v>
      </c>
      <c r="C2685" s="1" t="s">
        <v>2058</v>
      </c>
      <c r="D2685" s="39">
        <v>0</v>
      </c>
      <c r="E2685" s="1" t="s">
        <v>1</v>
      </c>
      <c r="F2685" s="39">
        <v>0</v>
      </c>
    </row>
    <row r="2686" spans="1:6" x14ac:dyDescent="0.25">
      <c r="A2686" s="1" t="s">
        <v>4352</v>
      </c>
      <c r="B2686" s="1" t="s">
        <v>3640</v>
      </c>
      <c r="C2686" s="1" t="s">
        <v>2058</v>
      </c>
      <c r="D2686" s="39">
        <v>0</v>
      </c>
      <c r="E2686" s="1" t="s">
        <v>1</v>
      </c>
      <c r="F2686" s="39">
        <v>0</v>
      </c>
    </row>
    <row r="2687" spans="1:6" x14ac:dyDescent="0.25">
      <c r="A2687" s="1" t="s">
        <v>4353</v>
      </c>
      <c r="B2687" s="1" t="s">
        <v>4354</v>
      </c>
      <c r="C2687" s="1" t="s">
        <v>2058</v>
      </c>
      <c r="D2687" s="39">
        <v>0</v>
      </c>
      <c r="E2687" s="1" t="s">
        <v>1</v>
      </c>
      <c r="F2687" s="39">
        <v>0</v>
      </c>
    </row>
    <row r="2688" spans="1:6" x14ac:dyDescent="0.25">
      <c r="A2688" s="1" t="s">
        <v>4355</v>
      </c>
      <c r="B2688" s="1" t="s">
        <v>4356</v>
      </c>
      <c r="C2688" s="1" t="s">
        <v>2058</v>
      </c>
      <c r="D2688" s="39">
        <v>0</v>
      </c>
      <c r="E2688" s="1" t="s">
        <v>1</v>
      </c>
      <c r="F2688" s="39">
        <v>0</v>
      </c>
    </row>
    <row r="2689" spans="1:6" x14ac:dyDescent="0.25">
      <c r="A2689" s="1" t="s">
        <v>4357</v>
      </c>
      <c r="B2689" s="1" t="s">
        <v>3644</v>
      </c>
      <c r="C2689" s="1" t="s">
        <v>2058</v>
      </c>
      <c r="D2689" s="39">
        <v>0</v>
      </c>
      <c r="E2689" s="1" t="s">
        <v>1</v>
      </c>
      <c r="F2689" s="39">
        <v>0</v>
      </c>
    </row>
    <row r="2690" spans="1:6" x14ac:dyDescent="0.25">
      <c r="A2690" s="1" t="s">
        <v>4358</v>
      </c>
      <c r="B2690" s="1" t="s">
        <v>4359</v>
      </c>
      <c r="C2690" s="1" t="s">
        <v>2058</v>
      </c>
      <c r="D2690" s="39">
        <v>0</v>
      </c>
      <c r="E2690" s="1" t="s">
        <v>1</v>
      </c>
      <c r="F2690" s="39">
        <v>0</v>
      </c>
    </row>
    <row r="2691" spans="1:6" x14ac:dyDescent="0.25">
      <c r="A2691" s="1" t="s">
        <v>4360</v>
      </c>
      <c r="B2691" s="1" t="s">
        <v>3644</v>
      </c>
      <c r="C2691" s="1" t="s">
        <v>2058</v>
      </c>
      <c r="D2691" s="39">
        <v>0</v>
      </c>
      <c r="E2691" s="1" t="s">
        <v>1</v>
      </c>
      <c r="F2691" s="39">
        <v>0</v>
      </c>
    </row>
    <row r="2692" spans="1:6" x14ac:dyDescent="0.25">
      <c r="A2692" s="1" t="s">
        <v>4361</v>
      </c>
      <c r="B2692" s="1" t="s">
        <v>4362</v>
      </c>
      <c r="C2692" s="1" t="s">
        <v>2058</v>
      </c>
      <c r="D2692" s="39">
        <v>0</v>
      </c>
      <c r="E2692" s="1" t="s">
        <v>1</v>
      </c>
      <c r="F2692" s="39">
        <v>0</v>
      </c>
    </row>
    <row r="2693" spans="1:6" x14ac:dyDescent="0.25">
      <c r="A2693" s="1" t="s">
        <v>4363</v>
      </c>
      <c r="B2693" s="1" t="s">
        <v>4364</v>
      </c>
      <c r="C2693" s="1" t="s">
        <v>2058</v>
      </c>
      <c r="D2693" s="39">
        <v>0</v>
      </c>
      <c r="E2693" s="1" t="s">
        <v>1</v>
      </c>
      <c r="F2693" s="39">
        <v>0</v>
      </c>
    </row>
    <row r="2694" spans="1:6" x14ac:dyDescent="0.25">
      <c r="A2694" s="1" t="s">
        <v>4365</v>
      </c>
      <c r="B2694" s="1" t="s">
        <v>4366</v>
      </c>
      <c r="C2694" s="1" t="s">
        <v>2058</v>
      </c>
      <c r="D2694" s="39">
        <v>0</v>
      </c>
      <c r="E2694" s="1" t="s">
        <v>1</v>
      </c>
      <c r="F2694" s="39">
        <v>0</v>
      </c>
    </row>
    <row r="2695" spans="1:6" x14ac:dyDescent="0.25">
      <c r="A2695" s="1" t="s">
        <v>4367</v>
      </c>
      <c r="B2695" s="1" t="s">
        <v>2148</v>
      </c>
      <c r="C2695" s="1" t="s">
        <v>2058</v>
      </c>
      <c r="D2695" s="39">
        <v>0</v>
      </c>
      <c r="E2695" s="1" t="s">
        <v>1</v>
      </c>
      <c r="F2695" s="39">
        <v>0</v>
      </c>
    </row>
    <row r="2696" spans="1:6" x14ac:dyDescent="0.25">
      <c r="A2696" s="1" t="s">
        <v>4368</v>
      </c>
      <c r="B2696" s="1" t="s">
        <v>4369</v>
      </c>
      <c r="C2696" s="1" t="s">
        <v>2058</v>
      </c>
      <c r="D2696" s="39">
        <v>0</v>
      </c>
      <c r="E2696" s="1" t="s">
        <v>1</v>
      </c>
      <c r="F2696" s="39">
        <v>0</v>
      </c>
    </row>
    <row r="2697" spans="1:6" x14ac:dyDescent="0.25">
      <c r="A2697" s="1" t="s">
        <v>4370</v>
      </c>
      <c r="B2697" s="1" t="s">
        <v>4371</v>
      </c>
      <c r="C2697" s="1" t="s">
        <v>2058</v>
      </c>
      <c r="D2697" s="39">
        <v>0</v>
      </c>
      <c r="E2697" s="1" t="s">
        <v>1</v>
      </c>
      <c r="F2697" s="39">
        <v>0</v>
      </c>
    </row>
    <row r="2698" spans="1:6" x14ac:dyDescent="0.25">
      <c r="A2698" s="1" t="s">
        <v>4372</v>
      </c>
      <c r="B2698" s="1" t="s">
        <v>4373</v>
      </c>
      <c r="C2698" s="1" t="s">
        <v>2058</v>
      </c>
      <c r="D2698" s="39">
        <v>0</v>
      </c>
      <c r="E2698" s="1" t="s">
        <v>1</v>
      </c>
      <c r="F2698" s="39">
        <v>0</v>
      </c>
    </row>
    <row r="2699" spans="1:6" x14ac:dyDescent="0.25">
      <c r="A2699" s="1" t="s">
        <v>4374</v>
      </c>
      <c r="B2699" s="1" t="s">
        <v>1154</v>
      </c>
      <c r="C2699" s="1" t="s">
        <v>2058</v>
      </c>
      <c r="D2699" s="39">
        <v>0</v>
      </c>
      <c r="E2699" s="1" t="s">
        <v>1</v>
      </c>
      <c r="F2699" s="39">
        <v>0</v>
      </c>
    </row>
    <row r="2700" spans="1:6" x14ac:dyDescent="0.25">
      <c r="A2700" s="1" t="s">
        <v>586</v>
      </c>
      <c r="B2700" s="1" t="s">
        <v>587</v>
      </c>
      <c r="C2700" s="1" t="s">
        <v>2058</v>
      </c>
      <c r="D2700" s="39">
        <v>0</v>
      </c>
      <c r="E2700" s="1" t="s">
        <v>1</v>
      </c>
      <c r="F2700" s="39">
        <v>0</v>
      </c>
    </row>
    <row r="2701" spans="1:6" x14ac:dyDescent="0.25">
      <c r="A2701" s="1" t="s">
        <v>592</v>
      </c>
      <c r="B2701" s="1" t="s">
        <v>593</v>
      </c>
      <c r="C2701" s="1" t="s">
        <v>2058</v>
      </c>
      <c r="D2701" s="39">
        <v>0</v>
      </c>
      <c r="E2701" s="1" t="s">
        <v>1</v>
      </c>
      <c r="F2701" s="39">
        <v>0</v>
      </c>
    </row>
    <row r="2702" spans="1:6" x14ac:dyDescent="0.25">
      <c r="A2702" s="1" t="s">
        <v>4375</v>
      </c>
      <c r="B2702" s="1" t="s">
        <v>593</v>
      </c>
      <c r="C2702" s="1" t="s">
        <v>2058</v>
      </c>
      <c r="D2702" s="39">
        <v>0</v>
      </c>
      <c r="E2702" s="1" t="s">
        <v>1</v>
      </c>
      <c r="F2702" s="39">
        <v>0</v>
      </c>
    </row>
    <row r="2703" spans="1:6" x14ac:dyDescent="0.25">
      <c r="A2703" s="1" t="s">
        <v>4376</v>
      </c>
      <c r="B2703" s="1" t="s">
        <v>4377</v>
      </c>
      <c r="C2703" s="1" t="s">
        <v>2058</v>
      </c>
      <c r="D2703" s="39">
        <v>0</v>
      </c>
      <c r="E2703" s="1" t="s">
        <v>1</v>
      </c>
      <c r="F2703" s="39">
        <v>0</v>
      </c>
    </row>
    <row r="2704" spans="1:6" x14ac:dyDescent="0.25">
      <c r="A2704" s="1" t="s">
        <v>4378</v>
      </c>
      <c r="B2704" s="1" t="s">
        <v>1160</v>
      </c>
      <c r="C2704" s="1" t="s">
        <v>2058</v>
      </c>
      <c r="D2704" s="39">
        <v>0</v>
      </c>
      <c r="E2704" s="1" t="s">
        <v>1</v>
      </c>
      <c r="F2704" s="39">
        <v>0</v>
      </c>
    </row>
    <row r="2705" spans="1:6" x14ac:dyDescent="0.25">
      <c r="A2705" s="1" t="s">
        <v>4379</v>
      </c>
      <c r="B2705" s="1" t="s">
        <v>3656</v>
      </c>
      <c r="C2705" s="1" t="s">
        <v>2058</v>
      </c>
      <c r="D2705" s="39">
        <v>0</v>
      </c>
      <c r="E2705" s="1" t="s">
        <v>1</v>
      </c>
      <c r="F2705" s="39">
        <v>0</v>
      </c>
    </row>
    <row r="2706" spans="1:6" x14ac:dyDescent="0.25">
      <c r="A2706" s="1" t="s">
        <v>4380</v>
      </c>
      <c r="B2706" s="1" t="s">
        <v>4381</v>
      </c>
      <c r="C2706" s="1" t="s">
        <v>2058</v>
      </c>
      <c r="D2706" s="39">
        <v>0</v>
      </c>
      <c r="E2706" s="1" t="s">
        <v>1</v>
      </c>
      <c r="F2706" s="39">
        <v>0</v>
      </c>
    </row>
    <row r="2707" spans="1:6" x14ac:dyDescent="0.25">
      <c r="A2707" s="1" t="s">
        <v>4382</v>
      </c>
      <c r="B2707" s="1" t="s">
        <v>4383</v>
      </c>
      <c r="C2707" s="1" t="s">
        <v>2058</v>
      </c>
      <c r="D2707" s="39">
        <v>0</v>
      </c>
      <c r="E2707" s="1" t="s">
        <v>1</v>
      </c>
      <c r="F2707" s="39">
        <v>0</v>
      </c>
    </row>
    <row r="2708" spans="1:6" x14ac:dyDescent="0.25">
      <c r="A2708" s="1" t="s">
        <v>4384</v>
      </c>
      <c r="B2708" s="1" t="s">
        <v>2149</v>
      </c>
      <c r="C2708" s="1" t="s">
        <v>2058</v>
      </c>
      <c r="D2708" s="39">
        <v>0</v>
      </c>
      <c r="E2708" s="1" t="s">
        <v>1</v>
      </c>
      <c r="F2708" s="39">
        <v>0</v>
      </c>
    </row>
    <row r="2709" spans="1:6" x14ac:dyDescent="0.25">
      <c r="A2709" s="1" t="s">
        <v>4385</v>
      </c>
      <c r="B2709" s="1" t="s">
        <v>4386</v>
      </c>
      <c r="C2709" s="1" t="s">
        <v>2058</v>
      </c>
      <c r="D2709" s="39">
        <v>0</v>
      </c>
      <c r="E2709" s="1" t="s">
        <v>1</v>
      </c>
      <c r="F2709" s="39">
        <v>0</v>
      </c>
    </row>
    <row r="2710" spans="1:6" x14ac:dyDescent="0.25">
      <c r="A2710" s="1" t="s">
        <v>4387</v>
      </c>
      <c r="B2710" s="1" t="s">
        <v>4388</v>
      </c>
      <c r="C2710" s="1" t="s">
        <v>2058</v>
      </c>
      <c r="D2710" s="39">
        <v>0</v>
      </c>
      <c r="E2710" s="1" t="s">
        <v>1</v>
      </c>
      <c r="F2710" s="39">
        <v>0</v>
      </c>
    </row>
    <row r="2711" spans="1:6" x14ac:dyDescent="0.25">
      <c r="A2711" s="1" t="s">
        <v>4389</v>
      </c>
      <c r="B2711" s="1" t="s">
        <v>4390</v>
      </c>
      <c r="C2711" s="1" t="s">
        <v>2058</v>
      </c>
      <c r="D2711" s="39">
        <v>0</v>
      </c>
      <c r="E2711" s="1" t="s">
        <v>1</v>
      </c>
      <c r="F2711" s="39">
        <v>0</v>
      </c>
    </row>
    <row r="2712" spans="1:6" x14ac:dyDescent="0.25">
      <c r="A2712" s="1" t="s">
        <v>4391</v>
      </c>
      <c r="B2712" s="1" t="s">
        <v>4392</v>
      </c>
      <c r="C2712" s="1" t="s">
        <v>2058</v>
      </c>
      <c r="D2712" s="39">
        <v>0</v>
      </c>
      <c r="E2712" s="1" t="s">
        <v>1</v>
      </c>
      <c r="F2712" s="39">
        <v>0</v>
      </c>
    </row>
    <row r="2713" spans="1:6" x14ac:dyDescent="0.25">
      <c r="A2713" s="1" t="s">
        <v>4393</v>
      </c>
      <c r="B2713" s="1" t="s">
        <v>4394</v>
      </c>
      <c r="C2713" s="1" t="s">
        <v>2058</v>
      </c>
      <c r="D2713" s="39">
        <v>0</v>
      </c>
      <c r="E2713" s="1" t="s">
        <v>1</v>
      </c>
      <c r="F2713" s="39">
        <v>0</v>
      </c>
    </row>
    <row r="2714" spans="1:6" x14ac:dyDescent="0.25">
      <c r="A2714" s="1" t="s">
        <v>4395</v>
      </c>
      <c r="B2714" s="1" t="s">
        <v>2150</v>
      </c>
      <c r="C2714" s="1" t="s">
        <v>2058</v>
      </c>
      <c r="D2714" s="39">
        <v>0</v>
      </c>
      <c r="E2714" s="1" t="s">
        <v>1</v>
      </c>
      <c r="F2714" s="39">
        <v>0</v>
      </c>
    </row>
    <row r="2715" spans="1:6" x14ac:dyDescent="0.25">
      <c r="A2715" s="1" t="s">
        <v>4396</v>
      </c>
      <c r="B2715" s="1" t="s">
        <v>4397</v>
      </c>
      <c r="C2715" s="1" t="s">
        <v>2058</v>
      </c>
      <c r="D2715" s="39">
        <v>0</v>
      </c>
      <c r="E2715" s="1" t="s">
        <v>1</v>
      </c>
      <c r="F2715" s="39">
        <v>0</v>
      </c>
    </row>
    <row r="2716" spans="1:6" x14ac:dyDescent="0.25">
      <c r="A2716" s="1" t="s">
        <v>4398</v>
      </c>
      <c r="B2716" s="1" t="s">
        <v>2151</v>
      </c>
      <c r="C2716" s="1" t="s">
        <v>2058</v>
      </c>
      <c r="D2716" s="39">
        <v>0</v>
      </c>
      <c r="E2716" s="1" t="s">
        <v>1</v>
      </c>
      <c r="F2716" s="39">
        <v>0</v>
      </c>
    </row>
    <row r="2717" spans="1:6" x14ac:dyDescent="0.25">
      <c r="A2717" s="1" t="s">
        <v>4399</v>
      </c>
      <c r="B2717" s="1" t="s">
        <v>2152</v>
      </c>
      <c r="C2717" s="1" t="s">
        <v>2058</v>
      </c>
      <c r="D2717" s="39">
        <v>0</v>
      </c>
      <c r="E2717" s="1" t="s">
        <v>1</v>
      </c>
      <c r="F2717" s="39">
        <v>0</v>
      </c>
    </row>
    <row r="2718" spans="1:6" x14ac:dyDescent="0.25">
      <c r="A2718" s="1" t="s">
        <v>4400</v>
      </c>
      <c r="B2718" s="1" t="s">
        <v>4401</v>
      </c>
      <c r="C2718" s="1" t="s">
        <v>2058</v>
      </c>
      <c r="D2718" s="39">
        <v>0</v>
      </c>
      <c r="E2718" s="1" t="s">
        <v>1</v>
      </c>
      <c r="F2718" s="39">
        <v>0</v>
      </c>
    </row>
    <row r="2719" spans="1:6" x14ac:dyDescent="0.25">
      <c r="A2719" s="1" t="s">
        <v>4402</v>
      </c>
      <c r="B2719" s="1" t="s">
        <v>4403</v>
      </c>
      <c r="C2719" s="1" t="s">
        <v>2058</v>
      </c>
      <c r="D2719" s="39">
        <v>0</v>
      </c>
      <c r="E2719" s="1" t="s">
        <v>1</v>
      </c>
      <c r="F2719" s="39">
        <v>0</v>
      </c>
    </row>
    <row r="2720" spans="1:6" x14ac:dyDescent="0.25">
      <c r="A2720" s="1" t="s">
        <v>4404</v>
      </c>
      <c r="B2720" s="1" t="s">
        <v>4405</v>
      </c>
      <c r="C2720" s="1" t="s">
        <v>2058</v>
      </c>
      <c r="D2720" s="39">
        <v>0</v>
      </c>
      <c r="E2720" s="1" t="s">
        <v>1</v>
      </c>
      <c r="F2720" s="39">
        <v>0</v>
      </c>
    </row>
    <row r="2721" spans="1:6" x14ac:dyDescent="0.25">
      <c r="A2721" s="1" t="s">
        <v>4406</v>
      </c>
      <c r="B2721" s="1" t="s">
        <v>4407</v>
      </c>
      <c r="C2721" s="1" t="s">
        <v>2058</v>
      </c>
      <c r="D2721" s="39">
        <v>0</v>
      </c>
      <c r="E2721" s="1" t="s">
        <v>1</v>
      </c>
      <c r="F2721" s="39">
        <v>0</v>
      </c>
    </row>
    <row r="2722" spans="1:6" x14ac:dyDescent="0.25">
      <c r="A2722" s="1" t="s">
        <v>4408</v>
      </c>
      <c r="B2722" s="1" t="s">
        <v>2153</v>
      </c>
      <c r="C2722" s="1" t="s">
        <v>2058</v>
      </c>
      <c r="D2722" s="39">
        <v>0</v>
      </c>
      <c r="E2722" s="1" t="s">
        <v>1</v>
      </c>
      <c r="F2722" s="39">
        <v>0</v>
      </c>
    </row>
    <row r="2723" spans="1:6" x14ac:dyDescent="0.25">
      <c r="A2723" s="1" t="s">
        <v>4409</v>
      </c>
      <c r="B2723" s="1" t="s">
        <v>4410</v>
      </c>
      <c r="C2723" s="1" t="s">
        <v>2058</v>
      </c>
      <c r="D2723" s="39">
        <v>0</v>
      </c>
      <c r="E2723" s="1" t="s">
        <v>1</v>
      </c>
      <c r="F2723" s="39">
        <v>0</v>
      </c>
    </row>
    <row r="2724" spans="1:6" x14ac:dyDescent="0.25">
      <c r="A2724" s="1" t="s">
        <v>4411</v>
      </c>
      <c r="B2724" s="1" t="s">
        <v>4412</v>
      </c>
      <c r="C2724" s="1" t="s">
        <v>2058</v>
      </c>
      <c r="D2724" s="39">
        <v>0</v>
      </c>
      <c r="E2724" s="1" t="s">
        <v>1</v>
      </c>
      <c r="F2724" s="39">
        <v>0</v>
      </c>
    </row>
    <row r="2725" spans="1:6" x14ac:dyDescent="0.25">
      <c r="A2725" s="1" t="s">
        <v>4413</v>
      </c>
      <c r="B2725" s="1" t="s">
        <v>4414</v>
      </c>
      <c r="C2725" s="1" t="s">
        <v>2058</v>
      </c>
      <c r="D2725" s="39">
        <v>0</v>
      </c>
      <c r="E2725" s="1" t="s">
        <v>1</v>
      </c>
      <c r="F2725" s="39">
        <v>0</v>
      </c>
    </row>
    <row r="2726" spans="1:6" x14ac:dyDescent="0.25">
      <c r="A2726" s="1" t="s">
        <v>4415</v>
      </c>
      <c r="B2726" s="1" t="s">
        <v>4416</v>
      </c>
      <c r="C2726" s="1" t="s">
        <v>2058</v>
      </c>
      <c r="D2726" s="39">
        <v>0</v>
      </c>
      <c r="E2726" s="1" t="s">
        <v>1</v>
      </c>
      <c r="F2726" s="39">
        <v>0</v>
      </c>
    </row>
    <row r="2727" spans="1:6" x14ac:dyDescent="0.25">
      <c r="A2727" s="1" t="s">
        <v>598</v>
      </c>
      <c r="B2727" s="1" t="s">
        <v>599</v>
      </c>
      <c r="C2727" s="1" t="s">
        <v>2058</v>
      </c>
      <c r="D2727" s="39">
        <v>0</v>
      </c>
      <c r="E2727" s="1" t="s">
        <v>1</v>
      </c>
      <c r="F2727" s="39">
        <v>0</v>
      </c>
    </row>
    <row r="2728" spans="1:6" x14ac:dyDescent="0.25">
      <c r="A2728" s="1" t="s">
        <v>4417</v>
      </c>
      <c r="B2728" s="1" t="s">
        <v>599</v>
      </c>
      <c r="C2728" s="1" t="s">
        <v>2058</v>
      </c>
      <c r="D2728" s="39">
        <v>0</v>
      </c>
      <c r="E2728" s="1" t="s">
        <v>1</v>
      </c>
      <c r="F2728" s="39">
        <v>0</v>
      </c>
    </row>
    <row r="2729" spans="1:6" x14ac:dyDescent="0.25">
      <c r="A2729" s="1" t="s">
        <v>604</v>
      </c>
      <c r="B2729" s="1" t="s">
        <v>605</v>
      </c>
      <c r="C2729" s="1" t="s">
        <v>2058</v>
      </c>
      <c r="D2729" s="39">
        <v>0</v>
      </c>
      <c r="E2729" s="1" t="s">
        <v>1</v>
      </c>
      <c r="F2729" s="39">
        <v>0</v>
      </c>
    </row>
    <row r="2730" spans="1:6" x14ac:dyDescent="0.25">
      <c r="A2730" s="1" t="s">
        <v>4418</v>
      </c>
      <c r="B2730" s="1" t="s">
        <v>605</v>
      </c>
      <c r="C2730" s="1" t="s">
        <v>2058</v>
      </c>
      <c r="D2730" s="39">
        <v>0</v>
      </c>
      <c r="E2730" s="1" t="s">
        <v>1</v>
      </c>
      <c r="F2730" s="39">
        <v>0</v>
      </c>
    </row>
    <row r="2731" spans="1:6" x14ac:dyDescent="0.25">
      <c r="A2731" s="1" t="s">
        <v>86</v>
      </c>
      <c r="B2731" s="1" t="s">
        <v>87</v>
      </c>
      <c r="C2731" s="1" t="s">
        <v>2058</v>
      </c>
      <c r="D2731" s="39">
        <v>0</v>
      </c>
      <c r="E2731" s="1" t="s">
        <v>1</v>
      </c>
      <c r="F2731" s="39">
        <v>0</v>
      </c>
    </row>
    <row r="2732" spans="1:6" x14ac:dyDescent="0.25">
      <c r="A2732" s="1" t="s">
        <v>4419</v>
      </c>
      <c r="B2732" s="1" t="s">
        <v>2154</v>
      </c>
      <c r="C2732" s="1" t="s">
        <v>2058</v>
      </c>
      <c r="D2732" s="39">
        <v>0</v>
      </c>
      <c r="E2732" s="1" t="s">
        <v>1</v>
      </c>
      <c r="F2732" s="39">
        <v>0</v>
      </c>
    </row>
    <row r="2733" spans="1:6" x14ac:dyDescent="0.25">
      <c r="A2733" s="1" t="s">
        <v>1205</v>
      </c>
      <c r="B2733" s="1" t="s">
        <v>4420</v>
      </c>
      <c r="C2733" s="1" t="s">
        <v>2058</v>
      </c>
      <c r="D2733" s="39">
        <v>0</v>
      </c>
      <c r="E2733" s="1" t="s">
        <v>1</v>
      </c>
      <c r="F2733" s="39">
        <v>0</v>
      </c>
    </row>
    <row r="2734" spans="1:6" x14ac:dyDescent="0.25">
      <c r="A2734" s="1" t="s">
        <v>4421</v>
      </c>
      <c r="B2734" s="1" t="s">
        <v>2155</v>
      </c>
      <c r="C2734" s="1" t="s">
        <v>2058</v>
      </c>
      <c r="D2734" s="39">
        <v>0</v>
      </c>
      <c r="E2734" s="1" t="s">
        <v>1</v>
      </c>
      <c r="F2734" s="39">
        <v>0</v>
      </c>
    </row>
    <row r="2735" spans="1:6" x14ac:dyDescent="0.25">
      <c r="A2735" s="1" t="s">
        <v>610</v>
      </c>
      <c r="B2735" s="1" t="s">
        <v>611</v>
      </c>
      <c r="C2735" s="1" t="s">
        <v>2058</v>
      </c>
      <c r="D2735" s="39">
        <v>0</v>
      </c>
      <c r="E2735" s="1" t="s">
        <v>1</v>
      </c>
      <c r="F2735" s="39">
        <v>0</v>
      </c>
    </row>
    <row r="2736" spans="1:6" x14ac:dyDescent="0.25">
      <c r="A2736" s="1" t="s">
        <v>4422</v>
      </c>
      <c r="B2736" s="1" t="s">
        <v>611</v>
      </c>
      <c r="C2736" s="1" t="s">
        <v>2058</v>
      </c>
      <c r="D2736" s="39">
        <v>0</v>
      </c>
      <c r="E2736" s="1" t="s">
        <v>1</v>
      </c>
      <c r="F2736" s="39">
        <v>0</v>
      </c>
    </row>
    <row r="2737" spans="1:6" x14ac:dyDescent="0.25">
      <c r="A2737" s="1" t="s">
        <v>616</v>
      </c>
      <c r="B2737" s="1" t="s">
        <v>617</v>
      </c>
      <c r="C2737" s="1" t="s">
        <v>2058</v>
      </c>
      <c r="D2737" s="39">
        <v>0</v>
      </c>
      <c r="E2737" s="1" t="s">
        <v>1</v>
      </c>
      <c r="F2737" s="39">
        <v>0</v>
      </c>
    </row>
    <row r="2738" spans="1:6" x14ac:dyDescent="0.25">
      <c r="A2738" s="1" t="s">
        <v>92</v>
      </c>
      <c r="B2738" s="1" t="s">
        <v>93</v>
      </c>
      <c r="C2738" s="1" t="s">
        <v>2058</v>
      </c>
      <c r="D2738" s="39">
        <v>0</v>
      </c>
      <c r="E2738" s="1" t="s">
        <v>1</v>
      </c>
      <c r="F2738" s="39">
        <v>0</v>
      </c>
    </row>
    <row r="2739" spans="1:6" x14ac:dyDescent="0.25">
      <c r="A2739" s="1" t="s">
        <v>4423</v>
      </c>
      <c r="B2739" s="1" t="s">
        <v>4424</v>
      </c>
      <c r="C2739" s="1" t="s">
        <v>2058</v>
      </c>
      <c r="D2739" s="39">
        <v>0</v>
      </c>
      <c r="E2739" s="1" t="s">
        <v>1</v>
      </c>
      <c r="F2739" s="39">
        <v>0</v>
      </c>
    </row>
    <row r="2740" spans="1:6" x14ac:dyDescent="0.25">
      <c r="A2740" s="1" t="s">
        <v>98</v>
      </c>
      <c r="B2740" s="1" t="s">
        <v>99</v>
      </c>
      <c r="C2740" s="1" t="s">
        <v>2058</v>
      </c>
      <c r="D2740" s="39">
        <v>0</v>
      </c>
      <c r="E2740" s="1" t="s">
        <v>1</v>
      </c>
      <c r="F2740" s="39">
        <v>0</v>
      </c>
    </row>
    <row r="2741" spans="1:6" x14ac:dyDescent="0.25">
      <c r="A2741" s="1" t="s">
        <v>4425</v>
      </c>
      <c r="B2741" s="1" t="s">
        <v>3667</v>
      </c>
      <c r="C2741" s="1" t="s">
        <v>2058</v>
      </c>
      <c r="D2741" s="39">
        <v>0</v>
      </c>
      <c r="E2741" s="1" t="s">
        <v>1</v>
      </c>
      <c r="F2741" s="39">
        <v>0</v>
      </c>
    </row>
    <row r="2742" spans="1:6" x14ac:dyDescent="0.25">
      <c r="A2742" s="1" t="s">
        <v>104</v>
      </c>
      <c r="B2742" s="1" t="s">
        <v>105</v>
      </c>
      <c r="C2742" s="1" t="s">
        <v>2058</v>
      </c>
      <c r="D2742" s="39">
        <v>0</v>
      </c>
      <c r="E2742" s="1" t="s">
        <v>1</v>
      </c>
      <c r="F2742" s="39">
        <v>0</v>
      </c>
    </row>
    <row r="2743" spans="1:6" x14ac:dyDescent="0.25">
      <c r="A2743" s="1" t="s">
        <v>110</v>
      </c>
      <c r="B2743" s="1" t="s">
        <v>111</v>
      </c>
      <c r="C2743" s="1" t="s">
        <v>2058</v>
      </c>
      <c r="D2743" s="39">
        <v>0</v>
      </c>
      <c r="E2743" s="1" t="s">
        <v>1</v>
      </c>
      <c r="F2743" s="39">
        <v>0</v>
      </c>
    </row>
    <row r="2744" spans="1:6" x14ac:dyDescent="0.25">
      <c r="A2744" s="1" t="s">
        <v>4426</v>
      </c>
      <c r="B2744" s="1" t="s">
        <v>4427</v>
      </c>
      <c r="C2744" s="1" t="s">
        <v>2058</v>
      </c>
      <c r="D2744" s="39">
        <v>0</v>
      </c>
      <c r="E2744" s="1" t="s">
        <v>1</v>
      </c>
      <c r="F2744" s="39">
        <v>0</v>
      </c>
    </row>
    <row r="2745" spans="1:6" x14ac:dyDescent="0.25">
      <c r="A2745" s="1" t="s">
        <v>115</v>
      </c>
      <c r="B2745" s="1" t="s">
        <v>116</v>
      </c>
      <c r="C2745" s="1" t="s">
        <v>2058</v>
      </c>
      <c r="D2745" s="39">
        <v>0</v>
      </c>
      <c r="E2745" s="1" t="s">
        <v>1</v>
      </c>
      <c r="F2745" s="39">
        <v>0</v>
      </c>
    </row>
    <row r="2746" spans="1:6" x14ac:dyDescent="0.25">
      <c r="A2746" s="1" t="s">
        <v>4428</v>
      </c>
      <c r="B2746" s="1" t="s">
        <v>3671</v>
      </c>
      <c r="C2746" s="1" t="s">
        <v>2058</v>
      </c>
      <c r="D2746" s="39">
        <v>0</v>
      </c>
      <c r="E2746" s="1" t="s">
        <v>1</v>
      </c>
      <c r="F2746" s="39">
        <v>0</v>
      </c>
    </row>
    <row r="2747" spans="1:6" x14ac:dyDescent="0.25">
      <c r="A2747" s="1" t="s">
        <v>120</v>
      </c>
      <c r="B2747" s="1" t="s">
        <v>121</v>
      </c>
      <c r="C2747" s="1" t="s">
        <v>2058</v>
      </c>
      <c r="D2747" s="39">
        <v>0</v>
      </c>
      <c r="E2747" s="1" t="s">
        <v>1</v>
      </c>
      <c r="F2747" s="39">
        <v>0</v>
      </c>
    </row>
    <row r="2748" spans="1:6" x14ac:dyDescent="0.25">
      <c r="A2748" s="1" t="s">
        <v>4429</v>
      </c>
      <c r="B2748" s="1" t="s">
        <v>121</v>
      </c>
      <c r="C2748" s="1" t="s">
        <v>2058</v>
      </c>
      <c r="D2748" s="39">
        <v>0</v>
      </c>
      <c r="E2748" s="1" t="s">
        <v>1</v>
      </c>
      <c r="F2748" s="39">
        <v>0</v>
      </c>
    </row>
    <row r="2749" spans="1:6" x14ac:dyDescent="0.25">
      <c r="A2749" s="1" t="s">
        <v>4430</v>
      </c>
      <c r="B2749" s="1" t="s">
        <v>4431</v>
      </c>
      <c r="C2749" s="1" t="s">
        <v>2058</v>
      </c>
      <c r="D2749" s="39">
        <v>0</v>
      </c>
      <c r="E2749" s="1" t="s">
        <v>1</v>
      </c>
      <c r="F2749" s="39">
        <v>0</v>
      </c>
    </row>
    <row r="2750" spans="1:6" x14ac:dyDescent="0.25">
      <c r="A2750" s="1" t="s">
        <v>1233</v>
      </c>
      <c r="B2750" s="1" t="s">
        <v>1234</v>
      </c>
      <c r="C2750" s="1" t="s">
        <v>2058</v>
      </c>
      <c r="D2750" s="39">
        <v>0</v>
      </c>
      <c r="E2750" s="1" t="s">
        <v>1</v>
      </c>
      <c r="F2750" s="39">
        <v>0</v>
      </c>
    </row>
    <row r="2751" spans="1:6" x14ac:dyDescent="0.25">
      <c r="A2751" s="1" t="s">
        <v>4432</v>
      </c>
      <c r="B2751" s="1" t="s">
        <v>2454</v>
      </c>
      <c r="C2751" s="1" t="s">
        <v>2058</v>
      </c>
      <c r="D2751" s="39">
        <v>0</v>
      </c>
      <c r="E2751" s="1" t="s">
        <v>1</v>
      </c>
      <c r="F2751" s="39">
        <v>0</v>
      </c>
    </row>
    <row r="2752" spans="1:6" x14ac:dyDescent="0.25">
      <c r="A2752" s="1" t="s">
        <v>126</v>
      </c>
      <c r="B2752" s="1" t="s">
        <v>127</v>
      </c>
      <c r="C2752" s="1" t="s">
        <v>2058</v>
      </c>
      <c r="D2752" s="39">
        <v>0</v>
      </c>
      <c r="E2752" s="1" t="s">
        <v>1</v>
      </c>
      <c r="F2752" s="39">
        <v>0</v>
      </c>
    </row>
    <row r="2753" spans="1:6" x14ac:dyDescent="0.25">
      <c r="A2753" s="1" t="s">
        <v>4433</v>
      </c>
      <c r="B2753" s="1" t="s">
        <v>2456</v>
      </c>
      <c r="C2753" s="1" t="s">
        <v>2058</v>
      </c>
      <c r="D2753" s="39">
        <v>0</v>
      </c>
      <c r="E2753" s="1" t="s">
        <v>1</v>
      </c>
      <c r="F2753" s="39">
        <v>0</v>
      </c>
    </row>
    <row r="2754" spans="1:6" x14ac:dyDescent="0.25">
      <c r="A2754" s="1" t="s">
        <v>4434</v>
      </c>
      <c r="B2754" s="1" t="s">
        <v>4435</v>
      </c>
      <c r="C2754" s="1" t="s">
        <v>2058</v>
      </c>
      <c r="D2754" s="39">
        <v>0</v>
      </c>
      <c r="E2754" s="1" t="s">
        <v>1</v>
      </c>
      <c r="F2754" s="39">
        <v>0</v>
      </c>
    </row>
    <row r="2755" spans="1:6" x14ac:dyDescent="0.25">
      <c r="A2755" s="1" t="s">
        <v>4436</v>
      </c>
      <c r="B2755" s="1" t="s">
        <v>4437</v>
      </c>
      <c r="C2755" s="1" t="s">
        <v>2058</v>
      </c>
      <c r="D2755" s="39">
        <v>0</v>
      </c>
      <c r="E2755" s="1" t="s">
        <v>1</v>
      </c>
      <c r="F2755" s="39">
        <v>0</v>
      </c>
    </row>
    <row r="2756" spans="1:6" x14ac:dyDescent="0.25">
      <c r="A2756" s="1" t="s">
        <v>4438</v>
      </c>
      <c r="B2756" s="1" t="s">
        <v>4439</v>
      </c>
      <c r="C2756" s="1" t="s">
        <v>2058</v>
      </c>
      <c r="D2756" s="39">
        <v>0</v>
      </c>
      <c r="E2756" s="1" t="s">
        <v>1</v>
      </c>
      <c r="F2756" s="39">
        <v>0</v>
      </c>
    </row>
    <row r="2757" spans="1:6" x14ac:dyDescent="0.25">
      <c r="A2757" s="1" t="s">
        <v>4440</v>
      </c>
      <c r="B2757" s="1" t="s">
        <v>3676</v>
      </c>
      <c r="C2757" s="1" t="s">
        <v>2058</v>
      </c>
      <c r="D2757" s="39">
        <v>0</v>
      </c>
      <c r="E2757" s="1" t="s">
        <v>1</v>
      </c>
      <c r="F2757" s="39">
        <v>0</v>
      </c>
    </row>
    <row r="2758" spans="1:6" x14ac:dyDescent="0.25">
      <c r="A2758" s="1" t="s">
        <v>133</v>
      </c>
      <c r="B2758" s="1" t="s">
        <v>134</v>
      </c>
      <c r="C2758" s="1" t="s">
        <v>2058</v>
      </c>
      <c r="D2758" s="39">
        <v>0</v>
      </c>
      <c r="E2758" s="1" t="s">
        <v>1</v>
      </c>
      <c r="F2758" s="39">
        <v>0</v>
      </c>
    </row>
    <row r="2759" spans="1:6" x14ac:dyDescent="0.25">
      <c r="A2759" s="1" t="s">
        <v>4441</v>
      </c>
      <c r="B2759" s="1" t="s">
        <v>3678</v>
      </c>
      <c r="C2759" s="1" t="s">
        <v>2058</v>
      </c>
      <c r="D2759" s="39">
        <v>0</v>
      </c>
      <c r="E2759" s="1" t="s">
        <v>1</v>
      </c>
      <c r="F2759" s="39">
        <v>0</v>
      </c>
    </row>
    <row r="2760" spans="1:6" x14ac:dyDescent="0.25">
      <c r="A2760" s="1" t="s">
        <v>140</v>
      </c>
      <c r="B2760" s="1" t="s">
        <v>141</v>
      </c>
      <c r="C2760" s="1" t="s">
        <v>2058</v>
      </c>
      <c r="D2760" s="39">
        <v>0</v>
      </c>
      <c r="E2760" s="1" t="s">
        <v>1</v>
      </c>
      <c r="F2760" s="39">
        <v>0</v>
      </c>
    </row>
    <row r="2761" spans="1:6" x14ac:dyDescent="0.25">
      <c r="A2761" s="1" t="s">
        <v>4442</v>
      </c>
      <c r="B2761" s="1" t="s">
        <v>3680</v>
      </c>
      <c r="C2761" s="1" t="s">
        <v>2058</v>
      </c>
      <c r="D2761" s="39">
        <v>0</v>
      </c>
      <c r="E2761" s="1" t="s">
        <v>1</v>
      </c>
      <c r="F2761" s="39">
        <v>0</v>
      </c>
    </row>
    <row r="2762" spans="1:6" x14ac:dyDescent="0.25">
      <c r="A2762" s="1" t="s">
        <v>4443</v>
      </c>
      <c r="B2762" s="1" t="s">
        <v>3696</v>
      </c>
      <c r="C2762" s="1" t="s">
        <v>2058</v>
      </c>
      <c r="D2762" s="39">
        <v>0</v>
      </c>
      <c r="E2762" s="1" t="s">
        <v>1</v>
      </c>
      <c r="F2762" s="39">
        <v>0</v>
      </c>
    </row>
    <row r="2763" spans="1:6" x14ac:dyDescent="0.25">
      <c r="A2763" s="1" t="s">
        <v>4444</v>
      </c>
      <c r="B2763" s="1" t="s">
        <v>3696</v>
      </c>
      <c r="C2763" s="1" t="s">
        <v>2058</v>
      </c>
      <c r="D2763" s="39">
        <v>0</v>
      </c>
      <c r="E2763" s="1" t="s">
        <v>1</v>
      </c>
      <c r="F2763" s="39">
        <v>0</v>
      </c>
    </row>
    <row r="2764" spans="1:6" x14ac:dyDescent="0.25">
      <c r="A2764" s="1" t="s">
        <v>4445</v>
      </c>
      <c r="B2764" s="1" t="s">
        <v>4446</v>
      </c>
      <c r="C2764" s="1" t="s">
        <v>2058</v>
      </c>
      <c r="D2764" s="39">
        <v>0</v>
      </c>
      <c r="E2764" s="1" t="s">
        <v>1</v>
      </c>
      <c r="F2764" s="39">
        <v>0</v>
      </c>
    </row>
    <row r="2765" spans="1:6" x14ac:dyDescent="0.25">
      <c r="A2765" s="1" t="s">
        <v>4447</v>
      </c>
      <c r="B2765" s="1" t="s">
        <v>4448</v>
      </c>
      <c r="C2765" s="1" t="s">
        <v>2058</v>
      </c>
      <c r="D2765" s="39">
        <v>0</v>
      </c>
      <c r="E2765" s="1" t="s">
        <v>1</v>
      </c>
      <c r="F2765" s="39">
        <v>0</v>
      </c>
    </row>
    <row r="2766" spans="1:6" x14ac:dyDescent="0.25">
      <c r="A2766" s="1" t="s">
        <v>4449</v>
      </c>
      <c r="B2766" s="1" t="s">
        <v>4450</v>
      </c>
      <c r="C2766" s="1" t="s">
        <v>2058</v>
      </c>
      <c r="D2766" s="39">
        <v>0</v>
      </c>
      <c r="E2766" s="1" t="s">
        <v>1</v>
      </c>
      <c r="F2766" s="39">
        <v>0</v>
      </c>
    </row>
    <row r="2767" spans="1:6" x14ac:dyDescent="0.25">
      <c r="A2767" s="1" t="s">
        <v>4451</v>
      </c>
      <c r="B2767" s="1" t="s">
        <v>3701</v>
      </c>
      <c r="C2767" s="1" t="s">
        <v>2058</v>
      </c>
      <c r="D2767" s="39">
        <v>0</v>
      </c>
      <c r="E2767" s="1" t="s">
        <v>1</v>
      </c>
      <c r="F2767" s="39">
        <v>0</v>
      </c>
    </row>
    <row r="2768" spans="1:6" x14ac:dyDescent="0.25">
      <c r="A2768" s="1" t="s">
        <v>4452</v>
      </c>
      <c r="B2768" s="1" t="s">
        <v>4453</v>
      </c>
      <c r="C2768" s="1" t="s">
        <v>2058</v>
      </c>
      <c r="D2768" s="39">
        <v>0</v>
      </c>
      <c r="E2768" s="1" t="s">
        <v>1</v>
      </c>
      <c r="F2768" s="39">
        <v>0</v>
      </c>
    </row>
    <row r="2769" spans="1:6" x14ac:dyDescent="0.25">
      <c r="A2769" s="1" t="s">
        <v>4454</v>
      </c>
      <c r="B2769" s="1" t="s">
        <v>3704</v>
      </c>
      <c r="C2769" s="1" t="s">
        <v>2058</v>
      </c>
      <c r="D2769" s="39">
        <v>0</v>
      </c>
      <c r="E2769" s="1" t="s">
        <v>1</v>
      </c>
      <c r="F2769" s="39">
        <v>0</v>
      </c>
    </row>
    <row r="2770" spans="1:6" x14ac:dyDescent="0.25">
      <c r="A2770" s="1" t="s">
        <v>4455</v>
      </c>
      <c r="B2770" s="1" t="s">
        <v>3704</v>
      </c>
      <c r="C2770" s="1" t="s">
        <v>2058</v>
      </c>
      <c r="D2770" s="39">
        <v>0</v>
      </c>
      <c r="E2770" s="1" t="s">
        <v>1</v>
      </c>
      <c r="F2770" s="39">
        <v>0</v>
      </c>
    </row>
    <row r="2771" spans="1:6" x14ac:dyDescent="0.25">
      <c r="A2771" s="1" t="s">
        <v>4456</v>
      </c>
      <c r="B2771" s="1" t="s">
        <v>2161</v>
      </c>
      <c r="C2771" s="1" t="s">
        <v>2058</v>
      </c>
      <c r="D2771" s="39">
        <v>0</v>
      </c>
      <c r="E2771" s="1" t="s">
        <v>1</v>
      </c>
      <c r="F2771" s="39">
        <v>0</v>
      </c>
    </row>
    <row r="2772" spans="1:6" x14ac:dyDescent="0.25">
      <c r="A2772" s="1" t="s">
        <v>4457</v>
      </c>
      <c r="B2772" s="1" t="s">
        <v>4458</v>
      </c>
      <c r="C2772" s="1" t="s">
        <v>2058</v>
      </c>
      <c r="D2772" s="39">
        <v>0</v>
      </c>
      <c r="E2772" s="1" t="s">
        <v>1</v>
      </c>
      <c r="F2772" s="39">
        <v>0</v>
      </c>
    </row>
    <row r="2773" spans="1:6" x14ac:dyDescent="0.25">
      <c r="A2773" s="1" t="s">
        <v>4459</v>
      </c>
      <c r="B2773" s="1" t="s">
        <v>2163</v>
      </c>
      <c r="C2773" s="1" t="s">
        <v>2058</v>
      </c>
      <c r="D2773" s="39">
        <v>0</v>
      </c>
      <c r="E2773" s="1" t="s">
        <v>1</v>
      </c>
      <c r="F2773" s="39">
        <v>0</v>
      </c>
    </row>
    <row r="2774" spans="1:6" x14ac:dyDescent="0.25">
      <c r="A2774" s="1" t="s">
        <v>4460</v>
      </c>
      <c r="B2774" s="1" t="s">
        <v>2163</v>
      </c>
      <c r="C2774" s="1" t="s">
        <v>2058</v>
      </c>
      <c r="D2774" s="39">
        <v>0</v>
      </c>
      <c r="E2774" s="1" t="s">
        <v>1</v>
      </c>
      <c r="F2774" s="39">
        <v>0</v>
      </c>
    </row>
    <row r="2775" spans="1:6" x14ac:dyDescent="0.25">
      <c r="A2775" s="1" t="s">
        <v>4461</v>
      </c>
      <c r="B2775" s="1" t="s">
        <v>3707</v>
      </c>
      <c r="C2775" s="1" t="s">
        <v>2058</v>
      </c>
      <c r="D2775" s="39">
        <v>0</v>
      </c>
      <c r="E2775" s="1" t="s">
        <v>1</v>
      </c>
      <c r="F2775" s="39">
        <v>0</v>
      </c>
    </row>
    <row r="2776" spans="1:6" x14ac:dyDescent="0.25">
      <c r="A2776" s="1" t="s">
        <v>4462</v>
      </c>
      <c r="B2776" s="1" t="s">
        <v>2165</v>
      </c>
      <c r="C2776" s="1" t="s">
        <v>2058</v>
      </c>
      <c r="D2776" s="39">
        <v>0</v>
      </c>
      <c r="E2776" s="1" t="s">
        <v>1</v>
      </c>
      <c r="F2776" s="39">
        <v>0</v>
      </c>
    </row>
    <row r="2777" spans="1:6" x14ac:dyDescent="0.25">
      <c r="A2777" s="1" t="s">
        <v>143</v>
      </c>
      <c r="B2777" s="1" t="s">
        <v>144</v>
      </c>
      <c r="C2777" s="1" t="s">
        <v>2058</v>
      </c>
      <c r="D2777" s="39">
        <v>0</v>
      </c>
      <c r="E2777" s="1" t="s">
        <v>1</v>
      </c>
      <c r="F2777" s="39">
        <v>0</v>
      </c>
    </row>
    <row r="2778" spans="1:6" x14ac:dyDescent="0.25">
      <c r="A2778" s="1" t="s">
        <v>4463</v>
      </c>
      <c r="B2778" s="1" t="s">
        <v>3710</v>
      </c>
      <c r="C2778" s="1" t="s">
        <v>2058</v>
      </c>
      <c r="D2778" s="39">
        <v>0</v>
      </c>
      <c r="E2778" s="1" t="s">
        <v>1</v>
      </c>
      <c r="F2778" s="39">
        <v>0</v>
      </c>
    </row>
    <row r="2779" spans="1:6" x14ac:dyDescent="0.25">
      <c r="A2779" s="1" t="s">
        <v>4464</v>
      </c>
      <c r="B2779" s="1" t="s">
        <v>3710</v>
      </c>
      <c r="C2779" s="1" t="s">
        <v>2058</v>
      </c>
      <c r="D2779" s="39">
        <v>0</v>
      </c>
      <c r="E2779" s="1" t="s">
        <v>1</v>
      </c>
      <c r="F2779" s="39">
        <v>0</v>
      </c>
    </row>
    <row r="2780" spans="1:6" x14ac:dyDescent="0.25">
      <c r="A2780" s="1" t="s">
        <v>146</v>
      </c>
      <c r="B2780" s="1" t="s">
        <v>147</v>
      </c>
      <c r="C2780" s="1" t="s">
        <v>2058</v>
      </c>
      <c r="D2780" s="39">
        <v>0</v>
      </c>
      <c r="E2780" s="1" t="s">
        <v>1</v>
      </c>
      <c r="F2780" s="39">
        <v>0</v>
      </c>
    </row>
    <row r="2781" spans="1:6" x14ac:dyDescent="0.25">
      <c r="A2781" s="1" t="s">
        <v>4465</v>
      </c>
      <c r="B2781" s="1" t="s">
        <v>3713</v>
      </c>
      <c r="C2781" s="1" t="s">
        <v>2058</v>
      </c>
      <c r="D2781" s="39">
        <v>0</v>
      </c>
      <c r="E2781" s="1" t="s">
        <v>1</v>
      </c>
      <c r="F2781" s="39">
        <v>0</v>
      </c>
    </row>
    <row r="2782" spans="1:6" x14ac:dyDescent="0.25">
      <c r="A2782" s="1" t="s">
        <v>4466</v>
      </c>
      <c r="B2782" s="1" t="s">
        <v>3713</v>
      </c>
      <c r="C2782" s="1" t="s">
        <v>2058</v>
      </c>
      <c r="D2782" s="39">
        <v>0</v>
      </c>
      <c r="E2782" s="1" t="s">
        <v>1</v>
      </c>
      <c r="F2782" s="39">
        <v>0</v>
      </c>
    </row>
    <row r="2783" spans="1:6" x14ac:dyDescent="0.25">
      <c r="A2783" s="1" t="s">
        <v>149</v>
      </c>
      <c r="B2783" s="1" t="s">
        <v>150</v>
      </c>
      <c r="C2783" s="1" t="s">
        <v>2058</v>
      </c>
      <c r="D2783" s="39">
        <v>0</v>
      </c>
      <c r="E2783" s="1" t="s">
        <v>1</v>
      </c>
      <c r="F2783" s="39">
        <v>0</v>
      </c>
    </row>
    <row r="2784" spans="1:6" x14ac:dyDescent="0.25">
      <c r="A2784" s="1" t="s">
        <v>4467</v>
      </c>
      <c r="B2784" s="1" t="s">
        <v>3716</v>
      </c>
      <c r="C2784" s="1" t="s">
        <v>2058</v>
      </c>
      <c r="D2784" s="39">
        <v>0</v>
      </c>
      <c r="E2784" s="1" t="s">
        <v>1</v>
      </c>
      <c r="F2784" s="39">
        <v>0</v>
      </c>
    </row>
    <row r="2785" spans="1:6" x14ac:dyDescent="0.25">
      <c r="A2785" s="1" t="s">
        <v>4468</v>
      </c>
      <c r="B2785" s="1" t="s">
        <v>3716</v>
      </c>
      <c r="C2785" s="1" t="s">
        <v>2058</v>
      </c>
      <c r="D2785" s="39">
        <v>0</v>
      </c>
      <c r="E2785" s="1" t="s">
        <v>1</v>
      </c>
      <c r="F2785" s="39">
        <v>0</v>
      </c>
    </row>
    <row r="2786" spans="1:6" x14ac:dyDescent="0.25">
      <c r="A2786" s="1" t="s">
        <v>152</v>
      </c>
      <c r="B2786" s="1" t="s">
        <v>153</v>
      </c>
      <c r="C2786" s="1" t="s">
        <v>2058</v>
      </c>
      <c r="D2786" s="39">
        <v>0</v>
      </c>
      <c r="E2786" s="1" t="s">
        <v>1</v>
      </c>
      <c r="F2786" s="39">
        <v>0</v>
      </c>
    </row>
    <row r="2787" spans="1:6" x14ac:dyDescent="0.25">
      <c r="A2787" s="1" t="s">
        <v>4469</v>
      </c>
      <c r="B2787" s="1" t="s">
        <v>4470</v>
      </c>
      <c r="C2787" s="1" t="s">
        <v>2058</v>
      </c>
      <c r="D2787" s="39">
        <v>0</v>
      </c>
      <c r="E2787" s="1" t="s">
        <v>1</v>
      </c>
      <c r="F2787" s="39">
        <v>0</v>
      </c>
    </row>
    <row r="2788" spans="1:6" x14ac:dyDescent="0.25">
      <c r="A2788" s="1" t="s">
        <v>4471</v>
      </c>
      <c r="B2788" s="1" t="s">
        <v>3719</v>
      </c>
      <c r="C2788" s="1" t="s">
        <v>2058</v>
      </c>
      <c r="D2788" s="39">
        <v>0</v>
      </c>
      <c r="E2788" s="1" t="s">
        <v>1</v>
      </c>
      <c r="F2788" s="39">
        <v>0</v>
      </c>
    </row>
    <row r="2789" spans="1:6" x14ac:dyDescent="0.25">
      <c r="A2789" s="1" t="s">
        <v>156</v>
      </c>
      <c r="B2789" s="1" t="s">
        <v>157</v>
      </c>
      <c r="C2789" s="1" t="s">
        <v>2058</v>
      </c>
      <c r="D2789" s="39">
        <v>0</v>
      </c>
      <c r="E2789" s="1" t="s">
        <v>1</v>
      </c>
      <c r="F2789" s="39">
        <v>0</v>
      </c>
    </row>
    <row r="2790" spans="1:6" x14ac:dyDescent="0.25">
      <c r="A2790" s="1" t="s">
        <v>4472</v>
      </c>
      <c r="B2790" s="1" t="s">
        <v>3721</v>
      </c>
      <c r="C2790" s="1" t="s">
        <v>2058</v>
      </c>
      <c r="D2790" s="39">
        <v>0</v>
      </c>
      <c r="E2790" s="1" t="s">
        <v>1</v>
      </c>
      <c r="F2790" s="39">
        <v>0</v>
      </c>
    </row>
    <row r="2791" spans="1:6" x14ac:dyDescent="0.25">
      <c r="A2791" s="1" t="s">
        <v>4473</v>
      </c>
      <c r="B2791" s="1" t="s">
        <v>4474</v>
      </c>
      <c r="C2791" s="1" t="s">
        <v>2058</v>
      </c>
      <c r="D2791" s="39">
        <v>0</v>
      </c>
      <c r="E2791" s="1" t="s">
        <v>1</v>
      </c>
      <c r="F2791" s="39">
        <v>0</v>
      </c>
    </row>
    <row r="2792" spans="1:6" x14ac:dyDescent="0.25">
      <c r="A2792" s="1" t="s">
        <v>4475</v>
      </c>
      <c r="B2792" s="1" t="s">
        <v>2162</v>
      </c>
      <c r="C2792" s="1" t="s">
        <v>2058</v>
      </c>
      <c r="D2792" s="39">
        <v>0</v>
      </c>
      <c r="E2792" s="1" t="s">
        <v>1</v>
      </c>
      <c r="F2792" s="39">
        <v>0</v>
      </c>
    </row>
    <row r="2793" spans="1:6" x14ac:dyDescent="0.25">
      <c r="A2793" s="1" t="s">
        <v>4476</v>
      </c>
      <c r="B2793" s="1" t="s">
        <v>3723</v>
      </c>
      <c r="C2793" s="1" t="s">
        <v>2058</v>
      </c>
      <c r="D2793" s="39">
        <v>0</v>
      </c>
      <c r="E2793" s="1" t="s">
        <v>1</v>
      </c>
      <c r="F2793" s="39">
        <v>0</v>
      </c>
    </row>
    <row r="2794" spans="1:6" x14ac:dyDescent="0.25">
      <c r="A2794" s="1" t="s">
        <v>4477</v>
      </c>
      <c r="B2794" s="1" t="s">
        <v>4478</v>
      </c>
      <c r="C2794" s="1" t="s">
        <v>2058</v>
      </c>
      <c r="D2794" s="39">
        <v>0</v>
      </c>
      <c r="E2794" s="1" t="s">
        <v>1</v>
      </c>
      <c r="F2794" s="39">
        <v>0</v>
      </c>
    </row>
    <row r="2795" spans="1:6" x14ac:dyDescent="0.25">
      <c r="A2795" s="1" t="s">
        <v>4479</v>
      </c>
      <c r="B2795" s="1" t="s">
        <v>3725</v>
      </c>
      <c r="C2795" s="1" t="s">
        <v>2058</v>
      </c>
      <c r="D2795" s="39">
        <v>0</v>
      </c>
      <c r="E2795" s="1" t="s">
        <v>1</v>
      </c>
      <c r="F2795" s="39">
        <v>0</v>
      </c>
    </row>
    <row r="2796" spans="1:6" x14ac:dyDescent="0.25">
      <c r="A2796" s="1" t="s">
        <v>161</v>
      </c>
      <c r="B2796" s="1" t="s">
        <v>162</v>
      </c>
      <c r="C2796" s="1" t="s">
        <v>2058</v>
      </c>
      <c r="D2796" s="39">
        <v>0</v>
      </c>
      <c r="E2796" s="1" t="s">
        <v>1</v>
      </c>
      <c r="F2796" s="39">
        <v>0</v>
      </c>
    </row>
    <row r="2797" spans="1:6" x14ac:dyDescent="0.25">
      <c r="A2797" s="1" t="s">
        <v>4480</v>
      </c>
      <c r="B2797" s="1" t="s">
        <v>4481</v>
      </c>
      <c r="C2797" s="1" t="s">
        <v>2058</v>
      </c>
      <c r="D2797" s="39">
        <v>0</v>
      </c>
      <c r="E2797" s="1" t="s">
        <v>1</v>
      </c>
      <c r="F2797" s="39">
        <v>0</v>
      </c>
    </row>
    <row r="2798" spans="1:6" x14ac:dyDescent="0.25">
      <c r="A2798" s="1" t="s">
        <v>4482</v>
      </c>
      <c r="B2798" s="1" t="s">
        <v>3727</v>
      </c>
      <c r="C2798" s="1" t="s">
        <v>2058</v>
      </c>
      <c r="D2798" s="39">
        <v>0</v>
      </c>
      <c r="E2798" s="1" t="s">
        <v>1</v>
      </c>
      <c r="F2798" s="39">
        <v>0</v>
      </c>
    </row>
    <row r="2799" spans="1:6" x14ac:dyDescent="0.25">
      <c r="A2799" s="1" t="s">
        <v>4483</v>
      </c>
      <c r="B2799" s="1" t="s">
        <v>2174</v>
      </c>
      <c r="C2799" s="1" t="s">
        <v>2058</v>
      </c>
      <c r="D2799" s="39">
        <v>0</v>
      </c>
      <c r="E2799" s="1" t="s">
        <v>1</v>
      </c>
      <c r="F2799" s="39">
        <v>0</v>
      </c>
    </row>
    <row r="2800" spans="1:6" x14ac:dyDescent="0.25">
      <c r="A2800" s="1" t="s">
        <v>4484</v>
      </c>
      <c r="B2800" s="1" t="s">
        <v>2175</v>
      </c>
      <c r="C2800" s="1" t="s">
        <v>2058</v>
      </c>
      <c r="D2800" s="39">
        <v>0</v>
      </c>
      <c r="E2800" s="1" t="s">
        <v>1</v>
      </c>
      <c r="F2800" s="39">
        <v>0</v>
      </c>
    </row>
    <row r="2801" spans="1:6" x14ac:dyDescent="0.25">
      <c r="A2801" s="1" t="s">
        <v>175</v>
      </c>
      <c r="B2801" s="1" t="s">
        <v>176</v>
      </c>
      <c r="C2801" s="1" t="s">
        <v>2058</v>
      </c>
      <c r="D2801" s="39">
        <v>0</v>
      </c>
      <c r="E2801" s="1" t="s">
        <v>1</v>
      </c>
      <c r="F2801" s="39">
        <v>0</v>
      </c>
    </row>
    <row r="2802" spans="1:6" x14ac:dyDescent="0.25">
      <c r="A2802" s="1" t="s">
        <v>4485</v>
      </c>
      <c r="B2802" s="1" t="s">
        <v>176</v>
      </c>
      <c r="C2802" s="1" t="s">
        <v>2058</v>
      </c>
      <c r="D2802" s="39">
        <v>0</v>
      </c>
      <c r="E2802" s="1" t="s">
        <v>1</v>
      </c>
      <c r="F2802" s="39">
        <v>0</v>
      </c>
    </row>
    <row r="2803" spans="1:6" x14ac:dyDescent="0.25">
      <c r="A2803" s="1" t="s">
        <v>4486</v>
      </c>
      <c r="B2803" s="1" t="s">
        <v>4487</v>
      </c>
      <c r="C2803" s="1" t="s">
        <v>2058</v>
      </c>
      <c r="D2803" s="39">
        <v>0</v>
      </c>
      <c r="E2803" s="1" t="s">
        <v>1</v>
      </c>
      <c r="F2803" s="39">
        <v>0</v>
      </c>
    </row>
    <row r="2804" spans="1:6" x14ac:dyDescent="0.25">
      <c r="A2804" s="1" t="s">
        <v>4488</v>
      </c>
      <c r="B2804" s="1" t="s">
        <v>2177</v>
      </c>
      <c r="C2804" s="1" t="s">
        <v>2058</v>
      </c>
      <c r="D2804" s="39">
        <v>0</v>
      </c>
      <c r="E2804" s="1" t="s">
        <v>1</v>
      </c>
      <c r="F2804" s="39">
        <v>0</v>
      </c>
    </row>
    <row r="2805" spans="1:6" x14ac:dyDescent="0.25">
      <c r="A2805" s="1" t="s">
        <v>4489</v>
      </c>
      <c r="B2805" s="1" t="s">
        <v>2459</v>
      </c>
      <c r="C2805" s="1" t="s">
        <v>2058</v>
      </c>
      <c r="D2805" s="39">
        <v>0</v>
      </c>
      <c r="E2805" s="1" t="s">
        <v>1</v>
      </c>
      <c r="F2805" s="39">
        <v>0</v>
      </c>
    </row>
    <row r="2806" spans="1:6" x14ac:dyDescent="0.25">
      <c r="A2806" s="1" t="s">
        <v>4490</v>
      </c>
      <c r="B2806" s="1" t="s">
        <v>4491</v>
      </c>
      <c r="C2806" s="1" t="s">
        <v>2058</v>
      </c>
      <c r="D2806" s="39">
        <v>0</v>
      </c>
      <c r="E2806" s="1" t="s">
        <v>1</v>
      </c>
      <c r="F2806" s="39">
        <v>0</v>
      </c>
    </row>
    <row r="2807" spans="1:6" x14ac:dyDescent="0.25">
      <c r="A2807" s="1" t="s">
        <v>4492</v>
      </c>
      <c r="B2807" s="1" t="s">
        <v>2179</v>
      </c>
      <c r="C2807" s="1" t="s">
        <v>2058</v>
      </c>
      <c r="D2807" s="39">
        <v>0</v>
      </c>
      <c r="E2807" s="1" t="s">
        <v>1</v>
      </c>
      <c r="F2807" s="39">
        <v>0</v>
      </c>
    </row>
    <row r="2808" spans="1:6" x14ac:dyDescent="0.25">
      <c r="A2808" s="1" t="s">
        <v>4493</v>
      </c>
      <c r="B2808" s="1" t="s">
        <v>4494</v>
      </c>
      <c r="C2808" s="1" t="s">
        <v>2058</v>
      </c>
      <c r="D2808" s="39">
        <v>0</v>
      </c>
      <c r="E2808" s="1" t="s">
        <v>1</v>
      </c>
      <c r="F2808" s="39">
        <v>0</v>
      </c>
    </row>
    <row r="2809" spans="1:6" x14ac:dyDescent="0.25">
      <c r="A2809" s="1" t="s">
        <v>4495</v>
      </c>
      <c r="B2809" s="1" t="s">
        <v>3733</v>
      </c>
      <c r="C2809" s="1" t="s">
        <v>2058</v>
      </c>
      <c r="D2809" s="39">
        <v>0</v>
      </c>
      <c r="E2809" s="1" t="s">
        <v>1</v>
      </c>
      <c r="F2809" s="39">
        <v>0</v>
      </c>
    </row>
    <row r="2810" spans="1:6" x14ac:dyDescent="0.25">
      <c r="A2810" s="1" t="s">
        <v>4496</v>
      </c>
      <c r="B2810" s="1" t="s">
        <v>3733</v>
      </c>
      <c r="C2810" s="1" t="s">
        <v>2058</v>
      </c>
      <c r="D2810" s="39">
        <v>0</v>
      </c>
      <c r="E2810" s="1" t="s">
        <v>1</v>
      </c>
      <c r="F2810" s="39">
        <v>0</v>
      </c>
    </row>
    <row r="2811" spans="1:6" x14ac:dyDescent="0.25">
      <c r="A2811" s="1" t="s">
        <v>4497</v>
      </c>
      <c r="B2811" s="1" t="s">
        <v>3737</v>
      </c>
      <c r="C2811" s="1" t="s">
        <v>2058</v>
      </c>
      <c r="D2811" s="39">
        <v>0</v>
      </c>
      <c r="E2811" s="1" t="s">
        <v>1</v>
      </c>
      <c r="F2811" s="39">
        <v>0</v>
      </c>
    </row>
    <row r="2812" spans="1:6" x14ac:dyDescent="0.25">
      <c r="A2812" s="1" t="s">
        <v>4498</v>
      </c>
      <c r="B2812" s="1" t="s">
        <v>4499</v>
      </c>
      <c r="C2812" s="1" t="s">
        <v>2058</v>
      </c>
      <c r="D2812" s="39">
        <v>0</v>
      </c>
      <c r="E2812" s="1" t="s">
        <v>1</v>
      </c>
      <c r="F2812" s="39">
        <v>0</v>
      </c>
    </row>
    <row r="2813" spans="1:6" x14ac:dyDescent="0.25">
      <c r="A2813" s="1" t="s">
        <v>4500</v>
      </c>
      <c r="B2813" s="1" t="s">
        <v>3739</v>
      </c>
      <c r="C2813" s="1" t="s">
        <v>2058</v>
      </c>
      <c r="D2813" s="39">
        <v>0</v>
      </c>
      <c r="E2813" s="1" t="s">
        <v>1</v>
      </c>
      <c r="F2813" s="39">
        <v>0</v>
      </c>
    </row>
    <row r="2814" spans="1:6" x14ac:dyDescent="0.25">
      <c r="A2814" s="1" t="s">
        <v>4501</v>
      </c>
      <c r="B2814" s="1" t="s">
        <v>3739</v>
      </c>
      <c r="C2814" s="1" t="s">
        <v>2058</v>
      </c>
      <c r="D2814" s="39">
        <v>0</v>
      </c>
      <c r="E2814" s="1" t="s">
        <v>1</v>
      </c>
      <c r="F2814" s="39">
        <v>0</v>
      </c>
    </row>
    <row r="2815" spans="1:6" x14ac:dyDescent="0.25">
      <c r="A2815" s="1" t="s">
        <v>4502</v>
      </c>
      <c r="B2815" s="1" t="s">
        <v>4503</v>
      </c>
      <c r="C2815" s="1" t="s">
        <v>2058</v>
      </c>
      <c r="D2815" s="39">
        <v>0</v>
      </c>
      <c r="E2815" s="1" t="s">
        <v>1</v>
      </c>
      <c r="F2815" s="39">
        <v>0</v>
      </c>
    </row>
    <row r="2816" spans="1:6" x14ac:dyDescent="0.25">
      <c r="A2816" s="1" t="s">
        <v>636</v>
      </c>
      <c r="B2816" s="1" t="s">
        <v>637</v>
      </c>
      <c r="C2816" s="1" t="s">
        <v>2058</v>
      </c>
      <c r="D2816" s="39">
        <v>0</v>
      </c>
      <c r="E2816" s="1" t="s">
        <v>1</v>
      </c>
      <c r="F2816" s="39">
        <v>0</v>
      </c>
    </row>
    <row r="2817" spans="1:6" x14ac:dyDescent="0.25">
      <c r="A2817" s="1" t="s">
        <v>4504</v>
      </c>
      <c r="B2817" s="1" t="s">
        <v>3743</v>
      </c>
      <c r="C2817" s="1" t="s">
        <v>2058</v>
      </c>
      <c r="D2817" s="39">
        <v>0</v>
      </c>
      <c r="E2817" s="1" t="s">
        <v>1</v>
      </c>
      <c r="F2817" s="39">
        <v>0</v>
      </c>
    </row>
    <row r="2818" spans="1:6" x14ac:dyDescent="0.25">
      <c r="A2818" s="1" t="s">
        <v>4505</v>
      </c>
      <c r="B2818" s="1" t="s">
        <v>3745</v>
      </c>
      <c r="C2818" s="1" t="s">
        <v>2058</v>
      </c>
      <c r="D2818" s="39">
        <v>0</v>
      </c>
      <c r="E2818" s="1" t="s">
        <v>1</v>
      </c>
      <c r="F2818" s="39">
        <v>0</v>
      </c>
    </row>
    <row r="2819" spans="1:6" x14ac:dyDescent="0.25">
      <c r="A2819" s="1" t="s">
        <v>4506</v>
      </c>
      <c r="B2819" s="1" t="s">
        <v>3745</v>
      </c>
      <c r="C2819" s="1" t="s">
        <v>2058</v>
      </c>
      <c r="D2819" s="39">
        <v>0</v>
      </c>
      <c r="E2819" s="1" t="s">
        <v>1</v>
      </c>
      <c r="F2819" s="39">
        <v>0</v>
      </c>
    </row>
    <row r="2820" spans="1:6" x14ac:dyDescent="0.25">
      <c r="A2820" s="1" t="s">
        <v>642</v>
      </c>
      <c r="B2820" s="1" t="s">
        <v>643</v>
      </c>
      <c r="C2820" s="1" t="s">
        <v>2058</v>
      </c>
      <c r="D2820" s="39">
        <v>0</v>
      </c>
      <c r="E2820" s="1" t="s">
        <v>1</v>
      </c>
      <c r="F2820" s="39">
        <v>0</v>
      </c>
    </row>
    <row r="2821" spans="1:6" x14ac:dyDescent="0.25">
      <c r="A2821" s="1" t="s">
        <v>4507</v>
      </c>
      <c r="B2821" s="1" t="s">
        <v>643</v>
      </c>
      <c r="C2821" s="1" t="s">
        <v>2058</v>
      </c>
      <c r="D2821" s="39">
        <v>0</v>
      </c>
      <c r="E2821" s="1" t="s">
        <v>1</v>
      </c>
      <c r="F2821" s="39">
        <v>0</v>
      </c>
    </row>
    <row r="2822" spans="1:6" x14ac:dyDescent="0.25">
      <c r="A2822" s="1" t="s">
        <v>4508</v>
      </c>
      <c r="B2822" s="1" t="s">
        <v>182</v>
      </c>
      <c r="C2822" s="1" t="s">
        <v>2058</v>
      </c>
      <c r="D2822" s="39">
        <v>0</v>
      </c>
      <c r="E2822" s="1" t="s">
        <v>1</v>
      </c>
      <c r="F2822" s="39">
        <v>0</v>
      </c>
    </row>
    <row r="2823" spans="1:6" x14ac:dyDescent="0.25">
      <c r="A2823" s="1" t="s">
        <v>4509</v>
      </c>
      <c r="B2823" s="1" t="s">
        <v>3751</v>
      </c>
      <c r="C2823" s="1" t="s">
        <v>2058</v>
      </c>
      <c r="D2823" s="39">
        <v>0</v>
      </c>
      <c r="E2823" s="1" t="s">
        <v>1</v>
      </c>
      <c r="F2823" s="39">
        <v>0</v>
      </c>
    </row>
    <row r="2824" spans="1:6" x14ac:dyDescent="0.25">
      <c r="A2824" s="1" t="s">
        <v>4510</v>
      </c>
      <c r="B2824" s="1" t="s">
        <v>3751</v>
      </c>
      <c r="C2824" s="1" t="s">
        <v>2058</v>
      </c>
      <c r="D2824" s="39">
        <v>0</v>
      </c>
      <c r="E2824" s="1" t="s">
        <v>1</v>
      </c>
      <c r="F2824" s="39">
        <v>0</v>
      </c>
    </row>
    <row r="2825" spans="1:6" x14ac:dyDescent="0.25">
      <c r="A2825" s="1" t="s">
        <v>4511</v>
      </c>
      <c r="B2825" s="1" t="s">
        <v>3755</v>
      </c>
      <c r="C2825" s="1" t="s">
        <v>2058</v>
      </c>
      <c r="D2825" s="39">
        <v>0</v>
      </c>
      <c r="E2825" s="1" t="s">
        <v>1</v>
      </c>
      <c r="F2825" s="39">
        <v>0</v>
      </c>
    </row>
    <row r="2826" spans="1:6" x14ac:dyDescent="0.25">
      <c r="A2826" s="1" t="s">
        <v>4512</v>
      </c>
      <c r="B2826" s="1" t="s">
        <v>3755</v>
      </c>
      <c r="C2826" s="1" t="s">
        <v>2058</v>
      </c>
      <c r="D2826" s="39">
        <v>0</v>
      </c>
      <c r="E2826" s="1" t="s">
        <v>1</v>
      </c>
      <c r="F2826" s="39">
        <v>0</v>
      </c>
    </row>
    <row r="2827" spans="1:6" x14ac:dyDescent="0.25">
      <c r="A2827" s="1" t="s">
        <v>4513</v>
      </c>
      <c r="B2827" s="1" t="s">
        <v>3759</v>
      </c>
      <c r="C2827" s="1" t="s">
        <v>2058</v>
      </c>
      <c r="D2827" s="39">
        <v>0</v>
      </c>
      <c r="E2827" s="1" t="s">
        <v>1</v>
      </c>
      <c r="F2827" s="39">
        <v>0</v>
      </c>
    </row>
    <row r="2828" spans="1:6" x14ac:dyDescent="0.25">
      <c r="A2828" s="1" t="s">
        <v>4514</v>
      </c>
      <c r="B2828" s="1" t="s">
        <v>3759</v>
      </c>
      <c r="C2828" s="1" t="s">
        <v>2058</v>
      </c>
      <c r="D2828" s="39">
        <v>0</v>
      </c>
      <c r="E2828" s="1" t="s">
        <v>1</v>
      </c>
      <c r="F2828" s="39">
        <v>0</v>
      </c>
    </row>
    <row r="2829" spans="1:6" x14ac:dyDescent="0.25">
      <c r="A2829" s="1" t="s">
        <v>4515</v>
      </c>
      <c r="B2829" s="1" t="s">
        <v>3763</v>
      </c>
      <c r="C2829" s="1" t="s">
        <v>2058</v>
      </c>
      <c r="D2829" s="39">
        <v>0</v>
      </c>
      <c r="E2829" s="1" t="s">
        <v>1</v>
      </c>
      <c r="F2829" s="39">
        <v>0</v>
      </c>
    </row>
    <row r="2830" spans="1:6" x14ac:dyDescent="0.25">
      <c r="A2830" s="1" t="s">
        <v>4516</v>
      </c>
      <c r="B2830" s="1" t="s">
        <v>3763</v>
      </c>
      <c r="C2830" s="1" t="s">
        <v>2058</v>
      </c>
      <c r="D2830" s="39">
        <v>0</v>
      </c>
      <c r="E2830" s="1" t="s">
        <v>1</v>
      </c>
      <c r="F2830" s="39">
        <v>0</v>
      </c>
    </row>
    <row r="2831" spans="1:6" x14ac:dyDescent="0.25">
      <c r="A2831" s="1" t="s">
        <v>4517</v>
      </c>
      <c r="B2831" s="1" t="s">
        <v>184</v>
      </c>
      <c r="C2831" s="1" t="s">
        <v>2058</v>
      </c>
      <c r="D2831" s="39">
        <v>0</v>
      </c>
      <c r="E2831" s="1" t="s">
        <v>1</v>
      </c>
      <c r="F2831" s="39">
        <v>0</v>
      </c>
    </row>
    <row r="2832" spans="1:6" x14ac:dyDescent="0.25">
      <c r="A2832" s="1" t="s">
        <v>4518</v>
      </c>
      <c r="B2832" s="1" t="s">
        <v>3765</v>
      </c>
      <c r="C2832" s="1" t="s">
        <v>2058</v>
      </c>
      <c r="D2832" s="39">
        <v>0</v>
      </c>
      <c r="E2832" s="1" t="s">
        <v>1</v>
      </c>
      <c r="F2832" s="39">
        <v>0</v>
      </c>
    </row>
    <row r="2833" spans="1:6" x14ac:dyDescent="0.25">
      <c r="A2833" s="1" t="s">
        <v>4519</v>
      </c>
      <c r="B2833" s="1" t="s">
        <v>3765</v>
      </c>
      <c r="C2833" s="1" t="s">
        <v>2058</v>
      </c>
      <c r="D2833" s="39">
        <v>0</v>
      </c>
      <c r="E2833" s="1" t="s">
        <v>1</v>
      </c>
      <c r="F2833" s="39">
        <v>0</v>
      </c>
    </row>
    <row r="2834" spans="1:6" x14ac:dyDescent="0.25">
      <c r="A2834" s="1" t="s">
        <v>4520</v>
      </c>
      <c r="B2834" s="1" t="s">
        <v>3768</v>
      </c>
      <c r="C2834" s="1" t="s">
        <v>2058</v>
      </c>
      <c r="D2834" s="39">
        <v>0</v>
      </c>
      <c r="E2834" s="1" t="s">
        <v>1</v>
      </c>
      <c r="F2834" s="39">
        <v>0</v>
      </c>
    </row>
    <row r="2835" spans="1:6" x14ac:dyDescent="0.25">
      <c r="A2835" s="1" t="s">
        <v>4521</v>
      </c>
      <c r="B2835" s="1" t="s">
        <v>3770</v>
      </c>
      <c r="C2835" s="1" t="s">
        <v>2058</v>
      </c>
      <c r="D2835" s="39">
        <v>0</v>
      </c>
      <c r="E2835" s="1" t="s">
        <v>1</v>
      </c>
      <c r="F2835" s="39">
        <v>0</v>
      </c>
    </row>
    <row r="2836" spans="1:6" x14ac:dyDescent="0.25">
      <c r="A2836" s="1" t="s">
        <v>4522</v>
      </c>
      <c r="B2836" s="1" t="s">
        <v>3770</v>
      </c>
      <c r="C2836" s="1" t="s">
        <v>2058</v>
      </c>
      <c r="D2836" s="39">
        <v>0</v>
      </c>
      <c r="E2836" s="1" t="s">
        <v>1</v>
      </c>
      <c r="F2836" s="39">
        <v>0</v>
      </c>
    </row>
    <row r="2837" spans="1:6" x14ac:dyDescent="0.25">
      <c r="A2837" s="1" t="s">
        <v>4523</v>
      </c>
      <c r="B2837" s="1" t="s">
        <v>3773</v>
      </c>
      <c r="C2837" s="1" t="s">
        <v>2058</v>
      </c>
      <c r="D2837" s="39">
        <v>0</v>
      </c>
      <c r="E2837" s="1" t="s">
        <v>1</v>
      </c>
      <c r="F2837" s="39">
        <v>0</v>
      </c>
    </row>
    <row r="2838" spans="1:6" x14ac:dyDescent="0.25">
      <c r="A2838" s="1" t="s">
        <v>4524</v>
      </c>
      <c r="B2838" s="1" t="s">
        <v>2180</v>
      </c>
      <c r="C2838" s="1" t="s">
        <v>2058</v>
      </c>
      <c r="D2838" s="39">
        <v>0</v>
      </c>
      <c r="E2838" s="1" t="s">
        <v>1</v>
      </c>
      <c r="F2838" s="39">
        <v>0</v>
      </c>
    </row>
    <row r="2839" spans="1:6" x14ac:dyDescent="0.25">
      <c r="A2839" s="1" t="s">
        <v>4525</v>
      </c>
      <c r="B2839" s="1" t="s">
        <v>4526</v>
      </c>
      <c r="C2839" s="1" t="s">
        <v>2058</v>
      </c>
      <c r="D2839" s="39">
        <v>0</v>
      </c>
      <c r="E2839" s="1" t="s">
        <v>1</v>
      </c>
      <c r="F2839" s="39">
        <v>0</v>
      </c>
    </row>
    <row r="2840" spans="1:6" x14ac:dyDescent="0.25">
      <c r="A2840" s="1" t="s">
        <v>194</v>
      </c>
      <c r="B2840" s="1" t="s">
        <v>195</v>
      </c>
      <c r="C2840" s="1" t="s">
        <v>2058</v>
      </c>
      <c r="D2840" s="39">
        <v>0</v>
      </c>
      <c r="E2840" s="1" t="s">
        <v>1</v>
      </c>
      <c r="F2840" s="39">
        <v>0</v>
      </c>
    </row>
    <row r="2841" spans="1:6" x14ac:dyDescent="0.25">
      <c r="A2841" s="1" t="s">
        <v>4527</v>
      </c>
      <c r="B2841" s="1" t="s">
        <v>3775</v>
      </c>
      <c r="C2841" s="1" t="s">
        <v>2058</v>
      </c>
      <c r="D2841" s="39">
        <v>0</v>
      </c>
      <c r="E2841" s="1" t="s">
        <v>1</v>
      </c>
      <c r="F2841" s="39">
        <v>0</v>
      </c>
    </row>
    <row r="2842" spans="1:6" x14ac:dyDescent="0.25">
      <c r="A2842" s="1" t="s">
        <v>4528</v>
      </c>
      <c r="B2842" s="1" t="s">
        <v>3777</v>
      </c>
      <c r="C2842" s="1" t="s">
        <v>2058</v>
      </c>
      <c r="D2842" s="39">
        <v>0</v>
      </c>
      <c r="E2842" s="1" t="s">
        <v>1</v>
      </c>
      <c r="F2842" s="39">
        <v>0</v>
      </c>
    </row>
    <row r="2843" spans="1:6" x14ac:dyDescent="0.25">
      <c r="A2843" s="1" t="s">
        <v>4529</v>
      </c>
      <c r="B2843" s="1" t="s">
        <v>3779</v>
      </c>
      <c r="C2843" s="1" t="s">
        <v>2058</v>
      </c>
      <c r="D2843" s="39">
        <v>0</v>
      </c>
      <c r="E2843" s="1" t="s">
        <v>1</v>
      </c>
      <c r="F2843" s="39">
        <v>0</v>
      </c>
    </row>
    <row r="2844" spans="1:6" x14ac:dyDescent="0.25">
      <c r="A2844" s="1" t="s">
        <v>4530</v>
      </c>
      <c r="B2844" s="1" t="s">
        <v>3781</v>
      </c>
      <c r="C2844" s="1" t="s">
        <v>2058</v>
      </c>
      <c r="D2844" s="39">
        <v>0</v>
      </c>
      <c r="E2844" s="1" t="s">
        <v>1</v>
      </c>
      <c r="F2844" s="39">
        <v>0</v>
      </c>
    </row>
    <row r="2845" spans="1:6" x14ac:dyDescent="0.25">
      <c r="A2845" s="1" t="s">
        <v>4531</v>
      </c>
      <c r="B2845" s="1" t="s">
        <v>3781</v>
      </c>
      <c r="C2845" s="1" t="s">
        <v>2058</v>
      </c>
      <c r="D2845" s="39">
        <v>0</v>
      </c>
      <c r="E2845" s="1" t="s">
        <v>1</v>
      </c>
      <c r="F2845" s="39">
        <v>0</v>
      </c>
    </row>
    <row r="2846" spans="1:6" x14ac:dyDescent="0.25">
      <c r="A2846" s="1" t="s">
        <v>4532</v>
      </c>
      <c r="B2846" s="1" t="s">
        <v>4533</v>
      </c>
      <c r="C2846" s="1" t="s">
        <v>2058</v>
      </c>
      <c r="D2846" s="39">
        <v>0</v>
      </c>
      <c r="E2846" s="1" t="s">
        <v>1</v>
      </c>
      <c r="F2846" s="39">
        <v>0</v>
      </c>
    </row>
    <row r="2847" spans="1:6" x14ac:dyDescent="0.25">
      <c r="A2847" s="1" t="s">
        <v>4534</v>
      </c>
      <c r="B2847" s="1" t="s">
        <v>3785</v>
      </c>
      <c r="C2847" s="1" t="s">
        <v>2058</v>
      </c>
      <c r="D2847" s="39">
        <v>0</v>
      </c>
      <c r="E2847" s="1" t="s">
        <v>1</v>
      </c>
      <c r="F2847" s="39">
        <v>0</v>
      </c>
    </row>
    <row r="2848" spans="1:6" x14ac:dyDescent="0.25">
      <c r="A2848" s="1" t="s">
        <v>199</v>
      </c>
      <c r="B2848" s="1" t="s">
        <v>200</v>
      </c>
      <c r="C2848" s="1" t="s">
        <v>2058</v>
      </c>
      <c r="D2848" s="39">
        <v>0</v>
      </c>
      <c r="E2848" s="1" t="s">
        <v>1</v>
      </c>
      <c r="F2848" s="39">
        <v>0</v>
      </c>
    </row>
    <row r="2849" spans="1:6" x14ac:dyDescent="0.25">
      <c r="A2849" s="1" t="s">
        <v>4535</v>
      </c>
      <c r="B2849" s="1" t="s">
        <v>3787</v>
      </c>
      <c r="C2849" s="1" t="s">
        <v>2058</v>
      </c>
      <c r="D2849" s="39">
        <v>0</v>
      </c>
      <c r="E2849" s="1" t="s">
        <v>1</v>
      </c>
      <c r="F2849" s="39">
        <v>0</v>
      </c>
    </row>
    <row r="2850" spans="1:6" x14ac:dyDescent="0.25">
      <c r="A2850" s="1" t="s">
        <v>4536</v>
      </c>
      <c r="B2850" s="1" t="s">
        <v>3787</v>
      </c>
      <c r="C2850" s="1" t="s">
        <v>2058</v>
      </c>
      <c r="D2850" s="39">
        <v>0</v>
      </c>
      <c r="E2850" s="1" t="s">
        <v>1</v>
      </c>
      <c r="F2850" s="39">
        <v>0</v>
      </c>
    </row>
    <row r="2851" spans="1:6" x14ac:dyDescent="0.25">
      <c r="A2851" s="1" t="s">
        <v>4537</v>
      </c>
      <c r="B2851" s="1" t="s">
        <v>4538</v>
      </c>
      <c r="C2851" s="1" t="s">
        <v>2058</v>
      </c>
      <c r="D2851" s="39">
        <v>0</v>
      </c>
      <c r="E2851" s="1" t="s">
        <v>1</v>
      </c>
      <c r="F2851" s="39">
        <v>0</v>
      </c>
    </row>
    <row r="2852" spans="1:6" x14ac:dyDescent="0.25">
      <c r="A2852" s="1" t="s">
        <v>4539</v>
      </c>
      <c r="B2852" s="1" t="s">
        <v>4540</v>
      </c>
      <c r="C2852" s="1" t="s">
        <v>2058</v>
      </c>
      <c r="D2852" s="39">
        <v>0</v>
      </c>
      <c r="E2852" s="1" t="s">
        <v>1</v>
      </c>
      <c r="F2852" s="39">
        <v>0</v>
      </c>
    </row>
    <row r="2853" spans="1:6" x14ac:dyDescent="0.25">
      <c r="A2853" s="1" t="s">
        <v>4541</v>
      </c>
      <c r="B2853" s="1" t="s">
        <v>4542</v>
      </c>
      <c r="C2853" s="1" t="s">
        <v>2058</v>
      </c>
      <c r="D2853" s="39">
        <v>0</v>
      </c>
      <c r="E2853" s="1" t="s">
        <v>1</v>
      </c>
      <c r="F2853" s="39">
        <v>0</v>
      </c>
    </row>
    <row r="2854" spans="1:6" x14ac:dyDescent="0.25">
      <c r="A2854" s="1" t="s">
        <v>4543</v>
      </c>
      <c r="B2854" s="1" t="s">
        <v>2465</v>
      </c>
      <c r="C2854" s="1" t="s">
        <v>2058</v>
      </c>
      <c r="D2854" s="39">
        <v>0</v>
      </c>
      <c r="E2854" s="1" t="s">
        <v>1</v>
      </c>
      <c r="F2854" s="39">
        <v>0</v>
      </c>
    </row>
    <row r="2855" spans="1:6" x14ac:dyDescent="0.25">
      <c r="A2855" s="1" t="s">
        <v>4544</v>
      </c>
      <c r="B2855" s="1" t="s">
        <v>2465</v>
      </c>
      <c r="C2855" s="1" t="s">
        <v>2058</v>
      </c>
      <c r="D2855" s="39">
        <v>0</v>
      </c>
      <c r="E2855" s="1" t="s">
        <v>1</v>
      </c>
      <c r="F2855" s="39">
        <v>0</v>
      </c>
    </row>
    <row r="2856" spans="1:6" x14ac:dyDescent="0.25">
      <c r="A2856" s="1" t="s">
        <v>4545</v>
      </c>
      <c r="B2856" s="1" t="s">
        <v>2185</v>
      </c>
      <c r="C2856" s="1" t="s">
        <v>2058</v>
      </c>
      <c r="D2856" s="39">
        <v>0</v>
      </c>
      <c r="E2856" s="1" t="s">
        <v>1</v>
      </c>
      <c r="F2856" s="39">
        <v>0</v>
      </c>
    </row>
    <row r="2857" spans="1:6" x14ac:dyDescent="0.25">
      <c r="A2857" s="1" t="s">
        <v>4546</v>
      </c>
      <c r="B2857" s="1" t="s">
        <v>4547</v>
      </c>
      <c r="C2857" s="1" t="s">
        <v>2058</v>
      </c>
      <c r="D2857" s="39">
        <v>0</v>
      </c>
      <c r="E2857" s="1" t="s">
        <v>1</v>
      </c>
      <c r="F2857" s="39">
        <v>0</v>
      </c>
    </row>
    <row r="2858" spans="1:6" x14ac:dyDescent="0.25">
      <c r="A2858" s="1" t="s">
        <v>4548</v>
      </c>
      <c r="B2858" s="1" t="s">
        <v>3796</v>
      </c>
      <c r="C2858" s="1" t="s">
        <v>2058</v>
      </c>
      <c r="D2858" s="39">
        <v>0</v>
      </c>
      <c r="E2858" s="1" t="s">
        <v>1</v>
      </c>
      <c r="F2858" s="39">
        <v>0</v>
      </c>
    </row>
    <row r="2859" spans="1:6" x14ac:dyDescent="0.25">
      <c r="A2859" s="1" t="s">
        <v>4549</v>
      </c>
      <c r="B2859" s="1" t="s">
        <v>3796</v>
      </c>
      <c r="C2859" s="1" t="s">
        <v>2058</v>
      </c>
      <c r="D2859" s="39">
        <v>0</v>
      </c>
      <c r="E2859" s="1" t="s">
        <v>1</v>
      </c>
      <c r="F2859" s="39">
        <v>0</v>
      </c>
    </row>
    <row r="2860" spans="1:6" x14ac:dyDescent="0.25">
      <c r="A2860" s="1" t="s">
        <v>4550</v>
      </c>
      <c r="B2860" s="1" t="s">
        <v>4551</v>
      </c>
      <c r="C2860" s="1" t="s">
        <v>2058</v>
      </c>
      <c r="D2860" s="39">
        <v>0</v>
      </c>
      <c r="E2860" s="1" t="s">
        <v>1</v>
      </c>
      <c r="F2860" s="39">
        <v>0</v>
      </c>
    </row>
    <row r="2861" spans="1:6" x14ac:dyDescent="0.25">
      <c r="A2861" s="1" t="s">
        <v>4552</v>
      </c>
      <c r="B2861" s="1" t="s">
        <v>2186</v>
      </c>
      <c r="C2861" s="1" t="s">
        <v>2058</v>
      </c>
      <c r="D2861" s="39">
        <v>0</v>
      </c>
      <c r="E2861" s="1" t="s">
        <v>1</v>
      </c>
      <c r="F2861" s="39">
        <v>0</v>
      </c>
    </row>
    <row r="2862" spans="1:6" x14ac:dyDescent="0.25">
      <c r="A2862" s="1" t="s">
        <v>4553</v>
      </c>
      <c r="B2862" s="1" t="s">
        <v>4554</v>
      </c>
      <c r="C2862" s="1" t="s">
        <v>2058</v>
      </c>
      <c r="D2862" s="39">
        <v>0</v>
      </c>
      <c r="E2862" s="1" t="s">
        <v>1</v>
      </c>
      <c r="F2862" s="39">
        <v>0</v>
      </c>
    </row>
    <row r="2863" spans="1:6" x14ac:dyDescent="0.25">
      <c r="A2863" s="1" t="s">
        <v>4555</v>
      </c>
      <c r="B2863" s="1" t="s">
        <v>4556</v>
      </c>
      <c r="C2863" s="1" t="s">
        <v>2058</v>
      </c>
      <c r="D2863" s="39">
        <v>0</v>
      </c>
      <c r="E2863" s="1" t="s">
        <v>1</v>
      </c>
      <c r="F2863" s="39">
        <v>0</v>
      </c>
    </row>
    <row r="2864" spans="1:6" x14ac:dyDescent="0.25">
      <c r="A2864" s="1" t="s">
        <v>4557</v>
      </c>
      <c r="B2864" s="1" t="s">
        <v>4558</v>
      </c>
      <c r="C2864" s="1" t="s">
        <v>2058</v>
      </c>
      <c r="D2864" s="39">
        <v>0</v>
      </c>
      <c r="E2864" s="1" t="s">
        <v>1</v>
      </c>
      <c r="F2864" s="39">
        <v>0</v>
      </c>
    </row>
    <row r="2865" spans="1:6" x14ac:dyDescent="0.25">
      <c r="A2865" s="1" t="s">
        <v>4559</v>
      </c>
      <c r="B2865" s="1" t="s">
        <v>3808</v>
      </c>
      <c r="C2865" s="1" t="s">
        <v>2058</v>
      </c>
      <c r="D2865" s="39">
        <v>0</v>
      </c>
      <c r="E2865" s="1" t="s">
        <v>1</v>
      </c>
      <c r="F2865" s="39">
        <v>0</v>
      </c>
    </row>
    <row r="2866" spans="1:6" x14ac:dyDescent="0.25">
      <c r="A2866" s="1" t="s">
        <v>4560</v>
      </c>
      <c r="B2866" s="1" t="s">
        <v>4561</v>
      </c>
      <c r="C2866" s="1" t="s">
        <v>2058</v>
      </c>
      <c r="D2866" s="39">
        <v>0</v>
      </c>
      <c r="E2866" s="1" t="s">
        <v>1</v>
      </c>
      <c r="F2866" s="39">
        <v>0</v>
      </c>
    </row>
    <row r="2867" spans="1:6" x14ac:dyDescent="0.25">
      <c r="A2867" s="1" t="s">
        <v>4562</v>
      </c>
      <c r="B2867" s="1" t="s">
        <v>4563</v>
      </c>
      <c r="C2867" s="1" t="s">
        <v>2058</v>
      </c>
      <c r="D2867" s="39">
        <v>0</v>
      </c>
      <c r="E2867" s="1" t="s">
        <v>1</v>
      </c>
      <c r="F2867" s="39">
        <v>0</v>
      </c>
    </row>
    <row r="2868" spans="1:6" x14ac:dyDescent="0.25">
      <c r="A2868" s="1" t="s">
        <v>4564</v>
      </c>
      <c r="B2868" s="1" t="s">
        <v>3816</v>
      </c>
      <c r="C2868" s="1" t="s">
        <v>2058</v>
      </c>
      <c r="D2868" s="39">
        <v>0</v>
      </c>
      <c r="E2868" s="1" t="s">
        <v>1</v>
      </c>
      <c r="F2868" s="39">
        <v>0</v>
      </c>
    </row>
    <row r="2869" spans="1:6" x14ac:dyDescent="0.25">
      <c r="A2869" s="1" t="s">
        <v>4565</v>
      </c>
      <c r="B2869" s="1" t="s">
        <v>4566</v>
      </c>
      <c r="C2869" s="1" t="s">
        <v>2058</v>
      </c>
      <c r="D2869" s="39">
        <v>0</v>
      </c>
      <c r="E2869" s="1" t="s">
        <v>1</v>
      </c>
      <c r="F2869" s="39">
        <v>0</v>
      </c>
    </row>
    <row r="2870" spans="1:6" x14ac:dyDescent="0.25">
      <c r="A2870" s="1" t="s">
        <v>4567</v>
      </c>
      <c r="B2870" s="1" t="s">
        <v>4568</v>
      </c>
      <c r="C2870" s="1" t="s">
        <v>2058</v>
      </c>
      <c r="D2870" s="39">
        <v>0</v>
      </c>
      <c r="E2870" s="1" t="s">
        <v>1</v>
      </c>
      <c r="F2870" s="39">
        <v>0</v>
      </c>
    </row>
    <row r="2871" spans="1:6" x14ac:dyDescent="0.25">
      <c r="A2871" s="1" t="s">
        <v>4569</v>
      </c>
      <c r="B2871" s="1" t="s">
        <v>2187</v>
      </c>
      <c r="C2871" s="1" t="s">
        <v>2058</v>
      </c>
      <c r="D2871" s="39">
        <v>0</v>
      </c>
      <c r="E2871" s="1" t="s">
        <v>1</v>
      </c>
      <c r="F2871" s="39">
        <v>0</v>
      </c>
    </row>
    <row r="2872" spans="1:6" x14ac:dyDescent="0.25">
      <c r="A2872" s="1" t="s">
        <v>4570</v>
      </c>
      <c r="B2872" s="1" t="s">
        <v>4571</v>
      </c>
      <c r="C2872" s="1" t="s">
        <v>2058</v>
      </c>
      <c r="D2872" s="39">
        <v>0</v>
      </c>
      <c r="E2872" s="1" t="s">
        <v>1</v>
      </c>
      <c r="F2872" s="39">
        <v>0</v>
      </c>
    </row>
    <row r="2873" spans="1:6" x14ac:dyDescent="0.25">
      <c r="A2873" s="1" t="s">
        <v>4572</v>
      </c>
      <c r="B2873" s="1" t="s">
        <v>2188</v>
      </c>
      <c r="C2873" s="1" t="s">
        <v>2058</v>
      </c>
      <c r="D2873" s="39">
        <v>0</v>
      </c>
      <c r="E2873" s="1" t="s">
        <v>1</v>
      </c>
      <c r="F2873" s="39">
        <v>0</v>
      </c>
    </row>
    <row r="2874" spans="1:6" x14ac:dyDescent="0.25">
      <c r="A2874" s="1" t="s">
        <v>4573</v>
      </c>
      <c r="B2874" s="1" t="s">
        <v>2188</v>
      </c>
      <c r="C2874" s="1" t="s">
        <v>2058</v>
      </c>
      <c r="D2874" s="39">
        <v>0</v>
      </c>
      <c r="E2874" s="1" t="s">
        <v>1</v>
      </c>
      <c r="F2874" s="39">
        <v>0</v>
      </c>
    </row>
    <row r="2875" spans="1:6" x14ac:dyDescent="0.25">
      <c r="A2875" s="1" t="s">
        <v>4574</v>
      </c>
      <c r="B2875" s="1" t="s">
        <v>4575</v>
      </c>
      <c r="C2875" s="1" t="s">
        <v>2058</v>
      </c>
      <c r="D2875" s="39">
        <v>0</v>
      </c>
      <c r="E2875" s="1" t="s">
        <v>1</v>
      </c>
      <c r="F2875" s="39">
        <v>0</v>
      </c>
    </row>
    <row r="2876" spans="1:6" x14ac:dyDescent="0.25">
      <c r="A2876" s="1" t="s">
        <v>4576</v>
      </c>
      <c r="B2876" s="1" t="s">
        <v>4577</v>
      </c>
      <c r="C2876" s="1" t="s">
        <v>2058</v>
      </c>
      <c r="D2876" s="39">
        <v>0</v>
      </c>
      <c r="E2876" s="1" t="s">
        <v>1</v>
      </c>
      <c r="F2876" s="39">
        <v>0</v>
      </c>
    </row>
    <row r="2877" spans="1:6" x14ac:dyDescent="0.25">
      <c r="A2877" s="1" t="s">
        <v>4578</v>
      </c>
      <c r="B2877" s="1" t="s">
        <v>4579</v>
      </c>
      <c r="C2877" s="1" t="s">
        <v>2058</v>
      </c>
      <c r="D2877" s="39">
        <v>0</v>
      </c>
      <c r="E2877" s="1" t="s">
        <v>1</v>
      </c>
      <c r="F2877" s="39">
        <v>0</v>
      </c>
    </row>
    <row r="2878" spans="1:6" x14ac:dyDescent="0.25">
      <c r="A2878" s="1" t="s">
        <v>4580</v>
      </c>
      <c r="B2878" s="1" t="s">
        <v>4581</v>
      </c>
      <c r="C2878" s="1" t="s">
        <v>2058</v>
      </c>
      <c r="D2878" s="39">
        <v>0</v>
      </c>
      <c r="E2878" s="1" t="s">
        <v>1</v>
      </c>
      <c r="F2878" s="39">
        <v>0</v>
      </c>
    </row>
    <row r="2879" spans="1:6" x14ac:dyDescent="0.25">
      <c r="A2879" s="1" t="s">
        <v>4582</v>
      </c>
      <c r="B2879" s="1" t="s">
        <v>4583</v>
      </c>
      <c r="C2879" s="1" t="s">
        <v>2058</v>
      </c>
      <c r="D2879" s="39">
        <v>0</v>
      </c>
      <c r="E2879" s="1" t="s">
        <v>1</v>
      </c>
      <c r="F2879" s="39">
        <v>0</v>
      </c>
    </row>
    <row r="2880" spans="1:6" x14ac:dyDescent="0.25">
      <c r="A2880" s="1" t="s">
        <v>4584</v>
      </c>
      <c r="B2880" s="1" t="s">
        <v>4585</v>
      </c>
      <c r="C2880" s="1" t="s">
        <v>2058</v>
      </c>
      <c r="D2880" s="39">
        <v>0</v>
      </c>
      <c r="E2880" s="1" t="s">
        <v>1</v>
      </c>
      <c r="F2880" s="39">
        <v>0</v>
      </c>
    </row>
    <row r="2881" spans="1:6" x14ac:dyDescent="0.25">
      <c r="A2881" s="1" t="s">
        <v>4586</v>
      </c>
      <c r="B2881" s="1" t="s">
        <v>3842</v>
      </c>
      <c r="C2881" s="1" t="s">
        <v>2058</v>
      </c>
      <c r="D2881" s="39">
        <v>0</v>
      </c>
      <c r="E2881" s="1" t="s">
        <v>1</v>
      </c>
      <c r="F2881" s="39">
        <v>0</v>
      </c>
    </row>
    <row r="2882" spans="1:6" x14ac:dyDescent="0.25">
      <c r="A2882" s="1" t="s">
        <v>4587</v>
      </c>
      <c r="B2882" s="1" t="s">
        <v>3842</v>
      </c>
      <c r="C2882" s="1" t="s">
        <v>2058</v>
      </c>
      <c r="D2882" s="39">
        <v>0</v>
      </c>
      <c r="E2882" s="1" t="s">
        <v>1</v>
      </c>
      <c r="F2882" s="39">
        <v>0</v>
      </c>
    </row>
    <row r="2883" spans="1:6" x14ac:dyDescent="0.25">
      <c r="A2883" s="1" t="s">
        <v>4588</v>
      </c>
      <c r="B2883" s="1" t="s">
        <v>4589</v>
      </c>
      <c r="C2883" s="1" t="s">
        <v>2058</v>
      </c>
      <c r="D2883" s="39">
        <v>0</v>
      </c>
      <c r="E2883" s="1" t="s">
        <v>1</v>
      </c>
      <c r="F2883" s="39">
        <v>0</v>
      </c>
    </row>
    <row r="2884" spans="1:6" x14ac:dyDescent="0.25">
      <c r="A2884" s="1" t="s">
        <v>4590</v>
      </c>
      <c r="B2884" s="1" t="s">
        <v>4591</v>
      </c>
      <c r="C2884" s="1" t="s">
        <v>2058</v>
      </c>
      <c r="D2884" s="39">
        <v>0</v>
      </c>
      <c r="E2884" s="1" t="s">
        <v>1</v>
      </c>
      <c r="F2884" s="39">
        <v>0</v>
      </c>
    </row>
    <row r="2885" spans="1:6" x14ac:dyDescent="0.25">
      <c r="A2885" s="1" t="s">
        <v>4592</v>
      </c>
      <c r="B2885" s="1" t="s">
        <v>4593</v>
      </c>
      <c r="C2885" s="1" t="s">
        <v>2058</v>
      </c>
      <c r="D2885" s="39">
        <v>0</v>
      </c>
      <c r="E2885" s="1" t="s">
        <v>1</v>
      </c>
      <c r="F2885" s="39">
        <v>0</v>
      </c>
    </row>
    <row r="2886" spans="1:6" x14ac:dyDescent="0.25">
      <c r="A2886" s="1" t="s">
        <v>4594</v>
      </c>
      <c r="B2886" s="1" t="s">
        <v>3852</v>
      </c>
      <c r="C2886" s="1" t="s">
        <v>2058</v>
      </c>
      <c r="D2886" s="39">
        <v>0</v>
      </c>
      <c r="E2886" s="1" t="s">
        <v>1</v>
      </c>
      <c r="F2886" s="39">
        <v>0</v>
      </c>
    </row>
    <row r="2887" spans="1:6" x14ac:dyDescent="0.25">
      <c r="A2887" s="1" t="s">
        <v>4595</v>
      </c>
      <c r="B2887" s="1" t="s">
        <v>4596</v>
      </c>
      <c r="C2887" s="1" t="s">
        <v>2058</v>
      </c>
      <c r="D2887" s="39">
        <v>0</v>
      </c>
      <c r="E2887" s="1" t="s">
        <v>1</v>
      </c>
      <c r="F2887" s="39">
        <v>0</v>
      </c>
    </row>
    <row r="2888" spans="1:6" x14ac:dyDescent="0.25">
      <c r="A2888" s="1" t="s">
        <v>4597</v>
      </c>
      <c r="B2888" s="1" t="s">
        <v>4598</v>
      </c>
      <c r="C2888" s="1" t="s">
        <v>2058</v>
      </c>
      <c r="D2888" s="39">
        <v>0</v>
      </c>
      <c r="E2888" s="1" t="s">
        <v>1</v>
      </c>
      <c r="F2888" s="39">
        <v>0</v>
      </c>
    </row>
    <row r="2889" spans="1:6" x14ac:dyDescent="0.25">
      <c r="A2889" s="1" t="s">
        <v>4599</v>
      </c>
      <c r="B2889" s="1" t="s">
        <v>3812</v>
      </c>
      <c r="C2889" s="1" t="s">
        <v>2058</v>
      </c>
      <c r="D2889" s="39">
        <v>0</v>
      </c>
      <c r="E2889" s="1" t="s">
        <v>1</v>
      </c>
      <c r="F2889" s="39">
        <v>0</v>
      </c>
    </row>
    <row r="2890" spans="1:6" x14ac:dyDescent="0.25">
      <c r="A2890" s="1" t="s">
        <v>4600</v>
      </c>
      <c r="B2890" s="1" t="s">
        <v>4601</v>
      </c>
      <c r="C2890" s="1" t="s">
        <v>2058</v>
      </c>
      <c r="D2890" s="39">
        <v>0</v>
      </c>
      <c r="E2890" s="1" t="s">
        <v>1</v>
      </c>
      <c r="F2890" s="39">
        <v>0</v>
      </c>
    </row>
    <row r="2891" spans="1:6" x14ac:dyDescent="0.25">
      <c r="A2891" s="1" t="s">
        <v>4602</v>
      </c>
      <c r="B2891" s="1" t="s">
        <v>2190</v>
      </c>
      <c r="C2891" s="1" t="s">
        <v>2058</v>
      </c>
      <c r="D2891" s="39">
        <v>0</v>
      </c>
      <c r="E2891" s="1" t="s">
        <v>1</v>
      </c>
      <c r="F2891" s="39">
        <v>0</v>
      </c>
    </row>
    <row r="2892" spans="1:6" x14ac:dyDescent="0.25">
      <c r="A2892" s="1" t="s">
        <v>4603</v>
      </c>
      <c r="B2892" s="1" t="s">
        <v>4604</v>
      </c>
      <c r="C2892" s="1" t="s">
        <v>2058</v>
      </c>
      <c r="D2892" s="39">
        <v>0</v>
      </c>
      <c r="E2892" s="1" t="s">
        <v>1</v>
      </c>
      <c r="F2892" s="39">
        <v>0</v>
      </c>
    </row>
    <row r="2893" spans="1:6" x14ac:dyDescent="0.25">
      <c r="A2893" s="1" t="s">
        <v>4605</v>
      </c>
      <c r="B2893" s="1" t="s">
        <v>4606</v>
      </c>
      <c r="C2893" s="1" t="s">
        <v>2058</v>
      </c>
      <c r="D2893" s="39">
        <v>0</v>
      </c>
      <c r="E2893" s="1" t="s">
        <v>1</v>
      </c>
      <c r="F2893" s="39">
        <v>0</v>
      </c>
    </row>
    <row r="2894" spans="1:6" x14ac:dyDescent="0.25">
      <c r="A2894" s="1" t="s">
        <v>4607</v>
      </c>
      <c r="B2894" s="1" t="s">
        <v>4608</v>
      </c>
      <c r="C2894" s="1" t="s">
        <v>2058</v>
      </c>
      <c r="D2894" s="39">
        <v>0</v>
      </c>
      <c r="E2894" s="1" t="s">
        <v>1</v>
      </c>
      <c r="F2894" s="39">
        <v>0</v>
      </c>
    </row>
    <row r="2895" spans="1:6" x14ac:dyDescent="0.25">
      <c r="A2895" s="1" t="s">
        <v>4609</v>
      </c>
      <c r="B2895" s="1" t="s">
        <v>2193</v>
      </c>
      <c r="C2895" s="1" t="s">
        <v>2058</v>
      </c>
      <c r="D2895" s="39">
        <v>0</v>
      </c>
      <c r="E2895" s="1" t="s">
        <v>1</v>
      </c>
      <c r="F2895" s="39">
        <v>0</v>
      </c>
    </row>
    <row r="2896" spans="1:6" x14ac:dyDescent="0.25">
      <c r="A2896" s="1" t="s">
        <v>4610</v>
      </c>
      <c r="B2896" s="1" t="s">
        <v>2194</v>
      </c>
      <c r="C2896" s="1" t="s">
        <v>2058</v>
      </c>
      <c r="D2896" s="39">
        <v>0</v>
      </c>
      <c r="E2896" s="1" t="s">
        <v>1</v>
      </c>
      <c r="F2896" s="39">
        <v>0</v>
      </c>
    </row>
    <row r="2897" spans="1:6" x14ac:dyDescent="0.25">
      <c r="A2897" s="1" t="s">
        <v>4611</v>
      </c>
      <c r="B2897" s="1" t="s">
        <v>2195</v>
      </c>
      <c r="C2897" s="1" t="s">
        <v>2058</v>
      </c>
      <c r="D2897" s="39">
        <v>0</v>
      </c>
      <c r="E2897" s="1" t="s">
        <v>1</v>
      </c>
      <c r="F2897" s="39">
        <v>0</v>
      </c>
    </row>
    <row r="2898" spans="1:6" x14ac:dyDescent="0.25">
      <c r="A2898" s="1" t="s">
        <v>4612</v>
      </c>
      <c r="B2898" s="1" t="s">
        <v>2196</v>
      </c>
      <c r="C2898" s="1" t="s">
        <v>2058</v>
      </c>
      <c r="D2898" s="39">
        <v>0</v>
      </c>
      <c r="E2898" s="1" t="s">
        <v>1</v>
      </c>
      <c r="F2898" s="39">
        <v>0</v>
      </c>
    </row>
    <row r="2899" spans="1:6" x14ac:dyDescent="0.25">
      <c r="A2899" s="1" t="s">
        <v>4613</v>
      </c>
      <c r="B2899" s="1" t="s">
        <v>4614</v>
      </c>
      <c r="C2899" s="1" t="s">
        <v>2058</v>
      </c>
      <c r="D2899" s="39">
        <v>0</v>
      </c>
      <c r="E2899" s="1" t="s">
        <v>1</v>
      </c>
      <c r="F2899" s="39">
        <v>0</v>
      </c>
    </row>
    <row r="2900" spans="1:6" x14ac:dyDescent="0.25">
      <c r="A2900" s="1" t="s">
        <v>4615</v>
      </c>
      <c r="B2900" s="1" t="s">
        <v>4616</v>
      </c>
      <c r="C2900" s="1" t="s">
        <v>2058</v>
      </c>
      <c r="D2900" s="39">
        <v>0</v>
      </c>
      <c r="E2900" s="1" t="s">
        <v>1</v>
      </c>
      <c r="F2900" s="39">
        <v>0</v>
      </c>
    </row>
    <row r="2901" spans="1:6" x14ac:dyDescent="0.25">
      <c r="A2901" s="1" t="s">
        <v>4617</v>
      </c>
      <c r="B2901" s="1" t="s">
        <v>4618</v>
      </c>
      <c r="C2901" s="1" t="s">
        <v>2058</v>
      </c>
      <c r="D2901" s="39">
        <v>0</v>
      </c>
      <c r="E2901" s="1" t="s">
        <v>1</v>
      </c>
      <c r="F2901" s="39">
        <v>0</v>
      </c>
    </row>
    <row r="2902" spans="1:6" x14ac:dyDescent="0.25">
      <c r="A2902" s="1" t="s">
        <v>4619</v>
      </c>
      <c r="B2902" s="1" t="s">
        <v>4620</v>
      </c>
      <c r="C2902" s="1" t="s">
        <v>2058</v>
      </c>
      <c r="D2902" s="39">
        <v>0</v>
      </c>
      <c r="E2902" s="1" t="s">
        <v>1</v>
      </c>
      <c r="F2902" s="39">
        <v>0</v>
      </c>
    </row>
    <row r="2903" spans="1:6" x14ac:dyDescent="0.25">
      <c r="A2903" s="1" t="s">
        <v>4621</v>
      </c>
      <c r="B2903" s="1" t="s">
        <v>4622</v>
      </c>
      <c r="C2903" s="1" t="s">
        <v>2058</v>
      </c>
      <c r="D2903" s="39">
        <v>0</v>
      </c>
      <c r="E2903" s="1" t="s">
        <v>1</v>
      </c>
      <c r="F2903" s="39">
        <v>0</v>
      </c>
    </row>
    <row r="2904" spans="1:6" x14ac:dyDescent="0.25">
      <c r="A2904" s="1" t="s">
        <v>4623</v>
      </c>
      <c r="B2904" s="1" t="s">
        <v>3860</v>
      </c>
      <c r="C2904" s="1" t="s">
        <v>2058</v>
      </c>
      <c r="D2904" s="39">
        <v>0</v>
      </c>
      <c r="E2904" s="1" t="s">
        <v>1</v>
      </c>
      <c r="F2904" s="39">
        <v>0</v>
      </c>
    </row>
    <row r="2905" spans="1:6" x14ac:dyDescent="0.25">
      <c r="A2905" s="1" t="s">
        <v>4624</v>
      </c>
      <c r="B2905" s="1" t="s">
        <v>3862</v>
      </c>
      <c r="C2905" s="1" t="s">
        <v>2058</v>
      </c>
      <c r="D2905" s="39">
        <v>0</v>
      </c>
      <c r="E2905" s="1" t="s">
        <v>1</v>
      </c>
      <c r="F2905" s="39">
        <v>0</v>
      </c>
    </row>
    <row r="2906" spans="1:6" x14ac:dyDescent="0.25">
      <c r="A2906" s="1" t="s">
        <v>4625</v>
      </c>
      <c r="B2906" s="1" t="s">
        <v>3862</v>
      </c>
      <c r="C2906" s="1" t="s">
        <v>2058</v>
      </c>
      <c r="D2906" s="39">
        <v>0</v>
      </c>
      <c r="E2906" s="1" t="s">
        <v>1</v>
      </c>
      <c r="F2906" s="39">
        <v>0</v>
      </c>
    </row>
    <row r="2907" spans="1:6" x14ac:dyDescent="0.25">
      <c r="A2907" s="1" t="s">
        <v>4626</v>
      </c>
      <c r="B2907" s="1" t="s">
        <v>4627</v>
      </c>
      <c r="C2907" s="1" t="s">
        <v>2058</v>
      </c>
      <c r="D2907" s="39">
        <v>0</v>
      </c>
      <c r="E2907" s="1" t="s">
        <v>1</v>
      </c>
      <c r="F2907" s="39">
        <v>0</v>
      </c>
    </row>
    <row r="2908" spans="1:6" x14ac:dyDescent="0.25">
      <c r="A2908" s="1" t="s">
        <v>4628</v>
      </c>
      <c r="B2908" s="1" t="s">
        <v>3864</v>
      </c>
      <c r="C2908" s="1" t="s">
        <v>2058</v>
      </c>
      <c r="D2908" s="39">
        <v>0</v>
      </c>
      <c r="E2908" s="1" t="s">
        <v>1</v>
      </c>
      <c r="F2908" s="39">
        <v>0</v>
      </c>
    </row>
    <row r="2909" spans="1:6" x14ac:dyDescent="0.25">
      <c r="A2909" s="1" t="s">
        <v>4629</v>
      </c>
      <c r="B2909" s="1" t="s">
        <v>3864</v>
      </c>
      <c r="C2909" s="1" t="s">
        <v>2058</v>
      </c>
      <c r="D2909" s="39">
        <v>0</v>
      </c>
      <c r="E2909" s="1" t="s">
        <v>1</v>
      </c>
      <c r="F2909" s="39">
        <v>0</v>
      </c>
    </row>
    <row r="2910" spans="1:6" x14ac:dyDescent="0.25">
      <c r="A2910" s="1" t="s">
        <v>4630</v>
      </c>
      <c r="B2910" s="1" t="s">
        <v>4631</v>
      </c>
      <c r="C2910" s="1" t="s">
        <v>2058</v>
      </c>
      <c r="D2910" s="39">
        <v>0</v>
      </c>
      <c r="E2910" s="1" t="s">
        <v>1</v>
      </c>
      <c r="F2910" s="39">
        <v>0</v>
      </c>
    </row>
    <row r="2911" spans="1:6" x14ac:dyDescent="0.25">
      <c r="A2911" s="1" t="s">
        <v>4632</v>
      </c>
      <c r="B2911" s="1" t="s">
        <v>4589</v>
      </c>
      <c r="C2911" s="1" t="s">
        <v>2058</v>
      </c>
      <c r="D2911" s="39">
        <v>0</v>
      </c>
      <c r="E2911" s="1" t="s">
        <v>1</v>
      </c>
      <c r="F2911" s="39">
        <v>0</v>
      </c>
    </row>
    <row r="2912" spans="1:6" x14ac:dyDescent="0.25">
      <c r="A2912" s="1" t="s">
        <v>4633</v>
      </c>
      <c r="B2912" s="1" t="s">
        <v>4634</v>
      </c>
      <c r="C2912" s="1" t="s">
        <v>2058</v>
      </c>
      <c r="D2912" s="39">
        <v>0</v>
      </c>
      <c r="E2912" s="1" t="s">
        <v>1</v>
      </c>
      <c r="F2912" s="39">
        <v>0</v>
      </c>
    </row>
    <row r="2913" spans="1:6" x14ac:dyDescent="0.25">
      <c r="A2913" s="1" t="s">
        <v>4635</v>
      </c>
      <c r="B2913" s="1" t="s">
        <v>4636</v>
      </c>
      <c r="C2913" s="1" t="s">
        <v>2058</v>
      </c>
      <c r="D2913" s="39">
        <v>0</v>
      </c>
      <c r="E2913" s="1" t="s">
        <v>1</v>
      </c>
      <c r="F2913" s="39">
        <v>0</v>
      </c>
    </row>
    <row r="2914" spans="1:6" x14ac:dyDescent="0.25">
      <c r="A2914" s="1" t="s">
        <v>4637</v>
      </c>
      <c r="B2914" s="1" t="s">
        <v>4638</v>
      </c>
      <c r="C2914" s="1" t="s">
        <v>2058</v>
      </c>
      <c r="D2914" s="39">
        <v>0</v>
      </c>
      <c r="E2914" s="1" t="s">
        <v>1</v>
      </c>
      <c r="F2914" s="39">
        <v>0</v>
      </c>
    </row>
    <row r="2915" spans="1:6" x14ac:dyDescent="0.25">
      <c r="A2915" s="1" t="s">
        <v>4639</v>
      </c>
      <c r="B2915" s="1" t="s">
        <v>3875</v>
      </c>
      <c r="C2915" s="1" t="s">
        <v>2058</v>
      </c>
      <c r="D2915" s="39">
        <v>0</v>
      </c>
      <c r="E2915" s="1" t="s">
        <v>1</v>
      </c>
      <c r="F2915" s="39">
        <v>0</v>
      </c>
    </row>
    <row r="2916" spans="1:6" x14ac:dyDescent="0.25">
      <c r="A2916" s="1" t="s">
        <v>4640</v>
      </c>
      <c r="B2916" s="1" t="s">
        <v>3875</v>
      </c>
      <c r="C2916" s="1" t="s">
        <v>2058</v>
      </c>
      <c r="D2916" s="39">
        <v>0</v>
      </c>
      <c r="E2916" s="1" t="s">
        <v>1</v>
      </c>
      <c r="F2916" s="39">
        <v>0</v>
      </c>
    </row>
    <row r="2917" spans="1:6" x14ac:dyDescent="0.25">
      <c r="A2917" s="1" t="s">
        <v>4641</v>
      </c>
      <c r="B2917" s="1" t="s">
        <v>4642</v>
      </c>
      <c r="C2917" s="1" t="s">
        <v>2058</v>
      </c>
      <c r="D2917" s="39">
        <v>0</v>
      </c>
      <c r="E2917" s="1" t="s">
        <v>1</v>
      </c>
      <c r="F2917" s="39">
        <v>0</v>
      </c>
    </row>
    <row r="2918" spans="1:6" x14ac:dyDescent="0.25">
      <c r="A2918" s="1" t="s">
        <v>4643</v>
      </c>
      <c r="B2918" s="1" t="s">
        <v>3877</v>
      </c>
      <c r="C2918" s="1" t="s">
        <v>2058</v>
      </c>
      <c r="D2918" s="39">
        <v>0</v>
      </c>
      <c r="E2918" s="1" t="s">
        <v>1</v>
      </c>
      <c r="F2918" s="39">
        <v>0</v>
      </c>
    </row>
    <row r="2919" spans="1:6" x14ac:dyDescent="0.25">
      <c r="A2919" s="1" t="s">
        <v>4644</v>
      </c>
      <c r="B2919" s="1" t="s">
        <v>4645</v>
      </c>
      <c r="C2919" s="1" t="s">
        <v>2058</v>
      </c>
      <c r="D2919" s="39">
        <v>0</v>
      </c>
      <c r="E2919" s="1" t="s">
        <v>1</v>
      </c>
      <c r="F2919" s="39">
        <v>0</v>
      </c>
    </row>
    <row r="2920" spans="1:6" x14ac:dyDescent="0.25">
      <c r="A2920" s="1" t="s">
        <v>4646</v>
      </c>
      <c r="B2920" s="1" t="s">
        <v>3879</v>
      </c>
      <c r="C2920" s="1" t="s">
        <v>2058</v>
      </c>
      <c r="D2920" s="39">
        <v>0</v>
      </c>
      <c r="E2920" s="1" t="s">
        <v>1</v>
      </c>
      <c r="F2920" s="39">
        <v>0</v>
      </c>
    </row>
    <row r="2921" spans="1:6" x14ac:dyDescent="0.25">
      <c r="A2921" s="1" t="s">
        <v>4647</v>
      </c>
      <c r="B2921" s="1" t="s">
        <v>4648</v>
      </c>
      <c r="C2921" s="1" t="s">
        <v>2058</v>
      </c>
      <c r="D2921" s="39">
        <v>0</v>
      </c>
      <c r="E2921" s="1" t="s">
        <v>1</v>
      </c>
      <c r="F2921" s="39">
        <v>0</v>
      </c>
    </row>
    <row r="2922" spans="1:6" x14ac:dyDescent="0.25">
      <c r="A2922" s="1" t="s">
        <v>4649</v>
      </c>
      <c r="B2922" s="1" t="s">
        <v>4650</v>
      </c>
      <c r="C2922" s="1" t="s">
        <v>2058</v>
      </c>
      <c r="D2922" s="39">
        <v>0</v>
      </c>
      <c r="E2922" s="1" t="s">
        <v>1</v>
      </c>
      <c r="F2922" s="39">
        <v>0</v>
      </c>
    </row>
    <row r="2923" spans="1:6" x14ac:dyDescent="0.25">
      <c r="A2923" s="1" t="s">
        <v>4651</v>
      </c>
      <c r="B2923" s="1" t="s">
        <v>3881</v>
      </c>
      <c r="C2923" s="1" t="s">
        <v>2058</v>
      </c>
      <c r="D2923" s="39">
        <v>0</v>
      </c>
      <c r="E2923" s="1" t="s">
        <v>1</v>
      </c>
      <c r="F2923" s="39">
        <v>0</v>
      </c>
    </row>
    <row r="2924" spans="1:6" x14ac:dyDescent="0.25">
      <c r="A2924" s="1" t="s">
        <v>4652</v>
      </c>
      <c r="B2924" s="1" t="s">
        <v>3881</v>
      </c>
      <c r="C2924" s="1" t="s">
        <v>2058</v>
      </c>
      <c r="D2924" s="39">
        <v>0</v>
      </c>
      <c r="E2924" s="1" t="s">
        <v>1</v>
      </c>
      <c r="F2924" s="39">
        <v>0</v>
      </c>
    </row>
    <row r="2925" spans="1:6" x14ac:dyDescent="0.25">
      <c r="A2925" s="1" t="s">
        <v>4653</v>
      </c>
      <c r="B2925" s="1" t="s">
        <v>4654</v>
      </c>
      <c r="C2925" s="1" t="s">
        <v>2058</v>
      </c>
      <c r="D2925" s="39">
        <v>0</v>
      </c>
      <c r="E2925" s="1" t="s">
        <v>1</v>
      </c>
      <c r="F2925" s="39">
        <v>0</v>
      </c>
    </row>
    <row r="2926" spans="1:6" x14ac:dyDescent="0.25">
      <c r="A2926" s="1" t="s">
        <v>4655</v>
      </c>
      <c r="B2926" s="1" t="s">
        <v>4596</v>
      </c>
      <c r="C2926" s="1" t="s">
        <v>2058</v>
      </c>
      <c r="D2926" s="39">
        <v>0</v>
      </c>
      <c r="E2926" s="1" t="s">
        <v>1</v>
      </c>
      <c r="F2926" s="39">
        <v>0</v>
      </c>
    </row>
    <row r="2927" spans="1:6" x14ac:dyDescent="0.25">
      <c r="A2927" s="1" t="s">
        <v>4656</v>
      </c>
      <c r="B2927" s="1" t="s">
        <v>4657</v>
      </c>
      <c r="C2927" s="1" t="s">
        <v>2058</v>
      </c>
      <c r="D2927" s="39">
        <v>0</v>
      </c>
      <c r="E2927" s="1" t="s">
        <v>1</v>
      </c>
      <c r="F2927" s="39">
        <v>0</v>
      </c>
    </row>
    <row r="2928" spans="1:6" x14ac:dyDescent="0.25">
      <c r="A2928" s="1" t="s">
        <v>4658</v>
      </c>
      <c r="B2928" s="1" t="s">
        <v>4659</v>
      </c>
      <c r="C2928" s="1" t="s">
        <v>2058</v>
      </c>
      <c r="D2928" s="39">
        <v>0</v>
      </c>
      <c r="E2928" s="1" t="s">
        <v>1</v>
      </c>
      <c r="F2928" s="39">
        <v>0</v>
      </c>
    </row>
    <row r="2929" spans="1:6" x14ac:dyDescent="0.25">
      <c r="A2929" s="1" t="s">
        <v>4660</v>
      </c>
      <c r="B2929" s="1" t="s">
        <v>4661</v>
      </c>
      <c r="C2929" s="1" t="s">
        <v>2058</v>
      </c>
      <c r="D2929" s="39">
        <v>0</v>
      </c>
      <c r="E2929" s="1" t="s">
        <v>1</v>
      </c>
      <c r="F2929" s="39">
        <v>0</v>
      </c>
    </row>
    <row r="2930" spans="1:6" x14ac:dyDescent="0.25">
      <c r="A2930" s="1" t="s">
        <v>4662</v>
      </c>
      <c r="B2930" s="1" t="s">
        <v>3892</v>
      </c>
      <c r="C2930" s="1" t="s">
        <v>2058</v>
      </c>
      <c r="D2930" s="39">
        <v>0</v>
      </c>
      <c r="E2930" s="1" t="s">
        <v>1</v>
      </c>
      <c r="F2930" s="39">
        <v>0</v>
      </c>
    </row>
    <row r="2931" spans="1:6" x14ac:dyDescent="0.25">
      <c r="A2931" s="1" t="s">
        <v>4663</v>
      </c>
      <c r="B2931" s="1" t="s">
        <v>3892</v>
      </c>
      <c r="C2931" s="1" t="s">
        <v>2058</v>
      </c>
      <c r="D2931" s="39">
        <v>0</v>
      </c>
      <c r="E2931" s="1" t="s">
        <v>1</v>
      </c>
      <c r="F2931" s="39">
        <v>0</v>
      </c>
    </row>
    <row r="2932" spans="1:6" x14ac:dyDescent="0.25">
      <c r="A2932" s="1" t="s">
        <v>4664</v>
      </c>
      <c r="B2932" s="1" t="s">
        <v>4665</v>
      </c>
      <c r="C2932" s="1" t="s">
        <v>2058</v>
      </c>
      <c r="D2932" s="39">
        <v>0</v>
      </c>
      <c r="E2932" s="1" t="s">
        <v>1</v>
      </c>
      <c r="F2932" s="39">
        <v>0</v>
      </c>
    </row>
    <row r="2933" spans="1:6" x14ac:dyDescent="0.25">
      <c r="A2933" s="1" t="s">
        <v>4666</v>
      </c>
      <c r="B2933" s="1" t="s">
        <v>3894</v>
      </c>
      <c r="C2933" s="1" t="s">
        <v>2058</v>
      </c>
      <c r="D2933" s="39">
        <v>0</v>
      </c>
      <c r="E2933" s="1" t="s">
        <v>1</v>
      </c>
      <c r="F2933" s="39">
        <v>0</v>
      </c>
    </row>
    <row r="2934" spans="1:6" x14ac:dyDescent="0.25">
      <c r="A2934" s="1" t="s">
        <v>4667</v>
      </c>
      <c r="B2934" s="1" t="s">
        <v>4668</v>
      </c>
      <c r="C2934" s="1" t="s">
        <v>2058</v>
      </c>
      <c r="D2934" s="39">
        <v>0</v>
      </c>
      <c r="E2934" s="1" t="s">
        <v>1</v>
      </c>
      <c r="F2934" s="39">
        <v>0</v>
      </c>
    </row>
    <row r="2935" spans="1:6" x14ac:dyDescent="0.25">
      <c r="A2935" s="1" t="s">
        <v>210</v>
      </c>
      <c r="B2935" s="1" t="s">
        <v>211</v>
      </c>
      <c r="C2935" s="1" t="s">
        <v>2058</v>
      </c>
      <c r="D2935" s="39">
        <v>0</v>
      </c>
      <c r="E2935" s="1" t="s">
        <v>1</v>
      </c>
      <c r="F2935" s="39">
        <v>0</v>
      </c>
    </row>
    <row r="2936" spans="1:6" x14ac:dyDescent="0.25">
      <c r="A2936" s="1" t="s">
        <v>216</v>
      </c>
      <c r="B2936" s="1" t="s">
        <v>217</v>
      </c>
      <c r="C2936" s="1" t="s">
        <v>2058</v>
      </c>
      <c r="D2936" s="39">
        <v>0</v>
      </c>
      <c r="E2936" s="1" t="s">
        <v>1</v>
      </c>
      <c r="F2936" s="39">
        <v>0</v>
      </c>
    </row>
    <row r="2937" spans="1:6" x14ac:dyDescent="0.25">
      <c r="A2937" s="1" t="s">
        <v>4669</v>
      </c>
      <c r="B2937" s="1" t="s">
        <v>3898</v>
      </c>
      <c r="C2937" s="1" t="s">
        <v>2058</v>
      </c>
      <c r="D2937" s="39">
        <v>0</v>
      </c>
      <c r="E2937" s="1" t="s">
        <v>1</v>
      </c>
      <c r="F2937" s="39">
        <v>0</v>
      </c>
    </row>
    <row r="2938" spans="1:6" x14ac:dyDescent="0.25">
      <c r="A2938" s="1" t="s">
        <v>4670</v>
      </c>
      <c r="B2938" s="1" t="s">
        <v>2198</v>
      </c>
      <c r="C2938" s="1" t="s">
        <v>2058</v>
      </c>
      <c r="D2938" s="39">
        <v>0</v>
      </c>
      <c r="E2938" s="1" t="s">
        <v>1</v>
      </c>
      <c r="F2938" s="39">
        <v>0</v>
      </c>
    </row>
    <row r="2939" spans="1:6" x14ac:dyDescent="0.25">
      <c r="A2939" s="1" t="s">
        <v>4671</v>
      </c>
      <c r="B2939" s="1" t="s">
        <v>4672</v>
      </c>
      <c r="C2939" s="1" t="s">
        <v>2058</v>
      </c>
      <c r="D2939" s="39">
        <v>0</v>
      </c>
      <c r="E2939" s="1" t="s">
        <v>1</v>
      </c>
      <c r="F2939" s="39">
        <v>0</v>
      </c>
    </row>
    <row r="2940" spans="1:6" x14ac:dyDescent="0.25">
      <c r="A2940" s="1" t="s">
        <v>221</v>
      </c>
      <c r="B2940" s="1" t="s">
        <v>222</v>
      </c>
      <c r="C2940" s="1" t="s">
        <v>2058</v>
      </c>
      <c r="D2940" s="39">
        <v>0</v>
      </c>
      <c r="E2940" s="1" t="s">
        <v>1</v>
      </c>
      <c r="F2940" s="39">
        <v>0</v>
      </c>
    </row>
    <row r="2941" spans="1:6" x14ac:dyDescent="0.25">
      <c r="A2941" s="1" t="s">
        <v>4673</v>
      </c>
      <c r="B2941" s="1" t="s">
        <v>3901</v>
      </c>
      <c r="C2941" s="1" t="s">
        <v>2058</v>
      </c>
      <c r="D2941" s="39">
        <v>0</v>
      </c>
      <c r="E2941" s="1" t="s">
        <v>1</v>
      </c>
      <c r="F2941" s="39">
        <v>0</v>
      </c>
    </row>
    <row r="2942" spans="1:6" x14ac:dyDescent="0.25">
      <c r="A2942" s="1" t="s">
        <v>226</v>
      </c>
      <c r="B2942" s="1" t="s">
        <v>227</v>
      </c>
      <c r="C2942" s="1" t="s">
        <v>2058</v>
      </c>
      <c r="D2942" s="39">
        <v>0</v>
      </c>
      <c r="E2942" s="1" t="s">
        <v>1</v>
      </c>
      <c r="F2942" s="39">
        <v>0</v>
      </c>
    </row>
    <row r="2943" spans="1:6" x14ac:dyDescent="0.25">
      <c r="A2943" s="1" t="s">
        <v>4674</v>
      </c>
      <c r="B2943" s="1" t="s">
        <v>3903</v>
      </c>
      <c r="C2943" s="1" t="s">
        <v>2058</v>
      </c>
      <c r="D2943" s="39">
        <v>0</v>
      </c>
      <c r="E2943" s="1" t="s">
        <v>1</v>
      </c>
      <c r="F2943" s="39">
        <v>0</v>
      </c>
    </row>
    <row r="2944" spans="1:6" x14ac:dyDescent="0.25">
      <c r="A2944" s="1" t="s">
        <v>231</v>
      </c>
      <c r="B2944" s="1" t="s">
        <v>232</v>
      </c>
      <c r="C2944" s="1" t="s">
        <v>2058</v>
      </c>
      <c r="D2944" s="39">
        <v>0</v>
      </c>
      <c r="E2944" s="1" t="s">
        <v>1</v>
      </c>
      <c r="F2944" s="39">
        <v>0</v>
      </c>
    </row>
    <row r="2945" spans="1:6" x14ac:dyDescent="0.25">
      <c r="A2945" s="1" t="s">
        <v>4675</v>
      </c>
      <c r="B2945" s="1" t="s">
        <v>4676</v>
      </c>
      <c r="C2945" s="1" t="s">
        <v>2058</v>
      </c>
      <c r="D2945" s="39">
        <v>0</v>
      </c>
      <c r="E2945" s="1" t="s">
        <v>1</v>
      </c>
      <c r="F2945" s="39">
        <v>0</v>
      </c>
    </row>
    <row r="2946" spans="1:6" x14ac:dyDescent="0.25">
      <c r="A2946" s="1" t="s">
        <v>4677</v>
      </c>
      <c r="B2946" s="1" t="s">
        <v>4678</v>
      </c>
      <c r="C2946" s="1" t="s">
        <v>2058</v>
      </c>
      <c r="D2946" s="39">
        <v>0</v>
      </c>
      <c r="E2946" s="1" t="s">
        <v>1</v>
      </c>
      <c r="F2946" s="39">
        <v>0</v>
      </c>
    </row>
    <row r="2947" spans="1:6" x14ac:dyDescent="0.25">
      <c r="A2947" s="1" t="s">
        <v>696</v>
      </c>
      <c r="B2947" s="1" t="s">
        <v>697</v>
      </c>
      <c r="C2947" s="1" t="s">
        <v>2058</v>
      </c>
      <c r="D2947" s="39">
        <v>0</v>
      </c>
      <c r="E2947" s="1" t="s">
        <v>1</v>
      </c>
      <c r="F2947" s="39">
        <v>0</v>
      </c>
    </row>
    <row r="2948" spans="1:6" x14ac:dyDescent="0.25">
      <c r="A2948" s="1" t="s">
        <v>4679</v>
      </c>
      <c r="B2948" s="1" t="s">
        <v>4680</v>
      </c>
      <c r="C2948" s="1" t="s">
        <v>2058</v>
      </c>
      <c r="D2948" s="39">
        <v>0</v>
      </c>
      <c r="E2948" s="1" t="s">
        <v>1</v>
      </c>
      <c r="F2948" s="39">
        <v>0</v>
      </c>
    </row>
    <row r="2949" spans="1:6" x14ac:dyDescent="0.25">
      <c r="A2949" s="1" t="s">
        <v>4681</v>
      </c>
      <c r="B2949" s="1" t="s">
        <v>3910</v>
      </c>
      <c r="C2949" s="1" t="s">
        <v>2058</v>
      </c>
      <c r="D2949" s="39">
        <v>0</v>
      </c>
      <c r="E2949" s="1" t="s">
        <v>1</v>
      </c>
      <c r="F2949" s="39">
        <v>0</v>
      </c>
    </row>
    <row r="2950" spans="1:6" x14ac:dyDescent="0.25">
      <c r="A2950" s="1" t="s">
        <v>235</v>
      </c>
      <c r="B2950" s="1" t="s">
        <v>236</v>
      </c>
      <c r="C2950" s="1" t="s">
        <v>2058</v>
      </c>
      <c r="D2950" s="39">
        <v>0</v>
      </c>
      <c r="E2950" s="1" t="s">
        <v>1</v>
      </c>
      <c r="F2950" s="39">
        <v>0</v>
      </c>
    </row>
    <row r="2951" spans="1:6" x14ac:dyDescent="0.25">
      <c r="A2951" s="1" t="s">
        <v>239</v>
      </c>
      <c r="B2951" s="1" t="s">
        <v>240</v>
      </c>
      <c r="C2951" s="1" t="s">
        <v>2058</v>
      </c>
      <c r="D2951" s="39">
        <v>0</v>
      </c>
      <c r="E2951" s="1" t="s">
        <v>1</v>
      </c>
      <c r="F2951" s="39">
        <v>0</v>
      </c>
    </row>
    <row r="2952" spans="1:6" x14ac:dyDescent="0.25">
      <c r="A2952" s="1" t="s">
        <v>4682</v>
      </c>
      <c r="B2952" s="1" t="s">
        <v>2514</v>
      </c>
      <c r="C2952" s="1" t="s">
        <v>2058</v>
      </c>
      <c r="D2952" s="39">
        <v>0</v>
      </c>
      <c r="E2952" s="1" t="s">
        <v>1</v>
      </c>
      <c r="F2952" s="39">
        <v>0</v>
      </c>
    </row>
    <row r="2953" spans="1:6" x14ac:dyDescent="0.25">
      <c r="A2953" s="1" t="s">
        <v>244</v>
      </c>
      <c r="B2953" s="1" t="s">
        <v>245</v>
      </c>
      <c r="C2953" s="1" t="s">
        <v>2058</v>
      </c>
      <c r="D2953" s="39">
        <v>0</v>
      </c>
      <c r="E2953" s="1" t="s">
        <v>1</v>
      </c>
      <c r="F2953" s="39">
        <v>0</v>
      </c>
    </row>
    <row r="2954" spans="1:6" x14ac:dyDescent="0.25">
      <c r="A2954" s="1" t="s">
        <v>477</v>
      </c>
      <c r="B2954" s="1" t="s">
        <v>478</v>
      </c>
      <c r="C2954" s="1" t="s">
        <v>2058</v>
      </c>
      <c r="D2954" s="39">
        <v>0</v>
      </c>
      <c r="E2954" s="1" t="s">
        <v>1</v>
      </c>
      <c r="F2954" s="39">
        <v>0</v>
      </c>
    </row>
    <row r="2955" spans="1:6" x14ac:dyDescent="0.25">
      <c r="A2955" s="1" t="s">
        <v>4683</v>
      </c>
      <c r="B2955" s="1" t="s">
        <v>245</v>
      </c>
      <c r="C2955" s="1" t="s">
        <v>2058</v>
      </c>
      <c r="D2955" s="39">
        <v>0</v>
      </c>
      <c r="E2955" s="1" t="s">
        <v>1</v>
      </c>
      <c r="F2955" s="39">
        <v>0</v>
      </c>
    </row>
    <row r="2956" spans="1:6" x14ac:dyDescent="0.25">
      <c r="A2956" s="1" t="s">
        <v>701</v>
      </c>
      <c r="B2956" s="1" t="s">
        <v>702</v>
      </c>
      <c r="C2956" s="1" t="s">
        <v>2058</v>
      </c>
      <c r="D2956" s="39">
        <v>0</v>
      </c>
      <c r="E2956" s="1" t="s">
        <v>1</v>
      </c>
      <c r="F2956" s="39">
        <v>0</v>
      </c>
    </row>
    <row r="2957" spans="1:6" x14ac:dyDescent="0.25">
      <c r="A2957" s="1" t="s">
        <v>4684</v>
      </c>
      <c r="B2957" s="1" t="s">
        <v>2199</v>
      </c>
      <c r="C2957" s="1" t="s">
        <v>2058</v>
      </c>
      <c r="D2957" s="39">
        <v>0</v>
      </c>
      <c r="E2957" s="1" t="s">
        <v>1</v>
      </c>
      <c r="F2957" s="39">
        <v>0</v>
      </c>
    </row>
    <row r="2958" spans="1:6" x14ac:dyDescent="0.25">
      <c r="A2958" s="1" t="s">
        <v>4685</v>
      </c>
      <c r="B2958" s="1" t="s">
        <v>4686</v>
      </c>
      <c r="C2958" s="1" t="s">
        <v>2058</v>
      </c>
      <c r="D2958" s="39">
        <v>0</v>
      </c>
      <c r="E2958" s="1" t="s">
        <v>1</v>
      </c>
      <c r="F2958" s="39">
        <v>0</v>
      </c>
    </row>
    <row r="2959" spans="1:6" x14ac:dyDescent="0.25">
      <c r="A2959" s="1" t="s">
        <v>4687</v>
      </c>
      <c r="B2959" s="1" t="s">
        <v>2201</v>
      </c>
      <c r="C2959" s="1" t="s">
        <v>2058</v>
      </c>
      <c r="D2959" s="39">
        <v>0</v>
      </c>
      <c r="E2959" s="1" t="s">
        <v>1</v>
      </c>
      <c r="F2959" s="39">
        <v>0</v>
      </c>
    </row>
    <row r="2960" spans="1:6" x14ac:dyDescent="0.25">
      <c r="A2960" s="1" t="s">
        <v>248</v>
      </c>
      <c r="B2960" s="1" t="s">
        <v>249</v>
      </c>
      <c r="C2960" s="1" t="s">
        <v>2058</v>
      </c>
      <c r="D2960" s="39">
        <v>0</v>
      </c>
      <c r="E2960" s="1" t="s">
        <v>1</v>
      </c>
      <c r="F2960" s="39">
        <v>0</v>
      </c>
    </row>
    <row r="2961" spans="1:6" x14ac:dyDescent="0.25">
      <c r="A2961" s="1" t="s">
        <v>253</v>
      </c>
      <c r="B2961" s="1" t="s">
        <v>254</v>
      </c>
      <c r="C2961" s="1" t="s">
        <v>2058</v>
      </c>
      <c r="D2961" s="39">
        <v>0</v>
      </c>
      <c r="E2961" s="1" t="s">
        <v>1</v>
      </c>
      <c r="F2961" s="39">
        <v>0</v>
      </c>
    </row>
    <row r="2962" spans="1:6" x14ac:dyDescent="0.25">
      <c r="A2962" s="1" t="s">
        <v>4688</v>
      </c>
      <c r="B2962" s="1" t="s">
        <v>4689</v>
      </c>
      <c r="C2962" s="1" t="s">
        <v>2058</v>
      </c>
      <c r="D2962" s="39">
        <v>0</v>
      </c>
      <c r="E2962" s="1" t="s">
        <v>1</v>
      </c>
      <c r="F2962" s="39">
        <v>0</v>
      </c>
    </row>
    <row r="2963" spans="1:6" x14ac:dyDescent="0.25">
      <c r="A2963" s="1" t="s">
        <v>4690</v>
      </c>
      <c r="B2963" s="1" t="s">
        <v>2203</v>
      </c>
      <c r="C2963" s="1" t="s">
        <v>2058</v>
      </c>
      <c r="D2963" s="39">
        <v>0</v>
      </c>
      <c r="E2963" s="1" t="s">
        <v>1</v>
      </c>
      <c r="F2963" s="39">
        <v>0</v>
      </c>
    </row>
    <row r="2964" spans="1:6" x14ac:dyDescent="0.25">
      <c r="A2964" s="1" t="s">
        <v>258</v>
      </c>
      <c r="B2964" s="1" t="s">
        <v>259</v>
      </c>
      <c r="C2964" s="1" t="s">
        <v>2058</v>
      </c>
      <c r="D2964" s="39">
        <v>0</v>
      </c>
      <c r="E2964" s="1" t="s">
        <v>1</v>
      </c>
      <c r="F2964" s="39">
        <v>0</v>
      </c>
    </row>
    <row r="2965" spans="1:6" x14ac:dyDescent="0.25">
      <c r="A2965" s="1" t="s">
        <v>4691</v>
      </c>
      <c r="B2965" s="1" t="s">
        <v>3914</v>
      </c>
      <c r="C2965" s="1" t="s">
        <v>2058</v>
      </c>
      <c r="D2965" s="39">
        <v>0</v>
      </c>
      <c r="E2965" s="1" t="s">
        <v>1</v>
      </c>
      <c r="F2965" s="39">
        <v>0</v>
      </c>
    </row>
    <row r="2966" spans="1:6" x14ac:dyDescent="0.25">
      <c r="A2966" s="1" t="s">
        <v>263</v>
      </c>
      <c r="B2966" s="1" t="s">
        <v>264</v>
      </c>
      <c r="C2966" s="1" t="s">
        <v>2058</v>
      </c>
      <c r="D2966" s="39">
        <v>0</v>
      </c>
      <c r="E2966" s="1" t="s">
        <v>1</v>
      </c>
      <c r="F2966" s="39">
        <v>0</v>
      </c>
    </row>
    <row r="2967" spans="1:6" x14ac:dyDescent="0.25">
      <c r="A2967" s="1" t="s">
        <v>4692</v>
      </c>
      <c r="B2967" s="1" t="s">
        <v>2204</v>
      </c>
      <c r="C2967" s="1" t="s">
        <v>2058</v>
      </c>
      <c r="D2967" s="39">
        <v>0</v>
      </c>
      <c r="E2967" s="1" t="s">
        <v>482</v>
      </c>
      <c r="F2967" s="39">
        <v>0</v>
      </c>
    </row>
    <row r="2968" spans="1:6" x14ac:dyDescent="0.25">
      <c r="A2968" s="1" t="s">
        <v>4693</v>
      </c>
      <c r="B2968" s="1" t="s">
        <v>2242</v>
      </c>
      <c r="C2968" s="1" t="s">
        <v>2058</v>
      </c>
      <c r="D2968" s="39">
        <v>0</v>
      </c>
      <c r="E2968" s="1" t="s">
        <v>482</v>
      </c>
      <c r="F2968" s="39">
        <v>0</v>
      </c>
    </row>
    <row r="2969" spans="1:6" x14ac:dyDescent="0.25">
      <c r="A2969" s="1" t="s">
        <v>4694</v>
      </c>
      <c r="B2969" s="1" t="s">
        <v>2205</v>
      </c>
      <c r="C2969" s="1" t="s">
        <v>2058</v>
      </c>
      <c r="D2969" s="39">
        <v>0</v>
      </c>
      <c r="E2969" s="1" t="s">
        <v>482</v>
      </c>
      <c r="F2969" s="39">
        <v>0</v>
      </c>
    </row>
    <row r="2970" spans="1:6" x14ac:dyDescent="0.25">
      <c r="A2970" s="1" t="s">
        <v>4695</v>
      </c>
      <c r="B2970" s="1" t="s">
        <v>4696</v>
      </c>
      <c r="C2970" s="1" t="s">
        <v>2058</v>
      </c>
      <c r="D2970" s="39">
        <v>0</v>
      </c>
      <c r="E2970" s="1" t="s">
        <v>482</v>
      </c>
      <c r="F2970" s="39">
        <v>0</v>
      </c>
    </row>
    <row r="2971" spans="1:6" x14ac:dyDescent="0.25">
      <c r="A2971" s="1" t="s">
        <v>4697</v>
      </c>
      <c r="B2971" s="1" t="s">
        <v>4698</v>
      </c>
      <c r="C2971" s="1" t="s">
        <v>2058</v>
      </c>
      <c r="D2971" s="39">
        <v>0</v>
      </c>
      <c r="E2971" s="1" t="s">
        <v>482</v>
      </c>
      <c r="F2971" s="39">
        <v>0</v>
      </c>
    </row>
    <row r="2972" spans="1:6" x14ac:dyDescent="0.25">
      <c r="A2972" s="1" t="s">
        <v>4699</v>
      </c>
      <c r="B2972" s="1" t="s">
        <v>2243</v>
      </c>
      <c r="C2972" s="1" t="s">
        <v>2058</v>
      </c>
      <c r="D2972" s="39">
        <v>0</v>
      </c>
      <c r="E2972" s="1" t="s">
        <v>1</v>
      </c>
      <c r="F2972" s="39">
        <v>0</v>
      </c>
    </row>
    <row r="2973" spans="1:6" x14ac:dyDescent="0.25">
      <c r="A2973" s="1" t="s">
        <v>4700</v>
      </c>
      <c r="B2973" s="1" t="s">
        <v>2244</v>
      </c>
      <c r="C2973" s="1" t="s">
        <v>2058</v>
      </c>
      <c r="D2973" s="39">
        <v>0</v>
      </c>
      <c r="E2973" s="1" t="s">
        <v>482</v>
      </c>
      <c r="F2973" s="39">
        <v>0</v>
      </c>
    </row>
    <row r="2974" spans="1:6" x14ac:dyDescent="0.25">
      <c r="A2974" s="1" t="s">
        <v>4701</v>
      </c>
      <c r="B2974" s="1" t="s">
        <v>2208</v>
      </c>
      <c r="C2974" s="1" t="s">
        <v>2058</v>
      </c>
      <c r="D2974" s="39">
        <v>0</v>
      </c>
      <c r="E2974" s="1" t="s">
        <v>482</v>
      </c>
      <c r="F2974" s="39">
        <v>0</v>
      </c>
    </row>
    <row r="2975" spans="1:6" x14ac:dyDescent="0.25">
      <c r="A2975" s="1" t="s">
        <v>1528</v>
      </c>
      <c r="B2975" s="1" t="s">
        <v>1529</v>
      </c>
      <c r="C2975" s="1" t="s">
        <v>2058</v>
      </c>
      <c r="D2975" s="39">
        <v>0</v>
      </c>
      <c r="E2975" s="1" t="s">
        <v>482</v>
      </c>
      <c r="F2975" s="39">
        <v>0</v>
      </c>
    </row>
    <row r="2976" spans="1:6" x14ac:dyDescent="0.25">
      <c r="A2976" s="1" t="s">
        <v>4702</v>
      </c>
      <c r="B2976" s="1" t="s">
        <v>2248</v>
      </c>
      <c r="C2976" s="1" t="s">
        <v>2058</v>
      </c>
      <c r="D2976" s="39">
        <v>0</v>
      </c>
      <c r="E2976" s="1" t="s">
        <v>1</v>
      </c>
      <c r="F2976" s="39">
        <v>0</v>
      </c>
    </row>
    <row r="2977" spans="1:6" x14ac:dyDescent="0.25">
      <c r="A2977" s="1" t="s">
        <v>4703</v>
      </c>
      <c r="B2977" s="1" t="s">
        <v>2245</v>
      </c>
      <c r="C2977" s="1" t="s">
        <v>2058</v>
      </c>
      <c r="D2977" s="39">
        <v>0</v>
      </c>
      <c r="E2977" s="1" t="s">
        <v>482</v>
      </c>
      <c r="F2977" s="39">
        <v>0</v>
      </c>
    </row>
    <row r="2978" spans="1:6" x14ac:dyDescent="0.25">
      <c r="A2978" s="1" t="s">
        <v>4704</v>
      </c>
      <c r="B2978" s="1" t="s">
        <v>4705</v>
      </c>
      <c r="C2978" s="1" t="s">
        <v>2058</v>
      </c>
      <c r="D2978" s="39">
        <v>0</v>
      </c>
      <c r="E2978" s="1" t="s">
        <v>482</v>
      </c>
      <c r="F2978" s="39">
        <v>0</v>
      </c>
    </row>
    <row r="2979" spans="1:6" x14ac:dyDescent="0.25">
      <c r="A2979" s="1" t="s">
        <v>4706</v>
      </c>
      <c r="B2979" s="1" t="s">
        <v>2210</v>
      </c>
      <c r="C2979" s="1" t="s">
        <v>2058</v>
      </c>
      <c r="D2979" s="39">
        <v>0</v>
      </c>
      <c r="E2979" s="1" t="s">
        <v>482</v>
      </c>
      <c r="F2979" s="39">
        <v>0</v>
      </c>
    </row>
    <row r="2980" spans="1:6" x14ac:dyDescent="0.25">
      <c r="A2980" s="1" t="s">
        <v>4707</v>
      </c>
      <c r="B2980" s="1" t="s">
        <v>4708</v>
      </c>
      <c r="C2980" s="1" t="s">
        <v>2058</v>
      </c>
      <c r="D2980" s="39">
        <v>0</v>
      </c>
      <c r="E2980" s="1" t="s">
        <v>1</v>
      </c>
      <c r="F2980" s="39">
        <v>0</v>
      </c>
    </row>
    <row r="2981" spans="1:6" x14ac:dyDescent="0.25">
      <c r="A2981" s="1" t="s">
        <v>4709</v>
      </c>
      <c r="B2981" s="1" t="s">
        <v>2212</v>
      </c>
      <c r="C2981" s="1" t="s">
        <v>2058</v>
      </c>
      <c r="D2981" s="39">
        <v>0</v>
      </c>
      <c r="E2981" s="1" t="s">
        <v>482</v>
      </c>
      <c r="F2981" s="39">
        <v>0</v>
      </c>
    </row>
    <row r="2982" spans="1:6" x14ac:dyDescent="0.25">
      <c r="A2982" s="1" t="s">
        <v>4710</v>
      </c>
      <c r="B2982" s="1" t="s">
        <v>2213</v>
      </c>
      <c r="C2982" s="1" t="s">
        <v>2058</v>
      </c>
      <c r="D2982" s="39">
        <v>0</v>
      </c>
      <c r="E2982" s="1" t="s">
        <v>482</v>
      </c>
      <c r="F2982" s="39">
        <v>0</v>
      </c>
    </row>
    <row r="2983" spans="1:6" x14ac:dyDescent="0.25">
      <c r="A2983" s="1" t="s">
        <v>4711</v>
      </c>
      <c r="B2983" s="1" t="s">
        <v>4712</v>
      </c>
      <c r="C2983" s="1" t="s">
        <v>2058</v>
      </c>
      <c r="D2983" s="39">
        <v>0</v>
      </c>
      <c r="E2983" s="1" t="s">
        <v>482</v>
      </c>
      <c r="F2983" s="39">
        <v>0</v>
      </c>
    </row>
    <row r="2984" spans="1:6" x14ac:dyDescent="0.25">
      <c r="A2984" s="1" t="s">
        <v>1532</v>
      </c>
      <c r="B2984" s="1" t="s">
        <v>1533</v>
      </c>
      <c r="C2984" s="1" t="s">
        <v>2058</v>
      </c>
      <c r="D2984" s="39">
        <v>0</v>
      </c>
      <c r="E2984" s="1" t="s">
        <v>482</v>
      </c>
      <c r="F2984" s="39">
        <v>0</v>
      </c>
    </row>
    <row r="2985" spans="1:6" x14ac:dyDescent="0.25">
      <c r="A2985" s="1" t="s">
        <v>4713</v>
      </c>
      <c r="B2985" s="1" t="s">
        <v>2246</v>
      </c>
      <c r="C2985" s="1" t="s">
        <v>2058</v>
      </c>
      <c r="D2985" s="39">
        <v>0</v>
      </c>
      <c r="E2985" s="1" t="s">
        <v>482</v>
      </c>
      <c r="F2985" s="39">
        <v>0</v>
      </c>
    </row>
    <row r="2986" spans="1:6" x14ac:dyDescent="0.25">
      <c r="A2986" s="1" t="s">
        <v>267</v>
      </c>
      <c r="B2986" s="1" t="s">
        <v>268</v>
      </c>
      <c r="C2986" s="1" t="s">
        <v>2058</v>
      </c>
      <c r="D2986" s="39">
        <v>0</v>
      </c>
      <c r="E2986" s="1" t="s">
        <v>1</v>
      </c>
      <c r="F2986" s="39">
        <v>0</v>
      </c>
    </row>
    <row r="2987" spans="1:6" x14ac:dyDescent="0.25">
      <c r="A2987" s="1" t="s">
        <v>1536</v>
      </c>
      <c r="B2987" s="1" t="s">
        <v>1537</v>
      </c>
      <c r="C2987" s="1" t="s">
        <v>2058</v>
      </c>
      <c r="D2987" s="39">
        <v>0</v>
      </c>
      <c r="E2987" s="1" t="s">
        <v>482</v>
      </c>
      <c r="F2987" s="39">
        <v>0</v>
      </c>
    </row>
    <row r="2988" spans="1:6" x14ac:dyDescent="0.25">
      <c r="A2988" s="1" t="s">
        <v>4714</v>
      </c>
      <c r="B2988" s="1" t="s">
        <v>2215</v>
      </c>
      <c r="C2988" s="1" t="s">
        <v>2058</v>
      </c>
      <c r="D2988" s="39">
        <v>0</v>
      </c>
      <c r="E2988" s="1" t="s">
        <v>1</v>
      </c>
      <c r="F2988" s="39">
        <v>0</v>
      </c>
    </row>
    <row r="2989" spans="1:6" x14ac:dyDescent="0.25">
      <c r="A2989" s="1" t="s">
        <v>4715</v>
      </c>
      <c r="B2989" s="1" t="s">
        <v>3916</v>
      </c>
      <c r="C2989" s="1" t="s">
        <v>2058</v>
      </c>
      <c r="D2989" s="39">
        <v>0</v>
      </c>
      <c r="E2989" s="1" t="s">
        <v>1</v>
      </c>
      <c r="F2989" s="39">
        <v>0</v>
      </c>
    </row>
    <row r="2990" spans="1:6" x14ac:dyDescent="0.25">
      <c r="A2990" s="1" t="s">
        <v>1545</v>
      </c>
      <c r="B2990" s="1" t="s">
        <v>1546</v>
      </c>
      <c r="C2990" s="1" t="s">
        <v>2058</v>
      </c>
      <c r="D2990" s="39">
        <v>0</v>
      </c>
      <c r="E2990" s="1" t="s">
        <v>1</v>
      </c>
      <c r="F2990" s="39">
        <v>0</v>
      </c>
    </row>
    <row r="2991" spans="1:6" x14ac:dyDescent="0.25">
      <c r="A2991" s="1" t="s">
        <v>272</v>
      </c>
      <c r="B2991" s="1" t="s">
        <v>273</v>
      </c>
      <c r="C2991" s="1" t="s">
        <v>2058</v>
      </c>
      <c r="D2991" s="39">
        <v>0</v>
      </c>
      <c r="E2991" s="1" t="s">
        <v>1</v>
      </c>
      <c r="F2991" s="39">
        <v>0</v>
      </c>
    </row>
    <row r="2992" spans="1:6" x14ac:dyDescent="0.25">
      <c r="A2992" s="1" t="s">
        <v>277</v>
      </c>
      <c r="B2992" s="1" t="s">
        <v>278</v>
      </c>
      <c r="C2992" s="1" t="s">
        <v>2058</v>
      </c>
      <c r="D2992" s="39">
        <v>0</v>
      </c>
      <c r="E2992" s="1" t="s">
        <v>1</v>
      </c>
      <c r="F2992" s="39">
        <v>0</v>
      </c>
    </row>
    <row r="2993" spans="1:6" x14ac:dyDescent="0.25">
      <c r="A2993" s="1" t="s">
        <v>1561</v>
      </c>
      <c r="B2993" s="1" t="s">
        <v>1562</v>
      </c>
      <c r="C2993" s="1" t="s">
        <v>2058</v>
      </c>
      <c r="D2993" s="39">
        <v>0</v>
      </c>
      <c r="E2993" s="1" t="s">
        <v>1</v>
      </c>
      <c r="F2993" s="39">
        <v>0</v>
      </c>
    </row>
    <row r="2994" spans="1:6" x14ac:dyDescent="0.25">
      <c r="A2994" s="1" t="s">
        <v>4716</v>
      </c>
      <c r="B2994" s="1" t="s">
        <v>4717</v>
      </c>
      <c r="C2994" s="1" t="s">
        <v>2058</v>
      </c>
      <c r="D2994" s="39">
        <v>0</v>
      </c>
      <c r="E2994" s="1" t="s">
        <v>1</v>
      </c>
      <c r="F2994" s="39">
        <v>0</v>
      </c>
    </row>
    <row r="2995" spans="1:6" x14ac:dyDescent="0.25">
      <c r="A2995" s="1" t="s">
        <v>4718</v>
      </c>
      <c r="B2995" s="1" t="s">
        <v>2249</v>
      </c>
      <c r="C2995" s="1" t="s">
        <v>2058</v>
      </c>
      <c r="D2995" s="39">
        <v>0</v>
      </c>
      <c r="E2995" s="1" t="s">
        <v>1</v>
      </c>
      <c r="F2995" s="39">
        <v>0</v>
      </c>
    </row>
    <row r="2996" spans="1:6" x14ac:dyDescent="0.25">
      <c r="A2996" s="1" t="s">
        <v>480</v>
      </c>
      <c r="B2996" s="1" t="s">
        <v>481</v>
      </c>
      <c r="C2996" s="1" t="s">
        <v>2058</v>
      </c>
      <c r="D2996" s="39">
        <v>0</v>
      </c>
      <c r="E2996" s="1" t="s">
        <v>482</v>
      </c>
      <c r="F2996" s="39">
        <v>0</v>
      </c>
    </row>
    <row r="2997" spans="1:6" x14ac:dyDescent="0.25">
      <c r="A2997" s="1" t="s">
        <v>4719</v>
      </c>
      <c r="B2997" s="1" t="s">
        <v>3920</v>
      </c>
      <c r="C2997" s="1" t="s">
        <v>2058</v>
      </c>
      <c r="D2997" s="39">
        <v>0</v>
      </c>
      <c r="E2997" s="1" t="s">
        <v>1</v>
      </c>
      <c r="F2997" s="39">
        <v>0</v>
      </c>
    </row>
    <row r="2998" spans="1:6" x14ac:dyDescent="0.25">
      <c r="A2998" s="1" t="s">
        <v>4720</v>
      </c>
      <c r="B2998" s="1" t="s">
        <v>278</v>
      </c>
      <c r="C2998" s="1" t="s">
        <v>2058</v>
      </c>
      <c r="D2998" s="39">
        <v>0</v>
      </c>
      <c r="E2998" s="1" t="s">
        <v>1</v>
      </c>
      <c r="F2998" s="39">
        <v>0</v>
      </c>
    </row>
    <row r="2999" spans="1:6" x14ac:dyDescent="0.25">
      <c r="A2999" s="1" t="s">
        <v>4721</v>
      </c>
      <c r="B2999" s="1" t="s">
        <v>2216</v>
      </c>
      <c r="C2999" s="1" t="s">
        <v>2058</v>
      </c>
      <c r="D2999" s="39">
        <v>0</v>
      </c>
      <c r="E2999" s="1" t="s">
        <v>1</v>
      </c>
      <c r="F2999" s="39">
        <v>0</v>
      </c>
    </row>
    <row r="3000" spans="1:6" x14ac:dyDescent="0.25">
      <c r="A3000" s="1" t="s">
        <v>4722</v>
      </c>
      <c r="B3000" s="1" t="s">
        <v>4723</v>
      </c>
      <c r="C3000" s="1" t="s">
        <v>2058</v>
      </c>
      <c r="D3000" s="39">
        <v>0</v>
      </c>
      <c r="E3000" s="1" t="s">
        <v>1</v>
      </c>
      <c r="F3000" s="39">
        <v>0</v>
      </c>
    </row>
    <row r="3001" spans="1:6" x14ac:dyDescent="0.25">
      <c r="A3001" s="1" t="s">
        <v>282</v>
      </c>
      <c r="B3001" s="1" t="s">
        <v>283</v>
      </c>
      <c r="C3001" s="1" t="s">
        <v>2058</v>
      </c>
      <c r="D3001" s="39">
        <v>0</v>
      </c>
      <c r="E3001" s="1" t="s">
        <v>1</v>
      </c>
      <c r="F3001" s="39">
        <v>0</v>
      </c>
    </row>
    <row r="3002" spans="1:6" x14ac:dyDescent="0.25">
      <c r="A3002" s="1" t="s">
        <v>1583</v>
      </c>
      <c r="B3002" s="1" t="s">
        <v>1584</v>
      </c>
      <c r="C3002" s="1" t="s">
        <v>2058</v>
      </c>
      <c r="D3002" s="39">
        <v>0</v>
      </c>
      <c r="E3002" s="1" t="s">
        <v>1</v>
      </c>
      <c r="F3002" s="39">
        <v>0</v>
      </c>
    </row>
    <row r="3003" spans="1:6" x14ac:dyDescent="0.25">
      <c r="A3003" s="1" t="s">
        <v>4724</v>
      </c>
      <c r="B3003" s="1" t="s">
        <v>4725</v>
      </c>
      <c r="C3003" s="1" t="s">
        <v>2058</v>
      </c>
      <c r="D3003" s="39">
        <v>0</v>
      </c>
      <c r="E3003" s="1" t="s">
        <v>1</v>
      </c>
      <c r="F3003" s="39">
        <v>0</v>
      </c>
    </row>
    <row r="3004" spans="1:6" x14ac:dyDescent="0.25">
      <c r="A3004" s="1" t="s">
        <v>4726</v>
      </c>
      <c r="B3004" s="1" t="s">
        <v>2250</v>
      </c>
      <c r="C3004" s="1" t="s">
        <v>2058</v>
      </c>
      <c r="D3004" s="39">
        <v>0</v>
      </c>
      <c r="E3004" s="1" t="s">
        <v>1</v>
      </c>
      <c r="F3004" s="39">
        <v>0</v>
      </c>
    </row>
    <row r="3005" spans="1:6" x14ac:dyDescent="0.25">
      <c r="A3005" s="1" t="s">
        <v>4727</v>
      </c>
      <c r="B3005" s="1" t="s">
        <v>2250</v>
      </c>
      <c r="C3005" s="1" t="s">
        <v>2058</v>
      </c>
      <c r="D3005" s="39">
        <v>0</v>
      </c>
      <c r="E3005" s="1" t="s">
        <v>1</v>
      </c>
      <c r="F3005" s="39">
        <v>0</v>
      </c>
    </row>
    <row r="3006" spans="1:6" x14ac:dyDescent="0.25">
      <c r="A3006" s="1" t="s">
        <v>4728</v>
      </c>
      <c r="B3006" s="1" t="s">
        <v>3928</v>
      </c>
      <c r="C3006" s="1" t="s">
        <v>2058</v>
      </c>
      <c r="D3006" s="39">
        <v>0</v>
      </c>
      <c r="E3006" s="1" t="s">
        <v>1</v>
      </c>
      <c r="F3006" s="39">
        <v>0</v>
      </c>
    </row>
    <row r="3007" spans="1:6" x14ac:dyDescent="0.25">
      <c r="A3007" s="1" t="s">
        <v>4729</v>
      </c>
      <c r="B3007" s="1" t="s">
        <v>2217</v>
      </c>
      <c r="C3007" s="1" t="s">
        <v>2058</v>
      </c>
      <c r="D3007" s="39">
        <v>0</v>
      </c>
      <c r="E3007" s="1" t="s">
        <v>1</v>
      </c>
      <c r="F3007" s="39">
        <v>0</v>
      </c>
    </row>
    <row r="3008" spans="1:6" x14ac:dyDescent="0.25">
      <c r="A3008" s="1" t="s">
        <v>4730</v>
      </c>
      <c r="B3008" s="1" t="s">
        <v>3930</v>
      </c>
      <c r="C3008" s="1" t="s">
        <v>2058</v>
      </c>
      <c r="D3008" s="39">
        <v>0</v>
      </c>
      <c r="E3008" s="1" t="s">
        <v>1</v>
      </c>
      <c r="F3008" s="39">
        <v>0</v>
      </c>
    </row>
    <row r="3009" spans="1:6" x14ac:dyDescent="0.25">
      <c r="A3009" s="1" t="s">
        <v>287</v>
      </c>
      <c r="B3009" s="1" t="s">
        <v>288</v>
      </c>
      <c r="C3009" s="1" t="s">
        <v>2058</v>
      </c>
      <c r="D3009" s="39">
        <v>0</v>
      </c>
      <c r="E3009" s="1" t="s">
        <v>1</v>
      </c>
      <c r="F3009" s="39">
        <v>0</v>
      </c>
    </row>
    <row r="3010" spans="1:6" x14ac:dyDescent="0.25">
      <c r="A3010" s="1" t="s">
        <v>4731</v>
      </c>
      <c r="B3010" s="1" t="s">
        <v>4732</v>
      </c>
      <c r="C3010" s="1" t="s">
        <v>2058</v>
      </c>
      <c r="D3010" s="39">
        <v>0</v>
      </c>
      <c r="E3010" s="1" t="s">
        <v>1</v>
      </c>
      <c r="F3010" s="39">
        <v>0</v>
      </c>
    </row>
    <row r="3011" spans="1:6" x14ac:dyDescent="0.25">
      <c r="A3011" s="1" t="s">
        <v>1603</v>
      </c>
      <c r="B3011" s="1" t="s">
        <v>1604</v>
      </c>
      <c r="C3011" s="1" t="s">
        <v>2058</v>
      </c>
      <c r="D3011" s="39">
        <v>0</v>
      </c>
      <c r="E3011" s="1" t="s">
        <v>1</v>
      </c>
      <c r="F3011" s="39">
        <v>0</v>
      </c>
    </row>
    <row r="3012" spans="1:6" x14ac:dyDescent="0.25">
      <c r="A3012" s="1" t="s">
        <v>1607</v>
      </c>
      <c r="B3012" s="1" t="s">
        <v>4733</v>
      </c>
      <c r="C3012" s="1" t="s">
        <v>2058</v>
      </c>
      <c r="D3012" s="39">
        <v>0</v>
      </c>
      <c r="E3012" s="1" t="s">
        <v>1</v>
      </c>
      <c r="F3012" s="39">
        <v>0</v>
      </c>
    </row>
    <row r="3013" spans="1:6" x14ac:dyDescent="0.25">
      <c r="A3013" s="1" t="s">
        <v>4734</v>
      </c>
      <c r="B3013" s="1" t="s">
        <v>3932</v>
      </c>
      <c r="C3013" s="1" t="s">
        <v>2058</v>
      </c>
      <c r="D3013" s="39">
        <v>0</v>
      </c>
      <c r="E3013" s="1" t="s">
        <v>1</v>
      </c>
      <c r="F3013" s="39">
        <v>0</v>
      </c>
    </row>
    <row r="3014" spans="1:6" x14ac:dyDescent="0.25">
      <c r="A3014" s="1" t="s">
        <v>292</v>
      </c>
      <c r="B3014" s="1" t="s">
        <v>293</v>
      </c>
      <c r="C3014" s="1" t="s">
        <v>2058</v>
      </c>
      <c r="D3014" s="39">
        <v>0</v>
      </c>
      <c r="E3014" s="1" t="s">
        <v>1</v>
      </c>
      <c r="F3014" s="39">
        <v>0</v>
      </c>
    </row>
    <row r="3015" spans="1:6" x14ac:dyDescent="0.25">
      <c r="A3015" s="1" t="s">
        <v>4735</v>
      </c>
      <c r="B3015" s="1" t="s">
        <v>293</v>
      </c>
      <c r="C3015" s="1" t="s">
        <v>2058</v>
      </c>
      <c r="D3015" s="39">
        <v>0</v>
      </c>
      <c r="E3015" s="1" t="s">
        <v>1</v>
      </c>
      <c r="F3015" s="39">
        <v>0</v>
      </c>
    </row>
    <row r="3016" spans="1:6" x14ac:dyDescent="0.25">
      <c r="A3016" s="1" t="s">
        <v>297</v>
      </c>
      <c r="B3016" s="1" t="s">
        <v>298</v>
      </c>
      <c r="C3016" s="1" t="s">
        <v>2058</v>
      </c>
      <c r="D3016" s="39">
        <v>0</v>
      </c>
      <c r="E3016" s="1" t="s">
        <v>1</v>
      </c>
      <c r="F3016" s="39">
        <v>0</v>
      </c>
    </row>
    <row r="3017" spans="1:6" x14ac:dyDescent="0.25">
      <c r="A3017" s="1" t="s">
        <v>1612</v>
      </c>
      <c r="B3017" s="1" t="s">
        <v>1613</v>
      </c>
      <c r="C3017" s="1" t="s">
        <v>2058</v>
      </c>
      <c r="D3017" s="39">
        <v>0</v>
      </c>
      <c r="E3017" s="1" t="s">
        <v>1</v>
      </c>
      <c r="F3017" s="39">
        <v>0</v>
      </c>
    </row>
    <row r="3018" spans="1:6" x14ac:dyDescent="0.25">
      <c r="A3018" s="1" t="s">
        <v>4736</v>
      </c>
      <c r="B3018" s="1" t="s">
        <v>4737</v>
      </c>
      <c r="C3018" s="1" t="s">
        <v>2058</v>
      </c>
      <c r="D3018" s="39">
        <v>0</v>
      </c>
      <c r="E3018" s="1" t="s">
        <v>1</v>
      </c>
      <c r="F3018" s="39">
        <v>0</v>
      </c>
    </row>
    <row r="3019" spans="1:6" x14ac:dyDescent="0.25">
      <c r="A3019" s="1" t="s">
        <v>4738</v>
      </c>
      <c r="B3019" s="1" t="s">
        <v>2247</v>
      </c>
      <c r="C3019" s="1" t="s">
        <v>2058</v>
      </c>
      <c r="D3019" s="39">
        <v>0</v>
      </c>
      <c r="E3019" s="1" t="s">
        <v>1</v>
      </c>
      <c r="F3019" s="39">
        <v>0</v>
      </c>
    </row>
    <row r="3020" spans="1:6" x14ac:dyDescent="0.25">
      <c r="A3020" s="1" t="s">
        <v>302</v>
      </c>
      <c r="B3020" s="1" t="s">
        <v>303</v>
      </c>
      <c r="C3020" s="1" t="s">
        <v>2058</v>
      </c>
      <c r="D3020" s="39">
        <v>0</v>
      </c>
      <c r="E3020" s="1" t="s">
        <v>1</v>
      </c>
      <c r="F3020" s="39">
        <v>0</v>
      </c>
    </row>
    <row r="3021" spans="1:6" x14ac:dyDescent="0.25">
      <c r="A3021" s="1" t="s">
        <v>307</v>
      </c>
      <c r="B3021" s="1" t="s">
        <v>308</v>
      </c>
      <c r="C3021" s="1" t="s">
        <v>2058</v>
      </c>
      <c r="D3021" s="39">
        <v>0</v>
      </c>
      <c r="E3021" s="1" t="s">
        <v>1</v>
      </c>
      <c r="F3021" s="39">
        <v>0</v>
      </c>
    </row>
    <row r="3022" spans="1:6" x14ac:dyDescent="0.25">
      <c r="A3022" s="1" t="s">
        <v>1632</v>
      </c>
      <c r="B3022" s="1" t="s">
        <v>1633</v>
      </c>
      <c r="C3022" s="1" t="s">
        <v>2058</v>
      </c>
      <c r="D3022" s="39">
        <v>0</v>
      </c>
      <c r="E3022" s="1" t="s">
        <v>1</v>
      </c>
      <c r="F3022" s="39">
        <v>0</v>
      </c>
    </row>
    <row r="3023" spans="1:6" x14ac:dyDescent="0.25">
      <c r="A3023" s="1" t="s">
        <v>4739</v>
      </c>
      <c r="B3023" s="1" t="s">
        <v>2461</v>
      </c>
      <c r="C3023" s="1" t="s">
        <v>2058</v>
      </c>
      <c r="D3023" s="39">
        <v>0</v>
      </c>
      <c r="E3023" s="1" t="s">
        <v>1</v>
      </c>
      <c r="F3023" s="39">
        <v>0</v>
      </c>
    </row>
    <row r="3024" spans="1:6" x14ac:dyDescent="0.25">
      <c r="A3024" s="1" t="s">
        <v>312</v>
      </c>
      <c r="B3024" s="1" t="s">
        <v>313</v>
      </c>
      <c r="C3024" s="1" t="s">
        <v>2058</v>
      </c>
      <c r="D3024" s="39">
        <v>0</v>
      </c>
      <c r="E3024" s="1" t="s">
        <v>1</v>
      </c>
      <c r="F3024" s="39">
        <v>0</v>
      </c>
    </row>
    <row r="3025" spans="1:6" x14ac:dyDescent="0.25">
      <c r="A3025" s="1" t="s">
        <v>4740</v>
      </c>
      <c r="B3025" s="1" t="s">
        <v>4741</v>
      </c>
      <c r="C3025" s="1" t="s">
        <v>2058</v>
      </c>
      <c r="D3025" s="39">
        <v>0</v>
      </c>
      <c r="E3025" s="1" t="s">
        <v>1</v>
      </c>
      <c r="F3025" s="39">
        <v>0</v>
      </c>
    </row>
    <row r="3026" spans="1:6" x14ac:dyDescent="0.25">
      <c r="A3026" s="1" t="s">
        <v>4742</v>
      </c>
      <c r="B3026" s="1" t="s">
        <v>4743</v>
      </c>
      <c r="C3026" s="1" t="s">
        <v>2058</v>
      </c>
      <c r="D3026" s="39">
        <v>0</v>
      </c>
      <c r="E3026" s="1" t="s">
        <v>1</v>
      </c>
      <c r="F3026" s="39">
        <v>0</v>
      </c>
    </row>
    <row r="3027" spans="1:6" x14ac:dyDescent="0.25">
      <c r="A3027" s="1" t="s">
        <v>317</v>
      </c>
      <c r="B3027" s="1" t="s">
        <v>318</v>
      </c>
      <c r="C3027" s="1" t="s">
        <v>2058</v>
      </c>
      <c r="D3027" s="39">
        <v>0</v>
      </c>
      <c r="E3027" s="1" t="s">
        <v>1</v>
      </c>
      <c r="F3027" s="39">
        <v>0</v>
      </c>
    </row>
    <row r="3028" spans="1:6" x14ac:dyDescent="0.25">
      <c r="A3028" s="1" t="s">
        <v>4744</v>
      </c>
      <c r="B3028" s="1" t="s">
        <v>4745</v>
      </c>
      <c r="C3028" s="1" t="s">
        <v>2058</v>
      </c>
      <c r="D3028" s="39">
        <v>0</v>
      </c>
      <c r="E3028" s="1" t="s">
        <v>1</v>
      </c>
      <c r="F3028" s="39">
        <v>0</v>
      </c>
    </row>
    <row r="3029" spans="1:6" x14ac:dyDescent="0.25">
      <c r="A3029" s="1" t="s">
        <v>322</v>
      </c>
      <c r="B3029" s="1" t="s">
        <v>323</v>
      </c>
      <c r="C3029" s="1" t="s">
        <v>2058</v>
      </c>
      <c r="D3029" s="39">
        <v>0</v>
      </c>
      <c r="E3029" s="1" t="s">
        <v>1</v>
      </c>
      <c r="F3029" s="39">
        <v>0</v>
      </c>
    </row>
    <row r="3030" spans="1:6" x14ac:dyDescent="0.25">
      <c r="A3030" s="1" t="s">
        <v>4746</v>
      </c>
      <c r="B3030" s="1" t="s">
        <v>3947</v>
      </c>
      <c r="C3030" s="1" t="s">
        <v>2058</v>
      </c>
      <c r="D3030" s="39">
        <v>0</v>
      </c>
      <c r="E3030" s="1" t="s">
        <v>1</v>
      </c>
      <c r="F3030" s="39">
        <v>0</v>
      </c>
    </row>
    <row r="3031" spans="1:6" x14ac:dyDescent="0.25">
      <c r="A3031" s="1" t="s">
        <v>4747</v>
      </c>
      <c r="B3031" s="1" t="s">
        <v>3947</v>
      </c>
      <c r="C3031" s="1" t="s">
        <v>2058</v>
      </c>
      <c r="D3031" s="39">
        <v>0</v>
      </c>
      <c r="E3031" s="1" t="s">
        <v>1</v>
      </c>
      <c r="F3031" s="39">
        <v>0</v>
      </c>
    </row>
    <row r="3032" spans="1:6" x14ac:dyDescent="0.25">
      <c r="A3032" s="1" t="s">
        <v>4748</v>
      </c>
      <c r="B3032" s="1" t="s">
        <v>4749</v>
      </c>
      <c r="C3032" s="1" t="s">
        <v>2058</v>
      </c>
      <c r="D3032" s="39">
        <v>0</v>
      </c>
      <c r="E3032" s="1" t="s">
        <v>1</v>
      </c>
      <c r="F3032" s="39">
        <v>0</v>
      </c>
    </row>
    <row r="3033" spans="1:6" x14ac:dyDescent="0.25">
      <c r="A3033" s="1" t="s">
        <v>1665</v>
      </c>
      <c r="B3033" s="1" t="s">
        <v>1666</v>
      </c>
      <c r="C3033" s="1" t="s">
        <v>2058</v>
      </c>
      <c r="D3033" s="39">
        <v>0</v>
      </c>
      <c r="E3033" s="1" t="s">
        <v>1</v>
      </c>
      <c r="F3033" s="39">
        <v>0</v>
      </c>
    </row>
    <row r="3034" spans="1:6" x14ac:dyDescent="0.25">
      <c r="A3034" s="1" t="s">
        <v>327</v>
      </c>
      <c r="B3034" s="1" t="s">
        <v>328</v>
      </c>
      <c r="C3034" s="1" t="s">
        <v>2058</v>
      </c>
      <c r="D3034" s="39">
        <v>0</v>
      </c>
      <c r="E3034" s="1" t="s">
        <v>1</v>
      </c>
      <c r="F3034" s="39">
        <v>0</v>
      </c>
    </row>
    <row r="3035" spans="1:6" x14ac:dyDescent="0.25">
      <c r="A3035" s="1" t="s">
        <v>707</v>
      </c>
      <c r="B3035" s="1" t="s">
        <v>708</v>
      </c>
      <c r="C3035" s="1" t="s">
        <v>2058</v>
      </c>
      <c r="D3035" s="39">
        <v>0</v>
      </c>
      <c r="E3035" s="1" t="s">
        <v>1</v>
      </c>
      <c r="F3035" s="39">
        <v>0</v>
      </c>
    </row>
    <row r="3036" spans="1:6" x14ac:dyDescent="0.25">
      <c r="A3036" s="1" t="s">
        <v>4750</v>
      </c>
      <c r="B3036" s="1" t="s">
        <v>2462</v>
      </c>
      <c r="C3036" s="1" t="s">
        <v>2058</v>
      </c>
      <c r="D3036" s="39">
        <v>0</v>
      </c>
      <c r="E3036" s="1" t="s">
        <v>1</v>
      </c>
      <c r="F3036" s="39">
        <v>0</v>
      </c>
    </row>
    <row r="3037" spans="1:6" x14ac:dyDescent="0.25">
      <c r="A3037" s="1" t="s">
        <v>4751</v>
      </c>
      <c r="B3037" s="1" t="s">
        <v>4752</v>
      </c>
      <c r="C3037" s="1" t="s">
        <v>2058</v>
      </c>
      <c r="D3037" s="39">
        <v>0</v>
      </c>
      <c r="E3037" s="1" t="s">
        <v>1</v>
      </c>
      <c r="F3037" s="39">
        <v>0</v>
      </c>
    </row>
    <row r="3038" spans="1:6" x14ac:dyDescent="0.25">
      <c r="A3038" s="1" t="s">
        <v>4753</v>
      </c>
      <c r="B3038" s="1" t="s">
        <v>2221</v>
      </c>
      <c r="C3038" s="1" t="s">
        <v>2058</v>
      </c>
      <c r="D3038" s="39">
        <v>0</v>
      </c>
      <c r="E3038" s="1" t="s">
        <v>1</v>
      </c>
      <c r="F3038" s="39">
        <v>0</v>
      </c>
    </row>
    <row r="3039" spans="1:6" x14ac:dyDescent="0.25">
      <c r="A3039" s="1" t="s">
        <v>331</v>
      </c>
      <c r="B3039" s="1" t="s">
        <v>332</v>
      </c>
      <c r="C3039" s="1" t="s">
        <v>2058</v>
      </c>
      <c r="D3039" s="39">
        <v>0</v>
      </c>
      <c r="E3039" s="1" t="s">
        <v>1</v>
      </c>
      <c r="F3039" s="39">
        <v>0</v>
      </c>
    </row>
    <row r="3040" spans="1:6" x14ac:dyDescent="0.25">
      <c r="A3040" s="1" t="s">
        <v>4754</v>
      </c>
      <c r="B3040" s="1" t="s">
        <v>4755</v>
      </c>
      <c r="C3040" s="1" t="s">
        <v>2058</v>
      </c>
      <c r="D3040" s="39">
        <v>0</v>
      </c>
      <c r="E3040" s="1" t="s">
        <v>1</v>
      </c>
      <c r="F3040" s="39">
        <v>0</v>
      </c>
    </row>
    <row r="3041" spans="1:6" x14ac:dyDescent="0.25">
      <c r="A3041" s="1" t="s">
        <v>335</v>
      </c>
      <c r="B3041" s="1" t="s">
        <v>336</v>
      </c>
      <c r="C3041" s="1" t="s">
        <v>2058</v>
      </c>
      <c r="D3041" s="39">
        <v>0</v>
      </c>
      <c r="E3041" s="1" t="s">
        <v>1</v>
      </c>
      <c r="F3041" s="39">
        <v>0</v>
      </c>
    </row>
    <row r="3042" spans="1:6" x14ac:dyDescent="0.25">
      <c r="A3042" s="1" t="s">
        <v>339</v>
      </c>
      <c r="B3042" s="1" t="s">
        <v>340</v>
      </c>
      <c r="C3042" s="1" t="s">
        <v>2058</v>
      </c>
      <c r="D3042" s="39">
        <v>0</v>
      </c>
      <c r="E3042" s="1" t="s">
        <v>1</v>
      </c>
      <c r="F3042" s="39">
        <v>0</v>
      </c>
    </row>
    <row r="3043" spans="1:6" x14ac:dyDescent="0.25">
      <c r="A3043" s="1" t="s">
        <v>342</v>
      </c>
      <c r="B3043" s="1" t="s">
        <v>343</v>
      </c>
      <c r="C3043" s="1" t="s">
        <v>2058</v>
      </c>
      <c r="D3043" s="39">
        <v>0</v>
      </c>
      <c r="E3043" s="1" t="s">
        <v>1</v>
      </c>
      <c r="F3043" s="39">
        <v>0</v>
      </c>
    </row>
    <row r="3044" spans="1:6" x14ac:dyDescent="0.25">
      <c r="A3044" s="1" t="s">
        <v>4756</v>
      </c>
      <c r="B3044" s="1" t="s">
        <v>3954</v>
      </c>
      <c r="C3044" s="1" t="s">
        <v>2058</v>
      </c>
      <c r="D3044" s="39">
        <v>0</v>
      </c>
      <c r="E3044" s="1" t="s">
        <v>1</v>
      </c>
      <c r="F3044" s="39">
        <v>0</v>
      </c>
    </row>
    <row r="3045" spans="1:6" x14ac:dyDescent="0.25">
      <c r="A3045" s="1" t="s">
        <v>346</v>
      </c>
      <c r="B3045" s="1" t="s">
        <v>347</v>
      </c>
      <c r="C3045" s="1" t="s">
        <v>2058</v>
      </c>
      <c r="D3045" s="39">
        <v>0</v>
      </c>
      <c r="E3045" s="1" t="s">
        <v>1</v>
      </c>
      <c r="F3045" s="39">
        <v>0</v>
      </c>
    </row>
    <row r="3046" spans="1:6" x14ac:dyDescent="0.25">
      <c r="A3046" s="1" t="s">
        <v>4757</v>
      </c>
      <c r="B3046" s="1" t="s">
        <v>3956</v>
      </c>
      <c r="C3046" s="1" t="s">
        <v>2058</v>
      </c>
      <c r="D3046" s="39">
        <v>0</v>
      </c>
      <c r="E3046" s="1" t="s">
        <v>1</v>
      </c>
      <c r="F3046" s="39">
        <v>0</v>
      </c>
    </row>
    <row r="3047" spans="1:6" x14ac:dyDescent="0.25">
      <c r="A3047" s="1" t="s">
        <v>350</v>
      </c>
      <c r="B3047" s="1" t="s">
        <v>351</v>
      </c>
      <c r="C3047" s="1" t="s">
        <v>2058</v>
      </c>
      <c r="D3047" s="39">
        <v>0</v>
      </c>
      <c r="E3047" s="1" t="s">
        <v>1</v>
      </c>
      <c r="F3047" s="39">
        <v>0</v>
      </c>
    </row>
    <row r="3048" spans="1:6" x14ac:dyDescent="0.25">
      <c r="A3048" s="1" t="s">
        <v>719</v>
      </c>
      <c r="B3048" s="1" t="s">
        <v>720</v>
      </c>
      <c r="C3048" s="1" t="s">
        <v>2058</v>
      </c>
      <c r="D3048" s="39">
        <v>0</v>
      </c>
      <c r="E3048" s="1" t="s">
        <v>1</v>
      </c>
      <c r="F3048" s="39">
        <v>0</v>
      </c>
    </row>
    <row r="3049" spans="1:6" x14ac:dyDescent="0.25">
      <c r="A3049" s="1" t="s">
        <v>724</v>
      </c>
      <c r="B3049" s="1" t="s">
        <v>725</v>
      </c>
      <c r="C3049" s="1" t="s">
        <v>2058</v>
      </c>
      <c r="D3049" s="39">
        <v>0</v>
      </c>
      <c r="E3049" s="1" t="s">
        <v>1</v>
      </c>
      <c r="F3049" s="39">
        <v>0</v>
      </c>
    </row>
    <row r="3050" spans="1:6" x14ac:dyDescent="0.25">
      <c r="A3050" s="1" t="s">
        <v>4758</v>
      </c>
      <c r="B3050" s="1" t="s">
        <v>3960</v>
      </c>
      <c r="C3050" s="1" t="s">
        <v>2058</v>
      </c>
      <c r="D3050" s="39">
        <v>0</v>
      </c>
      <c r="E3050" s="1" t="s">
        <v>1</v>
      </c>
      <c r="F3050" s="39">
        <v>0</v>
      </c>
    </row>
    <row r="3051" spans="1:6" x14ac:dyDescent="0.25">
      <c r="A3051" s="1" t="s">
        <v>729</v>
      </c>
      <c r="B3051" s="1" t="s">
        <v>730</v>
      </c>
      <c r="C3051" s="1" t="s">
        <v>2058</v>
      </c>
      <c r="D3051" s="39">
        <v>0</v>
      </c>
      <c r="E3051" s="1" t="s">
        <v>1</v>
      </c>
      <c r="F3051" s="39">
        <v>0</v>
      </c>
    </row>
    <row r="3052" spans="1:6" x14ac:dyDescent="0.25">
      <c r="A3052" s="1" t="s">
        <v>734</v>
      </c>
      <c r="B3052" s="1" t="s">
        <v>735</v>
      </c>
      <c r="C3052" s="1" t="s">
        <v>2058</v>
      </c>
      <c r="D3052" s="39">
        <v>0</v>
      </c>
      <c r="E3052" s="1" t="s">
        <v>1</v>
      </c>
      <c r="F3052" s="39">
        <v>0</v>
      </c>
    </row>
    <row r="3053" spans="1:6" x14ac:dyDescent="0.25">
      <c r="A3053" s="1" t="s">
        <v>357</v>
      </c>
      <c r="B3053" s="1" t="s">
        <v>358</v>
      </c>
      <c r="C3053" s="1" t="s">
        <v>2058</v>
      </c>
      <c r="D3053" s="39">
        <v>0</v>
      </c>
      <c r="E3053" s="1" t="s">
        <v>1</v>
      </c>
      <c r="F3053" s="39">
        <v>0</v>
      </c>
    </row>
    <row r="3054" spans="1:6" x14ac:dyDescent="0.25">
      <c r="A3054" s="1" t="s">
        <v>4759</v>
      </c>
      <c r="B3054" s="1" t="s">
        <v>358</v>
      </c>
      <c r="C3054" s="1" t="s">
        <v>2058</v>
      </c>
      <c r="D3054" s="39">
        <v>0</v>
      </c>
      <c r="E3054" s="1" t="s">
        <v>1</v>
      </c>
      <c r="F3054" s="39">
        <v>0</v>
      </c>
    </row>
    <row r="3055" spans="1:6" x14ac:dyDescent="0.25">
      <c r="A3055" s="1" t="s">
        <v>4760</v>
      </c>
      <c r="B3055" s="1" t="s">
        <v>4761</v>
      </c>
      <c r="C3055" s="1" t="s">
        <v>2058</v>
      </c>
      <c r="D3055" s="39">
        <v>0</v>
      </c>
      <c r="E3055" s="1" t="s">
        <v>1</v>
      </c>
      <c r="F3055" s="39">
        <v>0</v>
      </c>
    </row>
    <row r="3056" spans="1:6" x14ac:dyDescent="0.25">
      <c r="A3056" s="1" t="s">
        <v>4762</v>
      </c>
      <c r="B3056" s="1" t="s">
        <v>2223</v>
      </c>
      <c r="C3056" s="1" t="s">
        <v>2058</v>
      </c>
      <c r="D3056" s="39">
        <v>0</v>
      </c>
      <c r="E3056" s="1" t="s">
        <v>1</v>
      </c>
      <c r="F3056" s="39">
        <v>0</v>
      </c>
    </row>
    <row r="3057" spans="1:6" x14ac:dyDescent="0.25">
      <c r="A3057" s="1" t="s">
        <v>4763</v>
      </c>
      <c r="B3057" s="1" t="s">
        <v>4764</v>
      </c>
      <c r="C3057" s="1" t="s">
        <v>2058</v>
      </c>
      <c r="D3057" s="39">
        <v>0</v>
      </c>
      <c r="E3057" s="1" t="s">
        <v>1</v>
      </c>
      <c r="F3057" s="39">
        <v>0</v>
      </c>
    </row>
    <row r="3058" spans="1:6" x14ac:dyDescent="0.25">
      <c r="A3058" s="1" t="s">
        <v>4765</v>
      </c>
      <c r="B3058" s="1" t="s">
        <v>3966</v>
      </c>
      <c r="C3058" s="1" t="s">
        <v>2058</v>
      </c>
      <c r="D3058" s="39">
        <v>0</v>
      </c>
      <c r="E3058" s="1" t="s">
        <v>1</v>
      </c>
      <c r="F3058" s="39">
        <v>0</v>
      </c>
    </row>
    <row r="3059" spans="1:6" x14ac:dyDescent="0.25">
      <c r="A3059" s="1" t="s">
        <v>4766</v>
      </c>
      <c r="B3059" s="1" t="s">
        <v>4767</v>
      </c>
      <c r="C3059" s="1" t="s">
        <v>2058</v>
      </c>
      <c r="D3059" s="39">
        <v>0</v>
      </c>
      <c r="E3059" s="1" t="s">
        <v>1</v>
      </c>
      <c r="F3059" s="39">
        <v>0</v>
      </c>
    </row>
    <row r="3060" spans="1:6" x14ac:dyDescent="0.25">
      <c r="A3060" s="1" t="s">
        <v>4768</v>
      </c>
      <c r="B3060" s="1" t="s">
        <v>3968</v>
      </c>
      <c r="C3060" s="1" t="s">
        <v>2058</v>
      </c>
      <c r="D3060" s="39">
        <v>0</v>
      </c>
      <c r="E3060" s="1" t="s">
        <v>1</v>
      </c>
      <c r="F3060" s="39">
        <v>0</v>
      </c>
    </row>
    <row r="3061" spans="1:6" x14ac:dyDescent="0.25">
      <c r="A3061" s="1" t="s">
        <v>4769</v>
      </c>
      <c r="B3061" s="1" t="s">
        <v>4770</v>
      </c>
      <c r="C3061" s="1" t="s">
        <v>2058</v>
      </c>
      <c r="D3061" s="39">
        <v>0</v>
      </c>
      <c r="E3061" s="1" t="s">
        <v>1</v>
      </c>
      <c r="F3061" s="39">
        <v>0</v>
      </c>
    </row>
    <row r="3062" spans="1:6" x14ac:dyDescent="0.25">
      <c r="A3062" s="1" t="s">
        <v>4771</v>
      </c>
      <c r="B3062" s="1" t="s">
        <v>3970</v>
      </c>
      <c r="C3062" s="1" t="s">
        <v>2058</v>
      </c>
      <c r="D3062" s="39">
        <v>0</v>
      </c>
      <c r="E3062" s="1" t="s">
        <v>1</v>
      </c>
      <c r="F3062" s="39">
        <v>0</v>
      </c>
    </row>
    <row r="3063" spans="1:6" x14ac:dyDescent="0.25">
      <c r="A3063" s="1" t="s">
        <v>4772</v>
      </c>
      <c r="B3063" s="1" t="s">
        <v>4773</v>
      </c>
      <c r="C3063" s="1" t="s">
        <v>2058</v>
      </c>
      <c r="D3063" s="39">
        <v>0</v>
      </c>
      <c r="E3063" s="1" t="s">
        <v>1</v>
      </c>
      <c r="F3063" s="39">
        <v>0</v>
      </c>
    </row>
    <row r="3064" spans="1:6" x14ac:dyDescent="0.25">
      <c r="A3064" s="1" t="s">
        <v>4774</v>
      </c>
      <c r="B3064" s="1" t="s">
        <v>3972</v>
      </c>
      <c r="C3064" s="1" t="s">
        <v>2058</v>
      </c>
      <c r="D3064" s="39">
        <v>0</v>
      </c>
      <c r="E3064" s="1" t="s">
        <v>1</v>
      </c>
      <c r="F3064" s="39">
        <v>0</v>
      </c>
    </row>
    <row r="3065" spans="1:6" x14ac:dyDescent="0.25">
      <c r="A3065" s="1" t="s">
        <v>4775</v>
      </c>
      <c r="B3065" s="1" t="s">
        <v>3974</v>
      </c>
      <c r="C3065" s="1" t="s">
        <v>2058</v>
      </c>
      <c r="D3065" s="39">
        <v>0</v>
      </c>
      <c r="E3065" s="1" t="s">
        <v>1</v>
      </c>
      <c r="F3065" s="39">
        <v>0</v>
      </c>
    </row>
    <row r="3066" spans="1:6" x14ac:dyDescent="0.25">
      <c r="A3066" s="1" t="s">
        <v>4776</v>
      </c>
      <c r="B3066" s="1" t="s">
        <v>3974</v>
      </c>
      <c r="C3066" s="1" t="s">
        <v>2058</v>
      </c>
      <c r="D3066" s="39">
        <v>0</v>
      </c>
      <c r="E3066" s="1" t="s">
        <v>1</v>
      </c>
      <c r="F3066" s="39">
        <v>0</v>
      </c>
    </row>
    <row r="3067" spans="1:6" x14ac:dyDescent="0.25">
      <c r="A3067" s="1" t="s">
        <v>4777</v>
      </c>
      <c r="B3067" s="1" t="s">
        <v>4778</v>
      </c>
      <c r="C3067" s="1" t="s">
        <v>2058</v>
      </c>
      <c r="D3067" s="39">
        <v>0</v>
      </c>
      <c r="E3067" s="1" t="s">
        <v>1</v>
      </c>
      <c r="F3067" s="39">
        <v>0</v>
      </c>
    </row>
    <row r="3068" spans="1:6" x14ac:dyDescent="0.25">
      <c r="A3068" s="1" t="s">
        <v>388</v>
      </c>
      <c r="B3068" s="1" t="s">
        <v>389</v>
      </c>
      <c r="C3068" s="1" t="s">
        <v>2058</v>
      </c>
      <c r="D3068" s="39">
        <v>0</v>
      </c>
      <c r="E3068" s="1" t="s">
        <v>1</v>
      </c>
      <c r="F3068" s="39">
        <v>0</v>
      </c>
    </row>
    <row r="3069" spans="1:6" x14ac:dyDescent="0.25">
      <c r="A3069" s="1" t="s">
        <v>391</v>
      </c>
      <c r="B3069" s="1" t="s">
        <v>392</v>
      </c>
      <c r="C3069" s="1" t="s">
        <v>2058</v>
      </c>
      <c r="D3069" s="39">
        <v>0</v>
      </c>
      <c r="E3069" s="1" t="s">
        <v>1</v>
      </c>
      <c r="F3069" s="39">
        <v>0</v>
      </c>
    </row>
    <row r="3070" spans="1:6" x14ac:dyDescent="0.25">
      <c r="A3070" s="1" t="s">
        <v>394</v>
      </c>
      <c r="B3070" s="1" t="s">
        <v>395</v>
      </c>
      <c r="C3070" s="1" t="s">
        <v>2058</v>
      </c>
      <c r="D3070" s="39">
        <v>0</v>
      </c>
      <c r="E3070" s="1" t="s">
        <v>1</v>
      </c>
      <c r="F3070" s="39">
        <v>0</v>
      </c>
    </row>
    <row r="3071" spans="1:6" x14ac:dyDescent="0.25">
      <c r="A3071" s="1" t="s">
        <v>397</v>
      </c>
      <c r="B3071" s="1" t="s">
        <v>398</v>
      </c>
      <c r="C3071" s="1" t="s">
        <v>2058</v>
      </c>
      <c r="D3071" s="39">
        <v>0</v>
      </c>
      <c r="E3071" s="1" t="s">
        <v>1</v>
      </c>
      <c r="F3071" s="39">
        <v>0</v>
      </c>
    </row>
    <row r="3072" spans="1:6" x14ac:dyDescent="0.25">
      <c r="A3072" s="1" t="s">
        <v>400</v>
      </c>
      <c r="B3072" s="1" t="s">
        <v>401</v>
      </c>
      <c r="C3072" s="1" t="s">
        <v>2058</v>
      </c>
      <c r="D3072" s="39">
        <v>0</v>
      </c>
      <c r="E3072" s="1" t="s">
        <v>1</v>
      </c>
      <c r="F3072" s="39">
        <v>0</v>
      </c>
    </row>
    <row r="3073" spans="1:6" x14ac:dyDescent="0.25">
      <c r="A3073" s="1" t="s">
        <v>403</v>
      </c>
      <c r="B3073" s="1" t="s">
        <v>404</v>
      </c>
      <c r="C3073" s="1" t="s">
        <v>2058</v>
      </c>
      <c r="D3073" s="39">
        <v>0</v>
      </c>
      <c r="E3073" s="1" t="s">
        <v>1</v>
      </c>
      <c r="F3073" s="39">
        <v>0</v>
      </c>
    </row>
    <row r="3074" spans="1:6" x14ac:dyDescent="0.25">
      <c r="A3074" s="1" t="s">
        <v>4779</v>
      </c>
      <c r="B3074" s="1" t="s">
        <v>404</v>
      </c>
      <c r="C3074" s="1" t="s">
        <v>2058</v>
      </c>
      <c r="D3074" s="39">
        <v>0</v>
      </c>
      <c r="E3074" s="1" t="s">
        <v>1</v>
      </c>
      <c r="F3074" s="39">
        <v>0</v>
      </c>
    </row>
    <row r="3075" spans="1:6" x14ac:dyDescent="0.25">
      <c r="A3075" s="1" t="s">
        <v>406</v>
      </c>
      <c r="B3075" s="1" t="s">
        <v>407</v>
      </c>
      <c r="C3075" s="1" t="s">
        <v>2058</v>
      </c>
      <c r="D3075" s="39">
        <v>0</v>
      </c>
      <c r="E3075" s="1" t="s">
        <v>1</v>
      </c>
      <c r="F3075" s="39">
        <v>0</v>
      </c>
    </row>
    <row r="3076" spans="1:6" x14ac:dyDescent="0.25">
      <c r="A3076" s="1" t="s">
        <v>409</v>
      </c>
      <c r="B3076" s="1" t="s">
        <v>410</v>
      </c>
      <c r="C3076" s="1" t="s">
        <v>2058</v>
      </c>
      <c r="D3076" s="39">
        <v>0</v>
      </c>
      <c r="E3076" s="1" t="s">
        <v>1</v>
      </c>
      <c r="F3076" s="39">
        <v>0</v>
      </c>
    </row>
    <row r="3077" spans="1:6" x14ac:dyDescent="0.25">
      <c r="A3077" s="1" t="s">
        <v>412</v>
      </c>
      <c r="B3077" s="1" t="s">
        <v>413</v>
      </c>
      <c r="C3077" s="1" t="s">
        <v>2058</v>
      </c>
      <c r="D3077" s="39">
        <v>0</v>
      </c>
      <c r="E3077" s="1" t="s">
        <v>1</v>
      </c>
      <c r="F3077" s="39">
        <v>0</v>
      </c>
    </row>
    <row r="3078" spans="1:6" x14ac:dyDescent="0.25">
      <c r="A3078" s="1" t="s">
        <v>4780</v>
      </c>
      <c r="B3078" s="1" t="s">
        <v>413</v>
      </c>
      <c r="C3078" s="1" t="s">
        <v>2058</v>
      </c>
      <c r="D3078" s="39">
        <v>0</v>
      </c>
      <c r="E3078" s="1" t="s">
        <v>1</v>
      </c>
      <c r="F3078" s="39">
        <v>0</v>
      </c>
    </row>
    <row r="3079" spans="1:6" x14ac:dyDescent="0.25">
      <c r="A3079" s="1" t="s">
        <v>415</v>
      </c>
      <c r="B3079" s="1" t="s">
        <v>416</v>
      </c>
      <c r="C3079" s="1" t="s">
        <v>2058</v>
      </c>
      <c r="D3079" s="39">
        <v>0</v>
      </c>
      <c r="E3079" s="1" t="s">
        <v>1</v>
      </c>
      <c r="F3079" s="39">
        <v>0</v>
      </c>
    </row>
    <row r="3080" spans="1:6" x14ac:dyDescent="0.25">
      <c r="A3080" s="1" t="s">
        <v>4781</v>
      </c>
      <c r="B3080" s="1" t="s">
        <v>416</v>
      </c>
      <c r="C3080" s="1" t="s">
        <v>2058</v>
      </c>
      <c r="D3080" s="39">
        <v>0</v>
      </c>
      <c r="E3080" s="1" t="s">
        <v>1</v>
      </c>
      <c r="F3080" s="39">
        <v>0</v>
      </c>
    </row>
    <row r="3081" spans="1:6" x14ac:dyDescent="0.25">
      <c r="A3081" s="1" t="s">
        <v>4782</v>
      </c>
      <c r="B3081" s="1" t="s">
        <v>2226</v>
      </c>
      <c r="C3081" s="1" t="s">
        <v>2058</v>
      </c>
      <c r="D3081" s="39">
        <v>0</v>
      </c>
      <c r="E3081" s="1" t="s">
        <v>1</v>
      </c>
      <c r="F3081" s="39">
        <v>0</v>
      </c>
    </row>
    <row r="3082" spans="1:6" x14ac:dyDescent="0.25">
      <c r="A3082" s="1" t="s">
        <v>418</v>
      </c>
      <c r="B3082" s="1" t="s">
        <v>419</v>
      </c>
      <c r="C3082" s="1" t="s">
        <v>2058</v>
      </c>
      <c r="D3082" s="39">
        <v>0</v>
      </c>
      <c r="E3082" s="1" t="s">
        <v>1</v>
      </c>
      <c r="F3082" s="39">
        <v>0</v>
      </c>
    </row>
    <row r="3083" spans="1:6" x14ac:dyDescent="0.25">
      <c r="A3083" s="1" t="s">
        <v>4783</v>
      </c>
      <c r="B3083" s="1" t="s">
        <v>4784</v>
      </c>
      <c r="C3083" s="1" t="s">
        <v>2058</v>
      </c>
      <c r="D3083" s="39">
        <v>0</v>
      </c>
      <c r="E3083" s="1" t="s">
        <v>1</v>
      </c>
      <c r="F3083" s="39">
        <v>0</v>
      </c>
    </row>
    <row r="3084" spans="1:6" x14ac:dyDescent="0.25">
      <c r="A3084" s="1" t="s">
        <v>4785</v>
      </c>
      <c r="B3084" s="1" t="s">
        <v>4786</v>
      </c>
      <c r="C3084" s="1" t="s">
        <v>2058</v>
      </c>
      <c r="D3084" s="39">
        <v>0</v>
      </c>
      <c r="E3084" s="1" t="s">
        <v>1</v>
      </c>
      <c r="F3084" s="39">
        <v>0</v>
      </c>
    </row>
    <row r="3085" spans="1:6" x14ac:dyDescent="0.25">
      <c r="A3085" s="1" t="s">
        <v>421</v>
      </c>
      <c r="B3085" s="1" t="s">
        <v>422</v>
      </c>
      <c r="C3085" s="1" t="s">
        <v>2058</v>
      </c>
      <c r="D3085" s="39">
        <v>0</v>
      </c>
      <c r="E3085" s="1" t="s">
        <v>1</v>
      </c>
      <c r="F3085" s="39">
        <v>0</v>
      </c>
    </row>
    <row r="3086" spans="1:6" x14ac:dyDescent="0.25">
      <c r="A3086" s="1" t="s">
        <v>424</v>
      </c>
      <c r="B3086" s="1" t="s">
        <v>425</v>
      </c>
      <c r="C3086" s="1" t="s">
        <v>2058</v>
      </c>
      <c r="D3086" s="39">
        <v>0</v>
      </c>
      <c r="E3086" s="1" t="s">
        <v>1</v>
      </c>
      <c r="F3086" s="39">
        <v>0</v>
      </c>
    </row>
    <row r="3087" spans="1:6" x14ac:dyDescent="0.25">
      <c r="A3087" s="1" t="s">
        <v>427</v>
      </c>
      <c r="B3087" s="1" t="s">
        <v>428</v>
      </c>
      <c r="C3087" s="1" t="s">
        <v>2058</v>
      </c>
      <c r="D3087" s="39">
        <v>0</v>
      </c>
      <c r="E3087" s="1" t="s">
        <v>1</v>
      </c>
      <c r="F3087" s="39">
        <v>0</v>
      </c>
    </row>
    <row r="3088" spans="1:6" x14ac:dyDescent="0.25">
      <c r="A3088" s="1" t="s">
        <v>4787</v>
      </c>
      <c r="B3088" s="1" t="s">
        <v>428</v>
      </c>
      <c r="C3088" s="1" t="s">
        <v>2058</v>
      </c>
      <c r="D3088" s="39">
        <v>0</v>
      </c>
      <c r="E3088" s="1" t="s">
        <v>1</v>
      </c>
      <c r="F3088" s="39">
        <v>0</v>
      </c>
    </row>
    <row r="3089" spans="1:6" x14ac:dyDescent="0.25">
      <c r="A3089" s="1" t="s">
        <v>430</v>
      </c>
      <c r="B3089" s="1" t="s">
        <v>431</v>
      </c>
      <c r="C3089" s="1" t="s">
        <v>2058</v>
      </c>
      <c r="D3089" s="39">
        <v>0</v>
      </c>
      <c r="E3089" s="1" t="s">
        <v>1</v>
      </c>
      <c r="F3089" s="39">
        <v>0</v>
      </c>
    </row>
    <row r="3090" spans="1:6" x14ac:dyDescent="0.25">
      <c r="A3090" s="1" t="s">
        <v>4788</v>
      </c>
      <c r="B3090" s="1" t="s">
        <v>4789</v>
      </c>
      <c r="C3090" s="1" t="s">
        <v>2058</v>
      </c>
      <c r="D3090" s="39">
        <v>0</v>
      </c>
      <c r="E3090" s="1" t="s">
        <v>1</v>
      </c>
      <c r="F3090" s="39">
        <v>0</v>
      </c>
    </row>
    <row r="3091" spans="1:6" x14ac:dyDescent="0.25">
      <c r="A3091" s="1" t="s">
        <v>433</v>
      </c>
      <c r="B3091" s="1" t="s">
        <v>434</v>
      </c>
      <c r="C3091" s="1" t="s">
        <v>2058</v>
      </c>
      <c r="D3091" s="39">
        <v>0</v>
      </c>
      <c r="E3091" s="1" t="s">
        <v>1</v>
      </c>
      <c r="F3091" s="39">
        <v>0</v>
      </c>
    </row>
    <row r="3092" spans="1:6" x14ac:dyDescent="0.25">
      <c r="A3092" s="1" t="s">
        <v>4790</v>
      </c>
      <c r="B3092" s="1" t="s">
        <v>4791</v>
      </c>
      <c r="C3092" s="1" t="s">
        <v>2058</v>
      </c>
      <c r="D3092" s="39">
        <v>0</v>
      </c>
      <c r="E3092" s="1" t="s">
        <v>1</v>
      </c>
      <c r="F3092" s="39">
        <v>0</v>
      </c>
    </row>
    <row r="3093" spans="1:6" x14ac:dyDescent="0.25">
      <c r="A3093" s="1" t="s">
        <v>4792</v>
      </c>
      <c r="B3093" s="1" t="s">
        <v>2228</v>
      </c>
      <c r="C3093" s="1" t="s">
        <v>2058</v>
      </c>
      <c r="D3093" s="39">
        <v>0</v>
      </c>
      <c r="E3093" s="1" t="s">
        <v>1</v>
      </c>
      <c r="F3093" s="39">
        <v>0</v>
      </c>
    </row>
    <row r="3094" spans="1:6" x14ac:dyDescent="0.25">
      <c r="A3094" s="1" t="s">
        <v>4793</v>
      </c>
      <c r="B3094" s="1" t="s">
        <v>4794</v>
      </c>
      <c r="C3094" s="1" t="s">
        <v>2058</v>
      </c>
      <c r="D3094" s="39">
        <v>0</v>
      </c>
      <c r="E3094" s="1" t="s">
        <v>1</v>
      </c>
      <c r="F3094" s="39">
        <v>0</v>
      </c>
    </row>
    <row r="3095" spans="1:6" x14ac:dyDescent="0.25">
      <c r="A3095" s="1" t="s">
        <v>4795</v>
      </c>
      <c r="B3095" s="1" t="s">
        <v>4794</v>
      </c>
      <c r="C3095" s="1" t="s">
        <v>2058</v>
      </c>
      <c r="D3095" s="39">
        <v>0</v>
      </c>
      <c r="E3095" s="1" t="s">
        <v>1</v>
      </c>
      <c r="F3095" s="39">
        <v>0</v>
      </c>
    </row>
    <row r="3096" spans="1:6" x14ac:dyDescent="0.25">
      <c r="A3096" s="1" t="s">
        <v>4796</v>
      </c>
      <c r="B3096" s="1" t="s">
        <v>4797</v>
      </c>
      <c r="C3096" s="1" t="s">
        <v>2058</v>
      </c>
      <c r="D3096" s="39">
        <v>0</v>
      </c>
      <c r="E3096" s="1" t="s">
        <v>1</v>
      </c>
      <c r="F3096" s="39">
        <v>0</v>
      </c>
    </row>
    <row r="3097" spans="1:6" x14ac:dyDescent="0.25">
      <c r="A3097" s="1" t="s">
        <v>4798</v>
      </c>
      <c r="B3097" s="1" t="s">
        <v>4799</v>
      </c>
      <c r="C3097" s="1" t="s">
        <v>2058</v>
      </c>
      <c r="D3097" s="39">
        <v>0</v>
      </c>
      <c r="E3097" s="1" t="s">
        <v>1</v>
      </c>
      <c r="F3097" s="39">
        <v>0</v>
      </c>
    </row>
    <row r="3098" spans="1:6" x14ac:dyDescent="0.25">
      <c r="A3098" s="1" t="s">
        <v>4800</v>
      </c>
      <c r="B3098" s="1" t="s">
        <v>4801</v>
      </c>
      <c r="C3098" s="1" t="s">
        <v>2058</v>
      </c>
      <c r="D3098" s="39">
        <v>0</v>
      </c>
      <c r="E3098" s="1" t="s">
        <v>1</v>
      </c>
      <c r="F3098" s="39">
        <v>0</v>
      </c>
    </row>
    <row r="3099" spans="1:6" x14ac:dyDescent="0.25">
      <c r="A3099" s="1" t="s">
        <v>4802</v>
      </c>
      <c r="B3099" s="1" t="s">
        <v>4803</v>
      </c>
      <c r="C3099" s="1" t="s">
        <v>2058</v>
      </c>
      <c r="D3099" s="39">
        <v>0</v>
      </c>
      <c r="E3099" s="1" t="s">
        <v>1</v>
      </c>
      <c r="F3099" s="39">
        <v>0</v>
      </c>
    </row>
    <row r="3100" spans="1:6" x14ac:dyDescent="0.25">
      <c r="A3100" s="1" t="s">
        <v>4804</v>
      </c>
      <c r="B3100" s="1" t="s">
        <v>4805</v>
      </c>
      <c r="C3100" s="1" t="s">
        <v>2058</v>
      </c>
      <c r="D3100" s="39">
        <v>0</v>
      </c>
      <c r="E3100" s="1" t="s">
        <v>1</v>
      </c>
      <c r="F3100" s="39">
        <v>0</v>
      </c>
    </row>
    <row r="3101" spans="1:6" x14ac:dyDescent="0.25">
      <c r="A3101" s="1" t="s">
        <v>4806</v>
      </c>
      <c r="B3101" s="1" t="s">
        <v>4807</v>
      </c>
      <c r="C3101" s="1" t="s">
        <v>2058</v>
      </c>
      <c r="D3101" s="39">
        <v>0</v>
      </c>
      <c r="E3101" s="1" t="s">
        <v>1</v>
      </c>
      <c r="F3101" s="39">
        <v>0</v>
      </c>
    </row>
    <row r="3102" spans="1:6" x14ac:dyDescent="0.25">
      <c r="A3102" s="1" t="s">
        <v>4808</v>
      </c>
      <c r="B3102" s="1" t="s">
        <v>4809</v>
      </c>
      <c r="C3102" s="1" t="s">
        <v>2058</v>
      </c>
      <c r="D3102" s="39">
        <v>0</v>
      </c>
      <c r="E3102" s="1" t="s">
        <v>1</v>
      </c>
      <c r="F3102" s="39">
        <v>0</v>
      </c>
    </row>
    <row r="3103" spans="1:6" x14ac:dyDescent="0.25">
      <c r="A3103" s="1" t="s">
        <v>4810</v>
      </c>
      <c r="B3103" s="1" t="s">
        <v>4811</v>
      </c>
      <c r="C3103" s="1" t="s">
        <v>2058</v>
      </c>
      <c r="D3103" s="39">
        <v>0</v>
      </c>
      <c r="E3103" s="1" t="s">
        <v>1</v>
      </c>
      <c r="F3103" s="39">
        <v>0</v>
      </c>
    </row>
    <row r="3104" spans="1:6" x14ac:dyDescent="0.25">
      <c r="A3104" s="1" t="s">
        <v>4812</v>
      </c>
      <c r="B3104" s="1" t="s">
        <v>4813</v>
      </c>
      <c r="C3104" s="1" t="s">
        <v>2058</v>
      </c>
      <c r="D3104" s="39">
        <v>0</v>
      </c>
      <c r="E3104" s="1" t="s">
        <v>1</v>
      </c>
      <c r="F3104" s="39">
        <v>0</v>
      </c>
    </row>
    <row r="3105" spans="1:6" x14ac:dyDescent="0.25">
      <c r="A3105" s="1" t="s">
        <v>4814</v>
      </c>
      <c r="B3105" s="1" t="s">
        <v>4815</v>
      </c>
      <c r="C3105" s="1" t="s">
        <v>2058</v>
      </c>
      <c r="D3105" s="39">
        <v>0</v>
      </c>
      <c r="E3105" s="1" t="s">
        <v>1</v>
      </c>
      <c r="F3105" s="39">
        <v>0</v>
      </c>
    </row>
    <row r="3106" spans="1:6" x14ac:dyDescent="0.25">
      <c r="A3106" s="1" t="s">
        <v>4816</v>
      </c>
      <c r="B3106" s="1" t="s">
        <v>4817</v>
      </c>
      <c r="C3106" s="1" t="s">
        <v>2058</v>
      </c>
      <c r="D3106" s="39">
        <v>0</v>
      </c>
      <c r="E3106" s="1" t="s">
        <v>1</v>
      </c>
      <c r="F3106" s="39">
        <v>0</v>
      </c>
    </row>
    <row r="3107" spans="1:6" x14ac:dyDescent="0.25">
      <c r="A3107" s="1" t="s">
        <v>4818</v>
      </c>
      <c r="B3107" s="1" t="s">
        <v>4819</v>
      </c>
      <c r="C3107" s="1" t="s">
        <v>2058</v>
      </c>
      <c r="D3107" s="39">
        <v>0</v>
      </c>
      <c r="E3107" s="1" t="s">
        <v>1</v>
      </c>
      <c r="F3107" s="39">
        <v>0</v>
      </c>
    </row>
    <row r="3108" spans="1:6" x14ac:dyDescent="0.25">
      <c r="A3108" s="1" t="s">
        <v>4820</v>
      </c>
      <c r="B3108" s="1" t="s">
        <v>4821</v>
      </c>
      <c r="C3108" s="1" t="s">
        <v>2058</v>
      </c>
      <c r="D3108" s="39">
        <v>0</v>
      </c>
      <c r="E3108" s="1" t="s">
        <v>1</v>
      </c>
      <c r="F3108" s="39">
        <v>0</v>
      </c>
    </row>
    <row r="3109" spans="1:6" x14ac:dyDescent="0.25">
      <c r="A3109" s="1" t="s">
        <v>4822</v>
      </c>
      <c r="B3109" s="1" t="s">
        <v>4823</v>
      </c>
      <c r="C3109" s="1" t="s">
        <v>2058</v>
      </c>
      <c r="D3109" s="39">
        <v>0</v>
      </c>
      <c r="E3109" s="1" t="s">
        <v>1</v>
      </c>
      <c r="F3109" s="39">
        <v>0</v>
      </c>
    </row>
    <row r="3110" spans="1:6" x14ac:dyDescent="0.25">
      <c r="A3110" s="1" t="s">
        <v>4824</v>
      </c>
      <c r="B3110" s="1" t="s">
        <v>4825</v>
      </c>
      <c r="C3110" s="1" t="s">
        <v>2058</v>
      </c>
      <c r="D3110" s="39">
        <v>0</v>
      </c>
      <c r="E3110" s="1" t="s">
        <v>1</v>
      </c>
      <c r="F3110" s="39">
        <v>0</v>
      </c>
    </row>
    <row r="3111" spans="1:6" x14ac:dyDescent="0.25">
      <c r="A3111" s="1" t="s">
        <v>4826</v>
      </c>
      <c r="B3111" s="1" t="s">
        <v>4827</v>
      </c>
      <c r="C3111" s="1" t="s">
        <v>2058</v>
      </c>
      <c r="D3111" s="39">
        <v>0</v>
      </c>
      <c r="E3111" s="1" t="s">
        <v>1</v>
      </c>
      <c r="F3111" s="39">
        <v>0</v>
      </c>
    </row>
    <row r="3112" spans="1:6" x14ac:dyDescent="0.25">
      <c r="A3112" s="1" t="s">
        <v>4828</v>
      </c>
      <c r="B3112" s="1" t="s">
        <v>4829</v>
      </c>
      <c r="C3112" s="1" t="s">
        <v>2058</v>
      </c>
      <c r="D3112" s="39">
        <v>0</v>
      </c>
      <c r="E3112" s="1" t="s">
        <v>1</v>
      </c>
      <c r="F3112" s="39">
        <v>0</v>
      </c>
    </row>
    <row r="3113" spans="1:6" x14ac:dyDescent="0.25">
      <c r="A3113" s="1" t="s">
        <v>1246</v>
      </c>
      <c r="B3113" s="1" t="s">
        <v>1247</v>
      </c>
      <c r="C3113" s="1" t="s">
        <v>2058</v>
      </c>
      <c r="D3113" s="39">
        <v>0</v>
      </c>
      <c r="E3113" s="1" t="s">
        <v>1</v>
      </c>
      <c r="F3113" s="39">
        <v>0</v>
      </c>
    </row>
    <row r="3114" spans="1:6" x14ac:dyDescent="0.25">
      <c r="A3114" s="1" t="s">
        <v>4830</v>
      </c>
      <c r="B3114" s="1" t="s">
        <v>4831</v>
      </c>
      <c r="C3114" s="1" t="s">
        <v>2058</v>
      </c>
      <c r="D3114" s="39">
        <v>0</v>
      </c>
      <c r="E3114" s="1" t="s">
        <v>1</v>
      </c>
      <c r="F3114" s="39">
        <v>0</v>
      </c>
    </row>
    <row r="3115" spans="1:6" x14ac:dyDescent="0.25">
      <c r="A3115" s="1" t="s">
        <v>4832</v>
      </c>
      <c r="B3115" s="1" t="s">
        <v>4833</v>
      </c>
      <c r="C3115" s="1" t="s">
        <v>2058</v>
      </c>
      <c r="D3115" s="39">
        <v>0</v>
      </c>
      <c r="E3115" s="1" t="s">
        <v>1</v>
      </c>
      <c r="F3115" s="39">
        <v>0</v>
      </c>
    </row>
    <row r="3116" spans="1:6" x14ac:dyDescent="0.25">
      <c r="A3116" s="1" t="s">
        <v>4834</v>
      </c>
      <c r="B3116" s="1" t="s">
        <v>4835</v>
      </c>
      <c r="C3116" s="1" t="s">
        <v>2058</v>
      </c>
      <c r="D3116" s="39">
        <v>0</v>
      </c>
      <c r="E3116" s="1" t="s">
        <v>1</v>
      </c>
      <c r="F3116" s="39">
        <v>0</v>
      </c>
    </row>
    <row r="3117" spans="1:6" x14ac:dyDescent="0.25">
      <c r="A3117" s="1" t="s">
        <v>4836</v>
      </c>
      <c r="B3117" s="1" t="s">
        <v>4837</v>
      </c>
      <c r="C3117" s="1" t="s">
        <v>2058</v>
      </c>
      <c r="D3117" s="39">
        <v>0</v>
      </c>
      <c r="E3117" s="1" t="s">
        <v>1</v>
      </c>
      <c r="F3117" s="39">
        <v>0</v>
      </c>
    </row>
    <row r="3118" spans="1:6" x14ac:dyDescent="0.25">
      <c r="A3118" s="1" t="s">
        <v>4838</v>
      </c>
      <c r="B3118" s="1" t="s">
        <v>4839</v>
      </c>
      <c r="C3118" s="1" t="s">
        <v>2058</v>
      </c>
      <c r="D3118" s="39">
        <v>0</v>
      </c>
      <c r="E3118" s="1" t="s">
        <v>1</v>
      </c>
      <c r="F3118" s="39">
        <v>0</v>
      </c>
    </row>
    <row r="3119" spans="1:6" x14ac:dyDescent="0.25">
      <c r="A3119" s="1" t="s">
        <v>1787</v>
      </c>
      <c r="B3119" s="1" t="s">
        <v>1788</v>
      </c>
      <c r="C3119" s="1" t="s">
        <v>2058</v>
      </c>
      <c r="D3119" s="39">
        <v>0</v>
      </c>
      <c r="E3119" s="1" t="s">
        <v>1</v>
      </c>
      <c r="F3119" s="39">
        <v>0</v>
      </c>
    </row>
    <row r="3120" spans="1:6" x14ac:dyDescent="0.25">
      <c r="A3120" s="1" t="s">
        <v>1793</v>
      </c>
      <c r="B3120" s="1" t="s">
        <v>1794</v>
      </c>
      <c r="C3120" s="1" t="s">
        <v>2058</v>
      </c>
      <c r="D3120" s="39">
        <v>0</v>
      </c>
      <c r="E3120" s="1" t="s">
        <v>1</v>
      </c>
      <c r="F3120" s="39">
        <v>0</v>
      </c>
    </row>
    <row r="3121" spans="1:6" x14ac:dyDescent="0.25">
      <c r="A3121" s="1" t="s">
        <v>4840</v>
      </c>
      <c r="B3121" s="1" t="s">
        <v>4841</v>
      </c>
      <c r="C3121" s="1" t="s">
        <v>2058</v>
      </c>
      <c r="D3121" s="39">
        <v>0</v>
      </c>
      <c r="E3121" s="1" t="s">
        <v>1</v>
      </c>
      <c r="F3121" s="39">
        <v>0</v>
      </c>
    </row>
    <row r="3122" spans="1:6" x14ac:dyDescent="0.25">
      <c r="A3122" s="1" t="s">
        <v>4842</v>
      </c>
      <c r="B3122" s="1" t="s">
        <v>4843</v>
      </c>
      <c r="C3122" s="1" t="s">
        <v>2058</v>
      </c>
      <c r="D3122" s="39">
        <v>0</v>
      </c>
      <c r="E3122" s="1" t="s">
        <v>1</v>
      </c>
      <c r="F3122" s="39">
        <v>0</v>
      </c>
    </row>
    <row r="3123" spans="1:6" x14ac:dyDescent="0.25">
      <c r="A3123" s="1" t="s">
        <v>4844</v>
      </c>
      <c r="B3123" s="1" t="s">
        <v>4845</v>
      </c>
      <c r="C3123" s="1" t="s">
        <v>2058</v>
      </c>
      <c r="D3123" s="39">
        <v>0</v>
      </c>
      <c r="E3123" s="1" t="s">
        <v>1</v>
      </c>
      <c r="F3123" s="39">
        <v>0</v>
      </c>
    </row>
    <row r="3124" spans="1:6" x14ac:dyDescent="0.25">
      <c r="A3124" s="1" t="s">
        <v>4846</v>
      </c>
      <c r="B3124" s="1" t="s">
        <v>4847</v>
      </c>
      <c r="C3124" s="1" t="s">
        <v>2058</v>
      </c>
      <c r="D3124" s="39">
        <v>0</v>
      </c>
      <c r="E3124" s="1" t="s">
        <v>1</v>
      </c>
      <c r="F3124" s="39">
        <v>0</v>
      </c>
    </row>
    <row r="3125" spans="1:6" x14ac:dyDescent="0.25">
      <c r="A3125" s="1" t="s">
        <v>4848</v>
      </c>
      <c r="B3125" s="1" t="s">
        <v>4849</v>
      </c>
      <c r="C3125" s="1" t="s">
        <v>2058</v>
      </c>
      <c r="D3125" s="39">
        <v>0</v>
      </c>
      <c r="E3125" s="1" t="s">
        <v>1</v>
      </c>
      <c r="F3125" s="39">
        <v>0</v>
      </c>
    </row>
    <row r="3126" spans="1:6" x14ac:dyDescent="0.25">
      <c r="A3126" s="1" t="s">
        <v>4850</v>
      </c>
      <c r="B3126" s="1" t="s">
        <v>4851</v>
      </c>
      <c r="C3126" s="1" t="s">
        <v>2058</v>
      </c>
      <c r="D3126" s="39">
        <v>0</v>
      </c>
      <c r="E3126" s="1" t="s">
        <v>1</v>
      </c>
      <c r="F3126" s="39">
        <v>0</v>
      </c>
    </row>
    <row r="3127" spans="1:6" x14ac:dyDescent="0.25">
      <c r="A3127" s="1" t="s">
        <v>4852</v>
      </c>
      <c r="B3127" s="1" t="s">
        <v>4853</v>
      </c>
      <c r="C3127" s="1" t="s">
        <v>2058</v>
      </c>
      <c r="D3127" s="39">
        <v>0</v>
      </c>
      <c r="E3127" s="1" t="s">
        <v>1</v>
      </c>
      <c r="F3127" s="39">
        <v>0</v>
      </c>
    </row>
    <row r="3128" spans="1:6" x14ac:dyDescent="0.25">
      <c r="A3128" s="1" t="s">
        <v>4854</v>
      </c>
      <c r="B3128" s="1" t="s">
        <v>4855</v>
      </c>
      <c r="C3128" s="1" t="s">
        <v>2058</v>
      </c>
      <c r="D3128" s="39">
        <v>0</v>
      </c>
      <c r="E3128" s="1" t="s">
        <v>1</v>
      </c>
      <c r="F3128" s="39">
        <v>0</v>
      </c>
    </row>
    <row r="3129" spans="1:6" x14ac:dyDescent="0.25">
      <c r="A3129" s="1" t="s">
        <v>4856</v>
      </c>
      <c r="B3129" s="1" t="s">
        <v>4857</v>
      </c>
      <c r="C3129" s="1" t="s">
        <v>2058</v>
      </c>
      <c r="D3129" s="39">
        <v>0</v>
      </c>
      <c r="E3129" s="1" t="s">
        <v>482</v>
      </c>
      <c r="F3129" s="39">
        <v>0</v>
      </c>
    </row>
    <row r="3130" spans="1:6" x14ac:dyDescent="0.25">
      <c r="A3130" s="1" t="s">
        <v>4858</v>
      </c>
      <c r="B3130" s="1" t="s">
        <v>4859</v>
      </c>
      <c r="C3130" s="1" t="s">
        <v>2058</v>
      </c>
      <c r="D3130" s="39">
        <v>0</v>
      </c>
      <c r="E3130" s="1" t="s">
        <v>482</v>
      </c>
      <c r="F3130" s="39">
        <v>0</v>
      </c>
    </row>
    <row r="3131" spans="1:6" x14ac:dyDescent="0.25">
      <c r="A3131" s="1" t="s">
        <v>4860</v>
      </c>
      <c r="B3131" s="1" t="s">
        <v>4861</v>
      </c>
      <c r="C3131" s="1" t="s">
        <v>2058</v>
      </c>
      <c r="D3131" s="39">
        <v>0</v>
      </c>
      <c r="E3131" s="1" t="s">
        <v>482</v>
      </c>
      <c r="F3131" s="39">
        <v>0</v>
      </c>
    </row>
    <row r="3132" spans="1:6" x14ac:dyDescent="0.25">
      <c r="A3132" s="1" t="s">
        <v>1338</v>
      </c>
      <c r="B3132" s="1" t="s">
        <v>1339</v>
      </c>
      <c r="C3132" s="1" t="s">
        <v>2058</v>
      </c>
      <c r="D3132" s="39">
        <v>0</v>
      </c>
      <c r="E3132" s="1" t="s">
        <v>482</v>
      </c>
      <c r="F3132" s="39">
        <v>0</v>
      </c>
    </row>
    <row r="3133" spans="1:6" x14ac:dyDescent="0.25">
      <c r="A3133" s="1" t="s">
        <v>4862</v>
      </c>
      <c r="B3133" s="1" t="s">
        <v>4863</v>
      </c>
      <c r="C3133" s="1" t="s">
        <v>2058</v>
      </c>
      <c r="D3133" s="39">
        <v>0</v>
      </c>
      <c r="E3133" s="1" t="s">
        <v>1</v>
      </c>
      <c r="F3133" s="39">
        <v>0</v>
      </c>
    </row>
    <row r="3134" spans="1:6" x14ac:dyDescent="0.25">
      <c r="A3134" s="1" t="s">
        <v>4864</v>
      </c>
      <c r="B3134" s="1" t="s">
        <v>4865</v>
      </c>
      <c r="C3134" s="1" t="s">
        <v>2058</v>
      </c>
      <c r="D3134" s="39">
        <v>0</v>
      </c>
      <c r="E3134" s="1" t="s">
        <v>1</v>
      </c>
      <c r="F3134" s="39">
        <v>0</v>
      </c>
    </row>
    <row r="3135" spans="1:6" x14ac:dyDescent="0.25">
      <c r="A3135" s="1" t="s">
        <v>4866</v>
      </c>
      <c r="B3135" s="1" t="s">
        <v>4867</v>
      </c>
      <c r="C3135" s="1" t="s">
        <v>2058</v>
      </c>
      <c r="D3135" s="39">
        <v>0</v>
      </c>
      <c r="E3135" s="1" t="s">
        <v>1</v>
      </c>
      <c r="F3135" s="39">
        <v>0</v>
      </c>
    </row>
    <row r="3136" spans="1:6" x14ac:dyDescent="0.25">
      <c r="A3136" s="1" t="s">
        <v>4868</v>
      </c>
      <c r="B3136" s="1" t="s">
        <v>4869</v>
      </c>
      <c r="C3136" s="1" t="s">
        <v>2058</v>
      </c>
      <c r="D3136" s="39">
        <v>0</v>
      </c>
      <c r="E3136" s="1" t="s">
        <v>1</v>
      </c>
      <c r="F3136" s="39">
        <v>0</v>
      </c>
    </row>
    <row r="3137" spans="1:6" x14ac:dyDescent="0.25">
      <c r="A3137" s="1" t="s">
        <v>4870</v>
      </c>
      <c r="B3137" s="1" t="s">
        <v>4871</v>
      </c>
      <c r="C3137" s="1" t="s">
        <v>2058</v>
      </c>
      <c r="D3137" s="39">
        <v>0</v>
      </c>
      <c r="E3137" s="1" t="s">
        <v>1</v>
      </c>
      <c r="F3137" s="39">
        <v>0</v>
      </c>
    </row>
    <row r="3138" spans="1:6" x14ac:dyDescent="0.25">
      <c r="A3138" s="1" t="s">
        <v>4872</v>
      </c>
      <c r="B3138" s="1" t="s">
        <v>4873</v>
      </c>
      <c r="C3138" s="1" t="s">
        <v>2058</v>
      </c>
      <c r="D3138" s="39">
        <v>0</v>
      </c>
      <c r="E3138" s="1" t="s">
        <v>1</v>
      </c>
      <c r="F3138" s="39">
        <v>0</v>
      </c>
    </row>
    <row r="3139" spans="1:6" x14ac:dyDescent="0.25">
      <c r="A3139" s="1" t="s">
        <v>4874</v>
      </c>
      <c r="B3139" s="1" t="s">
        <v>4875</v>
      </c>
      <c r="C3139" s="1" t="s">
        <v>2058</v>
      </c>
      <c r="D3139" s="39">
        <v>0</v>
      </c>
      <c r="E3139" s="1" t="s">
        <v>1</v>
      </c>
      <c r="F3139" s="39">
        <v>0</v>
      </c>
    </row>
    <row r="3140" spans="1:6" x14ac:dyDescent="0.25">
      <c r="A3140" s="1" t="s">
        <v>4876</v>
      </c>
      <c r="B3140" s="1" t="s">
        <v>4877</v>
      </c>
      <c r="C3140" s="1" t="s">
        <v>2058</v>
      </c>
      <c r="D3140" s="39">
        <v>0</v>
      </c>
      <c r="E3140" s="1" t="s">
        <v>1</v>
      </c>
      <c r="F3140" s="39">
        <v>0</v>
      </c>
    </row>
    <row r="3141" spans="1:6" x14ac:dyDescent="0.25">
      <c r="A3141" s="1" t="s">
        <v>4878</v>
      </c>
      <c r="B3141" s="1" t="s">
        <v>4879</v>
      </c>
      <c r="C3141" s="1" t="s">
        <v>2058</v>
      </c>
      <c r="D3141" s="39">
        <v>0</v>
      </c>
      <c r="E3141" s="1" t="s">
        <v>1</v>
      </c>
      <c r="F3141" s="39">
        <v>0</v>
      </c>
    </row>
    <row r="3142" spans="1:6" x14ac:dyDescent="0.25">
      <c r="A3142" s="1" t="s">
        <v>4880</v>
      </c>
      <c r="B3142" s="1" t="s">
        <v>4881</v>
      </c>
      <c r="C3142" s="1" t="s">
        <v>2058</v>
      </c>
      <c r="D3142" s="39">
        <v>0</v>
      </c>
      <c r="E3142" s="1" t="s">
        <v>1</v>
      </c>
      <c r="F3142" s="39">
        <v>0</v>
      </c>
    </row>
    <row r="3143" spans="1:6" x14ac:dyDescent="0.25">
      <c r="A3143" s="1" t="s">
        <v>4882</v>
      </c>
      <c r="B3143" s="1" t="s">
        <v>4883</v>
      </c>
      <c r="C3143" s="1" t="s">
        <v>2058</v>
      </c>
      <c r="D3143" s="39">
        <v>0</v>
      </c>
      <c r="E3143" s="1" t="s">
        <v>1</v>
      </c>
      <c r="F3143" s="39">
        <v>0</v>
      </c>
    </row>
    <row r="3144" spans="1:6" x14ac:dyDescent="0.25">
      <c r="A3144" s="1" t="s">
        <v>4884</v>
      </c>
      <c r="B3144" s="1" t="s">
        <v>4885</v>
      </c>
      <c r="C3144" s="1" t="s">
        <v>2058</v>
      </c>
      <c r="D3144" s="39">
        <v>0</v>
      </c>
      <c r="E3144" s="1" t="s">
        <v>1</v>
      </c>
      <c r="F3144" s="39">
        <v>0</v>
      </c>
    </row>
    <row r="3145" spans="1:6" x14ac:dyDescent="0.25">
      <c r="A3145" s="1" t="s">
        <v>4886</v>
      </c>
      <c r="B3145" s="1" t="s">
        <v>4887</v>
      </c>
      <c r="C3145" s="1" t="s">
        <v>2058</v>
      </c>
      <c r="D3145" s="39">
        <v>0</v>
      </c>
      <c r="E3145" s="1" t="s">
        <v>1</v>
      </c>
      <c r="F3145" s="39">
        <v>0</v>
      </c>
    </row>
    <row r="3146" spans="1:6" x14ac:dyDescent="0.25">
      <c r="A3146" s="1" t="s">
        <v>740</v>
      </c>
      <c r="B3146" s="1" t="s">
        <v>741</v>
      </c>
      <c r="C3146" s="1" t="s">
        <v>2058</v>
      </c>
      <c r="D3146" s="39">
        <v>0</v>
      </c>
      <c r="E3146" s="1" t="s">
        <v>1</v>
      </c>
      <c r="F3146" s="39">
        <v>0</v>
      </c>
    </row>
    <row r="3147" spans="1:6" x14ac:dyDescent="0.25">
      <c r="A3147" s="1" t="s">
        <v>4888</v>
      </c>
      <c r="B3147" s="1" t="s">
        <v>4889</v>
      </c>
      <c r="C3147" s="1" t="s">
        <v>2058</v>
      </c>
      <c r="D3147" s="39">
        <v>0</v>
      </c>
      <c r="E3147" s="1" t="s">
        <v>1</v>
      </c>
      <c r="F3147" s="39">
        <v>0</v>
      </c>
    </row>
    <row r="3148" spans="1:6" x14ac:dyDescent="0.25">
      <c r="A3148" s="1" t="s">
        <v>4890</v>
      </c>
      <c r="B3148" s="1" t="s">
        <v>4891</v>
      </c>
      <c r="C3148" s="1" t="s">
        <v>2058</v>
      </c>
      <c r="D3148" s="39">
        <v>0</v>
      </c>
      <c r="E3148" s="1" t="s">
        <v>1</v>
      </c>
      <c r="F3148" s="39">
        <v>0</v>
      </c>
    </row>
    <row r="3149" spans="1:6" x14ac:dyDescent="0.25">
      <c r="A3149" s="1" t="s">
        <v>773</v>
      </c>
      <c r="B3149" s="1" t="s">
        <v>774</v>
      </c>
      <c r="C3149" s="1" t="s">
        <v>2058</v>
      </c>
      <c r="D3149" s="39">
        <v>0</v>
      </c>
      <c r="E3149" s="1" t="s">
        <v>1</v>
      </c>
      <c r="F3149" s="39">
        <v>0</v>
      </c>
    </row>
    <row r="3150" spans="1:6" x14ac:dyDescent="0.25">
      <c r="A3150" s="1" t="s">
        <v>4892</v>
      </c>
      <c r="B3150" s="1" t="s">
        <v>4893</v>
      </c>
      <c r="C3150" s="1" t="s">
        <v>2058</v>
      </c>
      <c r="D3150" s="39">
        <v>0</v>
      </c>
      <c r="E3150" s="1" t="s">
        <v>1</v>
      </c>
      <c r="F3150" s="39">
        <v>0</v>
      </c>
    </row>
    <row r="3151" spans="1:6" x14ac:dyDescent="0.25">
      <c r="A3151" s="1" t="s">
        <v>777</v>
      </c>
      <c r="B3151" s="1" t="s">
        <v>778</v>
      </c>
      <c r="C3151" s="1" t="s">
        <v>2058</v>
      </c>
      <c r="D3151" s="39">
        <v>0</v>
      </c>
      <c r="E3151" s="1" t="s">
        <v>1</v>
      </c>
      <c r="F3151" s="39">
        <v>0</v>
      </c>
    </row>
    <row r="3152" spans="1:6" x14ac:dyDescent="0.25">
      <c r="A3152" s="1" t="s">
        <v>4894</v>
      </c>
      <c r="B3152" s="1" t="s">
        <v>4895</v>
      </c>
      <c r="C3152" s="1" t="s">
        <v>2058</v>
      </c>
      <c r="D3152" s="39">
        <v>0</v>
      </c>
      <c r="E3152" s="1" t="s">
        <v>1</v>
      </c>
      <c r="F3152" s="39">
        <v>0</v>
      </c>
    </row>
    <row r="3153" spans="1:6" x14ac:dyDescent="0.25">
      <c r="A3153" s="1" t="s">
        <v>4896</v>
      </c>
      <c r="B3153" s="1" t="s">
        <v>4897</v>
      </c>
      <c r="C3153" s="1" t="s">
        <v>2058</v>
      </c>
      <c r="D3153" s="39">
        <v>0</v>
      </c>
      <c r="E3153" s="1" t="s">
        <v>1</v>
      </c>
      <c r="F3153" s="39">
        <v>0</v>
      </c>
    </row>
    <row r="3154" spans="1:6" x14ac:dyDescent="0.25">
      <c r="A3154" s="1" t="s">
        <v>4898</v>
      </c>
      <c r="B3154" s="1" t="s">
        <v>4899</v>
      </c>
      <c r="C3154" s="1" t="s">
        <v>2058</v>
      </c>
      <c r="D3154" s="39">
        <v>0</v>
      </c>
      <c r="E3154" s="1" t="s">
        <v>1</v>
      </c>
      <c r="F3154" s="39">
        <v>0</v>
      </c>
    </row>
    <row r="3155" spans="1:6" x14ac:dyDescent="0.25">
      <c r="A3155" s="1" t="s">
        <v>4900</v>
      </c>
      <c r="B3155" s="1" t="s">
        <v>4901</v>
      </c>
      <c r="C3155" s="1" t="s">
        <v>2058</v>
      </c>
      <c r="D3155" s="39">
        <v>0</v>
      </c>
      <c r="E3155" s="1" t="s">
        <v>1</v>
      </c>
      <c r="F3155" s="39">
        <v>0</v>
      </c>
    </row>
    <row r="3156" spans="1:6" x14ac:dyDescent="0.25">
      <c r="A3156" s="1" t="s">
        <v>4902</v>
      </c>
      <c r="B3156" s="1" t="s">
        <v>4903</v>
      </c>
      <c r="C3156" s="1" t="s">
        <v>2058</v>
      </c>
      <c r="D3156" s="39">
        <v>0</v>
      </c>
      <c r="E3156" s="1" t="s">
        <v>1</v>
      </c>
      <c r="F3156" s="39">
        <v>0</v>
      </c>
    </row>
    <row r="3157" spans="1:6" x14ac:dyDescent="0.25">
      <c r="A3157" s="1" t="s">
        <v>4904</v>
      </c>
      <c r="B3157" s="1" t="s">
        <v>4905</v>
      </c>
      <c r="C3157" s="1" t="s">
        <v>2058</v>
      </c>
      <c r="D3157" s="39">
        <v>0</v>
      </c>
      <c r="E3157" s="1" t="s">
        <v>1</v>
      </c>
      <c r="F3157" s="39">
        <v>0</v>
      </c>
    </row>
    <row r="3158" spans="1:6" x14ac:dyDescent="0.25">
      <c r="A3158" s="1" t="s">
        <v>4906</v>
      </c>
      <c r="B3158" s="1" t="s">
        <v>4907</v>
      </c>
      <c r="C3158" s="1" t="s">
        <v>2058</v>
      </c>
      <c r="D3158" s="39">
        <v>0</v>
      </c>
      <c r="E3158" s="1" t="s">
        <v>1</v>
      </c>
      <c r="F3158" s="39">
        <v>0</v>
      </c>
    </row>
    <row r="3159" spans="1:6" x14ac:dyDescent="0.25">
      <c r="A3159" s="1" t="s">
        <v>4908</v>
      </c>
      <c r="B3159" s="1" t="s">
        <v>4909</v>
      </c>
      <c r="C3159" s="1" t="s">
        <v>2058</v>
      </c>
      <c r="D3159" s="39">
        <v>0</v>
      </c>
      <c r="E3159" s="1" t="s">
        <v>1</v>
      </c>
      <c r="F3159" s="39">
        <v>0</v>
      </c>
    </row>
    <row r="3160" spans="1:6" x14ac:dyDescent="0.25">
      <c r="A3160" s="1" t="s">
        <v>4910</v>
      </c>
      <c r="B3160" s="1" t="s">
        <v>4911</v>
      </c>
      <c r="C3160" s="1" t="s">
        <v>2058</v>
      </c>
      <c r="D3160" s="39">
        <v>0</v>
      </c>
      <c r="E3160" s="1" t="s">
        <v>1</v>
      </c>
      <c r="F3160" s="39">
        <v>0</v>
      </c>
    </row>
    <row r="3161" spans="1:6" x14ac:dyDescent="0.25">
      <c r="A3161" s="1" t="s">
        <v>4912</v>
      </c>
      <c r="B3161" s="1" t="s">
        <v>4913</v>
      </c>
      <c r="C3161" s="1" t="s">
        <v>2058</v>
      </c>
      <c r="D3161" s="39">
        <v>0</v>
      </c>
      <c r="E3161" s="1" t="s">
        <v>1</v>
      </c>
      <c r="F3161" s="39">
        <v>0</v>
      </c>
    </row>
    <row r="3162" spans="1:6" x14ac:dyDescent="0.25">
      <c r="A3162" s="1" t="s">
        <v>4914</v>
      </c>
      <c r="B3162" s="1" t="s">
        <v>4915</v>
      </c>
      <c r="C3162" s="1" t="s">
        <v>2058</v>
      </c>
      <c r="D3162" s="39">
        <v>0</v>
      </c>
      <c r="E3162" s="1" t="s">
        <v>1</v>
      </c>
      <c r="F3162" s="39">
        <v>0</v>
      </c>
    </row>
    <row r="3163" spans="1:6" x14ac:dyDescent="0.25">
      <c r="A3163" s="1" t="s">
        <v>4916</v>
      </c>
      <c r="B3163" s="1" t="s">
        <v>4917</v>
      </c>
      <c r="C3163" s="1" t="s">
        <v>2058</v>
      </c>
      <c r="D3163" s="39">
        <v>0</v>
      </c>
      <c r="E3163" s="1" t="s">
        <v>1</v>
      </c>
      <c r="F3163" s="39">
        <v>0</v>
      </c>
    </row>
    <row r="3164" spans="1:6" x14ac:dyDescent="0.25">
      <c r="A3164" s="1" t="s">
        <v>4918</v>
      </c>
      <c r="B3164" s="1" t="s">
        <v>4919</v>
      </c>
      <c r="C3164" s="1" t="s">
        <v>2058</v>
      </c>
      <c r="D3164" s="39">
        <v>0</v>
      </c>
      <c r="E3164" s="1" t="s">
        <v>1</v>
      </c>
      <c r="F3164" s="39">
        <v>0</v>
      </c>
    </row>
    <row r="3165" spans="1:6" x14ac:dyDescent="0.25">
      <c r="A3165" s="1" t="s">
        <v>4920</v>
      </c>
      <c r="B3165" s="1" t="s">
        <v>4921</v>
      </c>
      <c r="C3165" s="1" t="s">
        <v>2058</v>
      </c>
      <c r="D3165" s="39">
        <v>0</v>
      </c>
      <c r="E3165" s="1" t="s">
        <v>1</v>
      </c>
      <c r="F3165" s="39">
        <v>0</v>
      </c>
    </row>
    <row r="3166" spans="1:6" x14ac:dyDescent="0.25">
      <c r="A3166" s="1" t="s">
        <v>1990</v>
      </c>
      <c r="B3166" s="1" t="s">
        <v>4922</v>
      </c>
      <c r="C3166" s="1" t="s">
        <v>2058</v>
      </c>
      <c r="D3166" s="39">
        <v>5664</v>
      </c>
      <c r="E3166" s="1" t="s">
        <v>1</v>
      </c>
      <c r="F3166" s="3">
        <v>15426.48</v>
      </c>
    </row>
    <row r="3167" spans="1:6" x14ac:dyDescent="0.25">
      <c r="A3167" s="1" t="s">
        <v>1989</v>
      </c>
      <c r="B3167" s="1" t="s">
        <v>4923</v>
      </c>
      <c r="C3167" s="1" t="s">
        <v>2058</v>
      </c>
      <c r="D3167" s="39">
        <v>13680</v>
      </c>
      <c r="E3167" s="1" t="s">
        <v>1</v>
      </c>
      <c r="F3167" s="3">
        <v>36769.1</v>
      </c>
    </row>
    <row r="3168" spans="1:6" x14ac:dyDescent="0.25">
      <c r="A3168" s="1" t="s">
        <v>1988</v>
      </c>
      <c r="B3168" s="1" t="s">
        <v>4924</v>
      </c>
      <c r="C3168" s="1" t="s">
        <v>2058</v>
      </c>
      <c r="D3168" s="39">
        <v>0</v>
      </c>
      <c r="E3168" s="1" t="s">
        <v>1</v>
      </c>
      <c r="F3168" s="39">
        <v>0</v>
      </c>
    </row>
    <row r="3169" spans="1:6" x14ac:dyDescent="0.25">
      <c r="A3169" s="1" t="s">
        <v>4925</v>
      </c>
      <c r="B3169" s="1" t="s">
        <v>4926</v>
      </c>
      <c r="C3169" s="1" t="s">
        <v>2058</v>
      </c>
      <c r="D3169" s="39">
        <v>0</v>
      </c>
      <c r="E3169" s="1" t="s">
        <v>1</v>
      </c>
      <c r="F3169" s="39">
        <v>0</v>
      </c>
    </row>
    <row r="3170" spans="1:6" x14ac:dyDescent="0.25">
      <c r="A3170" s="1" t="s">
        <v>4927</v>
      </c>
      <c r="B3170" s="1" t="s">
        <v>4928</v>
      </c>
      <c r="C3170" s="1" t="s">
        <v>2058</v>
      </c>
      <c r="D3170" s="39">
        <v>0</v>
      </c>
      <c r="E3170" s="1" t="s">
        <v>1</v>
      </c>
      <c r="F3170" s="39">
        <v>0</v>
      </c>
    </row>
    <row r="3171" spans="1:6" x14ac:dyDescent="0.25">
      <c r="A3171" s="1" t="s">
        <v>2013</v>
      </c>
      <c r="B3171" s="1" t="s">
        <v>4929</v>
      </c>
      <c r="C3171" s="1" t="s">
        <v>2058</v>
      </c>
      <c r="D3171" s="39">
        <v>0</v>
      </c>
      <c r="E3171" s="1" t="s">
        <v>1</v>
      </c>
      <c r="F3171" s="39">
        <v>0</v>
      </c>
    </row>
    <row r="3172" spans="1:6" x14ac:dyDescent="0.25">
      <c r="A3172" s="1" t="s">
        <v>4930</v>
      </c>
      <c r="B3172" s="1" t="s">
        <v>2271</v>
      </c>
      <c r="C3172" s="1" t="s">
        <v>2058</v>
      </c>
      <c r="D3172" s="39">
        <v>0</v>
      </c>
      <c r="E3172" s="1" t="s">
        <v>2401</v>
      </c>
      <c r="F3172" s="39">
        <v>0</v>
      </c>
    </row>
    <row r="3173" spans="1:6" x14ac:dyDescent="0.25">
      <c r="A3173" s="1" t="s">
        <v>2014</v>
      </c>
      <c r="B3173" s="1" t="s">
        <v>4931</v>
      </c>
      <c r="C3173" s="1" t="s">
        <v>2058</v>
      </c>
      <c r="D3173" s="39">
        <v>0</v>
      </c>
      <c r="E3173" s="1" t="s">
        <v>1</v>
      </c>
      <c r="F3173" s="39">
        <v>0</v>
      </c>
    </row>
    <row r="3174" spans="1:6" x14ac:dyDescent="0.25">
      <c r="A3174" s="1" t="s">
        <v>4932</v>
      </c>
      <c r="B3174" s="1" t="s">
        <v>2272</v>
      </c>
      <c r="C3174" s="1" t="s">
        <v>2058</v>
      </c>
      <c r="D3174" s="39">
        <v>0</v>
      </c>
      <c r="E3174" s="1" t="s">
        <v>2401</v>
      </c>
      <c r="F3174" s="39">
        <v>0</v>
      </c>
    </row>
    <row r="3175" spans="1:6" x14ac:dyDescent="0.25">
      <c r="A3175" s="1" t="s">
        <v>4933</v>
      </c>
      <c r="B3175" s="1" t="s">
        <v>2284</v>
      </c>
      <c r="C3175" s="1" t="s">
        <v>2058</v>
      </c>
      <c r="D3175" s="39">
        <v>0</v>
      </c>
      <c r="E3175" s="1" t="s">
        <v>1</v>
      </c>
      <c r="F3175" s="39">
        <v>0</v>
      </c>
    </row>
    <row r="3176" spans="1:6" x14ac:dyDescent="0.25">
      <c r="A3176" s="1" t="s">
        <v>4934</v>
      </c>
      <c r="B3176" s="1" t="s">
        <v>4935</v>
      </c>
      <c r="C3176" s="1" t="s">
        <v>2058</v>
      </c>
      <c r="D3176" s="39">
        <v>0</v>
      </c>
      <c r="E3176" s="1" t="s">
        <v>2401</v>
      </c>
      <c r="F3176" s="39">
        <v>0</v>
      </c>
    </row>
    <row r="3177" spans="1:6" x14ac:dyDescent="0.25">
      <c r="A3177" s="1" t="s">
        <v>4936</v>
      </c>
      <c r="B3177" s="1" t="s">
        <v>4799</v>
      </c>
      <c r="C3177" s="1" t="s">
        <v>2058</v>
      </c>
      <c r="D3177" s="39">
        <v>0</v>
      </c>
      <c r="E3177" s="1" t="s">
        <v>1</v>
      </c>
      <c r="F3177" s="39">
        <v>0</v>
      </c>
    </row>
    <row r="3178" spans="1:6" x14ac:dyDescent="0.25">
      <c r="A3178" s="1" t="s">
        <v>4937</v>
      </c>
      <c r="B3178" s="1" t="s">
        <v>4938</v>
      </c>
      <c r="C3178" s="1" t="s">
        <v>2058</v>
      </c>
      <c r="D3178" s="39">
        <v>0</v>
      </c>
      <c r="E3178" s="1" t="s">
        <v>2401</v>
      </c>
      <c r="F3178" s="39">
        <v>0</v>
      </c>
    </row>
    <row r="3179" spans="1:6" x14ac:dyDescent="0.25">
      <c r="A3179" s="1" t="s">
        <v>4939</v>
      </c>
      <c r="B3179" s="1" t="s">
        <v>4801</v>
      </c>
      <c r="C3179" s="1" t="s">
        <v>2058</v>
      </c>
      <c r="D3179" s="39">
        <v>0</v>
      </c>
      <c r="E3179" s="1" t="s">
        <v>1</v>
      </c>
      <c r="F3179" s="39">
        <v>0</v>
      </c>
    </row>
    <row r="3180" spans="1:6" x14ac:dyDescent="0.25">
      <c r="A3180" s="1" t="s">
        <v>4940</v>
      </c>
      <c r="B3180" s="1" t="s">
        <v>4941</v>
      </c>
      <c r="C3180" s="1" t="s">
        <v>2058</v>
      </c>
      <c r="D3180" s="39">
        <v>0</v>
      </c>
      <c r="E3180" s="1" t="s">
        <v>2401</v>
      </c>
      <c r="F3180" s="39">
        <v>0</v>
      </c>
    </row>
    <row r="3181" spans="1:6" x14ac:dyDescent="0.25">
      <c r="A3181" s="1" t="s">
        <v>2015</v>
      </c>
      <c r="B3181" s="1" t="s">
        <v>4942</v>
      </c>
      <c r="C3181" s="1" t="s">
        <v>2058</v>
      </c>
      <c r="D3181" s="39">
        <v>0</v>
      </c>
      <c r="E3181" s="1" t="s">
        <v>1</v>
      </c>
      <c r="F3181" s="39">
        <v>0</v>
      </c>
    </row>
    <row r="3182" spans="1:6" x14ac:dyDescent="0.25">
      <c r="A3182" s="1" t="s">
        <v>4943</v>
      </c>
      <c r="B3182" s="1" t="s">
        <v>2266</v>
      </c>
      <c r="C3182" s="1" t="s">
        <v>2058</v>
      </c>
      <c r="D3182" s="39">
        <v>0</v>
      </c>
      <c r="E3182" s="1" t="s">
        <v>1</v>
      </c>
      <c r="F3182" s="39">
        <v>0</v>
      </c>
    </row>
    <row r="3183" spans="1:6" x14ac:dyDescent="0.25">
      <c r="A3183" s="1" t="s">
        <v>4944</v>
      </c>
      <c r="B3183" s="1" t="s">
        <v>4945</v>
      </c>
      <c r="C3183" s="1" t="s">
        <v>2058</v>
      </c>
      <c r="D3183" s="39">
        <v>0</v>
      </c>
      <c r="E3183" s="1" t="s">
        <v>1</v>
      </c>
      <c r="F3183" s="39">
        <v>0</v>
      </c>
    </row>
    <row r="3184" spans="1:6" x14ac:dyDescent="0.25">
      <c r="A3184" s="1" t="s">
        <v>4946</v>
      </c>
      <c r="B3184" s="1" t="s">
        <v>4947</v>
      </c>
      <c r="C3184" s="1" t="s">
        <v>2058</v>
      </c>
      <c r="D3184" s="39">
        <v>0</v>
      </c>
      <c r="E3184" s="1" t="s">
        <v>2401</v>
      </c>
      <c r="F3184" s="39">
        <v>0</v>
      </c>
    </row>
    <row r="3185" spans="1:6" x14ac:dyDescent="0.25">
      <c r="A3185" s="1" t="s">
        <v>4948</v>
      </c>
      <c r="B3185" s="1" t="s">
        <v>4949</v>
      </c>
      <c r="C3185" s="1" t="s">
        <v>2058</v>
      </c>
      <c r="D3185" s="39">
        <v>0</v>
      </c>
      <c r="E3185" s="1" t="s">
        <v>1</v>
      </c>
      <c r="F3185" s="39">
        <v>0</v>
      </c>
    </row>
    <row r="3186" spans="1:6" x14ac:dyDescent="0.25">
      <c r="A3186" s="1" t="s">
        <v>4950</v>
      </c>
      <c r="B3186" s="1" t="s">
        <v>2273</v>
      </c>
      <c r="C3186" s="1" t="s">
        <v>2058</v>
      </c>
      <c r="D3186" s="39">
        <v>0</v>
      </c>
      <c r="E3186" s="1" t="s">
        <v>2401</v>
      </c>
      <c r="F3186" s="39">
        <v>0</v>
      </c>
    </row>
    <row r="3187" spans="1:6" x14ac:dyDescent="0.25">
      <c r="A3187" s="1" t="s">
        <v>4951</v>
      </c>
      <c r="B3187" s="1" t="s">
        <v>4807</v>
      </c>
      <c r="C3187" s="1" t="s">
        <v>2058</v>
      </c>
      <c r="D3187" s="39">
        <v>0</v>
      </c>
      <c r="E3187" s="1" t="s">
        <v>1</v>
      </c>
      <c r="F3187" s="39">
        <v>0</v>
      </c>
    </row>
    <row r="3188" spans="1:6" x14ac:dyDescent="0.25">
      <c r="A3188" s="1" t="s">
        <v>4952</v>
      </c>
      <c r="B3188" s="1" t="s">
        <v>4953</v>
      </c>
      <c r="C3188" s="1" t="s">
        <v>2058</v>
      </c>
      <c r="D3188" s="39">
        <v>0</v>
      </c>
      <c r="E3188" s="1" t="s">
        <v>2401</v>
      </c>
      <c r="F3188" s="39">
        <v>0</v>
      </c>
    </row>
    <row r="3189" spans="1:6" x14ac:dyDescent="0.25">
      <c r="A3189" s="1" t="s">
        <v>4954</v>
      </c>
      <c r="B3189" s="1" t="s">
        <v>4809</v>
      </c>
      <c r="C3189" s="1" t="s">
        <v>2058</v>
      </c>
      <c r="D3189" s="39">
        <v>0</v>
      </c>
      <c r="E3189" s="1" t="s">
        <v>1</v>
      </c>
      <c r="F3189" s="39">
        <v>0</v>
      </c>
    </row>
    <row r="3190" spans="1:6" x14ac:dyDescent="0.25">
      <c r="A3190" s="1" t="s">
        <v>4955</v>
      </c>
      <c r="B3190" s="1" t="s">
        <v>4956</v>
      </c>
      <c r="C3190" s="1" t="s">
        <v>2058</v>
      </c>
      <c r="D3190" s="39">
        <v>0</v>
      </c>
      <c r="E3190" s="1" t="s">
        <v>2401</v>
      </c>
      <c r="F3190" s="39">
        <v>0</v>
      </c>
    </row>
    <row r="3191" spans="1:6" x14ac:dyDescent="0.25">
      <c r="A3191" s="1" t="s">
        <v>4957</v>
      </c>
      <c r="B3191" s="1" t="s">
        <v>4958</v>
      </c>
      <c r="C3191" s="1" t="s">
        <v>2058</v>
      </c>
      <c r="D3191" s="39">
        <v>0</v>
      </c>
      <c r="E3191" s="1" t="s">
        <v>1</v>
      </c>
      <c r="F3191" s="39">
        <v>0</v>
      </c>
    </row>
    <row r="3192" spans="1:6" x14ac:dyDescent="0.25">
      <c r="A3192" s="1" t="s">
        <v>4959</v>
      </c>
      <c r="B3192" s="1" t="s">
        <v>2290</v>
      </c>
      <c r="C3192" s="1" t="s">
        <v>2058</v>
      </c>
      <c r="D3192" s="39">
        <v>0</v>
      </c>
      <c r="E3192" s="1" t="s">
        <v>1</v>
      </c>
      <c r="F3192" s="39">
        <v>0</v>
      </c>
    </row>
    <row r="3193" spans="1:6" x14ac:dyDescent="0.25">
      <c r="A3193" s="1" t="s">
        <v>4960</v>
      </c>
      <c r="B3193" s="1" t="s">
        <v>4961</v>
      </c>
      <c r="C3193" s="1" t="s">
        <v>2058</v>
      </c>
      <c r="D3193" s="39">
        <v>0</v>
      </c>
      <c r="E3193" s="1" t="s">
        <v>1</v>
      </c>
      <c r="F3193" s="39">
        <v>0</v>
      </c>
    </row>
    <row r="3194" spans="1:6" x14ac:dyDescent="0.25">
      <c r="A3194" s="1" t="s">
        <v>2018</v>
      </c>
      <c r="B3194" s="1" t="s">
        <v>4962</v>
      </c>
      <c r="C3194" s="1" t="s">
        <v>2058</v>
      </c>
      <c r="D3194" s="39">
        <v>0</v>
      </c>
      <c r="E3194" s="1" t="s">
        <v>1</v>
      </c>
      <c r="F3194" s="39">
        <v>0</v>
      </c>
    </row>
    <row r="3195" spans="1:6" x14ac:dyDescent="0.25">
      <c r="A3195" s="1" t="s">
        <v>2017</v>
      </c>
      <c r="B3195" s="1" t="s">
        <v>4963</v>
      </c>
      <c r="C3195" s="1" t="s">
        <v>2058</v>
      </c>
      <c r="D3195" s="39">
        <v>0</v>
      </c>
      <c r="E3195" s="1" t="s">
        <v>1</v>
      </c>
      <c r="F3195" s="39">
        <v>0</v>
      </c>
    </row>
    <row r="3196" spans="1:6" x14ac:dyDescent="0.25">
      <c r="A3196" s="1" t="s">
        <v>4964</v>
      </c>
      <c r="B3196" s="1" t="s">
        <v>4965</v>
      </c>
      <c r="C3196" s="1" t="s">
        <v>2058</v>
      </c>
      <c r="D3196" s="39">
        <v>0</v>
      </c>
      <c r="E3196" s="1" t="s">
        <v>1</v>
      </c>
      <c r="F3196" s="39">
        <v>0</v>
      </c>
    </row>
    <row r="3197" spans="1:6" x14ac:dyDescent="0.25">
      <c r="A3197" s="1" t="s">
        <v>4966</v>
      </c>
      <c r="B3197" s="1" t="s">
        <v>2255</v>
      </c>
      <c r="C3197" s="1" t="s">
        <v>2058</v>
      </c>
      <c r="D3197" s="39">
        <v>0</v>
      </c>
      <c r="E3197" s="1" t="s">
        <v>1</v>
      </c>
      <c r="F3197" s="39">
        <v>0</v>
      </c>
    </row>
    <row r="3198" spans="1:6" x14ac:dyDescent="0.25">
      <c r="A3198" s="1" t="s">
        <v>4967</v>
      </c>
      <c r="B3198" s="1" t="s">
        <v>2257</v>
      </c>
      <c r="C3198" s="1" t="s">
        <v>2058</v>
      </c>
      <c r="D3198" s="39">
        <v>0</v>
      </c>
      <c r="E3198" s="1" t="s">
        <v>1</v>
      </c>
      <c r="F3198" s="39">
        <v>0</v>
      </c>
    </row>
    <row r="3199" spans="1:6" x14ac:dyDescent="0.25">
      <c r="A3199" s="1" t="s">
        <v>4968</v>
      </c>
      <c r="B3199" s="1" t="s">
        <v>2285</v>
      </c>
      <c r="C3199" s="1" t="s">
        <v>2058</v>
      </c>
      <c r="D3199" s="39">
        <v>0</v>
      </c>
      <c r="E3199" s="1" t="s">
        <v>1</v>
      </c>
      <c r="F3199" s="39">
        <v>0</v>
      </c>
    </row>
    <row r="3200" spans="1:6" x14ac:dyDescent="0.25">
      <c r="A3200" s="1" t="s">
        <v>4969</v>
      </c>
      <c r="B3200" s="1" t="s">
        <v>2303</v>
      </c>
      <c r="C3200" s="1" t="s">
        <v>2058</v>
      </c>
      <c r="D3200" s="39">
        <v>0</v>
      </c>
      <c r="E3200" s="1" t="s">
        <v>1</v>
      </c>
      <c r="F3200" s="39">
        <v>0</v>
      </c>
    </row>
    <row r="3201" spans="1:6" x14ac:dyDescent="0.25">
      <c r="A3201" s="1" t="s">
        <v>4970</v>
      </c>
      <c r="B3201" s="1" t="s">
        <v>4971</v>
      </c>
      <c r="C3201" s="1" t="s">
        <v>2058</v>
      </c>
      <c r="D3201" s="39">
        <v>0</v>
      </c>
      <c r="E3201" s="1" t="s">
        <v>1</v>
      </c>
      <c r="F3201" s="39">
        <v>0</v>
      </c>
    </row>
    <row r="3202" spans="1:6" x14ac:dyDescent="0.25">
      <c r="A3202" s="1" t="s">
        <v>4972</v>
      </c>
      <c r="B3202" s="1" t="s">
        <v>2287</v>
      </c>
      <c r="C3202" s="1" t="s">
        <v>2058</v>
      </c>
      <c r="D3202" s="39">
        <v>0</v>
      </c>
      <c r="E3202" s="1" t="s">
        <v>1</v>
      </c>
      <c r="F3202" s="39">
        <v>0</v>
      </c>
    </row>
    <row r="3203" spans="1:6" x14ac:dyDescent="0.25">
      <c r="A3203" s="1" t="s">
        <v>4973</v>
      </c>
      <c r="B3203" s="1" t="s">
        <v>2288</v>
      </c>
      <c r="C3203" s="1" t="s">
        <v>2058</v>
      </c>
      <c r="D3203" s="39">
        <v>0</v>
      </c>
      <c r="E3203" s="1" t="s">
        <v>1</v>
      </c>
      <c r="F3203" s="39">
        <v>0</v>
      </c>
    </row>
    <row r="3204" spans="1:6" x14ac:dyDescent="0.25">
      <c r="A3204" s="1" t="s">
        <v>4974</v>
      </c>
      <c r="B3204" s="1" t="s">
        <v>2292</v>
      </c>
      <c r="C3204" s="1" t="s">
        <v>2058</v>
      </c>
      <c r="D3204" s="39">
        <v>0</v>
      </c>
      <c r="E3204" s="1" t="s">
        <v>1</v>
      </c>
      <c r="F3204" s="39">
        <v>0</v>
      </c>
    </row>
    <row r="3205" spans="1:6" x14ac:dyDescent="0.25">
      <c r="A3205" s="1" t="s">
        <v>4975</v>
      </c>
      <c r="B3205" s="1" t="s">
        <v>2289</v>
      </c>
      <c r="C3205" s="1" t="s">
        <v>2058</v>
      </c>
      <c r="D3205" s="39">
        <v>0</v>
      </c>
      <c r="E3205" s="1" t="s">
        <v>1</v>
      </c>
      <c r="F3205" s="39">
        <v>0</v>
      </c>
    </row>
    <row r="3206" spans="1:6" x14ac:dyDescent="0.25">
      <c r="A3206" s="1" t="s">
        <v>2019</v>
      </c>
      <c r="B3206" s="1" t="s">
        <v>4976</v>
      </c>
      <c r="C3206" s="1" t="s">
        <v>2058</v>
      </c>
      <c r="D3206" s="39">
        <v>0</v>
      </c>
      <c r="E3206" s="1" t="s">
        <v>1</v>
      </c>
      <c r="F3206" s="39">
        <v>0</v>
      </c>
    </row>
    <row r="3207" spans="1:6" x14ac:dyDescent="0.25">
      <c r="A3207" s="1" t="s">
        <v>4977</v>
      </c>
      <c r="B3207" s="1" t="s">
        <v>2295</v>
      </c>
      <c r="C3207" s="1" t="s">
        <v>2058</v>
      </c>
      <c r="D3207" s="39">
        <v>0</v>
      </c>
      <c r="E3207" s="1" t="s">
        <v>1</v>
      </c>
      <c r="F3207" s="39">
        <v>0</v>
      </c>
    </row>
    <row r="3208" spans="1:6" x14ac:dyDescent="0.25">
      <c r="A3208" s="1" t="s">
        <v>4978</v>
      </c>
      <c r="B3208" s="1" t="s">
        <v>2280</v>
      </c>
      <c r="C3208" s="1" t="s">
        <v>2058</v>
      </c>
      <c r="D3208" s="39">
        <v>0</v>
      </c>
      <c r="E3208" s="1" t="s">
        <v>1</v>
      </c>
      <c r="F3208" s="39">
        <v>0</v>
      </c>
    </row>
    <row r="3209" spans="1:6" x14ac:dyDescent="0.25">
      <c r="A3209" s="1" t="s">
        <v>4979</v>
      </c>
      <c r="B3209" s="1" t="s">
        <v>2296</v>
      </c>
      <c r="C3209" s="1" t="s">
        <v>2058</v>
      </c>
      <c r="D3209" s="39">
        <v>0</v>
      </c>
      <c r="E3209" s="1" t="s">
        <v>1</v>
      </c>
      <c r="F3209" s="39">
        <v>0</v>
      </c>
    </row>
    <row r="3210" spans="1:6" x14ac:dyDescent="0.25">
      <c r="A3210" s="1" t="s">
        <v>4980</v>
      </c>
      <c r="B3210" s="1" t="s">
        <v>2281</v>
      </c>
      <c r="C3210" s="1" t="s">
        <v>2058</v>
      </c>
      <c r="D3210" s="39">
        <v>0</v>
      </c>
      <c r="E3210" s="1" t="s">
        <v>1</v>
      </c>
      <c r="F3210" s="39">
        <v>0</v>
      </c>
    </row>
    <row r="3211" spans="1:6" x14ac:dyDescent="0.25">
      <c r="A3211" s="1" t="s">
        <v>4981</v>
      </c>
      <c r="B3211" s="1" t="s">
        <v>4982</v>
      </c>
      <c r="C3211" s="1" t="s">
        <v>2058</v>
      </c>
      <c r="D3211" s="39">
        <v>0</v>
      </c>
      <c r="E3211" s="1" t="s">
        <v>1</v>
      </c>
      <c r="F3211" s="39">
        <v>0</v>
      </c>
    </row>
    <row r="3212" spans="1:6" x14ac:dyDescent="0.25">
      <c r="A3212" s="1" t="s">
        <v>2020</v>
      </c>
      <c r="B3212" s="1" t="s">
        <v>4983</v>
      </c>
      <c r="C3212" s="1" t="s">
        <v>2058</v>
      </c>
      <c r="D3212" s="39">
        <v>0</v>
      </c>
      <c r="E3212" s="1" t="s">
        <v>1</v>
      </c>
      <c r="F3212" s="39">
        <v>0</v>
      </c>
    </row>
    <row r="3213" spans="1:6" x14ac:dyDescent="0.25">
      <c r="A3213" s="1" t="s">
        <v>2021</v>
      </c>
      <c r="B3213" s="1" t="s">
        <v>4984</v>
      </c>
      <c r="C3213" s="1" t="s">
        <v>2058</v>
      </c>
      <c r="D3213" s="39">
        <v>0</v>
      </c>
      <c r="E3213" s="1" t="s">
        <v>1</v>
      </c>
      <c r="F3213" s="39">
        <v>0</v>
      </c>
    </row>
    <row r="3214" spans="1:6" x14ac:dyDescent="0.25">
      <c r="A3214" s="1" t="s">
        <v>2000</v>
      </c>
      <c r="B3214" s="1" t="s">
        <v>4985</v>
      </c>
      <c r="C3214" s="1" t="s">
        <v>2058</v>
      </c>
      <c r="D3214" s="39">
        <v>0</v>
      </c>
      <c r="E3214" s="1" t="s">
        <v>1</v>
      </c>
      <c r="F3214" s="39">
        <v>0</v>
      </c>
    </row>
    <row r="3215" spans="1:6" x14ac:dyDescent="0.25">
      <c r="A3215" s="1" t="s">
        <v>2001</v>
      </c>
      <c r="B3215" s="1" t="s">
        <v>4986</v>
      </c>
      <c r="C3215" s="1" t="s">
        <v>2058</v>
      </c>
      <c r="D3215" s="39">
        <v>0</v>
      </c>
      <c r="E3215" s="1" t="s">
        <v>1</v>
      </c>
      <c r="F3215" s="39">
        <v>0</v>
      </c>
    </row>
    <row r="3216" spans="1:6" x14ac:dyDescent="0.25">
      <c r="A3216" s="1" t="s">
        <v>4987</v>
      </c>
      <c r="B3216" s="1" t="s">
        <v>4988</v>
      </c>
      <c r="C3216" s="1" t="s">
        <v>2058</v>
      </c>
      <c r="D3216" s="39">
        <v>0</v>
      </c>
      <c r="E3216" s="1" t="s">
        <v>1</v>
      </c>
      <c r="F3216" s="39">
        <v>0</v>
      </c>
    </row>
    <row r="3217" spans="1:6" x14ac:dyDescent="0.25">
      <c r="A3217" s="1" t="s">
        <v>2002</v>
      </c>
      <c r="B3217" s="1" t="s">
        <v>4989</v>
      </c>
      <c r="C3217" s="1" t="s">
        <v>2058</v>
      </c>
      <c r="D3217" s="39">
        <v>0</v>
      </c>
      <c r="E3217" s="1" t="s">
        <v>1</v>
      </c>
      <c r="F3217" s="39">
        <v>0</v>
      </c>
    </row>
    <row r="3218" spans="1:6" x14ac:dyDescent="0.25">
      <c r="A3218" s="1" t="s">
        <v>4990</v>
      </c>
      <c r="B3218" s="1" t="s">
        <v>2298</v>
      </c>
      <c r="C3218" s="1" t="s">
        <v>2058</v>
      </c>
      <c r="D3218" s="39">
        <v>0</v>
      </c>
      <c r="E3218" s="1" t="s">
        <v>1</v>
      </c>
      <c r="F3218" s="39">
        <v>0</v>
      </c>
    </row>
    <row r="3219" spans="1:6" x14ac:dyDescent="0.25">
      <c r="A3219" s="1" t="s">
        <v>4991</v>
      </c>
      <c r="B3219" s="1" t="s">
        <v>4992</v>
      </c>
      <c r="C3219" s="1" t="s">
        <v>2058</v>
      </c>
      <c r="D3219" s="39">
        <v>0</v>
      </c>
      <c r="E3219" s="1" t="s">
        <v>1</v>
      </c>
      <c r="F3219" s="39">
        <v>0</v>
      </c>
    </row>
    <row r="3220" spans="1:6" x14ac:dyDescent="0.25">
      <c r="A3220" s="1" t="s">
        <v>4993</v>
      </c>
      <c r="B3220" s="1" t="s">
        <v>2299</v>
      </c>
      <c r="C3220" s="1" t="s">
        <v>2058</v>
      </c>
      <c r="D3220" s="39">
        <v>0</v>
      </c>
      <c r="E3220" s="1" t="s">
        <v>1</v>
      </c>
      <c r="F3220" s="39">
        <v>0</v>
      </c>
    </row>
    <row r="3221" spans="1:6" x14ac:dyDescent="0.25">
      <c r="A3221" s="1" t="s">
        <v>2003</v>
      </c>
      <c r="B3221" s="1" t="s">
        <v>4994</v>
      </c>
      <c r="C3221" s="1" t="s">
        <v>2058</v>
      </c>
      <c r="D3221" s="39">
        <v>0</v>
      </c>
      <c r="E3221" s="1" t="s">
        <v>1</v>
      </c>
      <c r="F3221" s="39">
        <v>0</v>
      </c>
    </row>
    <row r="3222" spans="1:6" x14ac:dyDescent="0.25">
      <c r="A3222" s="1" t="s">
        <v>4995</v>
      </c>
      <c r="B3222" s="1" t="s">
        <v>2300</v>
      </c>
      <c r="C3222" s="1" t="s">
        <v>2058</v>
      </c>
      <c r="D3222" s="39">
        <v>0</v>
      </c>
      <c r="E3222" s="1" t="s">
        <v>1</v>
      </c>
      <c r="F3222" s="39">
        <v>0</v>
      </c>
    </row>
    <row r="3223" spans="1:6" x14ac:dyDescent="0.25">
      <c r="A3223" s="1" t="s">
        <v>4996</v>
      </c>
      <c r="B3223" s="1" t="s">
        <v>4997</v>
      </c>
      <c r="C3223" s="1" t="s">
        <v>2058</v>
      </c>
      <c r="D3223" s="39">
        <v>0</v>
      </c>
      <c r="E3223" s="1" t="s">
        <v>1</v>
      </c>
      <c r="F3223" s="39">
        <v>0</v>
      </c>
    </row>
    <row r="3224" spans="1:6" x14ac:dyDescent="0.25">
      <c r="A3224" s="1" t="s">
        <v>4998</v>
      </c>
      <c r="B3224" s="1" t="s">
        <v>4999</v>
      </c>
      <c r="C3224" s="1" t="s">
        <v>2058</v>
      </c>
      <c r="D3224" s="39">
        <v>0</v>
      </c>
      <c r="E3224" s="1" t="s">
        <v>1</v>
      </c>
      <c r="F3224" s="39">
        <v>0</v>
      </c>
    </row>
    <row r="3225" spans="1:6" x14ac:dyDescent="0.25">
      <c r="A3225" s="1" t="s">
        <v>5000</v>
      </c>
      <c r="B3225" s="1" t="s">
        <v>5001</v>
      </c>
      <c r="C3225" s="1" t="s">
        <v>2058</v>
      </c>
      <c r="D3225" s="39">
        <v>0</v>
      </c>
      <c r="E3225" s="1" t="s">
        <v>1</v>
      </c>
      <c r="F3225" s="39">
        <v>0</v>
      </c>
    </row>
    <row r="3226" spans="1:6" x14ac:dyDescent="0.25">
      <c r="A3226" s="1" t="s">
        <v>5002</v>
      </c>
      <c r="B3226" s="1" t="s">
        <v>5003</v>
      </c>
      <c r="C3226" s="1" t="s">
        <v>2058</v>
      </c>
      <c r="D3226" s="39">
        <v>0</v>
      </c>
      <c r="E3226" s="1" t="s">
        <v>1</v>
      </c>
      <c r="F3226" s="39">
        <v>0</v>
      </c>
    </row>
    <row r="3227" spans="1:6" x14ac:dyDescent="0.25">
      <c r="A3227" s="1" t="s">
        <v>5004</v>
      </c>
      <c r="B3227" s="1" t="s">
        <v>5005</v>
      </c>
      <c r="C3227" s="1" t="s">
        <v>2058</v>
      </c>
      <c r="D3227" s="39">
        <v>0</v>
      </c>
      <c r="E3227" s="1" t="s">
        <v>1</v>
      </c>
      <c r="F3227" s="39">
        <v>0</v>
      </c>
    </row>
    <row r="3228" spans="1:6" x14ac:dyDescent="0.25">
      <c r="A3228" s="1" t="s">
        <v>5006</v>
      </c>
      <c r="B3228" s="1" t="s">
        <v>5007</v>
      </c>
      <c r="C3228" s="1" t="s">
        <v>2058</v>
      </c>
      <c r="D3228" s="39">
        <v>0</v>
      </c>
      <c r="E3228" s="1" t="s">
        <v>1</v>
      </c>
      <c r="F3228" s="39">
        <v>0</v>
      </c>
    </row>
    <row r="3229" spans="1:6" x14ac:dyDescent="0.25">
      <c r="A3229" s="1" t="s">
        <v>5008</v>
      </c>
      <c r="B3229" s="1" t="s">
        <v>5009</v>
      </c>
      <c r="C3229" s="1" t="s">
        <v>2058</v>
      </c>
      <c r="D3229" s="39">
        <v>0</v>
      </c>
      <c r="E3229" s="1" t="s">
        <v>1</v>
      </c>
      <c r="F3229" s="39">
        <v>0</v>
      </c>
    </row>
    <row r="3230" spans="1:6" x14ac:dyDescent="0.25">
      <c r="A3230" s="1" t="s">
        <v>5010</v>
      </c>
      <c r="B3230" s="1" t="s">
        <v>5011</v>
      </c>
      <c r="C3230" s="1" t="s">
        <v>2058</v>
      </c>
      <c r="D3230" s="39">
        <v>0</v>
      </c>
      <c r="E3230" s="1" t="s">
        <v>1</v>
      </c>
      <c r="F3230" s="39">
        <v>0</v>
      </c>
    </row>
    <row r="3231" spans="1:6" x14ac:dyDescent="0.25">
      <c r="A3231" s="1" t="s">
        <v>5012</v>
      </c>
      <c r="B3231" s="1" t="s">
        <v>5013</v>
      </c>
      <c r="C3231" s="1" t="s">
        <v>2058</v>
      </c>
      <c r="D3231" s="39">
        <v>0</v>
      </c>
      <c r="E3231" s="1" t="s">
        <v>1</v>
      </c>
      <c r="F3231" s="39">
        <v>0</v>
      </c>
    </row>
    <row r="3232" spans="1:6" x14ac:dyDescent="0.25">
      <c r="A3232" s="1" t="s">
        <v>2016</v>
      </c>
      <c r="B3232" s="1" t="s">
        <v>5014</v>
      </c>
      <c r="C3232" s="1" t="s">
        <v>2058</v>
      </c>
      <c r="D3232" s="39">
        <v>0</v>
      </c>
      <c r="E3232" s="1" t="s">
        <v>1</v>
      </c>
      <c r="F3232" s="39">
        <v>0</v>
      </c>
    </row>
    <row r="3233" spans="1:6" x14ac:dyDescent="0.25">
      <c r="A3233" s="1" t="s">
        <v>5015</v>
      </c>
      <c r="B3233" s="1" t="s">
        <v>2268</v>
      </c>
      <c r="C3233" s="1" t="s">
        <v>2058</v>
      </c>
      <c r="D3233" s="39">
        <v>0</v>
      </c>
      <c r="E3233" s="1" t="s">
        <v>1</v>
      </c>
      <c r="F3233" s="39">
        <v>0</v>
      </c>
    </row>
    <row r="3234" spans="1:6" x14ac:dyDescent="0.25">
      <c r="A3234" s="1" t="s">
        <v>5016</v>
      </c>
      <c r="B3234" s="1" t="s">
        <v>2269</v>
      </c>
      <c r="C3234" s="1" t="s">
        <v>2058</v>
      </c>
      <c r="D3234" s="39">
        <v>0</v>
      </c>
      <c r="E3234" s="1" t="s">
        <v>1</v>
      </c>
      <c r="F3234" s="39">
        <v>0</v>
      </c>
    </row>
    <row r="3235" spans="1:6" x14ac:dyDescent="0.25">
      <c r="A3235" s="1" t="s">
        <v>5017</v>
      </c>
      <c r="B3235" s="1" t="s">
        <v>2270</v>
      </c>
      <c r="C3235" s="1" t="s">
        <v>2058</v>
      </c>
      <c r="D3235" s="39">
        <v>0</v>
      </c>
      <c r="E3235" s="1" t="s">
        <v>1</v>
      </c>
      <c r="F3235" s="39">
        <v>0</v>
      </c>
    </row>
    <row r="3236" spans="1:6" x14ac:dyDescent="0.25">
      <c r="A3236" s="1" t="s">
        <v>5018</v>
      </c>
      <c r="B3236" s="1" t="s">
        <v>2316</v>
      </c>
      <c r="C3236" s="1" t="s">
        <v>2058</v>
      </c>
      <c r="D3236" s="39">
        <v>0</v>
      </c>
      <c r="E3236" s="1" t="s">
        <v>1</v>
      </c>
      <c r="F3236" s="39">
        <v>0</v>
      </c>
    </row>
    <row r="3237" spans="1:6" x14ac:dyDescent="0.25">
      <c r="A3237" s="1" t="s">
        <v>5019</v>
      </c>
      <c r="B3237" s="1" t="s">
        <v>5020</v>
      </c>
      <c r="C3237" s="1" t="s">
        <v>2058</v>
      </c>
      <c r="D3237" s="39">
        <v>0</v>
      </c>
      <c r="E3237" s="1" t="s">
        <v>1</v>
      </c>
      <c r="F3237" s="39">
        <v>0</v>
      </c>
    </row>
    <row r="3238" spans="1:6" x14ac:dyDescent="0.25">
      <c r="A3238" s="1" t="s">
        <v>5021</v>
      </c>
      <c r="B3238" s="1" t="s">
        <v>5022</v>
      </c>
      <c r="C3238" s="1" t="s">
        <v>2058</v>
      </c>
      <c r="D3238" s="39">
        <v>0</v>
      </c>
      <c r="E3238" s="1" t="s">
        <v>1</v>
      </c>
      <c r="F3238" s="39">
        <v>0</v>
      </c>
    </row>
    <row r="3239" spans="1:6" x14ac:dyDescent="0.25">
      <c r="A3239" s="1" t="s">
        <v>5023</v>
      </c>
      <c r="B3239" s="1" t="s">
        <v>5024</v>
      </c>
      <c r="C3239" s="1" t="s">
        <v>2058</v>
      </c>
      <c r="D3239" s="39">
        <v>0</v>
      </c>
      <c r="E3239" s="1" t="s">
        <v>1</v>
      </c>
      <c r="F3239" s="39">
        <v>0</v>
      </c>
    </row>
    <row r="3240" spans="1:6" x14ac:dyDescent="0.25">
      <c r="A3240" s="1" t="s">
        <v>5025</v>
      </c>
      <c r="B3240" s="1" t="s">
        <v>5026</v>
      </c>
      <c r="C3240" s="1" t="s">
        <v>2058</v>
      </c>
      <c r="D3240" s="39">
        <v>0</v>
      </c>
      <c r="E3240" s="1" t="s">
        <v>1</v>
      </c>
      <c r="F3240" s="39">
        <v>0</v>
      </c>
    </row>
    <row r="3241" spans="1:6" x14ac:dyDescent="0.25">
      <c r="A3241" s="1" t="s">
        <v>5027</v>
      </c>
      <c r="B3241" s="1" t="s">
        <v>5028</v>
      </c>
      <c r="C3241" s="1" t="s">
        <v>2058</v>
      </c>
      <c r="D3241" s="39">
        <v>0</v>
      </c>
      <c r="E3241" s="1" t="s">
        <v>1</v>
      </c>
      <c r="F3241" s="39">
        <v>0</v>
      </c>
    </row>
    <row r="3242" spans="1:6" x14ac:dyDescent="0.25">
      <c r="A3242" s="1" t="s">
        <v>5029</v>
      </c>
      <c r="B3242" s="1" t="s">
        <v>5030</v>
      </c>
      <c r="C3242" s="1" t="s">
        <v>2058</v>
      </c>
      <c r="D3242" s="39">
        <v>0</v>
      </c>
      <c r="E3242" s="1" t="s">
        <v>1</v>
      </c>
      <c r="F3242" s="39">
        <v>0</v>
      </c>
    </row>
    <row r="3243" spans="1:6" x14ac:dyDescent="0.25">
      <c r="A3243" s="1" t="s">
        <v>5031</v>
      </c>
      <c r="B3243" s="1" t="s">
        <v>5032</v>
      </c>
      <c r="C3243" s="1" t="s">
        <v>2058</v>
      </c>
      <c r="D3243" s="39">
        <v>0</v>
      </c>
      <c r="E3243" s="1" t="s">
        <v>1</v>
      </c>
      <c r="F3243" s="39">
        <v>0</v>
      </c>
    </row>
    <row r="3244" spans="1:6" x14ac:dyDescent="0.25">
      <c r="A3244" s="1" t="s">
        <v>5033</v>
      </c>
      <c r="B3244" s="1" t="s">
        <v>5034</v>
      </c>
      <c r="C3244" s="1" t="s">
        <v>2058</v>
      </c>
      <c r="D3244" s="39">
        <v>0</v>
      </c>
      <c r="E3244" s="1" t="s">
        <v>1</v>
      </c>
      <c r="F3244" s="39">
        <v>0</v>
      </c>
    </row>
    <row r="3245" spans="1:6" x14ac:dyDescent="0.25">
      <c r="A3245" s="1" t="s">
        <v>5035</v>
      </c>
      <c r="B3245" s="1" t="s">
        <v>5036</v>
      </c>
      <c r="C3245" s="1" t="s">
        <v>2058</v>
      </c>
      <c r="D3245" s="39">
        <v>0</v>
      </c>
      <c r="E3245" s="1" t="s">
        <v>1</v>
      </c>
      <c r="F3245" s="39">
        <v>0</v>
      </c>
    </row>
    <row r="3246" spans="1:6" x14ac:dyDescent="0.25">
      <c r="A3246" s="1" t="s">
        <v>5037</v>
      </c>
      <c r="B3246" s="1" t="s">
        <v>5038</v>
      </c>
      <c r="C3246" s="1" t="s">
        <v>2058</v>
      </c>
      <c r="D3246" s="39">
        <v>0</v>
      </c>
      <c r="E3246" s="1" t="s">
        <v>1</v>
      </c>
      <c r="F3246" s="39">
        <v>0</v>
      </c>
    </row>
    <row r="3247" spans="1:6" x14ac:dyDescent="0.25">
      <c r="A3247" s="1" t="s">
        <v>5039</v>
      </c>
      <c r="B3247" s="1" t="s">
        <v>5040</v>
      </c>
      <c r="C3247" s="1" t="s">
        <v>2058</v>
      </c>
      <c r="D3247" s="39">
        <v>0</v>
      </c>
      <c r="E3247" s="1" t="s">
        <v>1</v>
      </c>
      <c r="F3247" s="39">
        <v>0</v>
      </c>
    </row>
    <row r="3248" spans="1:6" x14ac:dyDescent="0.25">
      <c r="A3248" s="1" t="s">
        <v>5041</v>
      </c>
      <c r="B3248" s="1" t="s">
        <v>5042</v>
      </c>
      <c r="C3248" s="1" t="s">
        <v>2058</v>
      </c>
      <c r="D3248" s="39">
        <v>0</v>
      </c>
      <c r="E3248" s="1" t="s">
        <v>1</v>
      </c>
      <c r="F3248" s="39">
        <v>0</v>
      </c>
    </row>
    <row r="3249" spans="1:6" x14ac:dyDescent="0.25">
      <c r="A3249" s="1" t="s">
        <v>5043</v>
      </c>
      <c r="B3249" s="1" t="s">
        <v>5044</v>
      </c>
      <c r="C3249" s="1" t="s">
        <v>2058</v>
      </c>
      <c r="D3249" s="39">
        <v>0</v>
      </c>
      <c r="E3249" s="1" t="s">
        <v>1</v>
      </c>
      <c r="F3249" s="39">
        <v>0</v>
      </c>
    </row>
    <row r="3250" spans="1:6" x14ac:dyDescent="0.25">
      <c r="A3250" s="1" t="s">
        <v>5045</v>
      </c>
      <c r="B3250" s="1" t="s">
        <v>5046</v>
      </c>
      <c r="C3250" s="1" t="s">
        <v>2058</v>
      </c>
      <c r="D3250" s="39">
        <v>0</v>
      </c>
      <c r="E3250" s="1" t="s">
        <v>1</v>
      </c>
      <c r="F3250" s="39">
        <v>0</v>
      </c>
    </row>
    <row r="3251" spans="1:6" x14ac:dyDescent="0.25">
      <c r="A3251" s="1" t="s">
        <v>5047</v>
      </c>
      <c r="B3251" s="1" t="s">
        <v>5048</v>
      </c>
      <c r="C3251" s="1" t="s">
        <v>2058</v>
      </c>
      <c r="D3251" s="39">
        <v>0</v>
      </c>
      <c r="E3251" s="1" t="s">
        <v>1</v>
      </c>
      <c r="F3251" s="39">
        <v>0</v>
      </c>
    </row>
    <row r="3252" spans="1:6" x14ac:dyDescent="0.25">
      <c r="A3252" s="1" t="s">
        <v>5049</v>
      </c>
      <c r="B3252" s="1" t="s">
        <v>5050</v>
      </c>
      <c r="C3252" s="1" t="s">
        <v>2058</v>
      </c>
      <c r="D3252" s="39">
        <v>0</v>
      </c>
      <c r="E3252" s="1" t="s">
        <v>1</v>
      </c>
      <c r="F3252" s="39">
        <v>0</v>
      </c>
    </row>
    <row r="3253" spans="1:6" x14ac:dyDescent="0.25">
      <c r="A3253" s="1" t="s">
        <v>5051</v>
      </c>
      <c r="B3253" s="1" t="s">
        <v>5052</v>
      </c>
      <c r="C3253" s="1" t="s">
        <v>2058</v>
      </c>
      <c r="D3253" s="39">
        <v>0</v>
      </c>
      <c r="E3253" s="1" t="s">
        <v>1</v>
      </c>
      <c r="F3253" s="39">
        <v>0</v>
      </c>
    </row>
    <row r="3254" spans="1:6" x14ac:dyDescent="0.25">
      <c r="A3254" s="1" t="s">
        <v>5053</v>
      </c>
      <c r="B3254" s="1" t="s">
        <v>5054</v>
      </c>
      <c r="C3254" s="1" t="s">
        <v>2058</v>
      </c>
      <c r="D3254" s="39">
        <v>0</v>
      </c>
      <c r="E3254" s="1" t="s">
        <v>1</v>
      </c>
      <c r="F3254" s="39">
        <v>0</v>
      </c>
    </row>
    <row r="3255" spans="1:6" x14ac:dyDescent="0.25">
      <c r="A3255" s="1" t="s">
        <v>5055</v>
      </c>
      <c r="B3255" s="1" t="s">
        <v>5056</v>
      </c>
      <c r="C3255" s="1" t="s">
        <v>2058</v>
      </c>
      <c r="D3255" s="39">
        <v>0</v>
      </c>
      <c r="E3255" s="1" t="s">
        <v>1</v>
      </c>
      <c r="F3255" s="39">
        <v>0</v>
      </c>
    </row>
    <row r="3256" spans="1:6" x14ac:dyDescent="0.25">
      <c r="A3256" s="1" t="s">
        <v>5057</v>
      </c>
      <c r="B3256" s="1" t="s">
        <v>5058</v>
      </c>
      <c r="C3256" s="1" t="s">
        <v>2058</v>
      </c>
      <c r="D3256" s="39">
        <v>0</v>
      </c>
      <c r="E3256" s="1" t="s">
        <v>1</v>
      </c>
      <c r="F3256" s="39">
        <v>0</v>
      </c>
    </row>
    <row r="3257" spans="1:6" x14ac:dyDescent="0.25">
      <c r="A3257" s="1" t="s">
        <v>5059</v>
      </c>
      <c r="B3257" s="1" t="s">
        <v>5060</v>
      </c>
      <c r="C3257" s="1" t="s">
        <v>2058</v>
      </c>
      <c r="D3257" s="39">
        <v>0</v>
      </c>
      <c r="E3257" s="1" t="s">
        <v>1</v>
      </c>
      <c r="F3257" s="39">
        <v>0</v>
      </c>
    </row>
    <row r="3258" spans="1:6" x14ac:dyDescent="0.25">
      <c r="A3258" s="1" t="s">
        <v>5061</v>
      </c>
      <c r="B3258" s="1" t="s">
        <v>5062</v>
      </c>
      <c r="C3258" s="1" t="s">
        <v>2058</v>
      </c>
      <c r="D3258" s="39">
        <v>0</v>
      </c>
      <c r="E3258" s="1" t="s">
        <v>1</v>
      </c>
      <c r="F3258" s="39">
        <v>0</v>
      </c>
    </row>
    <row r="3259" spans="1:6" x14ac:dyDescent="0.25">
      <c r="A3259" s="1" t="s">
        <v>5063</v>
      </c>
      <c r="B3259" s="1" t="s">
        <v>5064</v>
      </c>
      <c r="C3259" s="1" t="s">
        <v>2058</v>
      </c>
      <c r="D3259" s="39">
        <v>0</v>
      </c>
      <c r="E3259" s="1" t="s">
        <v>1</v>
      </c>
      <c r="F3259" s="39">
        <v>0</v>
      </c>
    </row>
    <row r="3260" spans="1:6" x14ac:dyDescent="0.25">
      <c r="A3260" s="1" t="s">
        <v>5065</v>
      </c>
      <c r="B3260" s="1" t="s">
        <v>5066</v>
      </c>
      <c r="C3260" s="1" t="s">
        <v>2058</v>
      </c>
      <c r="D3260" s="39">
        <v>0</v>
      </c>
      <c r="E3260" s="1" t="s">
        <v>1</v>
      </c>
      <c r="F3260" s="39">
        <v>0</v>
      </c>
    </row>
    <row r="3261" spans="1:6" x14ac:dyDescent="0.25">
      <c r="A3261" s="1" t="s">
        <v>5067</v>
      </c>
      <c r="B3261" s="1" t="s">
        <v>5068</v>
      </c>
      <c r="C3261" s="1" t="s">
        <v>2058</v>
      </c>
      <c r="D3261" s="39">
        <v>0</v>
      </c>
      <c r="E3261" s="1" t="s">
        <v>1</v>
      </c>
      <c r="F3261" s="39">
        <v>0</v>
      </c>
    </row>
    <row r="3262" spans="1:6" x14ac:dyDescent="0.25">
      <c r="A3262" s="1" t="s">
        <v>5069</v>
      </c>
      <c r="B3262" s="1" t="s">
        <v>5070</v>
      </c>
      <c r="C3262" s="1" t="s">
        <v>2058</v>
      </c>
      <c r="D3262" s="39">
        <v>0</v>
      </c>
      <c r="E3262" s="1" t="s">
        <v>1</v>
      </c>
      <c r="F3262" s="39">
        <v>0</v>
      </c>
    </row>
    <row r="3263" spans="1:6" x14ac:dyDescent="0.25">
      <c r="A3263" s="1" t="s">
        <v>5071</v>
      </c>
      <c r="B3263" s="1" t="s">
        <v>5072</v>
      </c>
      <c r="C3263" s="1" t="s">
        <v>2058</v>
      </c>
      <c r="D3263" s="39">
        <v>0</v>
      </c>
      <c r="E3263" s="1" t="s">
        <v>1</v>
      </c>
      <c r="F3263" s="39">
        <v>0</v>
      </c>
    </row>
    <row r="3264" spans="1:6" x14ac:dyDescent="0.25">
      <c r="A3264" s="1" t="s">
        <v>791</v>
      </c>
      <c r="B3264" s="1" t="s">
        <v>792</v>
      </c>
      <c r="C3264" s="1" t="s">
        <v>2058</v>
      </c>
      <c r="D3264" s="39">
        <v>0</v>
      </c>
      <c r="E3264" s="1" t="s">
        <v>1</v>
      </c>
      <c r="F3264" s="39">
        <v>0</v>
      </c>
    </row>
    <row r="3265" spans="1:6" x14ac:dyDescent="0.25">
      <c r="A3265" s="1" t="s">
        <v>798</v>
      </c>
      <c r="B3265" s="1" t="s">
        <v>799</v>
      </c>
      <c r="C3265" s="1" t="s">
        <v>2058</v>
      </c>
      <c r="D3265" s="39">
        <v>0</v>
      </c>
      <c r="E3265" s="1" t="s">
        <v>1</v>
      </c>
      <c r="F3265" s="39">
        <v>0</v>
      </c>
    </row>
    <row r="3266" spans="1:6" x14ac:dyDescent="0.25">
      <c r="A3266" s="1" t="s">
        <v>5073</v>
      </c>
      <c r="B3266" s="1" t="s">
        <v>5074</v>
      </c>
      <c r="C3266" s="1" t="s">
        <v>2058</v>
      </c>
      <c r="D3266" s="39">
        <v>0</v>
      </c>
      <c r="E3266" s="1" t="s">
        <v>1</v>
      </c>
      <c r="F3266" s="39">
        <v>0</v>
      </c>
    </row>
    <row r="3267" spans="1:6" x14ac:dyDescent="0.25">
      <c r="A3267" s="1" t="s">
        <v>804</v>
      </c>
      <c r="B3267" s="1" t="s">
        <v>805</v>
      </c>
      <c r="C3267" s="1" t="s">
        <v>2058</v>
      </c>
      <c r="D3267" s="39">
        <v>0</v>
      </c>
      <c r="E3267" s="1" t="s">
        <v>1</v>
      </c>
      <c r="F3267" s="39">
        <v>0</v>
      </c>
    </row>
    <row r="3268" spans="1:6" x14ac:dyDescent="0.25">
      <c r="A3268" s="1" t="s">
        <v>812</v>
      </c>
      <c r="B3268" s="1" t="s">
        <v>813</v>
      </c>
      <c r="C3268" s="1" t="s">
        <v>2058</v>
      </c>
      <c r="D3268" s="39">
        <v>0</v>
      </c>
      <c r="E3268" s="1" t="s">
        <v>1</v>
      </c>
      <c r="F3268" s="39">
        <v>0</v>
      </c>
    </row>
    <row r="3269" spans="1:6" x14ac:dyDescent="0.25">
      <c r="A3269" s="1" t="s">
        <v>5075</v>
      </c>
      <c r="B3269" s="1" t="s">
        <v>5076</v>
      </c>
      <c r="C3269" s="1" t="s">
        <v>2058</v>
      </c>
      <c r="D3269" s="39">
        <v>0</v>
      </c>
      <c r="E3269" s="1" t="s">
        <v>1</v>
      </c>
      <c r="F3269" s="39">
        <v>0</v>
      </c>
    </row>
    <row r="3270" spans="1:6" x14ac:dyDescent="0.25">
      <c r="A3270" s="1" t="s">
        <v>819</v>
      </c>
      <c r="B3270" s="1" t="s">
        <v>820</v>
      </c>
      <c r="C3270" s="1" t="s">
        <v>2058</v>
      </c>
      <c r="D3270" s="39">
        <v>0</v>
      </c>
      <c r="E3270" s="1" t="s">
        <v>1</v>
      </c>
      <c r="F3270" s="39">
        <v>0</v>
      </c>
    </row>
    <row r="3271" spans="1:6" x14ac:dyDescent="0.25">
      <c r="A3271" s="1" t="s">
        <v>827</v>
      </c>
      <c r="B3271" s="1" t="s">
        <v>828</v>
      </c>
      <c r="C3271" s="1" t="s">
        <v>2058</v>
      </c>
      <c r="D3271" s="39">
        <v>0</v>
      </c>
      <c r="E3271" s="1" t="s">
        <v>1</v>
      </c>
      <c r="F3271" s="39">
        <v>0</v>
      </c>
    </row>
    <row r="3272" spans="1:6" x14ac:dyDescent="0.25">
      <c r="A3272" s="1" t="s">
        <v>5077</v>
      </c>
      <c r="B3272" s="1" t="s">
        <v>5078</v>
      </c>
      <c r="C3272" s="1" t="s">
        <v>2058</v>
      </c>
      <c r="D3272" s="39">
        <v>0</v>
      </c>
      <c r="E3272" s="1" t="s">
        <v>1</v>
      </c>
      <c r="F3272" s="39">
        <v>0</v>
      </c>
    </row>
    <row r="3273" spans="1:6" x14ac:dyDescent="0.25">
      <c r="A3273" s="1" t="s">
        <v>5079</v>
      </c>
      <c r="B3273" s="1" t="s">
        <v>5080</v>
      </c>
      <c r="C3273" s="1" t="s">
        <v>2058</v>
      </c>
      <c r="D3273" s="39">
        <v>0</v>
      </c>
      <c r="E3273" s="1" t="s">
        <v>1</v>
      </c>
      <c r="F3273" s="39">
        <v>0</v>
      </c>
    </row>
    <row r="3274" spans="1:6" x14ac:dyDescent="0.25">
      <c r="A3274" s="1" t="s">
        <v>5081</v>
      </c>
      <c r="B3274" s="1" t="s">
        <v>5082</v>
      </c>
      <c r="C3274" s="1" t="s">
        <v>2058</v>
      </c>
      <c r="D3274" s="39">
        <v>0</v>
      </c>
      <c r="E3274" s="1" t="s">
        <v>1</v>
      </c>
      <c r="F3274" s="39">
        <v>0</v>
      </c>
    </row>
    <row r="3275" spans="1:6" x14ac:dyDescent="0.25">
      <c r="A3275" s="1" t="s">
        <v>5083</v>
      </c>
      <c r="B3275" s="1" t="s">
        <v>5084</v>
      </c>
      <c r="C3275" s="1" t="s">
        <v>2058</v>
      </c>
      <c r="D3275" s="39">
        <v>0</v>
      </c>
      <c r="E3275" s="1" t="s">
        <v>1</v>
      </c>
      <c r="F3275" s="39">
        <v>0</v>
      </c>
    </row>
    <row r="3276" spans="1:6" x14ac:dyDescent="0.25">
      <c r="A3276" s="1" t="s">
        <v>834</v>
      </c>
      <c r="B3276" s="1" t="s">
        <v>835</v>
      </c>
      <c r="C3276" s="1" t="s">
        <v>2058</v>
      </c>
      <c r="D3276" s="39">
        <v>0</v>
      </c>
      <c r="E3276" s="1" t="s">
        <v>1</v>
      </c>
      <c r="F3276" s="39">
        <v>0</v>
      </c>
    </row>
    <row r="3277" spans="1:6" x14ac:dyDescent="0.25">
      <c r="A3277" s="1" t="s">
        <v>840</v>
      </c>
      <c r="B3277" s="1" t="s">
        <v>841</v>
      </c>
      <c r="C3277" s="1" t="s">
        <v>2058</v>
      </c>
      <c r="D3277" s="39">
        <v>0</v>
      </c>
      <c r="E3277" s="1" t="s">
        <v>1</v>
      </c>
      <c r="F3277" s="39">
        <v>0</v>
      </c>
    </row>
    <row r="3278" spans="1:6" x14ac:dyDescent="0.25">
      <c r="A3278" s="1" t="s">
        <v>846</v>
      </c>
      <c r="B3278" s="1" t="s">
        <v>847</v>
      </c>
      <c r="C3278" s="1" t="s">
        <v>2058</v>
      </c>
      <c r="D3278" s="39">
        <v>0</v>
      </c>
      <c r="E3278" s="1" t="s">
        <v>1</v>
      </c>
      <c r="F3278" s="39">
        <v>0</v>
      </c>
    </row>
    <row r="3279" spans="1:6" x14ac:dyDescent="0.25">
      <c r="A3279" s="1" t="s">
        <v>5085</v>
      </c>
      <c r="B3279" s="1" t="s">
        <v>5086</v>
      </c>
      <c r="C3279" s="1" t="s">
        <v>2058</v>
      </c>
      <c r="D3279" s="39">
        <v>0</v>
      </c>
      <c r="E3279" s="1" t="s">
        <v>1</v>
      </c>
      <c r="F3279" s="39">
        <v>0</v>
      </c>
    </row>
    <row r="3280" spans="1:6" x14ac:dyDescent="0.25">
      <c r="A3280" s="1" t="s">
        <v>5087</v>
      </c>
      <c r="B3280" s="1" t="s">
        <v>5088</v>
      </c>
      <c r="C3280" s="1" t="s">
        <v>2058</v>
      </c>
      <c r="D3280" s="39">
        <v>0</v>
      </c>
      <c r="E3280" s="1" t="s">
        <v>1</v>
      </c>
      <c r="F3280" s="39">
        <v>0</v>
      </c>
    </row>
    <row r="3281" spans="1:6" x14ac:dyDescent="0.25">
      <c r="A3281" s="1" t="s">
        <v>853</v>
      </c>
      <c r="B3281" s="1" t="s">
        <v>854</v>
      </c>
      <c r="C3281" s="1" t="s">
        <v>2058</v>
      </c>
      <c r="D3281" s="39">
        <v>0</v>
      </c>
      <c r="E3281" s="1" t="s">
        <v>1</v>
      </c>
      <c r="F3281" s="39">
        <v>0</v>
      </c>
    </row>
    <row r="3282" spans="1:6" x14ac:dyDescent="0.25">
      <c r="A3282" s="1" t="s">
        <v>5089</v>
      </c>
      <c r="B3282" s="1" t="s">
        <v>5090</v>
      </c>
      <c r="C3282" s="1" t="s">
        <v>2058</v>
      </c>
      <c r="D3282" s="39">
        <v>0</v>
      </c>
      <c r="E3282" s="1" t="s">
        <v>1</v>
      </c>
      <c r="F3282" s="39">
        <v>0</v>
      </c>
    </row>
    <row r="3283" spans="1:6" x14ac:dyDescent="0.25">
      <c r="A3283" s="1" t="s">
        <v>5091</v>
      </c>
      <c r="B3283" s="1" t="s">
        <v>5088</v>
      </c>
      <c r="C3283" s="1" t="s">
        <v>2058</v>
      </c>
      <c r="D3283" s="39">
        <v>0</v>
      </c>
      <c r="E3283" s="1" t="s">
        <v>1</v>
      </c>
      <c r="F3283" s="39">
        <v>0</v>
      </c>
    </row>
    <row r="3284" spans="1:6" x14ac:dyDescent="0.25">
      <c r="A3284" s="1" t="s">
        <v>5092</v>
      </c>
      <c r="B3284" s="1" t="s">
        <v>5093</v>
      </c>
      <c r="C3284" s="1" t="s">
        <v>2058</v>
      </c>
      <c r="D3284" s="39">
        <v>0</v>
      </c>
      <c r="E3284" s="1" t="s">
        <v>1</v>
      </c>
      <c r="F3284" s="39">
        <v>0</v>
      </c>
    </row>
    <row r="3285" spans="1:6" x14ac:dyDescent="0.25">
      <c r="A3285" s="1" t="s">
        <v>5094</v>
      </c>
      <c r="B3285" s="1" t="s">
        <v>5095</v>
      </c>
      <c r="C3285" s="1" t="s">
        <v>2058</v>
      </c>
      <c r="D3285" s="39">
        <v>0</v>
      </c>
      <c r="E3285" s="1" t="s">
        <v>1</v>
      </c>
      <c r="F3285" s="39">
        <v>0</v>
      </c>
    </row>
    <row r="3286" spans="1:6" x14ac:dyDescent="0.25">
      <c r="A3286" s="1" t="s">
        <v>5096</v>
      </c>
      <c r="B3286" s="1" t="s">
        <v>5097</v>
      </c>
      <c r="C3286" s="1" t="s">
        <v>2058</v>
      </c>
      <c r="D3286" s="39">
        <v>0</v>
      </c>
      <c r="E3286" s="1" t="s">
        <v>1</v>
      </c>
      <c r="F3286" s="39">
        <v>0</v>
      </c>
    </row>
    <row r="3287" spans="1:6" x14ac:dyDescent="0.25">
      <c r="A3287" s="1" t="s">
        <v>5098</v>
      </c>
      <c r="B3287" s="1" t="s">
        <v>5099</v>
      </c>
      <c r="C3287" s="1" t="s">
        <v>2058</v>
      </c>
      <c r="D3287" s="39">
        <v>0</v>
      </c>
      <c r="E3287" s="1" t="s">
        <v>1</v>
      </c>
      <c r="F3287" s="39">
        <v>0</v>
      </c>
    </row>
    <row r="3288" spans="1:6" x14ac:dyDescent="0.25">
      <c r="A3288" s="1" t="s">
        <v>5100</v>
      </c>
      <c r="B3288" s="1" t="s">
        <v>5101</v>
      </c>
      <c r="C3288" s="1" t="s">
        <v>2058</v>
      </c>
      <c r="D3288" s="39">
        <v>0</v>
      </c>
      <c r="E3288" s="1" t="s">
        <v>1</v>
      </c>
      <c r="F3288" s="39">
        <v>0</v>
      </c>
    </row>
    <row r="3289" spans="1:6" x14ac:dyDescent="0.25">
      <c r="A3289" s="1" t="s">
        <v>5102</v>
      </c>
      <c r="B3289" s="1" t="s">
        <v>5103</v>
      </c>
      <c r="C3289" s="1" t="s">
        <v>2058</v>
      </c>
      <c r="D3289" s="39">
        <v>0</v>
      </c>
      <c r="E3289" s="1" t="s">
        <v>1</v>
      </c>
      <c r="F3289" s="39">
        <v>0</v>
      </c>
    </row>
    <row r="3290" spans="1:6" x14ac:dyDescent="0.25">
      <c r="A3290" s="1" t="s">
        <v>5104</v>
      </c>
      <c r="B3290" s="1" t="s">
        <v>5105</v>
      </c>
      <c r="C3290" s="1" t="s">
        <v>2058</v>
      </c>
      <c r="D3290" s="39">
        <v>0</v>
      </c>
      <c r="E3290" s="1" t="s">
        <v>1</v>
      </c>
      <c r="F3290" s="39">
        <v>0</v>
      </c>
    </row>
    <row r="3291" spans="1:6" x14ac:dyDescent="0.25">
      <c r="A3291" s="1" t="s">
        <v>5106</v>
      </c>
      <c r="B3291" s="1" t="s">
        <v>5107</v>
      </c>
      <c r="C3291" s="1" t="s">
        <v>2058</v>
      </c>
      <c r="D3291" s="39">
        <v>0</v>
      </c>
      <c r="E3291" s="1" t="s">
        <v>1</v>
      </c>
      <c r="F3291" s="39">
        <v>0</v>
      </c>
    </row>
    <row r="3292" spans="1:6" x14ac:dyDescent="0.25">
      <c r="A3292" s="1" t="s">
        <v>5108</v>
      </c>
      <c r="B3292" s="1" t="s">
        <v>5109</v>
      </c>
      <c r="C3292" s="1" t="s">
        <v>2058</v>
      </c>
      <c r="D3292" s="39">
        <v>0</v>
      </c>
      <c r="E3292" s="1" t="s">
        <v>1</v>
      </c>
      <c r="F3292" s="39">
        <v>0</v>
      </c>
    </row>
    <row r="3293" spans="1:6" x14ac:dyDescent="0.25">
      <c r="A3293" s="1" t="s">
        <v>5110</v>
      </c>
      <c r="B3293" s="1" t="s">
        <v>5111</v>
      </c>
      <c r="C3293" s="1" t="s">
        <v>2058</v>
      </c>
      <c r="D3293" s="39">
        <v>0</v>
      </c>
      <c r="E3293" s="1" t="s">
        <v>1</v>
      </c>
      <c r="F3293" s="39">
        <v>0</v>
      </c>
    </row>
    <row r="3294" spans="1:6" x14ac:dyDescent="0.25">
      <c r="A3294" s="1" t="s">
        <v>5112</v>
      </c>
      <c r="B3294" s="1" t="s">
        <v>5113</v>
      </c>
      <c r="C3294" s="1" t="s">
        <v>2058</v>
      </c>
      <c r="D3294" s="39">
        <v>0</v>
      </c>
      <c r="E3294" s="1" t="s">
        <v>1</v>
      </c>
      <c r="F3294" s="39">
        <v>0</v>
      </c>
    </row>
    <row r="3295" spans="1:6" x14ac:dyDescent="0.25">
      <c r="A3295" s="1" t="s">
        <v>5114</v>
      </c>
      <c r="B3295" s="1" t="s">
        <v>5115</v>
      </c>
      <c r="C3295" s="1" t="s">
        <v>2058</v>
      </c>
      <c r="D3295" s="39">
        <v>0</v>
      </c>
      <c r="E3295" s="1" t="s">
        <v>1</v>
      </c>
      <c r="F3295" s="39">
        <v>0</v>
      </c>
    </row>
    <row r="3296" spans="1:6" x14ac:dyDescent="0.25">
      <c r="A3296" s="1" t="s">
        <v>5116</v>
      </c>
      <c r="B3296" s="1" t="s">
        <v>5117</v>
      </c>
      <c r="C3296" s="1" t="s">
        <v>2058</v>
      </c>
      <c r="D3296" s="39">
        <v>0</v>
      </c>
      <c r="E3296" s="1" t="s">
        <v>1</v>
      </c>
      <c r="F3296" s="39">
        <v>0</v>
      </c>
    </row>
    <row r="3297" spans="1:6" x14ac:dyDescent="0.25">
      <c r="A3297" s="1" t="s">
        <v>5118</v>
      </c>
      <c r="B3297" s="1" t="s">
        <v>5119</v>
      </c>
      <c r="C3297" s="1" t="s">
        <v>2058</v>
      </c>
      <c r="D3297" s="39">
        <v>0</v>
      </c>
      <c r="E3297" s="1" t="s">
        <v>1</v>
      </c>
      <c r="F3297" s="39">
        <v>0</v>
      </c>
    </row>
    <row r="3298" spans="1:6" x14ac:dyDescent="0.25">
      <c r="A3298" s="1" t="s">
        <v>5120</v>
      </c>
      <c r="B3298" s="1" t="s">
        <v>5121</v>
      </c>
      <c r="C3298" s="1" t="s">
        <v>2058</v>
      </c>
      <c r="D3298" s="39">
        <v>0</v>
      </c>
      <c r="E3298" s="1" t="s">
        <v>1</v>
      </c>
      <c r="F3298" s="39">
        <v>0</v>
      </c>
    </row>
    <row r="3299" spans="1:6" x14ac:dyDescent="0.25">
      <c r="A3299" s="1" t="s">
        <v>5122</v>
      </c>
      <c r="B3299" s="1" t="s">
        <v>5123</v>
      </c>
      <c r="C3299" s="1" t="s">
        <v>2058</v>
      </c>
      <c r="D3299" s="39">
        <v>0</v>
      </c>
      <c r="E3299" s="1" t="s">
        <v>1</v>
      </c>
      <c r="F3299" s="39">
        <v>0</v>
      </c>
    </row>
    <row r="3300" spans="1:6" x14ac:dyDescent="0.25">
      <c r="A3300" s="1" t="s">
        <v>5124</v>
      </c>
      <c r="B3300" s="1" t="s">
        <v>5125</v>
      </c>
      <c r="C3300" s="1" t="s">
        <v>2058</v>
      </c>
      <c r="D3300" s="39">
        <v>0</v>
      </c>
      <c r="E3300" s="1" t="s">
        <v>1</v>
      </c>
      <c r="F3300" s="39">
        <v>0</v>
      </c>
    </row>
    <row r="3301" spans="1:6" x14ac:dyDescent="0.25">
      <c r="A3301" s="1" t="s">
        <v>5126</v>
      </c>
      <c r="B3301" s="1" t="s">
        <v>5127</v>
      </c>
      <c r="C3301" s="1" t="s">
        <v>2058</v>
      </c>
      <c r="D3301" s="39">
        <v>0</v>
      </c>
      <c r="E3301" s="1" t="s">
        <v>1</v>
      </c>
      <c r="F3301" s="39">
        <v>0</v>
      </c>
    </row>
    <row r="3302" spans="1:6" x14ac:dyDescent="0.25">
      <c r="A3302" s="1" t="s">
        <v>5128</v>
      </c>
      <c r="B3302" s="1" t="s">
        <v>5129</v>
      </c>
      <c r="C3302" s="1" t="s">
        <v>2058</v>
      </c>
      <c r="D3302" s="39">
        <v>0</v>
      </c>
      <c r="E3302" s="1" t="s">
        <v>1</v>
      </c>
      <c r="F3302" s="39">
        <v>0</v>
      </c>
    </row>
    <row r="3303" spans="1:6" x14ac:dyDescent="0.25">
      <c r="A3303" s="1" t="s">
        <v>5130</v>
      </c>
      <c r="B3303" s="1" t="s">
        <v>5131</v>
      </c>
      <c r="C3303" s="1" t="s">
        <v>2058</v>
      </c>
      <c r="D3303" s="39">
        <v>0</v>
      </c>
      <c r="E3303" s="1" t="s">
        <v>1</v>
      </c>
      <c r="F3303" s="39">
        <v>0</v>
      </c>
    </row>
    <row r="3304" spans="1:6" x14ac:dyDescent="0.25">
      <c r="A3304" s="1" t="s">
        <v>5132</v>
      </c>
      <c r="B3304" s="1" t="s">
        <v>5133</v>
      </c>
      <c r="C3304" s="1" t="s">
        <v>2058</v>
      </c>
      <c r="D3304" s="39">
        <v>0</v>
      </c>
      <c r="E3304" s="1" t="s">
        <v>1</v>
      </c>
      <c r="F3304" s="39">
        <v>0</v>
      </c>
    </row>
    <row r="3305" spans="1:6" x14ac:dyDescent="0.25">
      <c r="A3305" s="1" t="s">
        <v>5134</v>
      </c>
      <c r="B3305" s="1" t="s">
        <v>5135</v>
      </c>
      <c r="C3305" s="1" t="s">
        <v>2058</v>
      </c>
      <c r="D3305" s="39">
        <v>0</v>
      </c>
      <c r="E3305" s="1" t="s">
        <v>1</v>
      </c>
      <c r="F3305" s="39">
        <v>0</v>
      </c>
    </row>
    <row r="3306" spans="1:6" x14ac:dyDescent="0.25">
      <c r="A3306" s="1" t="s">
        <v>5136</v>
      </c>
      <c r="B3306" s="1" t="s">
        <v>5137</v>
      </c>
      <c r="C3306" s="1" t="s">
        <v>2058</v>
      </c>
      <c r="D3306" s="39">
        <v>0</v>
      </c>
      <c r="E3306" s="1" t="s">
        <v>1</v>
      </c>
      <c r="F3306" s="39">
        <v>0</v>
      </c>
    </row>
    <row r="3307" spans="1:6" x14ac:dyDescent="0.25">
      <c r="A3307" s="1" t="s">
        <v>5138</v>
      </c>
      <c r="B3307" s="1" t="s">
        <v>5139</v>
      </c>
      <c r="C3307" s="1" t="s">
        <v>2058</v>
      </c>
      <c r="D3307" s="39">
        <v>0</v>
      </c>
      <c r="E3307" s="1" t="s">
        <v>1</v>
      </c>
      <c r="F3307" s="39">
        <v>0</v>
      </c>
    </row>
    <row r="3308" spans="1:6" x14ac:dyDescent="0.25">
      <c r="A3308" s="1" t="s">
        <v>5140</v>
      </c>
      <c r="B3308" s="1" t="s">
        <v>5141</v>
      </c>
      <c r="C3308" s="1" t="s">
        <v>2058</v>
      </c>
      <c r="D3308" s="39">
        <v>0</v>
      </c>
      <c r="E3308" s="1" t="s">
        <v>1</v>
      </c>
      <c r="F3308" s="39">
        <v>0</v>
      </c>
    </row>
    <row r="3309" spans="1:6" x14ac:dyDescent="0.25">
      <c r="A3309" s="1" t="s">
        <v>5142</v>
      </c>
      <c r="B3309" s="1" t="s">
        <v>5143</v>
      </c>
      <c r="C3309" s="1" t="s">
        <v>2058</v>
      </c>
      <c r="D3309" s="39">
        <v>0</v>
      </c>
      <c r="E3309" s="1" t="s">
        <v>1</v>
      </c>
      <c r="F3309" s="39">
        <v>0</v>
      </c>
    </row>
    <row r="3310" spans="1:6" x14ac:dyDescent="0.25">
      <c r="A3310" s="1" t="s">
        <v>5144</v>
      </c>
      <c r="B3310" s="1" t="s">
        <v>5145</v>
      </c>
      <c r="C3310" s="1" t="s">
        <v>2058</v>
      </c>
      <c r="D3310" s="39">
        <v>0</v>
      </c>
      <c r="E3310" s="1" t="s">
        <v>1</v>
      </c>
      <c r="F3310" s="39">
        <v>0</v>
      </c>
    </row>
    <row r="3311" spans="1:6" x14ac:dyDescent="0.25">
      <c r="A3311" s="1" t="s">
        <v>5146</v>
      </c>
      <c r="B3311" s="1" t="s">
        <v>5147</v>
      </c>
      <c r="C3311" s="1" t="s">
        <v>2058</v>
      </c>
      <c r="D3311" s="39">
        <v>0</v>
      </c>
      <c r="E3311" s="1" t="s">
        <v>1</v>
      </c>
      <c r="F3311" s="39">
        <v>0</v>
      </c>
    </row>
    <row r="3312" spans="1:6" x14ac:dyDescent="0.25">
      <c r="A3312" s="1" t="s">
        <v>5148</v>
      </c>
      <c r="B3312" s="1" t="s">
        <v>5149</v>
      </c>
      <c r="C3312" s="1" t="s">
        <v>2058</v>
      </c>
      <c r="D3312" s="39">
        <v>0</v>
      </c>
      <c r="E3312" s="1" t="s">
        <v>1</v>
      </c>
      <c r="F3312" s="39">
        <v>0</v>
      </c>
    </row>
    <row r="3313" spans="1:6" x14ac:dyDescent="0.25">
      <c r="A3313" s="1" t="s">
        <v>5150</v>
      </c>
      <c r="B3313" s="1" t="s">
        <v>5151</v>
      </c>
      <c r="C3313" s="1" t="s">
        <v>2058</v>
      </c>
      <c r="D3313" s="39">
        <v>0</v>
      </c>
      <c r="E3313" s="1" t="s">
        <v>1</v>
      </c>
      <c r="F3313" s="39">
        <v>0</v>
      </c>
    </row>
    <row r="3314" spans="1:6" x14ac:dyDescent="0.25">
      <c r="A3314" s="1" t="s">
        <v>5152</v>
      </c>
      <c r="B3314" s="1" t="s">
        <v>5153</v>
      </c>
      <c r="C3314" s="1" t="s">
        <v>2058</v>
      </c>
      <c r="D3314" s="39">
        <v>0</v>
      </c>
      <c r="E3314" s="1" t="s">
        <v>1</v>
      </c>
      <c r="F3314" s="39">
        <v>0</v>
      </c>
    </row>
    <row r="3315" spans="1:6" x14ac:dyDescent="0.25">
      <c r="A3315" s="1" t="s">
        <v>5154</v>
      </c>
      <c r="B3315" s="1" t="s">
        <v>5155</v>
      </c>
      <c r="C3315" s="1" t="s">
        <v>2058</v>
      </c>
      <c r="D3315" s="39">
        <v>0</v>
      </c>
      <c r="E3315" s="1" t="s">
        <v>1</v>
      </c>
      <c r="F3315" s="39">
        <v>0</v>
      </c>
    </row>
    <row r="3316" spans="1:6" x14ac:dyDescent="0.25">
      <c r="A3316" s="1" t="s">
        <v>5156</v>
      </c>
      <c r="B3316" s="1" t="s">
        <v>5157</v>
      </c>
      <c r="C3316" s="1" t="s">
        <v>2058</v>
      </c>
      <c r="D3316" s="39">
        <v>0</v>
      </c>
      <c r="E3316" s="1" t="s">
        <v>1</v>
      </c>
      <c r="F3316" s="39">
        <v>0</v>
      </c>
    </row>
    <row r="3317" spans="1:6" x14ac:dyDescent="0.25">
      <c r="A3317" s="1" t="s">
        <v>5158</v>
      </c>
      <c r="B3317" s="1" t="s">
        <v>5159</v>
      </c>
      <c r="C3317" s="1" t="s">
        <v>2058</v>
      </c>
      <c r="D3317" s="39">
        <v>0</v>
      </c>
      <c r="E3317" s="1" t="s">
        <v>1</v>
      </c>
      <c r="F3317" s="39">
        <v>0</v>
      </c>
    </row>
    <row r="3318" spans="1:6" x14ac:dyDescent="0.25">
      <c r="A3318" s="1" t="s">
        <v>5160</v>
      </c>
      <c r="B3318" s="1" t="s">
        <v>5161</v>
      </c>
      <c r="C3318" s="1" t="s">
        <v>2058</v>
      </c>
      <c r="D3318" s="39">
        <v>0</v>
      </c>
      <c r="E3318" s="1" t="s">
        <v>1</v>
      </c>
      <c r="F3318" s="39">
        <v>0</v>
      </c>
    </row>
    <row r="3319" spans="1:6" x14ac:dyDescent="0.25">
      <c r="A3319" s="1" t="s">
        <v>5162</v>
      </c>
      <c r="B3319" s="1" t="s">
        <v>5163</v>
      </c>
      <c r="C3319" s="1" t="s">
        <v>2058</v>
      </c>
      <c r="D3319" s="39">
        <v>0</v>
      </c>
      <c r="E3319" s="1" t="s">
        <v>1</v>
      </c>
      <c r="F3319" s="39">
        <v>0</v>
      </c>
    </row>
    <row r="3320" spans="1:6" x14ac:dyDescent="0.25">
      <c r="A3320" s="1" t="s">
        <v>5164</v>
      </c>
      <c r="B3320" s="1" t="s">
        <v>5165</v>
      </c>
      <c r="C3320" s="1" t="s">
        <v>2058</v>
      </c>
      <c r="D3320" s="39">
        <v>0</v>
      </c>
      <c r="E3320" s="1" t="s">
        <v>1</v>
      </c>
      <c r="F3320" s="39">
        <v>0</v>
      </c>
    </row>
    <row r="3321" spans="1:6" x14ac:dyDescent="0.25">
      <c r="A3321" s="1" t="s">
        <v>5166</v>
      </c>
      <c r="B3321" s="1" t="s">
        <v>5167</v>
      </c>
      <c r="C3321" s="1" t="s">
        <v>2058</v>
      </c>
      <c r="D3321" s="39">
        <v>0</v>
      </c>
      <c r="E3321" s="1" t="s">
        <v>1</v>
      </c>
      <c r="F3321" s="39">
        <v>0</v>
      </c>
    </row>
    <row r="3322" spans="1:6" x14ac:dyDescent="0.25">
      <c r="A3322" s="1" t="s">
        <v>5168</v>
      </c>
      <c r="B3322" s="1" t="s">
        <v>5169</v>
      </c>
      <c r="C3322" s="1" t="s">
        <v>2058</v>
      </c>
      <c r="D3322" s="39">
        <v>0</v>
      </c>
      <c r="E3322" s="1" t="s">
        <v>1</v>
      </c>
      <c r="F3322" s="39">
        <v>0</v>
      </c>
    </row>
    <row r="3323" spans="1:6" x14ac:dyDescent="0.25">
      <c r="A3323" s="1" t="s">
        <v>5170</v>
      </c>
      <c r="B3323" s="1" t="s">
        <v>5171</v>
      </c>
      <c r="C3323" s="1" t="s">
        <v>2058</v>
      </c>
      <c r="D3323" s="39">
        <v>0</v>
      </c>
      <c r="E3323" s="1" t="s">
        <v>1</v>
      </c>
      <c r="F3323" s="39">
        <v>0</v>
      </c>
    </row>
    <row r="3324" spans="1:6" x14ac:dyDescent="0.25">
      <c r="A3324" s="1" t="s">
        <v>5172</v>
      </c>
      <c r="B3324" s="1" t="s">
        <v>5173</v>
      </c>
      <c r="C3324" s="1" t="s">
        <v>2058</v>
      </c>
      <c r="D3324" s="39">
        <v>0</v>
      </c>
      <c r="E3324" s="1" t="s">
        <v>1</v>
      </c>
      <c r="F3324" s="39">
        <v>0</v>
      </c>
    </row>
    <row r="3325" spans="1:6" x14ac:dyDescent="0.25">
      <c r="A3325" s="1" t="s">
        <v>5174</v>
      </c>
      <c r="B3325" s="1" t="s">
        <v>5175</v>
      </c>
      <c r="C3325" s="1" t="s">
        <v>2058</v>
      </c>
      <c r="D3325" s="39">
        <v>0</v>
      </c>
      <c r="E3325" s="1" t="s">
        <v>1</v>
      </c>
      <c r="F3325" s="39">
        <v>0</v>
      </c>
    </row>
    <row r="3326" spans="1:6" x14ac:dyDescent="0.25">
      <c r="A3326" s="1" t="s">
        <v>5176</v>
      </c>
      <c r="B3326" s="1" t="s">
        <v>5177</v>
      </c>
      <c r="C3326" s="1" t="s">
        <v>2058</v>
      </c>
      <c r="D3326" s="39">
        <v>0</v>
      </c>
      <c r="E3326" s="1" t="s">
        <v>1</v>
      </c>
      <c r="F3326" s="39">
        <v>0</v>
      </c>
    </row>
    <row r="3327" spans="1:6" x14ac:dyDescent="0.25">
      <c r="A3327" s="1" t="s">
        <v>5178</v>
      </c>
      <c r="B3327" s="1" t="s">
        <v>5179</v>
      </c>
      <c r="C3327" s="1" t="s">
        <v>2058</v>
      </c>
      <c r="D3327" s="39">
        <v>0</v>
      </c>
      <c r="E3327" s="1" t="s">
        <v>1</v>
      </c>
      <c r="F3327" s="39">
        <v>0</v>
      </c>
    </row>
    <row r="3328" spans="1:6" x14ac:dyDescent="0.25">
      <c r="A3328" s="1" t="s">
        <v>5180</v>
      </c>
      <c r="B3328" s="1" t="s">
        <v>5181</v>
      </c>
      <c r="C3328" s="1" t="s">
        <v>2058</v>
      </c>
      <c r="D3328" s="39">
        <v>0</v>
      </c>
      <c r="E3328" s="1" t="s">
        <v>1</v>
      </c>
      <c r="F3328" s="39">
        <v>0</v>
      </c>
    </row>
    <row r="3329" spans="1:6" x14ac:dyDescent="0.25">
      <c r="A3329" s="1" t="s">
        <v>5182</v>
      </c>
      <c r="B3329" s="1" t="s">
        <v>5183</v>
      </c>
      <c r="C3329" s="1" t="s">
        <v>2058</v>
      </c>
      <c r="D3329" s="39">
        <v>0</v>
      </c>
      <c r="E3329" s="1" t="s">
        <v>1</v>
      </c>
      <c r="F3329" s="39">
        <v>0</v>
      </c>
    </row>
    <row r="3330" spans="1:6" x14ac:dyDescent="0.25">
      <c r="A3330" s="1" t="s">
        <v>5184</v>
      </c>
      <c r="B3330" s="1" t="s">
        <v>5185</v>
      </c>
      <c r="C3330" s="1" t="s">
        <v>2058</v>
      </c>
      <c r="D3330" s="39">
        <v>0</v>
      </c>
      <c r="E3330" s="1" t="s">
        <v>1</v>
      </c>
      <c r="F3330" s="39">
        <v>0</v>
      </c>
    </row>
    <row r="3331" spans="1:6" x14ac:dyDescent="0.25">
      <c r="A3331" s="1" t="s">
        <v>5186</v>
      </c>
      <c r="B3331" s="1" t="s">
        <v>5187</v>
      </c>
      <c r="C3331" s="1" t="s">
        <v>2058</v>
      </c>
      <c r="D3331" s="39">
        <v>0</v>
      </c>
      <c r="E3331" s="1" t="s">
        <v>1</v>
      </c>
      <c r="F3331" s="39">
        <v>0</v>
      </c>
    </row>
    <row r="3332" spans="1:6" x14ac:dyDescent="0.25">
      <c r="A3332" s="1" t="s">
        <v>864</v>
      </c>
      <c r="B3332" s="1" t="s">
        <v>865</v>
      </c>
      <c r="C3332" s="1" t="s">
        <v>2058</v>
      </c>
      <c r="D3332" s="39">
        <v>0</v>
      </c>
      <c r="E3332" s="1" t="s">
        <v>1</v>
      </c>
      <c r="F3332" s="39">
        <v>0</v>
      </c>
    </row>
    <row r="3333" spans="1:6" x14ac:dyDescent="0.25">
      <c r="A3333" s="1" t="s">
        <v>872</v>
      </c>
      <c r="B3333" s="1" t="s">
        <v>873</v>
      </c>
      <c r="C3333" s="1" t="s">
        <v>2058</v>
      </c>
      <c r="D3333" s="39">
        <v>0</v>
      </c>
      <c r="E3333" s="1" t="s">
        <v>1</v>
      </c>
      <c r="F3333" s="39">
        <v>0</v>
      </c>
    </row>
    <row r="3334" spans="1:6" x14ac:dyDescent="0.25">
      <c r="A3334" s="1" t="s">
        <v>876</v>
      </c>
      <c r="B3334" s="1" t="s">
        <v>877</v>
      </c>
      <c r="C3334" s="1" t="s">
        <v>2058</v>
      </c>
      <c r="D3334" s="39">
        <v>0</v>
      </c>
      <c r="E3334" s="1" t="s">
        <v>1</v>
      </c>
      <c r="F3334" s="39">
        <v>0</v>
      </c>
    </row>
    <row r="3335" spans="1:6" x14ac:dyDescent="0.25">
      <c r="A3335" s="1" t="s">
        <v>880</v>
      </c>
      <c r="B3335" s="1" t="s">
        <v>881</v>
      </c>
      <c r="C3335" s="1" t="s">
        <v>2058</v>
      </c>
      <c r="D3335" s="39">
        <v>0</v>
      </c>
      <c r="E3335" s="1" t="s">
        <v>1</v>
      </c>
      <c r="F3335" s="39">
        <v>0</v>
      </c>
    </row>
    <row r="3336" spans="1:6" x14ac:dyDescent="0.25">
      <c r="A3336" s="1" t="s">
        <v>884</v>
      </c>
      <c r="B3336" s="1" t="s">
        <v>885</v>
      </c>
      <c r="C3336" s="1" t="s">
        <v>2058</v>
      </c>
      <c r="D3336" s="39">
        <v>0</v>
      </c>
      <c r="E3336" s="1" t="s">
        <v>1</v>
      </c>
      <c r="F3336" s="39">
        <v>0</v>
      </c>
    </row>
    <row r="3337" spans="1:6" x14ac:dyDescent="0.25">
      <c r="A3337" s="1" t="s">
        <v>890</v>
      </c>
      <c r="B3337" s="1" t="s">
        <v>891</v>
      </c>
      <c r="C3337" s="1" t="s">
        <v>2058</v>
      </c>
      <c r="D3337" s="39">
        <v>0</v>
      </c>
      <c r="E3337" s="1" t="s">
        <v>1</v>
      </c>
      <c r="F3337" s="39">
        <v>0</v>
      </c>
    </row>
    <row r="3338" spans="1:6" x14ac:dyDescent="0.25">
      <c r="A3338" s="1" t="s">
        <v>894</v>
      </c>
      <c r="B3338" s="1" t="s">
        <v>895</v>
      </c>
      <c r="C3338" s="1" t="s">
        <v>2058</v>
      </c>
      <c r="D3338" s="39">
        <v>0</v>
      </c>
      <c r="E3338" s="1" t="s">
        <v>1</v>
      </c>
      <c r="F3338" s="39">
        <v>0</v>
      </c>
    </row>
    <row r="3339" spans="1:6" x14ac:dyDescent="0.25">
      <c r="A3339" s="1" t="s">
        <v>898</v>
      </c>
      <c r="B3339" s="1" t="s">
        <v>899</v>
      </c>
      <c r="C3339" s="1" t="s">
        <v>2058</v>
      </c>
      <c r="D3339" s="39">
        <v>0</v>
      </c>
      <c r="E3339" s="1" t="s">
        <v>1</v>
      </c>
      <c r="F3339" s="39">
        <v>0</v>
      </c>
    </row>
    <row r="3340" spans="1:6" x14ac:dyDescent="0.25">
      <c r="A3340" s="1" t="s">
        <v>902</v>
      </c>
      <c r="B3340" s="1" t="s">
        <v>903</v>
      </c>
      <c r="C3340" s="1" t="s">
        <v>2058</v>
      </c>
      <c r="D3340" s="39">
        <v>0</v>
      </c>
      <c r="E3340" s="1" t="s">
        <v>1</v>
      </c>
      <c r="F3340" s="39">
        <v>0</v>
      </c>
    </row>
    <row r="3341" spans="1:6" x14ac:dyDescent="0.25">
      <c r="A3341" s="1" t="s">
        <v>906</v>
      </c>
      <c r="B3341" s="1" t="s">
        <v>907</v>
      </c>
      <c r="C3341" s="1" t="s">
        <v>2058</v>
      </c>
      <c r="D3341" s="39">
        <v>0</v>
      </c>
      <c r="E3341" s="1" t="s">
        <v>1</v>
      </c>
      <c r="F3341" s="39">
        <v>0</v>
      </c>
    </row>
    <row r="3342" spans="1:6" x14ac:dyDescent="0.25">
      <c r="A3342" s="1" t="s">
        <v>910</v>
      </c>
      <c r="B3342" s="1" t="s">
        <v>911</v>
      </c>
      <c r="C3342" s="1" t="s">
        <v>2058</v>
      </c>
      <c r="D3342" s="39">
        <v>0</v>
      </c>
      <c r="E3342" s="1" t="s">
        <v>1</v>
      </c>
      <c r="F3342" s="39">
        <v>0</v>
      </c>
    </row>
    <row r="3343" spans="1:6" x14ac:dyDescent="0.25">
      <c r="A3343" s="1" t="s">
        <v>913</v>
      </c>
      <c r="B3343" s="1" t="s">
        <v>914</v>
      </c>
      <c r="C3343" s="1" t="s">
        <v>2058</v>
      </c>
      <c r="D3343" s="39">
        <v>0</v>
      </c>
      <c r="E3343" s="1" t="s">
        <v>1</v>
      </c>
      <c r="F3343" s="39">
        <v>0</v>
      </c>
    </row>
    <row r="3344" spans="1:6" x14ac:dyDescent="0.25">
      <c r="A3344" s="1" t="s">
        <v>916</v>
      </c>
      <c r="B3344" s="1" t="s">
        <v>917</v>
      </c>
      <c r="C3344" s="1" t="s">
        <v>2058</v>
      </c>
      <c r="D3344" s="39">
        <v>0</v>
      </c>
      <c r="E3344" s="1" t="s">
        <v>1</v>
      </c>
      <c r="F3344" s="39">
        <v>0</v>
      </c>
    </row>
    <row r="3345" spans="1:6" x14ac:dyDescent="0.25">
      <c r="A3345" s="1" t="s">
        <v>919</v>
      </c>
      <c r="B3345" s="1" t="s">
        <v>920</v>
      </c>
      <c r="C3345" s="1" t="s">
        <v>2058</v>
      </c>
      <c r="D3345" s="39">
        <v>0</v>
      </c>
      <c r="E3345" s="1" t="s">
        <v>1</v>
      </c>
      <c r="F3345" s="39">
        <v>0</v>
      </c>
    </row>
    <row r="3346" spans="1:6" x14ac:dyDescent="0.25">
      <c r="A3346" s="1" t="s">
        <v>922</v>
      </c>
      <c r="B3346" s="1" t="s">
        <v>923</v>
      </c>
      <c r="C3346" s="1" t="s">
        <v>2058</v>
      </c>
      <c r="D3346" s="39">
        <v>0</v>
      </c>
      <c r="E3346" s="1" t="s">
        <v>1</v>
      </c>
      <c r="F3346" s="39">
        <v>0</v>
      </c>
    </row>
    <row r="3347" spans="1:6" x14ac:dyDescent="0.25">
      <c r="A3347" s="1" t="s">
        <v>925</v>
      </c>
      <c r="B3347" s="1" t="s">
        <v>926</v>
      </c>
      <c r="C3347" s="1" t="s">
        <v>2058</v>
      </c>
      <c r="D3347" s="39">
        <v>0</v>
      </c>
      <c r="E3347" s="1" t="s">
        <v>1</v>
      </c>
      <c r="F3347" s="39">
        <v>0</v>
      </c>
    </row>
    <row r="3348" spans="1:6" x14ac:dyDescent="0.25">
      <c r="A3348" s="1" t="s">
        <v>928</v>
      </c>
      <c r="B3348" s="1" t="s">
        <v>929</v>
      </c>
      <c r="C3348" s="1" t="s">
        <v>2058</v>
      </c>
      <c r="D3348" s="39">
        <v>0</v>
      </c>
      <c r="E3348" s="1" t="s">
        <v>1</v>
      </c>
      <c r="F3348" s="39">
        <v>0</v>
      </c>
    </row>
    <row r="3349" spans="1:6" x14ac:dyDescent="0.25">
      <c r="A3349" s="1" t="s">
        <v>931</v>
      </c>
      <c r="B3349" s="1" t="s">
        <v>932</v>
      </c>
      <c r="C3349" s="1" t="s">
        <v>2058</v>
      </c>
      <c r="D3349" s="39">
        <v>0</v>
      </c>
      <c r="E3349" s="1" t="s">
        <v>1</v>
      </c>
      <c r="F3349" s="39">
        <v>0</v>
      </c>
    </row>
    <row r="3350" spans="1:6" x14ac:dyDescent="0.25">
      <c r="A3350" s="1" t="s">
        <v>934</v>
      </c>
      <c r="B3350" s="1" t="s">
        <v>935</v>
      </c>
      <c r="C3350" s="1" t="s">
        <v>2058</v>
      </c>
      <c r="D3350" s="39">
        <v>0</v>
      </c>
      <c r="E3350" s="1" t="s">
        <v>1</v>
      </c>
      <c r="F3350" s="39">
        <v>0</v>
      </c>
    </row>
    <row r="3351" spans="1:6" x14ac:dyDescent="0.25">
      <c r="A3351" s="1" t="s">
        <v>937</v>
      </c>
      <c r="B3351" s="1" t="s">
        <v>938</v>
      </c>
      <c r="C3351" s="1" t="s">
        <v>2058</v>
      </c>
      <c r="D3351" s="39">
        <v>0</v>
      </c>
      <c r="E3351" s="1" t="s">
        <v>1</v>
      </c>
      <c r="F3351" s="39">
        <v>0</v>
      </c>
    </row>
    <row r="3352" spans="1:6" x14ac:dyDescent="0.25">
      <c r="A3352" s="1" t="s">
        <v>940</v>
      </c>
      <c r="B3352" s="1" t="s">
        <v>941</v>
      </c>
      <c r="C3352" s="1" t="s">
        <v>2058</v>
      </c>
      <c r="D3352" s="39">
        <v>0</v>
      </c>
      <c r="E3352" s="1" t="s">
        <v>1</v>
      </c>
      <c r="F3352" s="39">
        <v>0</v>
      </c>
    </row>
    <row r="3353" spans="1:6" x14ac:dyDescent="0.25">
      <c r="A3353" s="1" t="s">
        <v>943</v>
      </c>
      <c r="B3353" s="1" t="s">
        <v>944</v>
      </c>
      <c r="C3353" s="1" t="s">
        <v>2058</v>
      </c>
      <c r="D3353" s="39">
        <v>0</v>
      </c>
      <c r="E3353" s="1" t="s">
        <v>1</v>
      </c>
      <c r="F3353" s="39">
        <v>0</v>
      </c>
    </row>
    <row r="3354" spans="1:6" x14ac:dyDescent="0.25">
      <c r="A3354" s="1" t="s">
        <v>946</v>
      </c>
      <c r="B3354" s="1" t="s">
        <v>947</v>
      </c>
      <c r="C3354" s="1" t="s">
        <v>2058</v>
      </c>
      <c r="D3354" s="39">
        <v>0</v>
      </c>
      <c r="E3354" s="1" t="s">
        <v>1</v>
      </c>
      <c r="F3354" s="39">
        <v>0</v>
      </c>
    </row>
    <row r="3355" spans="1:6" x14ac:dyDescent="0.25">
      <c r="A3355" s="1" t="s">
        <v>949</v>
      </c>
      <c r="B3355" s="1" t="s">
        <v>950</v>
      </c>
      <c r="C3355" s="1" t="s">
        <v>2058</v>
      </c>
      <c r="D3355" s="39">
        <v>0</v>
      </c>
      <c r="E3355" s="1" t="s">
        <v>1</v>
      </c>
      <c r="F3355" s="39">
        <v>0</v>
      </c>
    </row>
    <row r="3356" spans="1:6" x14ac:dyDescent="0.25">
      <c r="A3356" s="1" t="s">
        <v>952</v>
      </c>
      <c r="B3356" s="1" t="s">
        <v>953</v>
      </c>
      <c r="C3356" s="1" t="s">
        <v>2058</v>
      </c>
      <c r="D3356" s="39">
        <v>0</v>
      </c>
      <c r="E3356" s="1" t="s">
        <v>1</v>
      </c>
      <c r="F3356" s="39">
        <v>0</v>
      </c>
    </row>
    <row r="3357" spans="1:6" x14ac:dyDescent="0.25">
      <c r="A3357" s="1" t="s">
        <v>955</v>
      </c>
      <c r="B3357" s="1" t="s">
        <v>956</v>
      </c>
      <c r="C3357" s="1" t="s">
        <v>2058</v>
      </c>
      <c r="D3357" s="39">
        <v>0</v>
      </c>
      <c r="E3357" s="1" t="s">
        <v>1</v>
      </c>
      <c r="F3357" s="39">
        <v>0</v>
      </c>
    </row>
    <row r="3358" spans="1:6" x14ac:dyDescent="0.25">
      <c r="A3358" s="1" t="s">
        <v>958</v>
      </c>
      <c r="B3358" s="1" t="s">
        <v>959</v>
      </c>
      <c r="C3358" s="1" t="s">
        <v>2058</v>
      </c>
      <c r="D3358" s="39">
        <v>0</v>
      </c>
      <c r="E3358" s="1" t="s">
        <v>1</v>
      </c>
      <c r="F3358" s="39">
        <v>0</v>
      </c>
    </row>
    <row r="3359" spans="1:6" x14ac:dyDescent="0.25">
      <c r="A3359" s="1" t="s">
        <v>961</v>
      </c>
      <c r="B3359" s="1" t="s">
        <v>962</v>
      </c>
      <c r="C3359" s="1" t="s">
        <v>2058</v>
      </c>
      <c r="D3359" s="39">
        <v>0</v>
      </c>
      <c r="E3359" s="1" t="s">
        <v>1</v>
      </c>
      <c r="F3359" s="39">
        <v>0</v>
      </c>
    </row>
    <row r="3360" spans="1:6" x14ac:dyDescent="0.25">
      <c r="A3360" s="1" t="s">
        <v>964</v>
      </c>
      <c r="B3360" s="1" t="s">
        <v>965</v>
      </c>
      <c r="C3360" s="1" t="s">
        <v>2058</v>
      </c>
      <c r="D3360" s="39">
        <v>0</v>
      </c>
      <c r="E3360" s="1" t="s">
        <v>1</v>
      </c>
      <c r="F3360" s="39">
        <v>0</v>
      </c>
    </row>
    <row r="3361" spans="1:6" x14ac:dyDescent="0.25">
      <c r="A3361" s="1" t="s">
        <v>967</v>
      </c>
      <c r="B3361" s="1" t="s">
        <v>968</v>
      </c>
      <c r="C3361" s="1" t="s">
        <v>2058</v>
      </c>
      <c r="D3361" s="39">
        <v>0</v>
      </c>
      <c r="E3361" s="1" t="s">
        <v>1</v>
      </c>
      <c r="F3361" s="39">
        <v>0</v>
      </c>
    </row>
    <row r="3362" spans="1:6" x14ac:dyDescent="0.25">
      <c r="A3362" s="1" t="s">
        <v>972</v>
      </c>
      <c r="B3362" s="1" t="s">
        <v>973</v>
      </c>
      <c r="C3362" s="1" t="s">
        <v>2058</v>
      </c>
      <c r="D3362" s="39">
        <v>0</v>
      </c>
      <c r="E3362" s="1" t="s">
        <v>1</v>
      </c>
      <c r="F3362" s="39">
        <v>0</v>
      </c>
    </row>
    <row r="3363" spans="1:6" x14ac:dyDescent="0.25">
      <c r="A3363" s="1" t="s">
        <v>976</v>
      </c>
      <c r="B3363" s="1" t="s">
        <v>977</v>
      </c>
      <c r="C3363" s="1" t="s">
        <v>2058</v>
      </c>
      <c r="D3363" s="39">
        <v>0</v>
      </c>
      <c r="E3363" s="1" t="s">
        <v>1</v>
      </c>
      <c r="F3363" s="39">
        <v>0</v>
      </c>
    </row>
    <row r="3364" spans="1:6" x14ac:dyDescent="0.25">
      <c r="A3364" s="1" t="s">
        <v>980</v>
      </c>
      <c r="B3364" s="1" t="s">
        <v>981</v>
      </c>
      <c r="C3364" s="1" t="s">
        <v>2058</v>
      </c>
      <c r="D3364" s="39">
        <v>0</v>
      </c>
      <c r="E3364" s="1" t="s">
        <v>1</v>
      </c>
      <c r="F3364" s="39">
        <v>0</v>
      </c>
    </row>
    <row r="3365" spans="1:6" x14ac:dyDescent="0.25">
      <c r="A3365" s="1" t="s">
        <v>984</v>
      </c>
      <c r="B3365" s="1" t="s">
        <v>985</v>
      </c>
      <c r="C3365" s="1" t="s">
        <v>2058</v>
      </c>
      <c r="D3365" s="39">
        <v>0</v>
      </c>
      <c r="E3365" s="1" t="s">
        <v>1</v>
      </c>
      <c r="F3365" s="39">
        <v>0</v>
      </c>
    </row>
    <row r="3366" spans="1:6" x14ac:dyDescent="0.25">
      <c r="A3366" s="1" t="s">
        <v>987</v>
      </c>
      <c r="B3366" s="1" t="s">
        <v>988</v>
      </c>
      <c r="C3366" s="1" t="s">
        <v>2058</v>
      </c>
      <c r="D3366" s="39">
        <v>0</v>
      </c>
      <c r="E3366" s="1" t="s">
        <v>1</v>
      </c>
      <c r="F3366" s="39">
        <v>0</v>
      </c>
    </row>
    <row r="3367" spans="1:6" x14ac:dyDescent="0.25">
      <c r="A3367" s="1" t="s">
        <v>990</v>
      </c>
      <c r="B3367" s="1" t="s">
        <v>991</v>
      </c>
      <c r="C3367" s="1" t="s">
        <v>2058</v>
      </c>
      <c r="D3367" s="39">
        <v>60</v>
      </c>
      <c r="E3367" s="1" t="s">
        <v>1</v>
      </c>
      <c r="F3367" s="3">
        <v>6192.65</v>
      </c>
    </row>
    <row r="3368" spans="1:6" x14ac:dyDescent="0.25">
      <c r="A3368" s="1" t="s">
        <v>993</v>
      </c>
      <c r="B3368" s="1" t="s">
        <v>994</v>
      </c>
      <c r="C3368" s="1" t="s">
        <v>2058</v>
      </c>
      <c r="D3368" s="39">
        <v>0</v>
      </c>
      <c r="E3368" s="1" t="s">
        <v>1</v>
      </c>
      <c r="F3368" s="39">
        <v>0</v>
      </c>
    </row>
    <row r="3369" spans="1:6" x14ac:dyDescent="0.25">
      <c r="A3369" s="1" t="s">
        <v>5188</v>
      </c>
      <c r="B3369" s="1" t="s">
        <v>5189</v>
      </c>
      <c r="C3369" s="1" t="s">
        <v>2058</v>
      </c>
      <c r="D3369" s="39">
        <v>0</v>
      </c>
      <c r="E3369" s="1" t="s">
        <v>1</v>
      </c>
      <c r="F3369" s="39">
        <v>0</v>
      </c>
    </row>
    <row r="3370" spans="1:6" x14ac:dyDescent="0.25">
      <c r="A3370" s="1" t="s">
        <v>996</v>
      </c>
      <c r="B3370" s="1" t="s">
        <v>997</v>
      </c>
      <c r="C3370" s="1" t="s">
        <v>2058</v>
      </c>
      <c r="D3370" s="39">
        <v>0</v>
      </c>
      <c r="E3370" s="1" t="s">
        <v>1</v>
      </c>
      <c r="F3370" s="39">
        <v>0</v>
      </c>
    </row>
    <row r="3371" spans="1:6" x14ac:dyDescent="0.25">
      <c r="A3371" s="1" t="s">
        <v>999</v>
      </c>
      <c r="B3371" s="1" t="s">
        <v>1000</v>
      </c>
      <c r="C3371" s="1" t="s">
        <v>2058</v>
      </c>
      <c r="D3371" s="39">
        <v>0</v>
      </c>
      <c r="E3371" s="1" t="s">
        <v>1</v>
      </c>
      <c r="F3371" s="39">
        <v>0</v>
      </c>
    </row>
    <row r="3372" spans="1:6" x14ac:dyDescent="0.25">
      <c r="A3372" s="1" t="s">
        <v>1002</v>
      </c>
      <c r="B3372" s="1" t="s">
        <v>1003</v>
      </c>
      <c r="C3372" s="1" t="s">
        <v>2058</v>
      </c>
      <c r="D3372" s="39">
        <v>0</v>
      </c>
      <c r="E3372" s="1" t="s">
        <v>1</v>
      </c>
      <c r="F3372" s="39">
        <v>0</v>
      </c>
    </row>
    <row r="3373" spans="1:6" x14ac:dyDescent="0.25">
      <c r="A3373" s="1" t="s">
        <v>5190</v>
      </c>
      <c r="B3373" s="1" t="s">
        <v>5191</v>
      </c>
      <c r="C3373" s="1" t="s">
        <v>2058</v>
      </c>
      <c r="D3373" s="39">
        <v>0</v>
      </c>
      <c r="E3373" s="1" t="s">
        <v>1</v>
      </c>
      <c r="F3373" s="39">
        <v>0</v>
      </c>
    </row>
    <row r="3374" spans="1:6" x14ac:dyDescent="0.25">
      <c r="A3374" s="1" t="s">
        <v>5192</v>
      </c>
      <c r="B3374" s="1" t="s">
        <v>5193</v>
      </c>
      <c r="C3374" s="1" t="s">
        <v>2058</v>
      </c>
      <c r="D3374" s="39">
        <v>0</v>
      </c>
      <c r="E3374" s="1" t="s">
        <v>1</v>
      </c>
      <c r="F3374" s="39">
        <v>0</v>
      </c>
    </row>
    <row r="3375" spans="1:6" x14ac:dyDescent="0.25">
      <c r="A3375" s="1" t="s">
        <v>5194</v>
      </c>
      <c r="B3375" s="1" t="s">
        <v>5195</v>
      </c>
      <c r="C3375" s="1" t="s">
        <v>2058</v>
      </c>
      <c r="D3375" s="39">
        <v>0</v>
      </c>
      <c r="E3375" s="1" t="s">
        <v>1</v>
      </c>
      <c r="F3375" s="39">
        <v>0</v>
      </c>
    </row>
    <row r="3376" spans="1:6" x14ac:dyDescent="0.25">
      <c r="A3376" s="1" t="s">
        <v>5196</v>
      </c>
      <c r="B3376" s="1" t="s">
        <v>5197</v>
      </c>
      <c r="C3376" s="1" t="s">
        <v>2058</v>
      </c>
      <c r="D3376" s="39">
        <v>0</v>
      </c>
      <c r="E3376" s="1" t="s">
        <v>1</v>
      </c>
      <c r="F3376" s="39">
        <v>0</v>
      </c>
    </row>
    <row r="3377" spans="1:6" x14ac:dyDescent="0.25">
      <c r="A3377" s="1" t="s">
        <v>5198</v>
      </c>
      <c r="B3377" s="1" t="s">
        <v>5199</v>
      </c>
      <c r="C3377" s="1" t="s">
        <v>2058</v>
      </c>
      <c r="D3377" s="39">
        <v>0</v>
      </c>
      <c r="E3377" s="1" t="s">
        <v>3</v>
      </c>
      <c r="F3377" s="39">
        <v>0</v>
      </c>
    </row>
    <row r="3378" spans="1:6" x14ac:dyDescent="0.25">
      <c r="A3378" s="1" t="s">
        <v>5200</v>
      </c>
      <c r="B3378" s="1" t="s">
        <v>5201</v>
      </c>
      <c r="C3378" s="1" t="s">
        <v>2058</v>
      </c>
      <c r="D3378" s="39">
        <v>0</v>
      </c>
      <c r="E3378" s="1" t="s">
        <v>3</v>
      </c>
      <c r="F3378" s="39">
        <v>0</v>
      </c>
    </row>
    <row r="3379" spans="1:6" x14ac:dyDescent="0.25">
      <c r="A3379" s="1" t="s">
        <v>5202</v>
      </c>
      <c r="B3379" s="1" t="s">
        <v>5203</v>
      </c>
      <c r="C3379" s="1" t="s">
        <v>2058</v>
      </c>
      <c r="D3379" s="39">
        <v>0</v>
      </c>
      <c r="E3379" s="1" t="s">
        <v>3</v>
      </c>
      <c r="F3379" s="39">
        <v>0</v>
      </c>
    </row>
    <row r="3380" spans="1:6" x14ac:dyDescent="0.25">
      <c r="A3380" s="1" t="s">
        <v>5204</v>
      </c>
      <c r="B3380" s="1" t="s">
        <v>5205</v>
      </c>
      <c r="C3380" s="1" t="s">
        <v>2058</v>
      </c>
      <c r="D3380" s="39">
        <v>0</v>
      </c>
      <c r="E3380" s="1" t="s">
        <v>3</v>
      </c>
      <c r="F3380" s="39">
        <v>0</v>
      </c>
    </row>
    <row r="3381" spans="1:6" x14ac:dyDescent="0.25">
      <c r="A3381" s="1" t="s">
        <v>5206</v>
      </c>
      <c r="B3381" s="1" t="s">
        <v>5207</v>
      </c>
      <c r="C3381" s="1" t="s">
        <v>2058</v>
      </c>
      <c r="D3381" s="39">
        <v>0</v>
      </c>
      <c r="E3381" s="1" t="s">
        <v>3</v>
      </c>
      <c r="F3381" s="39">
        <v>0</v>
      </c>
    </row>
    <row r="3382" spans="1:6" x14ac:dyDescent="0.25">
      <c r="A3382" s="1" t="s">
        <v>5208</v>
      </c>
      <c r="B3382" s="1" t="s">
        <v>5209</v>
      </c>
      <c r="C3382" s="1" t="s">
        <v>2058</v>
      </c>
      <c r="D3382" s="39">
        <v>0</v>
      </c>
      <c r="E3382" s="1" t="s">
        <v>3</v>
      </c>
      <c r="F3382" s="39">
        <v>0</v>
      </c>
    </row>
    <row r="3383" spans="1:6" x14ac:dyDescent="0.25">
      <c r="A3383" s="1" t="s">
        <v>5210</v>
      </c>
      <c r="B3383" s="1" t="s">
        <v>5211</v>
      </c>
      <c r="C3383" s="1" t="s">
        <v>2058</v>
      </c>
      <c r="D3383" s="39">
        <v>0</v>
      </c>
      <c r="E3383" s="1" t="s">
        <v>3</v>
      </c>
      <c r="F3383" s="39">
        <v>0</v>
      </c>
    </row>
    <row r="3384" spans="1:6" x14ac:dyDescent="0.25">
      <c r="A3384" s="1" t="s">
        <v>5212</v>
      </c>
      <c r="B3384" s="1" t="s">
        <v>5213</v>
      </c>
      <c r="C3384" s="1" t="s">
        <v>2058</v>
      </c>
      <c r="D3384" s="39">
        <v>0</v>
      </c>
      <c r="E3384" s="1" t="s">
        <v>3</v>
      </c>
      <c r="F3384" s="39">
        <v>0</v>
      </c>
    </row>
    <row r="3385" spans="1:6" x14ac:dyDescent="0.25">
      <c r="A3385" s="1" t="s">
        <v>5214</v>
      </c>
      <c r="B3385" s="1" t="s">
        <v>5215</v>
      </c>
      <c r="C3385" s="1" t="s">
        <v>2058</v>
      </c>
      <c r="D3385" s="39">
        <v>0</v>
      </c>
      <c r="E3385" s="1" t="s">
        <v>3</v>
      </c>
      <c r="F3385" s="39">
        <v>0</v>
      </c>
    </row>
    <row r="3386" spans="1:6" x14ac:dyDescent="0.25">
      <c r="A3386" s="1" t="s">
        <v>5216</v>
      </c>
      <c r="B3386" s="1" t="s">
        <v>5217</v>
      </c>
      <c r="C3386" s="1" t="s">
        <v>2058</v>
      </c>
      <c r="D3386" s="39">
        <v>0</v>
      </c>
      <c r="E3386" s="1" t="s">
        <v>3</v>
      </c>
      <c r="F3386" s="39">
        <v>0</v>
      </c>
    </row>
    <row r="3387" spans="1:6" x14ac:dyDescent="0.25">
      <c r="A3387" s="1" t="s">
        <v>5218</v>
      </c>
      <c r="B3387" s="1" t="s">
        <v>5219</v>
      </c>
      <c r="C3387" s="1" t="s">
        <v>2058</v>
      </c>
      <c r="D3387" s="39">
        <v>0</v>
      </c>
      <c r="E3387" s="1" t="s">
        <v>3</v>
      </c>
      <c r="F3387" s="39">
        <v>0</v>
      </c>
    </row>
    <row r="3388" spans="1:6" x14ac:dyDescent="0.25">
      <c r="A3388" s="1" t="s">
        <v>5220</v>
      </c>
      <c r="B3388" s="1" t="s">
        <v>5221</v>
      </c>
      <c r="C3388" s="1" t="s">
        <v>2058</v>
      </c>
      <c r="D3388" s="39">
        <v>0</v>
      </c>
      <c r="E3388" s="1" t="s">
        <v>3</v>
      </c>
      <c r="F3388" s="39">
        <v>0</v>
      </c>
    </row>
    <row r="3389" spans="1:6" x14ac:dyDescent="0.25">
      <c r="A3389" s="1" t="s">
        <v>5222</v>
      </c>
      <c r="B3389" s="1" t="s">
        <v>5223</v>
      </c>
      <c r="C3389" s="1" t="s">
        <v>2058</v>
      </c>
      <c r="D3389" s="39">
        <v>0</v>
      </c>
      <c r="E3389" s="1" t="s">
        <v>3</v>
      </c>
      <c r="F3389" s="39">
        <v>0</v>
      </c>
    </row>
    <row r="3390" spans="1:6" x14ac:dyDescent="0.25">
      <c r="A3390" s="1" t="s">
        <v>5224</v>
      </c>
      <c r="B3390" s="1" t="s">
        <v>878</v>
      </c>
      <c r="C3390" s="1" t="s">
        <v>2058</v>
      </c>
      <c r="D3390" s="39">
        <v>0</v>
      </c>
      <c r="E3390" s="1" t="s">
        <v>3</v>
      </c>
      <c r="F3390" s="39">
        <v>0</v>
      </c>
    </row>
    <row r="3391" spans="1:6" x14ac:dyDescent="0.25">
      <c r="A3391" s="1" t="s">
        <v>5225</v>
      </c>
      <c r="B3391" s="1" t="s">
        <v>882</v>
      </c>
      <c r="C3391" s="1" t="s">
        <v>2058</v>
      </c>
      <c r="D3391" s="39">
        <v>0</v>
      </c>
      <c r="E3391" s="1" t="s">
        <v>3</v>
      </c>
      <c r="F3391" s="39">
        <v>0</v>
      </c>
    </row>
    <row r="3392" spans="1:6" x14ac:dyDescent="0.25">
      <c r="A3392" s="1" t="s">
        <v>5226</v>
      </c>
      <c r="B3392" s="1" t="s">
        <v>874</v>
      </c>
      <c r="C3392" s="1" t="s">
        <v>2058</v>
      </c>
      <c r="D3392" s="39">
        <v>0</v>
      </c>
      <c r="E3392" s="1" t="s">
        <v>3</v>
      </c>
      <c r="F3392" s="39">
        <v>0</v>
      </c>
    </row>
    <row r="3393" spans="1:6" x14ac:dyDescent="0.25">
      <c r="A3393" s="1" t="s">
        <v>5227</v>
      </c>
      <c r="B3393" s="1" t="s">
        <v>5228</v>
      </c>
      <c r="C3393" s="1" t="s">
        <v>2058</v>
      </c>
      <c r="D3393" s="39">
        <v>0</v>
      </c>
      <c r="E3393" s="1" t="s">
        <v>3</v>
      </c>
      <c r="F3393" s="39">
        <v>0</v>
      </c>
    </row>
    <row r="3394" spans="1:6" x14ac:dyDescent="0.25">
      <c r="A3394" s="1" t="s">
        <v>5229</v>
      </c>
      <c r="B3394" s="1" t="s">
        <v>5230</v>
      </c>
      <c r="C3394" s="1" t="s">
        <v>2058</v>
      </c>
      <c r="D3394" s="39">
        <v>0</v>
      </c>
      <c r="E3394" s="1" t="s">
        <v>1</v>
      </c>
      <c r="F3394" s="39">
        <v>0</v>
      </c>
    </row>
    <row r="3395" spans="1:6" x14ac:dyDescent="0.25">
      <c r="A3395" s="1" t="s">
        <v>5231</v>
      </c>
      <c r="B3395" s="1" t="s">
        <v>5232</v>
      </c>
      <c r="C3395" s="1" t="s">
        <v>2058</v>
      </c>
      <c r="D3395" s="39">
        <v>0</v>
      </c>
      <c r="E3395" s="1" t="s">
        <v>1</v>
      </c>
      <c r="F3395" s="39">
        <v>0</v>
      </c>
    </row>
    <row r="3396" spans="1:6" x14ac:dyDescent="0.25">
      <c r="A3396" s="1" t="s">
        <v>5233</v>
      </c>
      <c r="B3396" s="1" t="s">
        <v>5234</v>
      </c>
      <c r="C3396" s="1" t="s">
        <v>2058</v>
      </c>
      <c r="D3396" s="39">
        <v>0</v>
      </c>
      <c r="E3396" s="1" t="s">
        <v>1</v>
      </c>
      <c r="F3396" s="39">
        <v>0</v>
      </c>
    </row>
    <row r="3397" spans="1:6" x14ac:dyDescent="0.25">
      <c r="A3397" s="1" t="s">
        <v>5235</v>
      </c>
      <c r="B3397" s="1" t="s">
        <v>5236</v>
      </c>
      <c r="C3397" s="1" t="s">
        <v>2058</v>
      </c>
      <c r="D3397" s="39">
        <v>0</v>
      </c>
      <c r="E3397" s="1" t="s">
        <v>1</v>
      </c>
      <c r="F3397" s="39">
        <v>0</v>
      </c>
    </row>
    <row r="3398" spans="1:6" x14ac:dyDescent="0.25">
      <c r="A3398" s="1" t="s">
        <v>5237</v>
      </c>
      <c r="B3398" s="1" t="s">
        <v>5238</v>
      </c>
      <c r="C3398" s="1" t="s">
        <v>2058</v>
      </c>
      <c r="D3398" s="39">
        <v>0</v>
      </c>
      <c r="E3398" s="1" t="s">
        <v>1</v>
      </c>
      <c r="F3398" s="39">
        <v>0</v>
      </c>
    </row>
    <row r="3399" spans="1:6" x14ac:dyDescent="0.25">
      <c r="A3399" s="1" t="s">
        <v>5239</v>
      </c>
      <c r="B3399" s="1" t="s">
        <v>5240</v>
      </c>
      <c r="C3399" s="1" t="s">
        <v>2058</v>
      </c>
      <c r="D3399" s="39">
        <v>0</v>
      </c>
      <c r="E3399" s="1" t="s">
        <v>1</v>
      </c>
      <c r="F3399" s="39">
        <v>0</v>
      </c>
    </row>
    <row r="3400" spans="1:6" x14ac:dyDescent="0.25">
      <c r="A3400" s="1" t="s">
        <v>5241</v>
      </c>
      <c r="B3400" s="1" t="s">
        <v>5242</v>
      </c>
      <c r="C3400" s="1" t="s">
        <v>2058</v>
      </c>
      <c r="D3400" s="39">
        <v>0</v>
      </c>
      <c r="E3400" s="1" t="s">
        <v>1</v>
      </c>
      <c r="F3400" s="39">
        <v>0</v>
      </c>
    </row>
    <row r="3401" spans="1:6" x14ac:dyDescent="0.25">
      <c r="A3401" s="1" t="s">
        <v>5243</v>
      </c>
      <c r="B3401" s="1" t="s">
        <v>5244</v>
      </c>
      <c r="C3401" s="1" t="s">
        <v>2058</v>
      </c>
      <c r="D3401" s="39">
        <v>0</v>
      </c>
      <c r="E3401" s="1" t="s">
        <v>1</v>
      </c>
      <c r="F3401" s="39">
        <v>0</v>
      </c>
    </row>
    <row r="3402" spans="1:6" x14ac:dyDescent="0.25">
      <c r="A3402" s="1" t="s">
        <v>5245</v>
      </c>
      <c r="B3402" s="1" t="s">
        <v>5246</v>
      </c>
      <c r="C3402" s="1" t="s">
        <v>2058</v>
      </c>
      <c r="D3402" s="39">
        <v>0</v>
      </c>
      <c r="E3402" s="1" t="s">
        <v>1</v>
      </c>
      <c r="F3402" s="39">
        <v>0</v>
      </c>
    </row>
    <row r="3403" spans="1:6" x14ac:dyDescent="0.25">
      <c r="A3403" s="1" t="s">
        <v>5247</v>
      </c>
      <c r="B3403" s="1" t="s">
        <v>5248</v>
      </c>
      <c r="C3403" s="1" t="s">
        <v>2058</v>
      </c>
      <c r="D3403" s="39">
        <v>0</v>
      </c>
      <c r="E3403" s="1" t="s">
        <v>1</v>
      </c>
      <c r="F3403" s="39">
        <v>0</v>
      </c>
    </row>
    <row r="3404" spans="1:6" x14ac:dyDescent="0.25">
      <c r="A3404" s="1" t="s">
        <v>5249</v>
      </c>
      <c r="B3404" s="1" t="s">
        <v>5250</v>
      </c>
      <c r="C3404" s="1" t="s">
        <v>2058</v>
      </c>
      <c r="D3404" s="39">
        <v>0</v>
      </c>
      <c r="E3404" s="1" t="s">
        <v>1</v>
      </c>
      <c r="F3404" s="39">
        <v>0</v>
      </c>
    </row>
    <row r="3405" spans="1:6" x14ac:dyDescent="0.25">
      <c r="A3405" s="1" t="s">
        <v>5251</v>
      </c>
      <c r="B3405" s="1" t="s">
        <v>5252</v>
      </c>
      <c r="C3405" s="1" t="s">
        <v>2058</v>
      </c>
      <c r="D3405" s="39">
        <v>0</v>
      </c>
      <c r="E3405" s="1" t="s">
        <v>1</v>
      </c>
      <c r="F3405" s="39">
        <v>0</v>
      </c>
    </row>
    <row r="3406" spans="1:6" x14ac:dyDescent="0.25">
      <c r="A3406" s="1" t="s">
        <v>5253</v>
      </c>
      <c r="B3406" s="1" t="s">
        <v>5254</v>
      </c>
      <c r="C3406" s="1" t="s">
        <v>2058</v>
      </c>
      <c r="D3406" s="39">
        <v>0</v>
      </c>
      <c r="E3406" s="1" t="s">
        <v>1</v>
      </c>
      <c r="F3406" s="39">
        <v>0</v>
      </c>
    </row>
    <row r="3407" spans="1:6" x14ac:dyDescent="0.25">
      <c r="A3407" s="1" t="s">
        <v>5255</v>
      </c>
      <c r="B3407" s="1" t="s">
        <v>5256</v>
      </c>
      <c r="C3407" s="1" t="s">
        <v>2058</v>
      </c>
      <c r="D3407" s="39">
        <v>0</v>
      </c>
      <c r="E3407" s="1" t="s">
        <v>1</v>
      </c>
      <c r="F3407" s="39">
        <v>0</v>
      </c>
    </row>
    <row r="3408" spans="1:6" x14ac:dyDescent="0.25">
      <c r="A3408" s="1" t="s">
        <v>5257</v>
      </c>
      <c r="B3408" s="1" t="s">
        <v>5258</v>
      </c>
      <c r="C3408" s="1" t="s">
        <v>2058</v>
      </c>
      <c r="D3408" s="39">
        <v>0</v>
      </c>
      <c r="E3408" s="1" t="s">
        <v>1</v>
      </c>
      <c r="F3408" s="39">
        <v>0</v>
      </c>
    </row>
    <row r="3409" spans="1:6" x14ac:dyDescent="0.25">
      <c r="A3409" s="1" t="s">
        <v>5259</v>
      </c>
      <c r="B3409" s="1" t="s">
        <v>5260</v>
      </c>
      <c r="C3409" s="1" t="s">
        <v>2058</v>
      </c>
      <c r="D3409" s="39">
        <v>0</v>
      </c>
      <c r="E3409" s="1" t="s">
        <v>1</v>
      </c>
      <c r="F3409" s="39">
        <v>0</v>
      </c>
    </row>
    <row r="3410" spans="1:6" x14ac:dyDescent="0.25">
      <c r="A3410" s="1" t="s">
        <v>5261</v>
      </c>
      <c r="B3410" s="1" t="s">
        <v>2622</v>
      </c>
      <c r="C3410" s="1" t="s">
        <v>2058</v>
      </c>
      <c r="D3410" s="39">
        <v>0</v>
      </c>
      <c r="E3410" s="1" t="s">
        <v>1</v>
      </c>
      <c r="F3410" s="39">
        <v>0</v>
      </c>
    </row>
    <row r="3411" spans="1:6" x14ac:dyDescent="0.25">
      <c r="A3411" s="1" t="s">
        <v>5262</v>
      </c>
      <c r="B3411" s="1" t="s">
        <v>2621</v>
      </c>
      <c r="C3411" s="1" t="s">
        <v>2058</v>
      </c>
      <c r="D3411" s="39">
        <v>0</v>
      </c>
      <c r="E3411" s="1" t="s">
        <v>1</v>
      </c>
      <c r="F3411" s="39">
        <v>0</v>
      </c>
    </row>
    <row r="3412" spans="1:6" x14ac:dyDescent="0.25">
      <c r="A3412" s="1" t="s">
        <v>1943</v>
      </c>
      <c r="B3412" s="1" t="s">
        <v>5263</v>
      </c>
      <c r="C3412" s="1" t="s">
        <v>2058</v>
      </c>
      <c r="D3412" s="39">
        <v>0</v>
      </c>
      <c r="E3412" s="1" t="s">
        <v>1</v>
      </c>
      <c r="F3412" s="39">
        <v>0</v>
      </c>
    </row>
    <row r="3413" spans="1:6" x14ac:dyDescent="0.25">
      <c r="A3413" s="1" t="s">
        <v>5264</v>
      </c>
      <c r="B3413" s="1" t="s">
        <v>5265</v>
      </c>
      <c r="C3413" s="1" t="s">
        <v>2058</v>
      </c>
      <c r="D3413" s="39">
        <v>0</v>
      </c>
      <c r="E3413" s="1" t="s">
        <v>1</v>
      </c>
      <c r="F3413" s="39">
        <v>0</v>
      </c>
    </row>
    <row r="3414" spans="1:6" x14ac:dyDescent="0.25">
      <c r="A3414" s="1" t="s">
        <v>5266</v>
      </c>
      <c r="B3414" s="1" t="s">
        <v>5267</v>
      </c>
      <c r="C3414" s="1" t="s">
        <v>2058</v>
      </c>
      <c r="D3414" s="39">
        <v>0</v>
      </c>
      <c r="E3414" s="1" t="s">
        <v>1</v>
      </c>
      <c r="F3414" s="39">
        <v>0</v>
      </c>
    </row>
    <row r="3415" spans="1:6" x14ac:dyDescent="0.25">
      <c r="A3415" s="1" t="s">
        <v>5268</v>
      </c>
      <c r="B3415" s="1" t="s">
        <v>5269</v>
      </c>
      <c r="C3415" s="1" t="s">
        <v>2058</v>
      </c>
      <c r="D3415" s="39">
        <v>0</v>
      </c>
      <c r="E3415" s="1" t="s">
        <v>1</v>
      </c>
      <c r="F3415" s="39">
        <v>0</v>
      </c>
    </row>
    <row r="3416" spans="1:6" x14ac:dyDescent="0.25">
      <c r="A3416" s="1" t="s">
        <v>5270</v>
      </c>
      <c r="B3416" s="1" t="s">
        <v>5271</v>
      </c>
      <c r="C3416" s="1" t="s">
        <v>2058</v>
      </c>
      <c r="D3416" s="39">
        <v>0</v>
      </c>
      <c r="E3416" s="1" t="s">
        <v>1</v>
      </c>
      <c r="F3416" s="39">
        <v>0</v>
      </c>
    </row>
    <row r="3417" spans="1:6" x14ac:dyDescent="0.25">
      <c r="A3417" s="1" t="s">
        <v>5272</v>
      </c>
      <c r="B3417" s="1" t="s">
        <v>5273</v>
      </c>
      <c r="C3417" s="1" t="s">
        <v>2058</v>
      </c>
      <c r="D3417" s="39">
        <v>0</v>
      </c>
      <c r="E3417" s="1" t="s">
        <v>1</v>
      </c>
      <c r="F3417" s="39">
        <v>0</v>
      </c>
    </row>
    <row r="3418" spans="1:6" x14ac:dyDescent="0.25">
      <c r="A3418" s="1" t="s">
        <v>5274</v>
      </c>
      <c r="B3418" s="1" t="s">
        <v>5275</v>
      </c>
      <c r="C3418" s="1" t="s">
        <v>2058</v>
      </c>
      <c r="D3418" s="39">
        <v>0</v>
      </c>
      <c r="E3418" s="1" t="s">
        <v>1</v>
      </c>
      <c r="F3418" s="39">
        <v>0</v>
      </c>
    </row>
    <row r="3419" spans="1:6" x14ac:dyDescent="0.25">
      <c r="A3419" s="1" t="s">
        <v>5276</v>
      </c>
      <c r="B3419" s="1" t="s">
        <v>5277</v>
      </c>
      <c r="C3419" s="1" t="s">
        <v>2058</v>
      </c>
      <c r="D3419" s="39">
        <v>0</v>
      </c>
      <c r="E3419" s="1" t="s">
        <v>1</v>
      </c>
      <c r="F3419" s="39">
        <v>0</v>
      </c>
    </row>
    <row r="3420" spans="1:6" x14ac:dyDescent="0.25">
      <c r="A3420" s="1" t="s">
        <v>5278</v>
      </c>
      <c r="B3420" s="1" t="s">
        <v>5279</v>
      </c>
      <c r="C3420" s="1" t="s">
        <v>2058</v>
      </c>
      <c r="D3420" s="39">
        <v>0</v>
      </c>
      <c r="E3420" s="1" t="s">
        <v>1</v>
      </c>
      <c r="F3420" s="39">
        <v>0</v>
      </c>
    </row>
    <row r="3421" spans="1:6" x14ac:dyDescent="0.25">
      <c r="A3421" s="1" t="s">
        <v>5280</v>
      </c>
      <c r="B3421" s="1" t="s">
        <v>5281</v>
      </c>
      <c r="C3421" s="1" t="s">
        <v>2058</v>
      </c>
      <c r="D3421" s="39">
        <v>0</v>
      </c>
      <c r="E3421" s="1" t="s">
        <v>1</v>
      </c>
      <c r="F3421" s="39">
        <v>0</v>
      </c>
    </row>
    <row r="3422" spans="1:6" x14ac:dyDescent="0.25">
      <c r="A3422" s="1" t="s">
        <v>5282</v>
      </c>
      <c r="B3422" s="1" t="s">
        <v>5283</v>
      </c>
      <c r="C3422" s="1" t="s">
        <v>2058</v>
      </c>
      <c r="D3422" s="39">
        <v>0</v>
      </c>
      <c r="E3422" s="1" t="s">
        <v>1</v>
      </c>
      <c r="F3422" s="39">
        <v>0</v>
      </c>
    </row>
    <row r="3423" spans="1:6" x14ac:dyDescent="0.25">
      <c r="A3423" s="1" t="s">
        <v>5284</v>
      </c>
      <c r="B3423" s="1" t="s">
        <v>5285</v>
      </c>
      <c r="C3423" s="1" t="s">
        <v>2058</v>
      </c>
      <c r="D3423" s="39">
        <v>0</v>
      </c>
      <c r="E3423" s="1" t="s">
        <v>1</v>
      </c>
      <c r="F3423" s="39">
        <v>0</v>
      </c>
    </row>
    <row r="3424" spans="1:6" x14ac:dyDescent="0.25">
      <c r="A3424" s="1" t="s">
        <v>5286</v>
      </c>
      <c r="B3424" s="1" t="s">
        <v>5287</v>
      </c>
      <c r="C3424" s="1" t="s">
        <v>2058</v>
      </c>
      <c r="D3424" s="39">
        <v>0</v>
      </c>
      <c r="E3424" s="1" t="s">
        <v>1</v>
      </c>
      <c r="F3424" s="39">
        <v>0</v>
      </c>
    </row>
    <row r="3425" spans="1:6" x14ac:dyDescent="0.25">
      <c r="A3425" s="1" t="s">
        <v>5288</v>
      </c>
      <c r="B3425" s="1" t="s">
        <v>5289</v>
      </c>
      <c r="C3425" s="1" t="s">
        <v>2058</v>
      </c>
      <c r="D3425" s="39">
        <v>0</v>
      </c>
      <c r="E3425" s="1" t="s">
        <v>1</v>
      </c>
      <c r="F3425" s="39">
        <v>0</v>
      </c>
    </row>
    <row r="3426" spans="1:6" x14ac:dyDescent="0.25">
      <c r="A3426" s="1" t="s">
        <v>5290</v>
      </c>
      <c r="B3426" s="1" t="s">
        <v>5291</v>
      </c>
      <c r="C3426" s="1" t="s">
        <v>2058</v>
      </c>
      <c r="D3426" s="39">
        <v>0</v>
      </c>
      <c r="E3426" s="1" t="s">
        <v>1</v>
      </c>
      <c r="F3426" s="39">
        <v>0</v>
      </c>
    </row>
    <row r="3427" spans="1:6" x14ac:dyDescent="0.25">
      <c r="A3427" s="1" t="s">
        <v>5292</v>
      </c>
      <c r="B3427" s="1" t="s">
        <v>5293</v>
      </c>
      <c r="C3427" s="1" t="s">
        <v>2058</v>
      </c>
      <c r="D3427" s="39">
        <v>0</v>
      </c>
      <c r="E3427" s="1" t="s">
        <v>1</v>
      </c>
      <c r="F3427" s="39">
        <v>0</v>
      </c>
    </row>
    <row r="3428" spans="1:6" x14ac:dyDescent="0.25">
      <c r="A3428" s="1" t="s">
        <v>5294</v>
      </c>
      <c r="B3428" s="1" t="s">
        <v>5258</v>
      </c>
      <c r="C3428" s="1" t="s">
        <v>2058</v>
      </c>
      <c r="D3428" s="39">
        <v>0</v>
      </c>
      <c r="E3428" s="1" t="s">
        <v>1</v>
      </c>
      <c r="F3428" s="39">
        <v>0</v>
      </c>
    </row>
    <row r="3429" spans="1:6" x14ac:dyDescent="0.25">
      <c r="A3429" s="1" t="s">
        <v>5295</v>
      </c>
      <c r="B3429" s="1" t="s">
        <v>5260</v>
      </c>
      <c r="C3429" s="1" t="s">
        <v>2058</v>
      </c>
      <c r="D3429" s="39">
        <v>0</v>
      </c>
      <c r="E3429" s="1" t="s">
        <v>1</v>
      </c>
      <c r="F3429" s="39">
        <v>0</v>
      </c>
    </row>
    <row r="3430" spans="1:6" x14ac:dyDescent="0.25">
      <c r="A3430" s="1" t="s">
        <v>5296</v>
      </c>
      <c r="B3430" s="1" t="s">
        <v>2622</v>
      </c>
      <c r="C3430" s="1" t="s">
        <v>2058</v>
      </c>
      <c r="D3430" s="39">
        <v>0</v>
      </c>
      <c r="E3430" s="1" t="s">
        <v>1</v>
      </c>
      <c r="F3430" s="39">
        <v>0</v>
      </c>
    </row>
    <row r="3431" spans="1:6" x14ac:dyDescent="0.25">
      <c r="A3431" s="1" t="s">
        <v>5297</v>
      </c>
      <c r="B3431" s="1" t="s">
        <v>2621</v>
      </c>
      <c r="C3431" s="1" t="s">
        <v>2058</v>
      </c>
      <c r="D3431" s="39">
        <v>0</v>
      </c>
      <c r="E3431" s="1" t="s">
        <v>1</v>
      </c>
      <c r="F3431" s="39">
        <v>0</v>
      </c>
    </row>
    <row r="3432" spans="1:6" x14ac:dyDescent="0.25">
      <c r="A3432" s="1" t="s">
        <v>5298</v>
      </c>
      <c r="B3432" s="1" t="s">
        <v>5299</v>
      </c>
      <c r="C3432" s="1" t="s">
        <v>2058</v>
      </c>
      <c r="D3432" s="39">
        <v>0</v>
      </c>
      <c r="E3432" s="1" t="s">
        <v>1</v>
      </c>
      <c r="F3432" s="39">
        <v>0</v>
      </c>
    </row>
    <row r="3433" spans="1:6" x14ac:dyDescent="0.25">
      <c r="A3433" s="1" t="s">
        <v>5300</v>
      </c>
      <c r="B3433" s="1" t="s">
        <v>5301</v>
      </c>
      <c r="C3433" s="1" t="s">
        <v>2058</v>
      </c>
      <c r="D3433" s="39">
        <v>0</v>
      </c>
      <c r="E3433" s="1" t="s">
        <v>1</v>
      </c>
      <c r="F3433" s="39">
        <v>0</v>
      </c>
    </row>
    <row r="3434" spans="1:6" x14ac:dyDescent="0.25">
      <c r="A3434" s="1" t="s">
        <v>1005</v>
      </c>
      <c r="B3434" s="1" t="s">
        <v>1006</v>
      </c>
      <c r="C3434" s="1" t="s">
        <v>2058</v>
      </c>
      <c r="D3434" s="39">
        <v>0</v>
      </c>
      <c r="E3434" s="1" t="s">
        <v>1</v>
      </c>
      <c r="F3434" s="39">
        <v>0</v>
      </c>
    </row>
    <row r="3435" spans="1:6" x14ac:dyDescent="0.25">
      <c r="A3435" s="1" t="s">
        <v>1008</v>
      </c>
      <c r="B3435" s="1" t="s">
        <v>1009</v>
      </c>
      <c r="C3435" s="1" t="s">
        <v>2058</v>
      </c>
      <c r="D3435" s="39">
        <v>0</v>
      </c>
      <c r="E3435" s="1" t="s">
        <v>1</v>
      </c>
      <c r="F3435" s="39">
        <v>0</v>
      </c>
    </row>
    <row r="3436" spans="1:6" x14ac:dyDescent="0.25">
      <c r="A3436" s="1" t="s">
        <v>1011</v>
      </c>
      <c r="B3436" s="1" t="s">
        <v>1012</v>
      </c>
      <c r="C3436" s="1" t="s">
        <v>2058</v>
      </c>
      <c r="D3436" s="39">
        <v>0</v>
      </c>
      <c r="E3436" s="1" t="s">
        <v>1</v>
      </c>
      <c r="F3436" s="39">
        <v>0</v>
      </c>
    </row>
    <row r="3437" spans="1:6" x14ac:dyDescent="0.25">
      <c r="A3437" s="1" t="s">
        <v>1014</v>
      </c>
      <c r="B3437" s="1" t="s">
        <v>1015</v>
      </c>
      <c r="C3437" s="1" t="s">
        <v>2058</v>
      </c>
      <c r="D3437" s="39">
        <v>0</v>
      </c>
      <c r="E3437" s="1" t="s">
        <v>1</v>
      </c>
      <c r="F3437" s="39">
        <v>0</v>
      </c>
    </row>
    <row r="3438" spans="1:6" x14ac:dyDescent="0.25">
      <c r="A3438" s="1" t="s">
        <v>1956</v>
      </c>
      <c r="B3438" s="1" t="s">
        <v>5302</v>
      </c>
      <c r="C3438" s="1" t="s">
        <v>2058</v>
      </c>
      <c r="D3438" s="39">
        <v>1052</v>
      </c>
      <c r="E3438" s="1" t="s">
        <v>1</v>
      </c>
      <c r="F3438" s="3">
        <v>24492.35</v>
      </c>
    </row>
    <row r="3439" spans="1:6" x14ac:dyDescent="0.25">
      <c r="A3439" s="1" t="s">
        <v>1958</v>
      </c>
      <c r="B3439" s="1" t="s">
        <v>5303</v>
      </c>
      <c r="C3439" s="1" t="s">
        <v>2058</v>
      </c>
      <c r="D3439" s="39">
        <v>1058</v>
      </c>
      <c r="E3439" s="1" t="s">
        <v>1</v>
      </c>
      <c r="F3439" s="3">
        <v>24632.04</v>
      </c>
    </row>
    <row r="3440" spans="1:6" x14ac:dyDescent="0.25">
      <c r="A3440" s="1" t="s">
        <v>1957</v>
      </c>
      <c r="B3440" s="1" t="s">
        <v>5304</v>
      </c>
      <c r="C3440" s="1" t="s">
        <v>2058</v>
      </c>
      <c r="D3440" s="39">
        <v>968</v>
      </c>
      <c r="E3440" s="1" t="s">
        <v>1</v>
      </c>
      <c r="F3440" s="3">
        <v>22532.23</v>
      </c>
    </row>
    <row r="3441" spans="1:6" x14ac:dyDescent="0.25">
      <c r="A3441" s="1" t="s">
        <v>1952</v>
      </c>
      <c r="B3441" s="1" t="s">
        <v>5305</v>
      </c>
      <c r="C3441" s="1" t="s">
        <v>2058</v>
      </c>
      <c r="D3441" s="39">
        <v>2880</v>
      </c>
      <c r="E3441" s="1" t="s">
        <v>1</v>
      </c>
      <c r="F3441" s="3">
        <v>13454.21</v>
      </c>
    </row>
    <row r="3442" spans="1:6" x14ac:dyDescent="0.25">
      <c r="A3442" s="1" t="s">
        <v>1955</v>
      </c>
      <c r="B3442" s="1" t="s">
        <v>5306</v>
      </c>
      <c r="C3442" s="1" t="s">
        <v>2058</v>
      </c>
      <c r="D3442" s="39">
        <v>962</v>
      </c>
      <c r="E3442" s="1" t="s">
        <v>1</v>
      </c>
      <c r="F3442" s="3">
        <v>4450.59</v>
      </c>
    </row>
    <row r="3443" spans="1:6" x14ac:dyDescent="0.25">
      <c r="A3443" s="1" t="s">
        <v>1954</v>
      </c>
      <c r="B3443" s="1" t="s">
        <v>5307</v>
      </c>
      <c r="C3443" s="1" t="s">
        <v>2058</v>
      </c>
      <c r="D3443" s="39">
        <v>552</v>
      </c>
      <c r="E3443" s="1" t="s">
        <v>1</v>
      </c>
      <c r="F3443" s="3">
        <v>2573.15</v>
      </c>
    </row>
    <row r="3444" spans="1:6" x14ac:dyDescent="0.25">
      <c r="A3444" s="1" t="s">
        <v>1953</v>
      </c>
      <c r="B3444" s="1" t="s">
        <v>5308</v>
      </c>
      <c r="C3444" s="1" t="s">
        <v>2058</v>
      </c>
      <c r="D3444" s="39">
        <v>0</v>
      </c>
      <c r="E3444" s="1" t="s">
        <v>1</v>
      </c>
      <c r="F3444" s="39">
        <v>0</v>
      </c>
    </row>
    <row r="3445" spans="1:6" x14ac:dyDescent="0.25">
      <c r="A3445" s="1" t="s">
        <v>1949</v>
      </c>
      <c r="B3445" s="1" t="s">
        <v>920</v>
      </c>
      <c r="C3445" s="1" t="s">
        <v>2058</v>
      </c>
      <c r="D3445" s="39">
        <v>1447</v>
      </c>
      <c r="E3445" s="1" t="s">
        <v>1</v>
      </c>
      <c r="F3445" s="3">
        <v>47283.33</v>
      </c>
    </row>
    <row r="3446" spans="1:6" x14ac:dyDescent="0.25">
      <c r="A3446" s="1" t="s">
        <v>1951</v>
      </c>
      <c r="B3446" s="1" t="s">
        <v>923</v>
      </c>
      <c r="C3446" s="1" t="s">
        <v>2058</v>
      </c>
      <c r="D3446" s="39">
        <v>0</v>
      </c>
      <c r="E3446" s="1" t="s">
        <v>1</v>
      </c>
      <c r="F3446" s="39">
        <v>0</v>
      </c>
    </row>
    <row r="3447" spans="1:6" x14ac:dyDescent="0.25">
      <c r="A3447" s="1" t="s">
        <v>1948</v>
      </c>
      <c r="B3447" s="1" t="s">
        <v>926</v>
      </c>
      <c r="C3447" s="1" t="s">
        <v>2058</v>
      </c>
      <c r="D3447" s="39">
        <v>754</v>
      </c>
      <c r="E3447" s="1" t="s">
        <v>1</v>
      </c>
      <c r="F3447" s="3">
        <v>24601.439999999999</v>
      </c>
    </row>
    <row r="3448" spans="1:6" x14ac:dyDescent="0.25">
      <c r="A3448" s="1" t="s">
        <v>1950</v>
      </c>
      <c r="B3448" s="1" t="s">
        <v>929</v>
      </c>
      <c r="C3448" s="1" t="s">
        <v>2058</v>
      </c>
      <c r="D3448" s="39">
        <v>1230</v>
      </c>
      <c r="E3448" s="1" t="s">
        <v>1</v>
      </c>
      <c r="F3448" s="3">
        <v>39624.21</v>
      </c>
    </row>
    <row r="3449" spans="1:6" x14ac:dyDescent="0.25">
      <c r="A3449" s="1" t="s">
        <v>5309</v>
      </c>
      <c r="B3449" s="1" t="s">
        <v>5310</v>
      </c>
      <c r="C3449" s="1" t="s">
        <v>2058</v>
      </c>
      <c r="D3449" s="39">
        <v>0</v>
      </c>
      <c r="E3449" s="1" t="s">
        <v>1</v>
      </c>
      <c r="F3449" s="39">
        <v>0</v>
      </c>
    </row>
    <row r="3450" spans="1:6" x14ac:dyDescent="0.25">
      <c r="A3450" s="1" t="s">
        <v>5311</v>
      </c>
      <c r="B3450" s="1" t="s">
        <v>5312</v>
      </c>
      <c r="C3450" s="1" t="s">
        <v>2058</v>
      </c>
      <c r="D3450" s="39">
        <v>0</v>
      </c>
      <c r="E3450" s="1" t="s">
        <v>1</v>
      </c>
      <c r="F3450" s="39">
        <v>0</v>
      </c>
    </row>
    <row r="3451" spans="1:6" x14ac:dyDescent="0.25">
      <c r="A3451" s="1" t="s">
        <v>5313</v>
      </c>
      <c r="B3451" s="1" t="s">
        <v>5314</v>
      </c>
      <c r="C3451" s="1" t="s">
        <v>2058</v>
      </c>
      <c r="D3451" s="39">
        <v>0</v>
      </c>
      <c r="E3451" s="1" t="s">
        <v>1</v>
      </c>
      <c r="F3451" s="39">
        <v>0</v>
      </c>
    </row>
    <row r="3452" spans="1:6" x14ac:dyDescent="0.25">
      <c r="A3452" s="1" t="s">
        <v>5315</v>
      </c>
      <c r="B3452" s="1" t="s">
        <v>5316</v>
      </c>
      <c r="C3452" s="1" t="s">
        <v>2058</v>
      </c>
      <c r="D3452" s="39">
        <v>0</v>
      </c>
      <c r="E3452" s="1" t="s">
        <v>1</v>
      </c>
      <c r="F3452" s="39">
        <v>0</v>
      </c>
    </row>
    <row r="3453" spans="1:6" x14ac:dyDescent="0.25">
      <c r="A3453" s="1" t="s">
        <v>1945</v>
      </c>
      <c r="B3453" s="1" t="s">
        <v>5317</v>
      </c>
      <c r="C3453" s="1" t="s">
        <v>2058</v>
      </c>
      <c r="D3453" s="39">
        <v>751</v>
      </c>
      <c r="E3453" s="1" t="s">
        <v>1</v>
      </c>
      <c r="F3453" s="3">
        <v>29926.22</v>
      </c>
    </row>
    <row r="3454" spans="1:6" x14ac:dyDescent="0.25">
      <c r="A3454" s="1" t="s">
        <v>1947</v>
      </c>
      <c r="B3454" s="1" t="s">
        <v>5318</v>
      </c>
      <c r="C3454" s="1" t="s">
        <v>2058</v>
      </c>
      <c r="D3454" s="39">
        <v>125</v>
      </c>
      <c r="E3454" s="1" t="s">
        <v>1</v>
      </c>
      <c r="F3454" s="3">
        <v>4914.3999999999996</v>
      </c>
    </row>
    <row r="3455" spans="1:6" x14ac:dyDescent="0.25">
      <c r="A3455" s="1" t="s">
        <v>1944</v>
      </c>
      <c r="B3455" s="1" t="s">
        <v>5319</v>
      </c>
      <c r="C3455" s="1" t="s">
        <v>2058</v>
      </c>
      <c r="D3455" s="39">
        <v>0</v>
      </c>
      <c r="E3455" s="1" t="s">
        <v>1</v>
      </c>
      <c r="F3455" s="39">
        <v>0</v>
      </c>
    </row>
    <row r="3456" spans="1:6" x14ac:dyDescent="0.25">
      <c r="A3456" s="1" t="s">
        <v>1946</v>
      </c>
      <c r="B3456" s="1" t="s">
        <v>5320</v>
      </c>
      <c r="C3456" s="1" t="s">
        <v>2058</v>
      </c>
      <c r="D3456" s="39">
        <v>0</v>
      </c>
      <c r="E3456" s="1" t="s">
        <v>1</v>
      </c>
      <c r="F3456" s="39">
        <v>0</v>
      </c>
    </row>
    <row r="3457" spans="1:6" x14ac:dyDescent="0.25">
      <c r="A3457" s="1" t="s">
        <v>5321</v>
      </c>
      <c r="B3457" s="1" t="s">
        <v>5322</v>
      </c>
      <c r="C3457" s="1" t="s">
        <v>2058</v>
      </c>
      <c r="D3457" s="39">
        <v>0</v>
      </c>
      <c r="E3457" s="1" t="s">
        <v>1</v>
      </c>
      <c r="F3457" s="39">
        <v>0</v>
      </c>
    </row>
    <row r="3458" spans="1:6" x14ac:dyDescent="0.25">
      <c r="A3458" s="1" t="s">
        <v>5323</v>
      </c>
      <c r="B3458" s="1" t="s">
        <v>5324</v>
      </c>
      <c r="C3458" s="1" t="s">
        <v>2058</v>
      </c>
      <c r="D3458" s="39">
        <v>0</v>
      </c>
      <c r="E3458" s="1" t="s">
        <v>1</v>
      </c>
      <c r="F3458" s="39">
        <v>0</v>
      </c>
    </row>
    <row r="3459" spans="1:6" x14ac:dyDescent="0.25">
      <c r="A3459" s="1" t="s">
        <v>5325</v>
      </c>
      <c r="B3459" s="1" t="s">
        <v>5326</v>
      </c>
      <c r="C3459" s="1" t="s">
        <v>2058</v>
      </c>
      <c r="D3459" s="39">
        <v>0</v>
      </c>
      <c r="E3459" s="1" t="s">
        <v>1</v>
      </c>
      <c r="F3459" s="39">
        <v>0</v>
      </c>
    </row>
    <row r="3460" spans="1:6" x14ac:dyDescent="0.25">
      <c r="A3460" s="1" t="s">
        <v>5327</v>
      </c>
      <c r="B3460" s="1" t="s">
        <v>5328</v>
      </c>
      <c r="C3460" s="1" t="s">
        <v>2058</v>
      </c>
      <c r="D3460" s="39">
        <v>0</v>
      </c>
      <c r="E3460" s="1" t="s">
        <v>1</v>
      </c>
      <c r="F3460" s="39">
        <v>0</v>
      </c>
    </row>
    <row r="3461" spans="1:6" x14ac:dyDescent="0.25">
      <c r="A3461" s="1" t="s">
        <v>5329</v>
      </c>
      <c r="B3461" s="1" t="s">
        <v>5330</v>
      </c>
      <c r="C3461" s="1" t="s">
        <v>2058</v>
      </c>
      <c r="D3461" s="39">
        <v>0</v>
      </c>
      <c r="E3461" s="1" t="s">
        <v>1</v>
      </c>
      <c r="F3461" s="39">
        <v>0</v>
      </c>
    </row>
    <row r="3462" spans="1:6" x14ac:dyDescent="0.25">
      <c r="A3462" s="1" t="s">
        <v>5331</v>
      </c>
      <c r="B3462" s="1" t="s">
        <v>5332</v>
      </c>
      <c r="C3462" s="1" t="s">
        <v>2058</v>
      </c>
      <c r="D3462" s="39">
        <v>0</v>
      </c>
      <c r="E3462" s="1" t="s">
        <v>1</v>
      </c>
      <c r="F3462" s="39">
        <v>0</v>
      </c>
    </row>
    <row r="3463" spans="1:6" x14ac:dyDescent="0.25">
      <c r="A3463" s="1" t="s">
        <v>5333</v>
      </c>
      <c r="B3463" s="1" t="s">
        <v>5334</v>
      </c>
      <c r="C3463" s="1" t="s">
        <v>2058</v>
      </c>
      <c r="D3463" s="39">
        <v>0</v>
      </c>
      <c r="E3463" s="1" t="s">
        <v>1</v>
      </c>
      <c r="F3463" s="39">
        <v>0</v>
      </c>
    </row>
    <row r="3464" spans="1:6" x14ac:dyDescent="0.25">
      <c r="A3464" s="1" t="s">
        <v>5335</v>
      </c>
      <c r="B3464" s="1" t="s">
        <v>5336</v>
      </c>
      <c r="C3464" s="1" t="s">
        <v>2058</v>
      </c>
      <c r="D3464" s="39">
        <v>0</v>
      </c>
      <c r="E3464" s="1" t="s">
        <v>1</v>
      </c>
      <c r="F3464" s="39">
        <v>0</v>
      </c>
    </row>
    <row r="3465" spans="1:6" x14ac:dyDescent="0.25">
      <c r="A3465" s="1" t="s">
        <v>1017</v>
      </c>
      <c r="B3465" s="1" t="s">
        <v>1018</v>
      </c>
      <c r="C3465" s="1" t="s">
        <v>2058</v>
      </c>
      <c r="D3465" s="39">
        <v>0</v>
      </c>
      <c r="E3465" s="1" t="s">
        <v>1</v>
      </c>
      <c r="F3465" s="39">
        <v>0</v>
      </c>
    </row>
    <row r="3466" spans="1:6" x14ac:dyDescent="0.25">
      <c r="A3466" s="1" t="s">
        <v>5337</v>
      </c>
      <c r="B3466" s="1" t="s">
        <v>5338</v>
      </c>
      <c r="C3466" s="1" t="s">
        <v>2058</v>
      </c>
      <c r="D3466" s="39">
        <v>0</v>
      </c>
      <c r="E3466" s="1" t="s">
        <v>1</v>
      </c>
      <c r="F3466" s="39">
        <v>0</v>
      </c>
    </row>
    <row r="3467" spans="1:6" x14ac:dyDescent="0.25">
      <c r="A3467" s="1" t="s">
        <v>5339</v>
      </c>
      <c r="B3467" s="1" t="s">
        <v>5340</v>
      </c>
      <c r="C3467" s="1" t="s">
        <v>2058</v>
      </c>
      <c r="D3467" s="39">
        <v>0</v>
      </c>
      <c r="E3467" s="1" t="s">
        <v>1</v>
      </c>
      <c r="F3467" s="39">
        <v>0</v>
      </c>
    </row>
    <row r="3468" spans="1:6" x14ac:dyDescent="0.25">
      <c r="A3468" s="1" t="s">
        <v>5341</v>
      </c>
      <c r="B3468" s="1" t="s">
        <v>5342</v>
      </c>
      <c r="C3468" s="1" t="s">
        <v>2058</v>
      </c>
      <c r="D3468" s="39">
        <v>0</v>
      </c>
      <c r="E3468" s="1" t="s">
        <v>1</v>
      </c>
      <c r="F3468" s="39">
        <v>0</v>
      </c>
    </row>
    <row r="3469" spans="1:6" x14ac:dyDescent="0.25">
      <c r="A3469" s="1" t="s">
        <v>5343</v>
      </c>
      <c r="B3469" s="1" t="s">
        <v>5344</v>
      </c>
      <c r="C3469" s="1" t="s">
        <v>2058</v>
      </c>
      <c r="D3469" s="39">
        <v>0</v>
      </c>
      <c r="E3469" s="1" t="s">
        <v>1</v>
      </c>
      <c r="F3469" s="39">
        <v>0</v>
      </c>
    </row>
    <row r="3470" spans="1:6" x14ac:dyDescent="0.25">
      <c r="A3470" s="1" t="s">
        <v>5345</v>
      </c>
      <c r="B3470" s="1" t="s">
        <v>5346</v>
      </c>
      <c r="C3470" s="1" t="s">
        <v>2058</v>
      </c>
      <c r="D3470" s="39">
        <v>0</v>
      </c>
      <c r="E3470" s="1" t="s">
        <v>1</v>
      </c>
      <c r="F3470" s="39">
        <v>0</v>
      </c>
    </row>
    <row r="3471" spans="1:6" x14ac:dyDescent="0.25">
      <c r="A3471" s="1" t="s">
        <v>5347</v>
      </c>
      <c r="B3471" s="1" t="s">
        <v>5348</v>
      </c>
      <c r="C3471" s="1" t="s">
        <v>2058</v>
      </c>
      <c r="D3471" s="39">
        <v>0</v>
      </c>
      <c r="E3471" s="1" t="s">
        <v>1</v>
      </c>
      <c r="F3471" s="39">
        <v>0</v>
      </c>
    </row>
    <row r="3472" spans="1:6" x14ac:dyDescent="0.25">
      <c r="A3472" s="1" t="s">
        <v>5349</v>
      </c>
      <c r="B3472" s="1" t="s">
        <v>5350</v>
      </c>
      <c r="C3472" s="1" t="s">
        <v>2058</v>
      </c>
      <c r="D3472" s="39">
        <v>0</v>
      </c>
      <c r="E3472" s="1" t="s">
        <v>1</v>
      </c>
      <c r="F3472" s="39">
        <v>0</v>
      </c>
    </row>
    <row r="3473" spans="1:6" x14ac:dyDescent="0.25">
      <c r="A3473" s="1" t="s">
        <v>5351</v>
      </c>
      <c r="B3473" s="1" t="s">
        <v>5352</v>
      </c>
      <c r="C3473" s="1" t="s">
        <v>2058</v>
      </c>
      <c r="D3473" s="39">
        <v>0</v>
      </c>
      <c r="E3473" s="1" t="s">
        <v>1</v>
      </c>
      <c r="F3473" s="39">
        <v>0</v>
      </c>
    </row>
    <row r="3474" spans="1:6" x14ac:dyDescent="0.25">
      <c r="A3474" s="1" t="s">
        <v>5353</v>
      </c>
      <c r="B3474" s="1" t="s">
        <v>5354</v>
      </c>
      <c r="C3474" s="1" t="s">
        <v>2058</v>
      </c>
      <c r="D3474" s="39">
        <v>0</v>
      </c>
      <c r="E3474" s="1" t="s">
        <v>1</v>
      </c>
      <c r="F3474" s="39">
        <v>0</v>
      </c>
    </row>
    <row r="3475" spans="1:6" x14ac:dyDescent="0.25">
      <c r="A3475" s="1" t="s">
        <v>5355</v>
      </c>
      <c r="B3475" s="1" t="s">
        <v>5356</v>
      </c>
      <c r="C3475" s="1" t="s">
        <v>2058</v>
      </c>
      <c r="D3475" s="39">
        <v>0</v>
      </c>
      <c r="E3475" s="1" t="s">
        <v>1</v>
      </c>
      <c r="F3475" s="39">
        <v>0</v>
      </c>
    </row>
    <row r="3476" spans="1:6" x14ac:dyDescent="0.25">
      <c r="A3476" s="1" t="s">
        <v>5357</v>
      </c>
      <c r="B3476" s="1" t="s">
        <v>5358</v>
      </c>
      <c r="C3476" s="1" t="s">
        <v>2058</v>
      </c>
      <c r="D3476" s="39">
        <v>0</v>
      </c>
      <c r="E3476" s="1" t="s">
        <v>1</v>
      </c>
      <c r="F3476" s="39">
        <v>0</v>
      </c>
    </row>
    <row r="3477" spans="1:6" x14ac:dyDescent="0.25">
      <c r="A3477" s="1" t="s">
        <v>5359</v>
      </c>
      <c r="B3477" s="1" t="s">
        <v>5360</v>
      </c>
      <c r="C3477" s="1" t="s">
        <v>2058</v>
      </c>
      <c r="D3477" s="39">
        <v>0</v>
      </c>
      <c r="E3477" s="1" t="s">
        <v>1</v>
      </c>
      <c r="F3477" s="39">
        <v>0</v>
      </c>
    </row>
    <row r="3478" spans="1:6" x14ac:dyDescent="0.25">
      <c r="A3478" s="1" t="s">
        <v>5361</v>
      </c>
      <c r="B3478" s="1" t="s">
        <v>5362</v>
      </c>
      <c r="C3478" s="1" t="s">
        <v>2058</v>
      </c>
      <c r="D3478" s="39">
        <v>0</v>
      </c>
      <c r="E3478" s="1" t="s">
        <v>1</v>
      </c>
      <c r="F3478" s="39">
        <v>0</v>
      </c>
    </row>
    <row r="3479" spans="1:6" x14ac:dyDescent="0.25">
      <c r="A3479" s="1" t="s">
        <v>5363</v>
      </c>
      <c r="B3479" s="1" t="s">
        <v>5364</v>
      </c>
      <c r="C3479" s="1" t="s">
        <v>2058</v>
      </c>
      <c r="D3479" s="39">
        <v>0</v>
      </c>
      <c r="E3479" s="1" t="s">
        <v>1</v>
      </c>
      <c r="F3479" s="39">
        <v>0</v>
      </c>
    </row>
    <row r="3480" spans="1:6" x14ac:dyDescent="0.25">
      <c r="A3480" s="1" t="s">
        <v>5365</v>
      </c>
      <c r="B3480" s="1" t="s">
        <v>5366</v>
      </c>
      <c r="C3480" s="1" t="s">
        <v>2058</v>
      </c>
      <c r="D3480" s="39">
        <v>0</v>
      </c>
      <c r="E3480" s="1" t="s">
        <v>1</v>
      </c>
      <c r="F3480" s="39">
        <v>0</v>
      </c>
    </row>
    <row r="3481" spans="1:6" x14ac:dyDescent="0.25">
      <c r="A3481" s="1" t="s">
        <v>5367</v>
      </c>
      <c r="B3481" s="1" t="s">
        <v>5368</v>
      </c>
      <c r="C3481" s="1" t="s">
        <v>2058</v>
      </c>
      <c r="D3481" s="39">
        <v>0</v>
      </c>
      <c r="E3481" s="1" t="s">
        <v>1</v>
      </c>
      <c r="F3481" s="39">
        <v>0</v>
      </c>
    </row>
    <row r="3482" spans="1:6" x14ac:dyDescent="0.25">
      <c r="A3482" s="1" t="s">
        <v>5369</v>
      </c>
      <c r="B3482" s="1" t="s">
        <v>5370</v>
      </c>
      <c r="C3482" s="1" t="s">
        <v>2058</v>
      </c>
      <c r="D3482" s="39">
        <v>0</v>
      </c>
      <c r="E3482" s="1" t="s">
        <v>1</v>
      </c>
      <c r="F3482" s="39">
        <v>0</v>
      </c>
    </row>
    <row r="3483" spans="1:6" x14ac:dyDescent="0.25">
      <c r="A3483" s="1" t="s">
        <v>5371</v>
      </c>
      <c r="B3483" s="1" t="s">
        <v>5372</v>
      </c>
      <c r="C3483" s="1" t="s">
        <v>2058</v>
      </c>
      <c r="D3483" s="39">
        <v>0</v>
      </c>
      <c r="E3483" s="1" t="s">
        <v>1</v>
      </c>
      <c r="F3483" s="39">
        <v>0</v>
      </c>
    </row>
    <row r="3484" spans="1:6" x14ac:dyDescent="0.25">
      <c r="A3484" s="1" t="s">
        <v>5373</v>
      </c>
      <c r="B3484" s="1" t="s">
        <v>5374</v>
      </c>
      <c r="C3484" s="1" t="s">
        <v>2058</v>
      </c>
      <c r="D3484" s="39">
        <v>0</v>
      </c>
      <c r="E3484" s="1" t="s">
        <v>1</v>
      </c>
      <c r="F3484" s="39">
        <v>0</v>
      </c>
    </row>
    <row r="3485" spans="1:6" x14ac:dyDescent="0.25">
      <c r="A3485" s="1" t="s">
        <v>5375</v>
      </c>
      <c r="B3485" s="1" t="s">
        <v>5376</v>
      </c>
      <c r="C3485" s="1" t="s">
        <v>2058</v>
      </c>
      <c r="D3485" s="39">
        <v>0</v>
      </c>
      <c r="E3485" s="1" t="s">
        <v>1</v>
      </c>
      <c r="F3485" s="39">
        <v>0</v>
      </c>
    </row>
    <row r="3486" spans="1:6" x14ac:dyDescent="0.25">
      <c r="A3486" s="1" t="s">
        <v>1028</v>
      </c>
      <c r="B3486" s="1" t="s">
        <v>1029</v>
      </c>
      <c r="C3486" s="1" t="s">
        <v>2058</v>
      </c>
      <c r="D3486" s="39">
        <v>0</v>
      </c>
      <c r="E3486" s="1" t="s">
        <v>1</v>
      </c>
      <c r="F3486" s="39">
        <v>0</v>
      </c>
    </row>
    <row r="3487" spans="1:6" x14ac:dyDescent="0.25">
      <c r="A3487" s="1" t="s">
        <v>1043</v>
      </c>
      <c r="B3487" s="1" t="s">
        <v>1044</v>
      </c>
      <c r="C3487" s="1" t="s">
        <v>2058</v>
      </c>
      <c r="D3487" s="39">
        <v>0</v>
      </c>
      <c r="E3487" s="1" t="s">
        <v>1</v>
      </c>
      <c r="F3487" s="39">
        <v>0</v>
      </c>
    </row>
    <row r="3488" spans="1:6" x14ac:dyDescent="0.25">
      <c r="A3488" s="1" t="s">
        <v>5377</v>
      </c>
      <c r="B3488" s="1" t="s">
        <v>5378</v>
      </c>
      <c r="C3488" s="1" t="s">
        <v>2058</v>
      </c>
      <c r="D3488" s="39">
        <v>0</v>
      </c>
      <c r="E3488" s="1" t="s">
        <v>1</v>
      </c>
      <c r="F3488" s="39">
        <v>0</v>
      </c>
    </row>
    <row r="3489" spans="1:6" x14ac:dyDescent="0.25">
      <c r="A3489" s="1" t="s">
        <v>1941</v>
      </c>
      <c r="B3489" s="1" t="s">
        <v>5379</v>
      </c>
      <c r="C3489" s="1" t="s">
        <v>2058</v>
      </c>
      <c r="D3489" s="39">
        <v>5750</v>
      </c>
      <c r="E3489" s="1" t="s">
        <v>1</v>
      </c>
      <c r="F3489" s="3">
        <v>64369.52</v>
      </c>
    </row>
    <row r="3490" spans="1:6" x14ac:dyDescent="0.25">
      <c r="A3490" s="1" t="s">
        <v>5380</v>
      </c>
      <c r="B3490" s="1" t="s">
        <v>5381</v>
      </c>
      <c r="C3490" s="1" t="s">
        <v>2058</v>
      </c>
      <c r="D3490" s="39">
        <v>0</v>
      </c>
      <c r="E3490" s="1" t="s">
        <v>1</v>
      </c>
      <c r="F3490" s="39">
        <v>0</v>
      </c>
    </row>
    <row r="3491" spans="1:6" x14ac:dyDescent="0.25">
      <c r="A3491" s="1" t="s">
        <v>5382</v>
      </c>
      <c r="B3491" s="1" t="s">
        <v>5383</v>
      </c>
      <c r="C3491" s="1" t="s">
        <v>2058</v>
      </c>
      <c r="D3491" s="39">
        <v>0</v>
      </c>
      <c r="E3491" s="1" t="s">
        <v>1</v>
      </c>
      <c r="F3491" s="39">
        <v>0</v>
      </c>
    </row>
    <row r="3492" spans="1:6" x14ac:dyDescent="0.25">
      <c r="A3492" s="1" t="s">
        <v>1046</v>
      </c>
      <c r="B3492" s="1" t="s">
        <v>1047</v>
      </c>
      <c r="C3492" s="1" t="s">
        <v>2058</v>
      </c>
      <c r="D3492" s="39">
        <v>0</v>
      </c>
      <c r="E3492" s="1" t="s">
        <v>1</v>
      </c>
      <c r="F3492" s="39">
        <v>0</v>
      </c>
    </row>
    <row r="3493" spans="1:6" x14ac:dyDescent="0.25">
      <c r="A3493" s="1" t="s">
        <v>5384</v>
      </c>
      <c r="B3493" s="1" t="s">
        <v>2565</v>
      </c>
      <c r="C3493" s="1" t="s">
        <v>2058</v>
      </c>
      <c r="D3493" s="39">
        <v>0</v>
      </c>
      <c r="E3493" s="1" t="s">
        <v>1</v>
      </c>
      <c r="F3493" s="39">
        <v>0</v>
      </c>
    </row>
    <row r="3494" spans="1:6" x14ac:dyDescent="0.25">
      <c r="A3494" s="1" t="s">
        <v>5385</v>
      </c>
      <c r="B3494" s="1" t="s">
        <v>5386</v>
      </c>
      <c r="C3494" s="1" t="s">
        <v>2058</v>
      </c>
      <c r="D3494" s="39">
        <v>0</v>
      </c>
      <c r="E3494" s="1" t="s">
        <v>1</v>
      </c>
      <c r="F3494" s="39">
        <v>0</v>
      </c>
    </row>
    <row r="3495" spans="1:6" x14ac:dyDescent="0.25">
      <c r="A3495" s="1" t="s">
        <v>5387</v>
      </c>
      <c r="B3495" s="1" t="s">
        <v>5388</v>
      </c>
      <c r="C3495" s="1" t="s">
        <v>2058</v>
      </c>
      <c r="D3495" s="39">
        <v>0</v>
      </c>
      <c r="E3495" s="1" t="s">
        <v>1</v>
      </c>
      <c r="F3495" s="39">
        <v>0</v>
      </c>
    </row>
    <row r="3496" spans="1:6" x14ac:dyDescent="0.25">
      <c r="A3496" s="1" t="s">
        <v>5389</v>
      </c>
      <c r="B3496" s="1" t="s">
        <v>5390</v>
      </c>
      <c r="C3496" s="1" t="s">
        <v>2058</v>
      </c>
      <c r="D3496" s="39">
        <v>0</v>
      </c>
      <c r="E3496" s="1" t="s">
        <v>1</v>
      </c>
      <c r="F3496" s="39">
        <v>0</v>
      </c>
    </row>
    <row r="3497" spans="1:6" x14ac:dyDescent="0.25">
      <c r="A3497" s="1" t="s">
        <v>5391</v>
      </c>
      <c r="B3497" s="1" t="s">
        <v>5392</v>
      </c>
      <c r="C3497" s="1" t="s">
        <v>2058</v>
      </c>
      <c r="D3497" s="39">
        <v>0</v>
      </c>
      <c r="E3497" s="1" t="s">
        <v>1</v>
      </c>
      <c r="F3497" s="39">
        <v>0</v>
      </c>
    </row>
    <row r="3498" spans="1:6" x14ac:dyDescent="0.25">
      <c r="A3498" s="1" t="s">
        <v>5393</v>
      </c>
      <c r="B3498" s="1" t="s">
        <v>5394</v>
      </c>
      <c r="C3498" s="1" t="s">
        <v>2058</v>
      </c>
      <c r="D3498" s="39">
        <v>0</v>
      </c>
      <c r="E3498" s="1" t="s">
        <v>1</v>
      </c>
      <c r="F3498" s="39">
        <v>0</v>
      </c>
    </row>
    <row r="3499" spans="1:6" x14ac:dyDescent="0.25">
      <c r="A3499" s="1" t="s">
        <v>5395</v>
      </c>
      <c r="B3499" s="1" t="s">
        <v>5396</v>
      </c>
      <c r="C3499" s="1" t="s">
        <v>2058</v>
      </c>
      <c r="D3499" s="39">
        <v>0</v>
      </c>
      <c r="E3499" s="1" t="s">
        <v>1</v>
      </c>
      <c r="F3499" s="39">
        <v>0</v>
      </c>
    </row>
    <row r="3500" spans="1:6" x14ac:dyDescent="0.25">
      <c r="A3500" s="1" t="s">
        <v>5397</v>
      </c>
      <c r="B3500" s="1" t="s">
        <v>5398</v>
      </c>
      <c r="C3500" s="1" t="s">
        <v>2058</v>
      </c>
      <c r="D3500" s="39">
        <v>0</v>
      </c>
      <c r="E3500" s="1" t="s">
        <v>1</v>
      </c>
      <c r="F3500" s="39">
        <v>0</v>
      </c>
    </row>
    <row r="3501" spans="1:6" x14ac:dyDescent="0.25">
      <c r="A3501" s="1" t="s">
        <v>1059</v>
      </c>
      <c r="B3501" s="1" t="s">
        <v>1060</v>
      </c>
      <c r="C3501" s="1" t="s">
        <v>2058</v>
      </c>
      <c r="D3501" s="39">
        <v>514</v>
      </c>
      <c r="E3501" s="1" t="s">
        <v>1</v>
      </c>
      <c r="F3501" s="3">
        <v>45536.13</v>
      </c>
    </row>
    <row r="3502" spans="1:6" x14ac:dyDescent="0.25">
      <c r="A3502" s="1" t="s">
        <v>5399</v>
      </c>
      <c r="B3502" s="1" t="s">
        <v>5400</v>
      </c>
      <c r="C3502" s="1" t="s">
        <v>2058</v>
      </c>
      <c r="D3502" s="39">
        <v>0</v>
      </c>
      <c r="E3502" s="1" t="s">
        <v>1</v>
      </c>
      <c r="F3502" s="39">
        <v>0</v>
      </c>
    </row>
    <row r="3503" spans="1:6" x14ac:dyDescent="0.25">
      <c r="A3503" s="1" t="s">
        <v>5401</v>
      </c>
      <c r="B3503" s="1" t="s">
        <v>5402</v>
      </c>
      <c r="C3503" s="1" t="s">
        <v>2058</v>
      </c>
      <c r="D3503" s="39">
        <v>0</v>
      </c>
      <c r="E3503" s="1" t="s">
        <v>1</v>
      </c>
      <c r="F3503" s="39">
        <v>0</v>
      </c>
    </row>
    <row r="3504" spans="1:6" x14ac:dyDescent="0.25">
      <c r="A3504" s="1" t="s">
        <v>1063</v>
      </c>
      <c r="B3504" s="1" t="s">
        <v>1064</v>
      </c>
      <c r="C3504" s="1" t="s">
        <v>2058</v>
      </c>
      <c r="D3504" s="39">
        <v>0</v>
      </c>
      <c r="E3504" s="1" t="s">
        <v>1</v>
      </c>
      <c r="F3504" s="39">
        <v>0</v>
      </c>
    </row>
    <row r="3505" spans="1:6" x14ac:dyDescent="0.25">
      <c r="A3505" s="1" t="s">
        <v>1066</v>
      </c>
      <c r="B3505" s="1" t="s">
        <v>1067</v>
      </c>
      <c r="C3505" s="1" t="s">
        <v>2058</v>
      </c>
      <c r="D3505" s="39">
        <v>0</v>
      </c>
      <c r="E3505" s="1" t="s">
        <v>1</v>
      </c>
      <c r="F3505" s="39">
        <v>0</v>
      </c>
    </row>
    <row r="3506" spans="1:6" x14ac:dyDescent="0.25">
      <c r="A3506" s="1" t="s">
        <v>1069</v>
      </c>
      <c r="B3506" s="1" t="s">
        <v>1070</v>
      </c>
      <c r="C3506" s="1" t="s">
        <v>2058</v>
      </c>
      <c r="D3506" s="39">
        <v>0</v>
      </c>
      <c r="E3506" s="1" t="s">
        <v>1</v>
      </c>
      <c r="F3506" s="39">
        <v>0</v>
      </c>
    </row>
    <row r="3507" spans="1:6" x14ac:dyDescent="0.25">
      <c r="A3507" s="1" t="s">
        <v>1074</v>
      </c>
      <c r="B3507" s="1" t="s">
        <v>1075</v>
      </c>
      <c r="C3507" s="1" t="s">
        <v>2058</v>
      </c>
      <c r="D3507" s="39">
        <v>0</v>
      </c>
      <c r="E3507" s="1" t="s">
        <v>1</v>
      </c>
      <c r="F3507" s="39">
        <v>0</v>
      </c>
    </row>
    <row r="3508" spans="1:6" x14ac:dyDescent="0.25">
      <c r="A3508" s="1" t="s">
        <v>1076</v>
      </c>
      <c r="B3508" s="1" t="s">
        <v>1077</v>
      </c>
      <c r="C3508" s="1" t="s">
        <v>2058</v>
      </c>
      <c r="D3508" s="39">
        <v>0</v>
      </c>
      <c r="E3508" s="1" t="s">
        <v>1</v>
      </c>
      <c r="F3508" s="39">
        <v>0</v>
      </c>
    </row>
    <row r="3509" spans="1:6" x14ac:dyDescent="0.25">
      <c r="A3509" s="1" t="s">
        <v>1078</v>
      </c>
      <c r="B3509" s="1" t="s">
        <v>1079</v>
      </c>
      <c r="C3509" s="1" t="s">
        <v>2058</v>
      </c>
      <c r="D3509" s="39">
        <v>0</v>
      </c>
      <c r="E3509" s="1" t="s">
        <v>1</v>
      </c>
      <c r="F3509" s="39">
        <v>0</v>
      </c>
    </row>
    <row r="3510" spans="1:6" x14ac:dyDescent="0.25">
      <c r="A3510" s="1" t="s">
        <v>5403</v>
      </c>
      <c r="B3510" s="1" t="s">
        <v>5404</v>
      </c>
      <c r="C3510" s="1" t="s">
        <v>2058</v>
      </c>
      <c r="D3510" s="39">
        <v>0</v>
      </c>
      <c r="E3510" s="1" t="s">
        <v>1</v>
      </c>
      <c r="F3510" s="39">
        <v>0</v>
      </c>
    </row>
    <row r="3511" spans="1:6" x14ac:dyDescent="0.25">
      <c r="A3511" s="1" t="s">
        <v>5405</v>
      </c>
      <c r="B3511" s="1" t="s">
        <v>5406</v>
      </c>
      <c r="C3511" s="1" t="s">
        <v>2058</v>
      </c>
      <c r="D3511" s="39">
        <v>0</v>
      </c>
      <c r="E3511" s="1" t="s">
        <v>1</v>
      </c>
      <c r="F3511" s="39">
        <v>0</v>
      </c>
    </row>
    <row r="3512" spans="1:6" x14ac:dyDescent="0.25">
      <c r="A3512" s="1" t="s">
        <v>5407</v>
      </c>
      <c r="B3512" s="1" t="s">
        <v>5408</v>
      </c>
      <c r="C3512" s="1" t="s">
        <v>2058</v>
      </c>
      <c r="D3512" s="39">
        <v>0</v>
      </c>
      <c r="E3512" s="1" t="s">
        <v>1</v>
      </c>
      <c r="F3512" s="39">
        <v>0</v>
      </c>
    </row>
    <row r="3513" spans="1:6" x14ac:dyDescent="0.25">
      <c r="A3513" s="1" t="s">
        <v>5409</v>
      </c>
      <c r="B3513" s="1" t="s">
        <v>5410</v>
      </c>
      <c r="C3513" s="1" t="s">
        <v>2058</v>
      </c>
      <c r="D3513" s="39">
        <v>0</v>
      </c>
      <c r="E3513" s="1" t="s">
        <v>1</v>
      </c>
      <c r="F3513" s="39">
        <v>0</v>
      </c>
    </row>
    <row r="3514" spans="1:6" x14ac:dyDescent="0.25">
      <c r="A3514" s="1" t="s">
        <v>5411</v>
      </c>
      <c r="B3514" s="1" t="s">
        <v>5412</v>
      </c>
      <c r="C3514" s="1" t="s">
        <v>2058</v>
      </c>
      <c r="D3514" s="39">
        <v>0</v>
      </c>
      <c r="E3514" s="1" t="s">
        <v>1</v>
      </c>
      <c r="F3514" s="39">
        <v>0</v>
      </c>
    </row>
    <row r="3515" spans="1:6" x14ac:dyDescent="0.25">
      <c r="A3515" s="1" t="s">
        <v>5413</v>
      </c>
      <c r="B3515" s="1" t="s">
        <v>5414</v>
      </c>
      <c r="C3515" s="1" t="s">
        <v>2058</v>
      </c>
      <c r="D3515" s="39">
        <v>0</v>
      </c>
      <c r="E3515" s="1" t="s">
        <v>1</v>
      </c>
      <c r="F3515" s="39">
        <v>0</v>
      </c>
    </row>
    <row r="3516" spans="1:6" x14ac:dyDescent="0.25">
      <c r="A3516" s="1" t="s">
        <v>5415</v>
      </c>
      <c r="B3516" s="1" t="s">
        <v>5416</v>
      </c>
      <c r="C3516" s="1" t="s">
        <v>2058</v>
      </c>
      <c r="D3516" s="39">
        <v>0</v>
      </c>
      <c r="E3516" s="1" t="s">
        <v>1</v>
      </c>
      <c r="F3516" s="39">
        <v>0</v>
      </c>
    </row>
    <row r="3517" spans="1:6" x14ac:dyDescent="0.25">
      <c r="A3517" s="1" t="s">
        <v>5417</v>
      </c>
      <c r="B3517" s="1" t="s">
        <v>5418</v>
      </c>
      <c r="C3517" s="1" t="s">
        <v>2058</v>
      </c>
      <c r="D3517" s="39">
        <v>0</v>
      </c>
      <c r="E3517" s="1" t="s">
        <v>1</v>
      </c>
      <c r="F3517" s="39">
        <v>0</v>
      </c>
    </row>
    <row r="3518" spans="1:6" x14ac:dyDescent="0.25">
      <c r="A3518" s="1" t="s">
        <v>5419</v>
      </c>
      <c r="B3518" s="1" t="s">
        <v>5420</v>
      </c>
      <c r="C3518" s="1" t="s">
        <v>2058</v>
      </c>
      <c r="D3518" s="39">
        <v>0</v>
      </c>
      <c r="E3518" s="1" t="s">
        <v>1</v>
      </c>
      <c r="F3518" s="39">
        <v>0</v>
      </c>
    </row>
    <row r="3519" spans="1:6" x14ac:dyDescent="0.25">
      <c r="A3519" s="1" t="s">
        <v>5421</v>
      </c>
      <c r="B3519" s="1" t="s">
        <v>5422</v>
      </c>
      <c r="C3519" s="1" t="s">
        <v>2058</v>
      </c>
      <c r="D3519" s="39">
        <v>0</v>
      </c>
      <c r="E3519" s="1" t="s">
        <v>1</v>
      </c>
      <c r="F3519" s="39">
        <v>0</v>
      </c>
    </row>
    <row r="3520" spans="1:6" x14ac:dyDescent="0.25">
      <c r="A3520" s="1" t="s">
        <v>5423</v>
      </c>
      <c r="B3520" s="1" t="s">
        <v>5424</v>
      </c>
      <c r="C3520" s="1" t="s">
        <v>2058</v>
      </c>
      <c r="D3520" s="39">
        <v>0</v>
      </c>
      <c r="E3520" s="1" t="s">
        <v>1</v>
      </c>
      <c r="F3520" s="39">
        <v>0</v>
      </c>
    </row>
    <row r="3521" spans="1:6" x14ac:dyDescent="0.25">
      <c r="A3521" s="1" t="s">
        <v>5425</v>
      </c>
      <c r="B3521" s="1" t="s">
        <v>5426</v>
      </c>
      <c r="C3521" s="1" t="s">
        <v>2058</v>
      </c>
      <c r="D3521" s="39">
        <v>0</v>
      </c>
      <c r="E3521" s="1" t="s">
        <v>1</v>
      </c>
      <c r="F3521" s="39">
        <v>0</v>
      </c>
    </row>
    <row r="3522" spans="1:6" x14ac:dyDescent="0.25">
      <c r="A3522" s="1" t="s">
        <v>5427</v>
      </c>
      <c r="B3522" s="1" t="s">
        <v>5428</v>
      </c>
      <c r="C3522" s="1" t="s">
        <v>2058</v>
      </c>
      <c r="D3522" s="39">
        <v>0</v>
      </c>
      <c r="E3522" s="1" t="s">
        <v>1</v>
      </c>
      <c r="F3522" s="39">
        <v>0</v>
      </c>
    </row>
    <row r="3523" spans="1:6" x14ac:dyDescent="0.25">
      <c r="A3523" s="1" t="s">
        <v>5429</v>
      </c>
      <c r="B3523" s="1" t="s">
        <v>5430</v>
      </c>
      <c r="C3523" s="1" t="s">
        <v>2058</v>
      </c>
      <c r="D3523" s="39">
        <v>0</v>
      </c>
      <c r="E3523" s="1" t="s">
        <v>1</v>
      </c>
      <c r="F3523" s="39">
        <v>0</v>
      </c>
    </row>
    <row r="3524" spans="1:6" x14ac:dyDescent="0.25">
      <c r="A3524" s="1" t="s">
        <v>5431</v>
      </c>
      <c r="B3524" s="1" t="s">
        <v>5432</v>
      </c>
      <c r="C3524" s="1" t="s">
        <v>2058</v>
      </c>
      <c r="D3524" s="39">
        <v>0</v>
      </c>
      <c r="E3524" s="1" t="s">
        <v>1</v>
      </c>
      <c r="F3524" s="39">
        <v>0</v>
      </c>
    </row>
    <row r="3525" spans="1:6" x14ac:dyDescent="0.25">
      <c r="A3525" s="1" t="s">
        <v>5433</v>
      </c>
      <c r="B3525" s="1" t="s">
        <v>5434</v>
      </c>
      <c r="C3525" s="1" t="s">
        <v>2058</v>
      </c>
      <c r="D3525" s="39">
        <v>0</v>
      </c>
      <c r="E3525" s="1" t="s">
        <v>1</v>
      </c>
      <c r="F3525" s="39">
        <v>0</v>
      </c>
    </row>
    <row r="3526" spans="1:6" x14ac:dyDescent="0.25">
      <c r="A3526" s="1" t="s">
        <v>5435</v>
      </c>
      <c r="B3526" s="1" t="s">
        <v>4811</v>
      </c>
      <c r="C3526" s="1" t="s">
        <v>2058</v>
      </c>
      <c r="D3526" s="39">
        <v>0</v>
      </c>
      <c r="E3526" s="1" t="s">
        <v>1</v>
      </c>
      <c r="F3526" s="39">
        <v>0</v>
      </c>
    </row>
    <row r="3527" spans="1:6" x14ac:dyDescent="0.25">
      <c r="A3527" s="1" t="s">
        <v>1961</v>
      </c>
      <c r="B3527" s="1" t="s">
        <v>5436</v>
      </c>
      <c r="C3527" s="1" t="s">
        <v>2058</v>
      </c>
      <c r="D3527" s="39">
        <v>0</v>
      </c>
      <c r="E3527" s="1" t="s">
        <v>1</v>
      </c>
      <c r="F3527" s="39">
        <v>0</v>
      </c>
    </row>
    <row r="3528" spans="1:6" x14ac:dyDescent="0.25">
      <c r="A3528" s="1" t="s">
        <v>1962</v>
      </c>
      <c r="B3528" s="1" t="s">
        <v>5437</v>
      </c>
      <c r="C3528" s="1" t="s">
        <v>2058</v>
      </c>
      <c r="D3528" s="39">
        <v>3451</v>
      </c>
      <c r="E3528" s="1" t="s">
        <v>1</v>
      </c>
      <c r="F3528" s="3">
        <v>60157.14</v>
      </c>
    </row>
    <row r="3529" spans="1:6" x14ac:dyDescent="0.25">
      <c r="A3529" s="1" t="s">
        <v>1959</v>
      </c>
      <c r="B3529" s="1" t="s">
        <v>5438</v>
      </c>
      <c r="C3529" s="1" t="s">
        <v>2058</v>
      </c>
      <c r="D3529" s="39">
        <v>1802</v>
      </c>
      <c r="E3529" s="1" t="s">
        <v>1</v>
      </c>
      <c r="F3529" s="3">
        <v>65384.67</v>
      </c>
    </row>
    <row r="3530" spans="1:6" x14ac:dyDescent="0.25">
      <c r="A3530" s="1" t="s">
        <v>5439</v>
      </c>
      <c r="B3530" s="1" t="s">
        <v>4813</v>
      </c>
      <c r="C3530" s="1" t="s">
        <v>2058</v>
      </c>
      <c r="D3530" s="39">
        <v>0</v>
      </c>
      <c r="E3530" s="1" t="s">
        <v>1</v>
      </c>
      <c r="F3530" s="39">
        <v>0</v>
      </c>
    </row>
    <row r="3531" spans="1:6" x14ac:dyDescent="0.25">
      <c r="A3531" s="1" t="s">
        <v>1960</v>
      </c>
      <c r="B3531" s="1" t="s">
        <v>5440</v>
      </c>
      <c r="C3531" s="1" t="s">
        <v>2058</v>
      </c>
      <c r="D3531" s="39">
        <v>8133</v>
      </c>
      <c r="E3531" s="1" t="s">
        <v>1</v>
      </c>
      <c r="F3531" s="3">
        <v>68256.2</v>
      </c>
    </row>
    <row r="3532" spans="1:6" x14ac:dyDescent="0.25">
      <c r="A3532" s="1" t="s">
        <v>5441</v>
      </c>
      <c r="B3532" s="1" t="s">
        <v>5442</v>
      </c>
      <c r="C3532" s="1" t="s">
        <v>2058</v>
      </c>
      <c r="D3532" s="39">
        <v>0</v>
      </c>
      <c r="E3532" s="1" t="s">
        <v>1</v>
      </c>
      <c r="F3532" s="39">
        <v>0</v>
      </c>
    </row>
    <row r="3533" spans="1:6" x14ac:dyDescent="0.25">
      <c r="A3533" s="1" t="s">
        <v>5443</v>
      </c>
      <c r="B3533" s="1" t="s">
        <v>5444</v>
      </c>
      <c r="C3533" s="1" t="s">
        <v>2058</v>
      </c>
      <c r="D3533" s="39">
        <v>0</v>
      </c>
      <c r="E3533" s="1" t="s">
        <v>1</v>
      </c>
      <c r="F3533" s="39">
        <v>0</v>
      </c>
    </row>
    <row r="3534" spans="1:6" x14ac:dyDescent="0.25">
      <c r="A3534" s="1" t="s">
        <v>1901</v>
      </c>
      <c r="B3534" s="1" t="s">
        <v>5445</v>
      </c>
      <c r="C3534" s="1" t="s">
        <v>2058</v>
      </c>
      <c r="D3534" s="39">
        <v>1008</v>
      </c>
      <c r="E3534" s="1" t="s">
        <v>1</v>
      </c>
      <c r="F3534" s="3">
        <v>8233.85</v>
      </c>
    </row>
    <row r="3535" spans="1:6" x14ac:dyDescent="0.25">
      <c r="A3535" s="1" t="s">
        <v>1902</v>
      </c>
      <c r="B3535" s="1" t="s">
        <v>5446</v>
      </c>
      <c r="C3535" s="1" t="s">
        <v>2058</v>
      </c>
      <c r="D3535" s="39">
        <v>880</v>
      </c>
      <c r="E3535" s="1" t="s">
        <v>1</v>
      </c>
      <c r="F3535" s="3">
        <v>10558.33</v>
      </c>
    </row>
    <row r="3536" spans="1:6" x14ac:dyDescent="0.25">
      <c r="A3536" s="1" t="s">
        <v>1903</v>
      </c>
      <c r="B3536" s="1" t="s">
        <v>5447</v>
      </c>
      <c r="C3536" s="1" t="s">
        <v>2058</v>
      </c>
      <c r="D3536" s="39">
        <v>576</v>
      </c>
      <c r="E3536" s="1" t="s">
        <v>1</v>
      </c>
      <c r="F3536" s="3">
        <v>4936.32</v>
      </c>
    </row>
    <row r="3537" spans="1:6" x14ac:dyDescent="0.25">
      <c r="A3537" s="1" t="s">
        <v>1898</v>
      </c>
      <c r="B3537" s="1" t="s">
        <v>5448</v>
      </c>
      <c r="C3537" s="1" t="s">
        <v>2058</v>
      </c>
      <c r="D3537" s="39">
        <v>870</v>
      </c>
      <c r="E3537" s="1" t="s">
        <v>1</v>
      </c>
      <c r="F3537" s="3">
        <v>3043.08</v>
      </c>
    </row>
    <row r="3538" spans="1:6" x14ac:dyDescent="0.25">
      <c r="A3538" s="1" t="s">
        <v>5449</v>
      </c>
      <c r="B3538" s="1" t="s">
        <v>5450</v>
      </c>
      <c r="C3538" s="1" t="s">
        <v>2058</v>
      </c>
      <c r="D3538" s="39">
        <v>0</v>
      </c>
      <c r="E3538" s="1" t="s">
        <v>1</v>
      </c>
      <c r="F3538" s="39">
        <v>0</v>
      </c>
    </row>
    <row r="3539" spans="1:6" x14ac:dyDescent="0.25">
      <c r="A3539" s="1" t="s">
        <v>5451</v>
      </c>
      <c r="B3539" s="1" t="s">
        <v>5452</v>
      </c>
      <c r="C3539" s="1" t="s">
        <v>2058</v>
      </c>
      <c r="D3539" s="39">
        <v>0</v>
      </c>
      <c r="E3539" s="1" t="s">
        <v>1</v>
      </c>
      <c r="F3539" s="39">
        <v>0</v>
      </c>
    </row>
    <row r="3540" spans="1:6" x14ac:dyDescent="0.25">
      <c r="A3540" s="1" t="s">
        <v>5453</v>
      </c>
      <c r="B3540" s="1" t="s">
        <v>5454</v>
      </c>
      <c r="C3540" s="1" t="s">
        <v>2058</v>
      </c>
      <c r="D3540" s="39">
        <v>0</v>
      </c>
      <c r="E3540" s="1" t="s">
        <v>1</v>
      </c>
      <c r="F3540" s="39">
        <v>0</v>
      </c>
    </row>
    <row r="3541" spans="1:6" x14ac:dyDescent="0.25">
      <c r="A3541" s="1" t="s">
        <v>5455</v>
      </c>
      <c r="B3541" s="1" t="s">
        <v>5456</v>
      </c>
      <c r="C3541" s="1" t="s">
        <v>2058</v>
      </c>
      <c r="D3541" s="39">
        <v>0</v>
      </c>
      <c r="E3541" s="1" t="s">
        <v>1</v>
      </c>
      <c r="F3541" s="39">
        <v>0</v>
      </c>
    </row>
    <row r="3542" spans="1:6" x14ac:dyDescent="0.25">
      <c r="A3542" s="1" t="s">
        <v>5457</v>
      </c>
      <c r="B3542" s="1" t="s">
        <v>5458</v>
      </c>
      <c r="C3542" s="1" t="s">
        <v>2058</v>
      </c>
      <c r="D3542" s="39">
        <v>0</v>
      </c>
      <c r="E3542" s="1" t="s">
        <v>1</v>
      </c>
      <c r="F3542" s="39">
        <v>0</v>
      </c>
    </row>
    <row r="3543" spans="1:6" x14ac:dyDescent="0.25">
      <c r="A3543" s="1" t="s">
        <v>5459</v>
      </c>
      <c r="B3543" s="1" t="s">
        <v>5460</v>
      </c>
      <c r="C3543" s="1" t="s">
        <v>2058</v>
      </c>
      <c r="D3543" s="39">
        <v>0</v>
      </c>
      <c r="E3543" s="1" t="s">
        <v>1</v>
      </c>
      <c r="F3543" s="39">
        <v>0</v>
      </c>
    </row>
    <row r="3544" spans="1:6" x14ac:dyDescent="0.25">
      <c r="A3544" s="1" t="s">
        <v>5461</v>
      </c>
      <c r="B3544" s="1" t="s">
        <v>5462</v>
      </c>
      <c r="C3544" s="1" t="s">
        <v>2058</v>
      </c>
      <c r="D3544" s="39">
        <v>0</v>
      </c>
      <c r="E3544" s="1" t="s">
        <v>1</v>
      </c>
      <c r="F3544" s="39">
        <v>0</v>
      </c>
    </row>
    <row r="3545" spans="1:6" x14ac:dyDescent="0.25">
      <c r="A3545" s="1" t="s">
        <v>5463</v>
      </c>
      <c r="B3545" s="1" t="s">
        <v>2628</v>
      </c>
      <c r="C3545" s="1" t="s">
        <v>2058</v>
      </c>
      <c r="D3545" s="39">
        <v>0</v>
      </c>
      <c r="E3545" s="1" t="s">
        <v>1</v>
      </c>
      <c r="F3545" s="39">
        <v>0</v>
      </c>
    </row>
    <row r="3546" spans="1:6" x14ac:dyDescent="0.25">
      <c r="A3546" s="1" t="s">
        <v>5464</v>
      </c>
      <c r="B3546" s="1" t="s">
        <v>5465</v>
      </c>
      <c r="C3546" s="1" t="s">
        <v>2058</v>
      </c>
      <c r="D3546" s="39">
        <v>0</v>
      </c>
      <c r="E3546" s="1" t="s">
        <v>1</v>
      </c>
      <c r="F3546" s="39">
        <v>0</v>
      </c>
    </row>
    <row r="3547" spans="1:6" x14ac:dyDescent="0.25">
      <c r="A3547" s="1" t="s">
        <v>5466</v>
      </c>
      <c r="B3547" s="1" t="s">
        <v>5467</v>
      </c>
      <c r="C3547" s="1" t="s">
        <v>2058</v>
      </c>
      <c r="D3547" s="39">
        <v>0</v>
      </c>
      <c r="E3547" s="1" t="s">
        <v>1</v>
      </c>
      <c r="F3547" s="39">
        <v>0</v>
      </c>
    </row>
    <row r="3548" spans="1:6" x14ac:dyDescent="0.25">
      <c r="A3548" s="1" t="s">
        <v>5468</v>
      </c>
      <c r="B3548" s="1" t="s">
        <v>5469</v>
      </c>
      <c r="C3548" s="1" t="s">
        <v>2058</v>
      </c>
      <c r="D3548" s="39">
        <v>0</v>
      </c>
      <c r="E3548" s="1" t="s">
        <v>1</v>
      </c>
      <c r="F3548" s="39">
        <v>0</v>
      </c>
    </row>
    <row r="3549" spans="1:6" x14ac:dyDescent="0.25">
      <c r="A3549" s="1" t="s">
        <v>5470</v>
      </c>
      <c r="B3549" s="1" t="s">
        <v>5471</v>
      </c>
      <c r="C3549" s="1" t="s">
        <v>2058</v>
      </c>
      <c r="D3549" s="39">
        <v>0</v>
      </c>
      <c r="E3549" s="1" t="s">
        <v>1</v>
      </c>
      <c r="F3549" s="39">
        <v>0</v>
      </c>
    </row>
    <row r="3550" spans="1:6" x14ac:dyDescent="0.25">
      <c r="A3550" s="1" t="s">
        <v>5472</v>
      </c>
      <c r="B3550" s="1" t="s">
        <v>5473</v>
      </c>
      <c r="C3550" s="1" t="s">
        <v>2058</v>
      </c>
      <c r="D3550" s="39">
        <v>0</v>
      </c>
      <c r="E3550" s="1" t="s">
        <v>1</v>
      </c>
      <c r="F3550" s="39">
        <v>0</v>
      </c>
    </row>
    <row r="3551" spans="1:6" x14ac:dyDescent="0.25">
      <c r="A3551" s="1" t="s">
        <v>5474</v>
      </c>
      <c r="B3551" s="1" t="s">
        <v>5475</v>
      </c>
      <c r="C3551" s="1" t="s">
        <v>2058</v>
      </c>
      <c r="D3551" s="39">
        <v>0</v>
      </c>
      <c r="E3551" s="1" t="s">
        <v>1</v>
      </c>
      <c r="F3551" s="39">
        <v>0</v>
      </c>
    </row>
    <row r="3552" spans="1:6" x14ac:dyDescent="0.25">
      <c r="A3552" s="1" t="s">
        <v>5476</v>
      </c>
      <c r="B3552" s="1" t="s">
        <v>5477</v>
      </c>
      <c r="C3552" s="1" t="s">
        <v>2058</v>
      </c>
      <c r="D3552" s="39">
        <v>0</v>
      </c>
      <c r="E3552" s="1" t="s">
        <v>1</v>
      </c>
      <c r="F3552" s="39">
        <v>0</v>
      </c>
    </row>
    <row r="3553" spans="1:6" x14ac:dyDescent="0.25">
      <c r="A3553" s="1" t="s">
        <v>5478</v>
      </c>
      <c r="B3553" s="1" t="s">
        <v>5479</v>
      </c>
      <c r="C3553" s="1" t="s">
        <v>2058</v>
      </c>
      <c r="D3553" s="39">
        <v>0</v>
      </c>
      <c r="E3553" s="1" t="s">
        <v>1</v>
      </c>
      <c r="F3553" s="39">
        <v>0</v>
      </c>
    </row>
    <row r="3554" spans="1:6" x14ac:dyDescent="0.25">
      <c r="A3554" s="1" t="s">
        <v>1882</v>
      </c>
      <c r="B3554" s="1" t="s">
        <v>5480</v>
      </c>
      <c r="C3554" s="1" t="s">
        <v>2058</v>
      </c>
      <c r="D3554" s="39">
        <v>3</v>
      </c>
      <c r="E3554" s="1" t="s">
        <v>1</v>
      </c>
      <c r="F3554" s="3">
        <v>38.57</v>
      </c>
    </row>
    <row r="3555" spans="1:6" x14ac:dyDescent="0.25">
      <c r="A3555" s="1" t="s">
        <v>1883</v>
      </c>
      <c r="B3555" s="1" t="s">
        <v>5481</v>
      </c>
      <c r="C3555" s="1" t="s">
        <v>2058</v>
      </c>
      <c r="D3555" s="39">
        <v>0</v>
      </c>
      <c r="E3555" s="1" t="s">
        <v>1</v>
      </c>
      <c r="F3555" s="39">
        <v>0</v>
      </c>
    </row>
    <row r="3556" spans="1:6" x14ac:dyDescent="0.25">
      <c r="A3556" s="1" t="s">
        <v>1884</v>
      </c>
      <c r="B3556" s="1" t="s">
        <v>5482</v>
      </c>
      <c r="C3556" s="1" t="s">
        <v>2058</v>
      </c>
      <c r="D3556" s="39">
        <v>743</v>
      </c>
      <c r="E3556" s="1" t="s">
        <v>1</v>
      </c>
      <c r="F3556" s="3">
        <v>6944</v>
      </c>
    </row>
    <row r="3557" spans="1:6" x14ac:dyDescent="0.25">
      <c r="A3557" s="1" t="s">
        <v>1885</v>
      </c>
      <c r="B3557" s="1" t="s">
        <v>5483</v>
      </c>
      <c r="C3557" s="1" t="s">
        <v>2058</v>
      </c>
      <c r="D3557" s="39">
        <v>1452</v>
      </c>
      <c r="E3557" s="1" t="s">
        <v>1</v>
      </c>
      <c r="F3557" s="3">
        <v>14259.94</v>
      </c>
    </row>
    <row r="3558" spans="1:6" x14ac:dyDescent="0.25">
      <c r="A3558" s="1" t="s">
        <v>1886</v>
      </c>
      <c r="B3558" s="1" t="s">
        <v>5484</v>
      </c>
      <c r="C3558" s="1" t="s">
        <v>2058</v>
      </c>
      <c r="D3558" s="39">
        <v>0</v>
      </c>
      <c r="E3558" s="1" t="s">
        <v>1</v>
      </c>
      <c r="F3558" s="39">
        <v>0</v>
      </c>
    </row>
    <row r="3559" spans="1:6" x14ac:dyDescent="0.25">
      <c r="A3559" s="1" t="s">
        <v>1841</v>
      </c>
      <c r="B3559" s="1" t="s">
        <v>5485</v>
      </c>
      <c r="C3559" s="1" t="s">
        <v>2058</v>
      </c>
      <c r="D3559" s="39">
        <v>402</v>
      </c>
      <c r="E3559" s="1" t="s">
        <v>1</v>
      </c>
      <c r="F3559" s="3">
        <v>24167.23</v>
      </c>
    </row>
    <row r="3560" spans="1:6" x14ac:dyDescent="0.25">
      <c r="A3560" s="1" t="s">
        <v>1846</v>
      </c>
      <c r="B3560" s="1" t="s">
        <v>5486</v>
      </c>
      <c r="C3560" s="1" t="s">
        <v>2058</v>
      </c>
      <c r="D3560" s="39">
        <v>388</v>
      </c>
      <c r="E3560" s="1" t="s">
        <v>1</v>
      </c>
      <c r="F3560" s="3">
        <v>58987.91</v>
      </c>
    </row>
    <row r="3561" spans="1:6" x14ac:dyDescent="0.25">
      <c r="A3561" s="1" t="s">
        <v>1849</v>
      </c>
      <c r="B3561" s="1" t="s">
        <v>5487</v>
      </c>
      <c r="C3561" s="1" t="s">
        <v>2058</v>
      </c>
      <c r="D3561" s="39">
        <v>2018</v>
      </c>
      <c r="E3561" s="1" t="s">
        <v>1</v>
      </c>
      <c r="F3561" s="3">
        <v>21372.639999999999</v>
      </c>
    </row>
    <row r="3562" spans="1:6" x14ac:dyDescent="0.25">
      <c r="A3562" s="1" t="s">
        <v>1914</v>
      </c>
      <c r="B3562" s="1" t="s">
        <v>5488</v>
      </c>
      <c r="C3562" s="1" t="s">
        <v>2058</v>
      </c>
      <c r="D3562" s="39">
        <v>1170</v>
      </c>
      <c r="E3562" s="1" t="s">
        <v>1</v>
      </c>
      <c r="F3562" s="3">
        <v>8413.7099999999991</v>
      </c>
    </row>
    <row r="3563" spans="1:6" x14ac:dyDescent="0.25">
      <c r="A3563" s="1" t="s">
        <v>1916</v>
      </c>
      <c r="B3563" s="1" t="s">
        <v>5489</v>
      </c>
      <c r="C3563" s="1" t="s">
        <v>2058</v>
      </c>
      <c r="D3563" s="39">
        <v>1860</v>
      </c>
      <c r="E3563" s="1" t="s">
        <v>1</v>
      </c>
      <c r="F3563" s="3">
        <v>12710.68</v>
      </c>
    </row>
    <row r="3564" spans="1:6" x14ac:dyDescent="0.25">
      <c r="A3564" s="1" t="s">
        <v>5490</v>
      </c>
      <c r="B3564" s="1" t="s">
        <v>5491</v>
      </c>
      <c r="C3564" s="1" t="s">
        <v>2058</v>
      </c>
      <c r="D3564" s="39">
        <v>0</v>
      </c>
      <c r="E3564" s="1" t="s">
        <v>1</v>
      </c>
      <c r="F3564" s="39">
        <v>0</v>
      </c>
    </row>
    <row r="3565" spans="1:6" x14ac:dyDescent="0.25">
      <c r="A3565" s="1" t="s">
        <v>1917</v>
      </c>
      <c r="B3565" s="1" t="s">
        <v>5492</v>
      </c>
      <c r="C3565" s="1" t="s">
        <v>2058</v>
      </c>
      <c r="D3565" s="39">
        <v>1200</v>
      </c>
      <c r="E3565" s="1" t="s">
        <v>1</v>
      </c>
      <c r="F3565" s="3">
        <v>8650.08</v>
      </c>
    </row>
    <row r="3566" spans="1:6" x14ac:dyDescent="0.25">
      <c r="A3566" s="1" t="s">
        <v>1915</v>
      </c>
      <c r="B3566" s="1" t="s">
        <v>5493</v>
      </c>
      <c r="C3566" s="1" t="s">
        <v>2058</v>
      </c>
      <c r="D3566" s="39">
        <v>1602</v>
      </c>
      <c r="E3566" s="1" t="s">
        <v>1</v>
      </c>
      <c r="F3566" s="3">
        <v>10711.93</v>
      </c>
    </row>
    <row r="3567" spans="1:6" x14ac:dyDescent="0.25">
      <c r="A3567" s="1" t="s">
        <v>2048</v>
      </c>
      <c r="B3567" s="1" t="s">
        <v>5494</v>
      </c>
      <c r="C3567" s="1" t="s">
        <v>2058</v>
      </c>
      <c r="D3567" s="39">
        <v>2353</v>
      </c>
      <c r="E3567" s="1" t="s">
        <v>1</v>
      </c>
      <c r="F3567" s="3">
        <v>6390.98</v>
      </c>
    </row>
    <row r="3568" spans="1:6" x14ac:dyDescent="0.25">
      <c r="A3568" s="1" t="s">
        <v>2049</v>
      </c>
      <c r="B3568" s="1" t="s">
        <v>5495</v>
      </c>
      <c r="C3568" s="1" t="s">
        <v>2058</v>
      </c>
      <c r="D3568" s="39">
        <v>2304</v>
      </c>
      <c r="E3568" s="1" t="s">
        <v>1</v>
      </c>
      <c r="F3568" s="3">
        <v>6257.89</v>
      </c>
    </row>
    <row r="3569" spans="1:6" x14ac:dyDescent="0.25">
      <c r="A3569" s="1" t="s">
        <v>2050</v>
      </c>
      <c r="B3569" s="1" t="s">
        <v>5496</v>
      </c>
      <c r="C3569" s="1" t="s">
        <v>2058</v>
      </c>
      <c r="D3569" s="39">
        <v>0</v>
      </c>
      <c r="E3569" s="1" t="s">
        <v>1</v>
      </c>
      <c r="F3569" s="39">
        <v>0</v>
      </c>
    </row>
    <row r="3570" spans="1:6" x14ac:dyDescent="0.25">
      <c r="A3570" s="1" t="s">
        <v>1920</v>
      </c>
      <c r="B3570" s="1" t="s">
        <v>5497</v>
      </c>
      <c r="C3570" s="1" t="s">
        <v>2058</v>
      </c>
      <c r="D3570" s="39">
        <v>200</v>
      </c>
      <c r="E3570" s="1" t="s">
        <v>1</v>
      </c>
      <c r="F3570" s="3">
        <v>243.16</v>
      </c>
    </row>
    <row r="3571" spans="1:6" x14ac:dyDescent="0.25">
      <c r="A3571" s="1" t="s">
        <v>5498</v>
      </c>
      <c r="B3571" s="1" t="s">
        <v>5499</v>
      </c>
      <c r="C3571" s="1" t="s">
        <v>2058</v>
      </c>
      <c r="D3571" s="39">
        <v>0</v>
      </c>
      <c r="E3571" s="1" t="s">
        <v>1</v>
      </c>
      <c r="F3571" s="39">
        <v>0</v>
      </c>
    </row>
    <row r="3572" spans="1:6" x14ac:dyDescent="0.25">
      <c r="A3572" s="1" t="s">
        <v>5500</v>
      </c>
      <c r="B3572" s="1" t="s">
        <v>5501</v>
      </c>
      <c r="C3572" s="1" t="s">
        <v>2058</v>
      </c>
      <c r="D3572" s="39">
        <v>0</v>
      </c>
      <c r="E3572" s="1" t="s">
        <v>1</v>
      </c>
      <c r="F3572" s="39">
        <v>0</v>
      </c>
    </row>
    <row r="3573" spans="1:6" x14ac:dyDescent="0.25">
      <c r="A3573" s="1" t="s">
        <v>1921</v>
      </c>
      <c r="B3573" s="1" t="s">
        <v>5502</v>
      </c>
      <c r="C3573" s="1" t="s">
        <v>2058</v>
      </c>
      <c r="D3573" s="39">
        <v>0</v>
      </c>
      <c r="E3573" s="1" t="s">
        <v>1</v>
      </c>
      <c r="F3573" s="39">
        <v>0</v>
      </c>
    </row>
    <row r="3574" spans="1:6" x14ac:dyDescent="0.25">
      <c r="A3574" s="1" t="s">
        <v>1923</v>
      </c>
      <c r="B3574" s="1" t="s">
        <v>5503</v>
      </c>
      <c r="C3574" s="1" t="s">
        <v>2058</v>
      </c>
      <c r="D3574" s="39">
        <v>0</v>
      </c>
      <c r="E3574" s="1" t="s">
        <v>1</v>
      </c>
      <c r="F3574" s="39">
        <v>0</v>
      </c>
    </row>
    <row r="3575" spans="1:6" x14ac:dyDescent="0.25">
      <c r="A3575" s="1" t="s">
        <v>1924</v>
      </c>
      <c r="B3575" s="1" t="s">
        <v>5504</v>
      </c>
      <c r="C3575" s="1" t="s">
        <v>2058</v>
      </c>
      <c r="D3575" s="39">
        <v>0</v>
      </c>
      <c r="E3575" s="1" t="s">
        <v>1</v>
      </c>
      <c r="F3575" s="39">
        <v>0</v>
      </c>
    </row>
    <row r="3576" spans="1:6" x14ac:dyDescent="0.25">
      <c r="A3576" s="1" t="s">
        <v>1922</v>
      </c>
      <c r="B3576" s="1" t="s">
        <v>5505</v>
      </c>
      <c r="C3576" s="1" t="s">
        <v>2058</v>
      </c>
      <c r="D3576" s="39">
        <v>0</v>
      </c>
      <c r="E3576" s="1" t="s">
        <v>1</v>
      </c>
      <c r="F3576" s="39">
        <v>0</v>
      </c>
    </row>
    <row r="3577" spans="1:6" x14ac:dyDescent="0.25">
      <c r="A3577" s="1" t="s">
        <v>5506</v>
      </c>
      <c r="B3577" s="1" t="s">
        <v>5507</v>
      </c>
      <c r="C3577" s="1" t="s">
        <v>2058</v>
      </c>
      <c r="D3577" s="39">
        <v>0</v>
      </c>
      <c r="E3577" s="1" t="s">
        <v>1</v>
      </c>
      <c r="F3577" s="39">
        <v>0</v>
      </c>
    </row>
    <row r="3578" spans="1:6" x14ac:dyDescent="0.25">
      <c r="A3578" s="1" t="s">
        <v>1102</v>
      </c>
      <c r="B3578" s="1" t="s">
        <v>1103</v>
      </c>
      <c r="C3578" s="1" t="s">
        <v>2058</v>
      </c>
      <c r="D3578" s="39">
        <v>0</v>
      </c>
      <c r="E3578" s="1" t="s">
        <v>1</v>
      </c>
      <c r="F3578" s="39">
        <v>0</v>
      </c>
    </row>
    <row r="3579" spans="1:6" x14ac:dyDescent="0.25">
      <c r="A3579" s="1" t="s">
        <v>1107</v>
      </c>
      <c r="B3579" s="1" t="s">
        <v>1108</v>
      </c>
      <c r="C3579" s="1" t="s">
        <v>2058</v>
      </c>
      <c r="D3579" s="39">
        <v>0</v>
      </c>
      <c r="E3579" s="1" t="s">
        <v>1</v>
      </c>
      <c r="F3579" s="39">
        <v>0</v>
      </c>
    </row>
    <row r="3580" spans="1:6" x14ac:dyDescent="0.25">
      <c r="A3580" s="1" t="s">
        <v>1115</v>
      </c>
      <c r="B3580" s="1" t="s">
        <v>1116</v>
      </c>
      <c r="C3580" s="1" t="s">
        <v>2058</v>
      </c>
      <c r="D3580" s="39">
        <v>0</v>
      </c>
      <c r="E3580" s="1" t="s">
        <v>1</v>
      </c>
      <c r="F3580" s="39">
        <v>0</v>
      </c>
    </row>
    <row r="3581" spans="1:6" x14ac:dyDescent="0.25">
      <c r="A3581" s="1" t="s">
        <v>1120</v>
      </c>
      <c r="B3581" s="1" t="s">
        <v>1121</v>
      </c>
      <c r="C3581" s="1" t="s">
        <v>2058</v>
      </c>
      <c r="D3581" s="39">
        <v>0</v>
      </c>
      <c r="E3581" s="1" t="s">
        <v>1</v>
      </c>
      <c r="F3581" s="39">
        <v>0</v>
      </c>
    </row>
    <row r="3582" spans="1:6" x14ac:dyDescent="0.25">
      <c r="A3582" s="1" t="s">
        <v>1918</v>
      </c>
      <c r="B3582" s="1" t="s">
        <v>5508</v>
      </c>
      <c r="C3582" s="1" t="s">
        <v>2058</v>
      </c>
      <c r="D3582" s="39">
        <v>0</v>
      </c>
      <c r="E3582" s="1" t="s">
        <v>1</v>
      </c>
      <c r="F3582" s="39">
        <v>0</v>
      </c>
    </row>
    <row r="3583" spans="1:6" x14ac:dyDescent="0.25">
      <c r="A3583" s="1" t="s">
        <v>1919</v>
      </c>
      <c r="B3583" s="1" t="s">
        <v>5509</v>
      </c>
      <c r="C3583" s="1" t="s">
        <v>2058</v>
      </c>
      <c r="D3583" s="39">
        <v>1014</v>
      </c>
      <c r="E3583" s="1" t="s">
        <v>1</v>
      </c>
      <c r="F3583" s="3">
        <v>46170.97</v>
      </c>
    </row>
    <row r="3584" spans="1:6" x14ac:dyDescent="0.25">
      <c r="A3584" s="1" t="s">
        <v>1853</v>
      </c>
      <c r="B3584" s="1" t="s">
        <v>5510</v>
      </c>
      <c r="C3584" s="1" t="s">
        <v>2058</v>
      </c>
      <c r="D3584" s="39">
        <v>672</v>
      </c>
      <c r="E3584" s="1" t="s">
        <v>1</v>
      </c>
      <c r="F3584" s="3">
        <v>10586.02</v>
      </c>
    </row>
    <row r="3585" spans="1:6" x14ac:dyDescent="0.25">
      <c r="A3585" s="1" t="s">
        <v>5511</v>
      </c>
      <c r="B3585" s="1" t="s">
        <v>5512</v>
      </c>
      <c r="C3585" s="1" t="s">
        <v>2058</v>
      </c>
      <c r="D3585" s="39">
        <v>0</v>
      </c>
      <c r="E3585" s="1" t="s">
        <v>1</v>
      </c>
      <c r="F3585" s="39">
        <v>0</v>
      </c>
    </row>
    <row r="3586" spans="1:6" x14ac:dyDescent="0.25">
      <c r="A3586" s="1" t="s">
        <v>5513</v>
      </c>
      <c r="B3586" s="1" t="s">
        <v>5514</v>
      </c>
      <c r="C3586" s="1" t="s">
        <v>2058</v>
      </c>
      <c r="D3586" s="39">
        <v>0</v>
      </c>
      <c r="E3586" s="1" t="s">
        <v>1</v>
      </c>
      <c r="F3586" s="39">
        <v>0</v>
      </c>
    </row>
    <row r="3587" spans="1:6" x14ac:dyDescent="0.25">
      <c r="A3587" s="1" t="s">
        <v>5515</v>
      </c>
      <c r="B3587" s="1" t="s">
        <v>5516</v>
      </c>
      <c r="C3587" s="1" t="s">
        <v>2058</v>
      </c>
      <c r="D3587" s="39">
        <v>0</v>
      </c>
      <c r="E3587" s="1" t="s">
        <v>1</v>
      </c>
      <c r="F3587" s="39">
        <v>0</v>
      </c>
    </row>
    <row r="3588" spans="1:6" x14ac:dyDescent="0.25">
      <c r="A3588" s="1" t="s">
        <v>5517</v>
      </c>
      <c r="B3588" s="1" t="s">
        <v>5518</v>
      </c>
      <c r="C3588" s="1" t="s">
        <v>2058</v>
      </c>
      <c r="D3588" s="39">
        <v>0</v>
      </c>
      <c r="E3588" s="1" t="s">
        <v>1</v>
      </c>
      <c r="F3588" s="39">
        <v>0</v>
      </c>
    </row>
    <row r="3589" spans="1:6" x14ac:dyDescent="0.25">
      <c r="A3589" s="1" t="s">
        <v>5519</v>
      </c>
      <c r="B3589" s="1" t="s">
        <v>5520</v>
      </c>
      <c r="C3589" s="1" t="s">
        <v>2058</v>
      </c>
      <c r="D3589" s="39">
        <v>0</v>
      </c>
      <c r="E3589" s="1" t="s">
        <v>1</v>
      </c>
      <c r="F3589" s="39">
        <v>0</v>
      </c>
    </row>
    <row r="3590" spans="1:6" x14ac:dyDescent="0.25">
      <c r="A3590" s="1" t="s">
        <v>5521</v>
      </c>
      <c r="B3590" s="1" t="s">
        <v>5522</v>
      </c>
      <c r="C3590" s="1" t="s">
        <v>2058</v>
      </c>
      <c r="D3590" s="39">
        <v>0</v>
      </c>
      <c r="E3590" s="1" t="s">
        <v>1</v>
      </c>
      <c r="F3590" s="39">
        <v>0</v>
      </c>
    </row>
    <row r="3591" spans="1:6" x14ac:dyDescent="0.25">
      <c r="A3591" s="1" t="s">
        <v>1133</v>
      </c>
      <c r="B3591" s="1" t="s">
        <v>1134</v>
      </c>
      <c r="C3591" s="1" t="s">
        <v>2058</v>
      </c>
      <c r="D3591" s="39">
        <v>0</v>
      </c>
      <c r="E3591" s="1" t="s">
        <v>1</v>
      </c>
      <c r="F3591" s="39">
        <v>0</v>
      </c>
    </row>
    <row r="3592" spans="1:6" x14ac:dyDescent="0.25">
      <c r="A3592" s="1" t="s">
        <v>5523</v>
      </c>
      <c r="B3592" s="1" t="s">
        <v>5524</v>
      </c>
      <c r="C3592" s="1" t="s">
        <v>2058</v>
      </c>
      <c r="D3592" s="39">
        <v>0</v>
      </c>
      <c r="E3592" s="1" t="s">
        <v>1</v>
      </c>
      <c r="F3592" s="39">
        <v>0</v>
      </c>
    </row>
    <row r="3593" spans="1:6" x14ac:dyDescent="0.25">
      <c r="A3593" s="1" t="s">
        <v>5525</v>
      </c>
      <c r="B3593" s="1" t="s">
        <v>5526</v>
      </c>
      <c r="C3593" s="1" t="s">
        <v>2058</v>
      </c>
      <c r="D3593" s="39">
        <v>0</v>
      </c>
      <c r="E3593" s="1" t="s">
        <v>1</v>
      </c>
      <c r="F3593" s="39">
        <v>0</v>
      </c>
    </row>
    <row r="3594" spans="1:6" x14ac:dyDescent="0.25">
      <c r="A3594" s="1" t="s">
        <v>5527</v>
      </c>
      <c r="B3594" s="1" t="s">
        <v>5528</v>
      </c>
      <c r="C3594" s="1" t="s">
        <v>2058</v>
      </c>
      <c r="D3594" s="39">
        <v>0</v>
      </c>
      <c r="E3594" s="1" t="s">
        <v>1</v>
      </c>
      <c r="F3594" s="39">
        <v>0</v>
      </c>
    </row>
    <row r="3595" spans="1:6" x14ac:dyDescent="0.25">
      <c r="A3595" s="1" t="s">
        <v>5529</v>
      </c>
      <c r="B3595" s="1" t="s">
        <v>5530</v>
      </c>
      <c r="C3595" s="1" t="s">
        <v>2058</v>
      </c>
      <c r="D3595" s="39">
        <v>0</v>
      </c>
      <c r="E3595" s="1" t="s">
        <v>1</v>
      </c>
      <c r="F3595" s="39">
        <v>0</v>
      </c>
    </row>
    <row r="3596" spans="1:6" x14ac:dyDescent="0.25">
      <c r="A3596" s="1" t="s">
        <v>5531</v>
      </c>
      <c r="B3596" s="1" t="s">
        <v>5532</v>
      </c>
      <c r="C3596" s="1" t="s">
        <v>2058</v>
      </c>
      <c r="D3596" s="39">
        <v>0</v>
      </c>
      <c r="E3596" s="1" t="s">
        <v>1</v>
      </c>
      <c r="F3596" s="39">
        <v>0</v>
      </c>
    </row>
    <row r="3597" spans="1:6" x14ac:dyDescent="0.25">
      <c r="A3597" s="1" t="s">
        <v>5533</v>
      </c>
      <c r="B3597" s="1" t="s">
        <v>5534</v>
      </c>
      <c r="C3597" s="1" t="s">
        <v>2058</v>
      </c>
      <c r="D3597" s="39">
        <v>0</v>
      </c>
      <c r="E3597" s="1" t="s">
        <v>1</v>
      </c>
      <c r="F3597" s="39">
        <v>0</v>
      </c>
    </row>
    <row r="3598" spans="1:6" x14ac:dyDescent="0.25">
      <c r="A3598" s="1" t="s">
        <v>5535</v>
      </c>
      <c r="B3598" s="1" t="s">
        <v>5536</v>
      </c>
      <c r="C3598" s="1" t="s">
        <v>2058</v>
      </c>
      <c r="D3598" s="39">
        <v>0</v>
      </c>
      <c r="E3598" s="1" t="s">
        <v>1</v>
      </c>
      <c r="F3598" s="39">
        <v>0</v>
      </c>
    </row>
    <row r="3599" spans="1:6" x14ac:dyDescent="0.25">
      <c r="A3599" s="1" t="s">
        <v>5537</v>
      </c>
      <c r="B3599" s="1" t="s">
        <v>5538</v>
      </c>
      <c r="C3599" s="1" t="s">
        <v>2058</v>
      </c>
      <c r="D3599" s="39">
        <v>0</v>
      </c>
      <c r="E3599" s="1" t="s">
        <v>1</v>
      </c>
      <c r="F3599" s="39">
        <v>0</v>
      </c>
    </row>
    <row r="3600" spans="1:6" x14ac:dyDescent="0.25">
      <c r="A3600" s="1" t="s">
        <v>5539</v>
      </c>
      <c r="B3600" s="1" t="s">
        <v>5540</v>
      </c>
      <c r="C3600" s="1" t="s">
        <v>2058</v>
      </c>
      <c r="D3600" s="39">
        <v>0</v>
      </c>
      <c r="E3600" s="1" t="s">
        <v>1</v>
      </c>
      <c r="F3600" s="39">
        <v>0</v>
      </c>
    </row>
    <row r="3601" spans="1:6" x14ac:dyDescent="0.25">
      <c r="A3601" s="1" t="s">
        <v>5541</v>
      </c>
      <c r="B3601" s="1" t="s">
        <v>5542</v>
      </c>
      <c r="C3601" s="1" t="s">
        <v>2058</v>
      </c>
      <c r="D3601" s="39">
        <v>0</v>
      </c>
      <c r="E3601" s="1" t="s">
        <v>1</v>
      </c>
      <c r="F3601" s="39">
        <v>0</v>
      </c>
    </row>
    <row r="3602" spans="1:6" x14ac:dyDescent="0.25">
      <c r="A3602" s="1" t="s">
        <v>5543</v>
      </c>
      <c r="B3602" s="1" t="s">
        <v>5544</v>
      </c>
      <c r="C3602" s="1" t="s">
        <v>2058</v>
      </c>
      <c r="D3602" s="39">
        <v>0</v>
      </c>
      <c r="E3602" s="1" t="s">
        <v>1</v>
      </c>
      <c r="F3602" s="39">
        <v>0</v>
      </c>
    </row>
    <row r="3603" spans="1:6" x14ac:dyDescent="0.25">
      <c r="A3603" s="1" t="s">
        <v>5545</v>
      </c>
      <c r="B3603" s="1" t="s">
        <v>5546</v>
      </c>
      <c r="C3603" s="1" t="s">
        <v>2058</v>
      </c>
      <c r="D3603" s="39">
        <v>0</v>
      </c>
      <c r="E3603" s="1" t="s">
        <v>1</v>
      </c>
      <c r="F3603" s="39">
        <v>0</v>
      </c>
    </row>
    <row r="3604" spans="1:6" x14ac:dyDescent="0.25">
      <c r="A3604" s="1" t="s">
        <v>5547</v>
      </c>
      <c r="B3604" s="1" t="s">
        <v>5548</v>
      </c>
      <c r="C3604" s="1" t="s">
        <v>2058</v>
      </c>
      <c r="D3604" s="39">
        <v>0</v>
      </c>
      <c r="E3604" s="1" t="s">
        <v>1</v>
      </c>
      <c r="F3604" s="39">
        <v>0</v>
      </c>
    </row>
    <row r="3605" spans="1:6" x14ac:dyDescent="0.25">
      <c r="A3605" s="1" t="s">
        <v>1871</v>
      </c>
      <c r="B3605" s="1" t="s">
        <v>5549</v>
      </c>
      <c r="C3605" s="1" t="s">
        <v>2058</v>
      </c>
      <c r="D3605" s="39">
        <v>1848</v>
      </c>
      <c r="E3605" s="1" t="s">
        <v>1</v>
      </c>
      <c r="F3605" s="3">
        <v>37432.910000000003</v>
      </c>
    </row>
    <row r="3606" spans="1:6" x14ac:dyDescent="0.25">
      <c r="A3606" s="1" t="s">
        <v>1872</v>
      </c>
      <c r="B3606" s="1" t="s">
        <v>5550</v>
      </c>
      <c r="C3606" s="1" t="s">
        <v>2058</v>
      </c>
      <c r="D3606" s="39">
        <v>1296</v>
      </c>
      <c r="E3606" s="1" t="s">
        <v>1</v>
      </c>
      <c r="F3606" s="3">
        <v>17607.72</v>
      </c>
    </row>
    <row r="3607" spans="1:6" x14ac:dyDescent="0.25">
      <c r="A3607" s="1" t="s">
        <v>5551</v>
      </c>
      <c r="B3607" s="1" t="s">
        <v>5552</v>
      </c>
      <c r="C3607" s="1" t="s">
        <v>2058</v>
      </c>
      <c r="D3607" s="39">
        <v>0</v>
      </c>
      <c r="E3607" s="1" t="s">
        <v>1</v>
      </c>
      <c r="F3607" s="39">
        <v>0</v>
      </c>
    </row>
    <row r="3608" spans="1:6" x14ac:dyDescent="0.25">
      <c r="A3608" s="1" t="s">
        <v>1899</v>
      </c>
      <c r="B3608" s="1" t="s">
        <v>5553</v>
      </c>
      <c r="C3608" s="1" t="s">
        <v>2058</v>
      </c>
      <c r="D3608" s="39">
        <v>0</v>
      </c>
      <c r="E3608" s="1" t="s">
        <v>1</v>
      </c>
      <c r="F3608" s="39">
        <v>0</v>
      </c>
    </row>
    <row r="3609" spans="1:6" x14ac:dyDescent="0.25">
      <c r="A3609" s="1" t="s">
        <v>1900</v>
      </c>
      <c r="B3609" s="1" t="s">
        <v>5554</v>
      </c>
      <c r="C3609" s="1" t="s">
        <v>2058</v>
      </c>
      <c r="D3609" s="39">
        <v>0</v>
      </c>
      <c r="E3609" s="1" t="s">
        <v>1</v>
      </c>
      <c r="F3609" s="39">
        <v>0</v>
      </c>
    </row>
    <row r="3610" spans="1:6" x14ac:dyDescent="0.25">
      <c r="A3610" s="1" t="s">
        <v>5555</v>
      </c>
      <c r="B3610" s="1" t="s">
        <v>5556</v>
      </c>
      <c r="C3610" s="1" t="s">
        <v>2058</v>
      </c>
      <c r="D3610" s="39">
        <v>0</v>
      </c>
      <c r="E3610" s="1" t="s">
        <v>1</v>
      </c>
      <c r="F3610" s="39">
        <v>0</v>
      </c>
    </row>
    <row r="3611" spans="1:6" x14ac:dyDescent="0.25">
      <c r="A3611" s="1" t="s">
        <v>5557</v>
      </c>
      <c r="B3611" s="1" t="s">
        <v>5558</v>
      </c>
      <c r="C3611" s="1" t="s">
        <v>2058</v>
      </c>
      <c r="D3611" s="39">
        <v>0</v>
      </c>
      <c r="E3611" s="1" t="s">
        <v>1</v>
      </c>
      <c r="F3611" s="39">
        <v>0</v>
      </c>
    </row>
    <row r="3612" spans="1:6" x14ac:dyDescent="0.25">
      <c r="A3612" s="1" t="s">
        <v>5559</v>
      </c>
      <c r="B3612" s="1" t="s">
        <v>5560</v>
      </c>
      <c r="C3612" s="1" t="s">
        <v>2058</v>
      </c>
      <c r="D3612" s="39">
        <v>0</v>
      </c>
      <c r="E3612" s="1" t="s">
        <v>1</v>
      </c>
      <c r="F3612" s="39">
        <v>0</v>
      </c>
    </row>
    <row r="3613" spans="1:6" x14ac:dyDescent="0.25">
      <c r="A3613" s="1" t="s">
        <v>5561</v>
      </c>
      <c r="B3613" s="1" t="s">
        <v>5562</v>
      </c>
      <c r="C3613" s="1" t="s">
        <v>2058</v>
      </c>
      <c r="D3613" s="39">
        <v>0</v>
      </c>
      <c r="E3613" s="1" t="s">
        <v>1</v>
      </c>
      <c r="F3613" s="39">
        <v>0</v>
      </c>
    </row>
    <row r="3614" spans="1:6" x14ac:dyDescent="0.25">
      <c r="A3614" s="1" t="s">
        <v>1873</v>
      </c>
      <c r="B3614" s="1" t="s">
        <v>5563</v>
      </c>
      <c r="C3614" s="1" t="s">
        <v>2058</v>
      </c>
      <c r="D3614" s="39">
        <v>0</v>
      </c>
      <c r="E3614" s="1" t="s">
        <v>1</v>
      </c>
      <c r="F3614" s="39">
        <v>0</v>
      </c>
    </row>
    <row r="3615" spans="1:6" x14ac:dyDescent="0.25">
      <c r="A3615" s="1" t="s">
        <v>5564</v>
      </c>
      <c r="B3615" s="1" t="s">
        <v>5565</v>
      </c>
      <c r="C3615" s="1" t="s">
        <v>2058</v>
      </c>
      <c r="D3615" s="39">
        <v>0</v>
      </c>
      <c r="E3615" s="1" t="s">
        <v>1</v>
      </c>
      <c r="F3615" s="39">
        <v>0</v>
      </c>
    </row>
    <row r="3616" spans="1:6" x14ac:dyDescent="0.25">
      <c r="A3616" s="1" t="s">
        <v>5566</v>
      </c>
      <c r="B3616" s="1" t="s">
        <v>5567</v>
      </c>
      <c r="C3616" s="1" t="s">
        <v>2058</v>
      </c>
      <c r="D3616" s="39">
        <v>0</v>
      </c>
      <c r="E3616" s="1" t="s">
        <v>1</v>
      </c>
      <c r="F3616" s="39">
        <v>0</v>
      </c>
    </row>
    <row r="3617" spans="1:6" x14ac:dyDescent="0.25">
      <c r="A3617" s="1" t="s">
        <v>5568</v>
      </c>
      <c r="B3617" s="1" t="s">
        <v>5569</v>
      </c>
      <c r="C3617" s="1" t="s">
        <v>2058</v>
      </c>
      <c r="D3617" s="39">
        <v>0</v>
      </c>
      <c r="E3617" s="1" t="s">
        <v>1</v>
      </c>
      <c r="F3617" s="39">
        <v>0</v>
      </c>
    </row>
    <row r="3618" spans="1:6" x14ac:dyDescent="0.25">
      <c r="A3618" s="1" t="s">
        <v>5570</v>
      </c>
      <c r="B3618" s="1" t="s">
        <v>5571</v>
      </c>
      <c r="C3618" s="1" t="s">
        <v>2058</v>
      </c>
      <c r="D3618" s="39">
        <v>0</v>
      </c>
      <c r="E3618" s="1" t="s">
        <v>1</v>
      </c>
      <c r="F3618" s="39">
        <v>0</v>
      </c>
    </row>
    <row r="3619" spans="1:6" x14ac:dyDescent="0.25">
      <c r="A3619" s="1" t="s">
        <v>5572</v>
      </c>
      <c r="B3619" s="1" t="s">
        <v>5573</v>
      </c>
      <c r="C3619" s="1" t="s">
        <v>2058</v>
      </c>
      <c r="D3619" s="39">
        <v>0</v>
      </c>
      <c r="E3619" s="1" t="s">
        <v>1</v>
      </c>
      <c r="F3619" s="39">
        <v>0</v>
      </c>
    </row>
    <row r="3620" spans="1:6" x14ac:dyDescent="0.25">
      <c r="A3620" s="1" t="s">
        <v>1874</v>
      </c>
      <c r="B3620" s="1" t="s">
        <v>5574</v>
      </c>
      <c r="C3620" s="1" t="s">
        <v>2058</v>
      </c>
      <c r="D3620" s="39">
        <v>4704</v>
      </c>
      <c r="E3620" s="1" t="s">
        <v>1</v>
      </c>
      <c r="F3620" s="3">
        <v>52975.98</v>
      </c>
    </row>
    <row r="3621" spans="1:6" x14ac:dyDescent="0.25">
      <c r="A3621" s="1" t="s">
        <v>5575</v>
      </c>
      <c r="B3621" s="1" t="s">
        <v>5576</v>
      </c>
      <c r="C3621" s="1" t="s">
        <v>2058</v>
      </c>
      <c r="D3621" s="39">
        <v>0</v>
      </c>
      <c r="E3621" s="1" t="s">
        <v>1</v>
      </c>
      <c r="F3621" s="39">
        <v>0</v>
      </c>
    </row>
    <row r="3622" spans="1:6" x14ac:dyDescent="0.25">
      <c r="A3622" s="1" t="s">
        <v>5577</v>
      </c>
      <c r="B3622" s="1" t="s">
        <v>5578</v>
      </c>
      <c r="C3622" s="1" t="s">
        <v>2058</v>
      </c>
      <c r="D3622" s="39">
        <v>0</v>
      </c>
      <c r="E3622" s="1" t="s">
        <v>1</v>
      </c>
      <c r="F3622" s="39">
        <v>0</v>
      </c>
    </row>
    <row r="3623" spans="1:6" x14ac:dyDescent="0.25">
      <c r="A3623" s="1" t="s">
        <v>5579</v>
      </c>
      <c r="B3623" s="1" t="s">
        <v>5580</v>
      </c>
      <c r="C3623" s="1" t="s">
        <v>2058</v>
      </c>
      <c r="D3623" s="39">
        <v>0</v>
      </c>
      <c r="E3623" s="1" t="s">
        <v>1</v>
      </c>
      <c r="F3623" s="39">
        <v>0</v>
      </c>
    </row>
    <row r="3624" spans="1:6" x14ac:dyDescent="0.25">
      <c r="A3624" s="1" t="s">
        <v>5581</v>
      </c>
      <c r="B3624" s="1" t="s">
        <v>5582</v>
      </c>
      <c r="C3624" s="1" t="s">
        <v>2058</v>
      </c>
      <c r="D3624" s="39">
        <v>0</v>
      </c>
      <c r="E3624" s="1" t="s">
        <v>1</v>
      </c>
      <c r="F3624" s="39">
        <v>0</v>
      </c>
    </row>
    <row r="3625" spans="1:6" x14ac:dyDescent="0.25">
      <c r="A3625" s="1" t="s">
        <v>5583</v>
      </c>
      <c r="B3625" s="1" t="s">
        <v>5584</v>
      </c>
      <c r="C3625" s="1" t="s">
        <v>2058</v>
      </c>
      <c r="D3625" s="39">
        <v>0</v>
      </c>
      <c r="E3625" s="1" t="s">
        <v>1</v>
      </c>
      <c r="F3625" s="39">
        <v>0</v>
      </c>
    </row>
    <row r="3626" spans="1:6" x14ac:dyDescent="0.25">
      <c r="A3626" s="1" t="s">
        <v>1838</v>
      </c>
      <c r="B3626" s="1" t="s">
        <v>5585</v>
      </c>
      <c r="C3626" s="1" t="s">
        <v>2058</v>
      </c>
      <c r="D3626" s="39">
        <v>0</v>
      </c>
      <c r="E3626" s="1" t="s">
        <v>1</v>
      </c>
      <c r="F3626" s="39">
        <v>0</v>
      </c>
    </row>
    <row r="3627" spans="1:6" x14ac:dyDescent="0.25">
      <c r="A3627" s="1" t="s">
        <v>5586</v>
      </c>
      <c r="B3627" s="1" t="s">
        <v>5587</v>
      </c>
      <c r="C3627" s="1" t="s">
        <v>2058</v>
      </c>
      <c r="D3627" s="39">
        <v>0</v>
      </c>
      <c r="E3627" s="1" t="s">
        <v>1</v>
      </c>
      <c r="F3627" s="39">
        <v>0</v>
      </c>
    </row>
    <row r="3628" spans="1:6" x14ac:dyDescent="0.25">
      <c r="A3628" s="1" t="s">
        <v>5588</v>
      </c>
      <c r="B3628" s="1" t="s">
        <v>5589</v>
      </c>
      <c r="C3628" s="1" t="s">
        <v>2058</v>
      </c>
      <c r="D3628" s="39">
        <v>0</v>
      </c>
      <c r="E3628" s="1" t="s">
        <v>1</v>
      </c>
      <c r="F3628" s="39">
        <v>0</v>
      </c>
    </row>
    <row r="3629" spans="1:6" x14ac:dyDescent="0.25">
      <c r="A3629" s="1" t="s">
        <v>5590</v>
      </c>
      <c r="B3629" s="1" t="s">
        <v>5591</v>
      </c>
      <c r="C3629" s="1" t="s">
        <v>2058</v>
      </c>
      <c r="D3629" s="39">
        <v>0</v>
      </c>
      <c r="E3629" s="1" t="s">
        <v>1</v>
      </c>
      <c r="F3629" s="39">
        <v>0</v>
      </c>
    </row>
    <row r="3630" spans="1:6" x14ac:dyDescent="0.25">
      <c r="A3630" s="1" t="s">
        <v>5592</v>
      </c>
      <c r="B3630" s="1" t="s">
        <v>5593</v>
      </c>
      <c r="C3630" s="1" t="s">
        <v>2058</v>
      </c>
      <c r="D3630" s="39">
        <v>0</v>
      </c>
      <c r="E3630" s="1" t="s">
        <v>1</v>
      </c>
      <c r="F3630" s="39">
        <v>0</v>
      </c>
    </row>
    <row r="3631" spans="1:6" x14ac:dyDescent="0.25">
      <c r="A3631" s="1" t="s">
        <v>5594</v>
      </c>
      <c r="B3631" s="1" t="s">
        <v>5595</v>
      </c>
      <c r="C3631" s="1" t="s">
        <v>2058</v>
      </c>
      <c r="D3631" s="39">
        <v>0</v>
      </c>
      <c r="E3631" s="1" t="s">
        <v>1</v>
      </c>
      <c r="F3631" s="39">
        <v>0</v>
      </c>
    </row>
    <row r="3632" spans="1:6" x14ac:dyDescent="0.25">
      <c r="A3632" s="1" t="s">
        <v>5596</v>
      </c>
      <c r="B3632" s="1" t="s">
        <v>5597</v>
      </c>
      <c r="C3632" s="1" t="s">
        <v>2058</v>
      </c>
      <c r="D3632" s="39">
        <v>0</v>
      </c>
      <c r="E3632" s="1" t="s">
        <v>1</v>
      </c>
      <c r="F3632" s="39">
        <v>0</v>
      </c>
    </row>
    <row r="3633" spans="1:6" x14ac:dyDescent="0.25">
      <c r="A3633" s="1" t="s">
        <v>5598</v>
      </c>
      <c r="B3633" s="1" t="s">
        <v>5599</v>
      </c>
      <c r="C3633" s="1" t="s">
        <v>2058</v>
      </c>
      <c r="D3633" s="39">
        <v>0</v>
      </c>
      <c r="E3633" s="1" t="s">
        <v>1</v>
      </c>
      <c r="F3633" s="39">
        <v>0</v>
      </c>
    </row>
    <row r="3634" spans="1:6" x14ac:dyDescent="0.25">
      <c r="A3634" s="1" t="s">
        <v>5600</v>
      </c>
      <c r="B3634" s="1" t="s">
        <v>5601</v>
      </c>
      <c r="C3634" s="1" t="s">
        <v>2058</v>
      </c>
      <c r="D3634" s="39">
        <v>0</v>
      </c>
      <c r="E3634" s="1" t="s">
        <v>1</v>
      </c>
      <c r="F3634" s="39">
        <v>0</v>
      </c>
    </row>
    <row r="3635" spans="1:6" x14ac:dyDescent="0.25">
      <c r="A3635" s="1" t="s">
        <v>1137</v>
      </c>
      <c r="B3635" s="1" t="s">
        <v>1138</v>
      </c>
      <c r="C3635" s="1" t="s">
        <v>2058</v>
      </c>
      <c r="D3635" s="39">
        <v>0</v>
      </c>
      <c r="E3635" s="1" t="s">
        <v>1</v>
      </c>
      <c r="F3635" s="39">
        <v>0</v>
      </c>
    </row>
    <row r="3636" spans="1:6" x14ac:dyDescent="0.25">
      <c r="A3636" s="1" t="s">
        <v>5602</v>
      </c>
      <c r="B3636" s="1" t="s">
        <v>5603</v>
      </c>
      <c r="C3636" s="1" t="s">
        <v>2058</v>
      </c>
      <c r="D3636" s="39">
        <v>0</v>
      </c>
      <c r="E3636" s="1" t="s">
        <v>1</v>
      </c>
      <c r="F3636" s="39">
        <v>0</v>
      </c>
    </row>
    <row r="3637" spans="1:6" x14ac:dyDescent="0.25">
      <c r="A3637" s="1" t="s">
        <v>1839</v>
      </c>
      <c r="B3637" s="1" t="s">
        <v>5604</v>
      </c>
      <c r="C3637" s="1" t="s">
        <v>2058</v>
      </c>
      <c r="D3637" s="39">
        <v>0</v>
      </c>
      <c r="E3637" s="1" t="s">
        <v>1</v>
      </c>
      <c r="F3637" s="39">
        <v>0</v>
      </c>
    </row>
    <row r="3638" spans="1:6" x14ac:dyDescent="0.25">
      <c r="A3638" s="1" t="s">
        <v>1840</v>
      </c>
      <c r="B3638" s="1" t="s">
        <v>5605</v>
      </c>
      <c r="C3638" s="1" t="s">
        <v>2058</v>
      </c>
      <c r="D3638" s="39">
        <v>0</v>
      </c>
      <c r="E3638" s="1" t="s">
        <v>1</v>
      </c>
      <c r="F3638" s="39">
        <v>0</v>
      </c>
    </row>
    <row r="3639" spans="1:6" x14ac:dyDescent="0.25">
      <c r="A3639" s="1" t="s">
        <v>1876</v>
      </c>
      <c r="B3639" s="1" t="s">
        <v>5606</v>
      </c>
      <c r="C3639" s="1" t="s">
        <v>2058</v>
      </c>
      <c r="D3639" s="39">
        <v>1344</v>
      </c>
      <c r="E3639" s="1" t="s">
        <v>1</v>
      </c>
      <c r="F3639" s="3">
        <v>12636.15</v>
      </c>
    </row>
    <row r="3640" spans="1:6" x14ac:dyDescent="0.25">
      <c r="A3640" s="1" t="s">
        <v>1877</v>
      </c>
      <c r="B3640" s="1" t="s">
        <v>5607</v>
      </c>
      <c r="C3640" s="1" t="s">
        <v>2058</v>
      </c>
      <c r="D3640" s="39">
        <v>0</v>
      </c>
      <c r="E3640" s="1" t="s">
        <v>1</v>
      </c>
      <c r="F3640" s="39">
        <v>0</v>
      </c>
    </row>
    <row r="3641" spans="1:6" x14ac:dyDescent="0.25">
      <c r="A3641" s="1" t="s">
        <v>1878</v>
      </c>
      <c r="B3641" s="1" t="s">
        <v>5608</v>
      </c>
      <c r="C3641" s="1" t="s">
        <v>2058</v>
      </c>
      <c r="D3641" s="39">
        <v>1200</v>
      </c>
      <c r="E3641" s="1" t="s">
        <v>1</v>
      </c>
      <c r="F3641" s="3">
        <v>8281.2099999999991</v>
      </c>
    </row>
    <row r="3642" spans="1:6" x14ac:dyDescent="0.25">
      <c r="A3642" s="1" t="s">
        <v>1879</v>
      </c>
      <c r="B3642" s="1" t="s">
        <v>5609</v>
      </c>
      <c r="C3642" s="1" t="s">
        <v>2058</v>
      </c>
      <c r="D3642" s="39">
        <v>0</v>
      </c>
      <c r="E3642" s="1" t="s">
        <v>1</v>
      </c>
      <c r="F3642" s="39">
        <v>0</v>
      </c>
    </row>
    <row r="3643" spans="1:6" x14ac:dyDescent="0.25">
      <c r="A3643" s="1" t="s">
        <v>1880</v>
      </c>
      <c r="B3643" s="1" t="s">
        <v>5610</v>
      </c>
      <c r="C3643" s="1" t="s">
        <v>2058</v>
      </c>
      <c r="D3643" s="39">
        <v>1200</v>
      </c>
      <c r="E3643" s="1" t="s">
        <v>1</v>
      </c>
      <c r="F3643" s="3">
        <v>12207.48</v>
      </c>
    </row>
    <row r="3644" spans="1:6" x14ac:dyDescent="0.25">
      <c r="A3644" s="1" t="s">
        <v>1881</v>
      </c>
      <c r="B3644" s="1" t="s">
        <v>5611</v>
      </c>
      <c r="C3644" s="1" t="s">
        <v>2058</v>
      </c>
      <c r="D3644" s="39">
        <v>0</v>
      </c>
      <c r="E3644" s="1" t="s">
        <v>1</v>
      </c>
      <c r="F3644" s="39">
        <v>0</v>
      </c>
    </row>
    <row r="3645" spans="1:6" x14ac:dyDescent="0.25">
      <c r="A3645" s="1" t="s">
        <v>5612</v>
      </c>
      <c r="B3645" s="1" t="s">
        <v>5613</v>
      </c>
      <c r="C3645" s="1" t="s">
        <v>2058</v>
      </c>
      <c r="D3645" s="39">
        <v>0</v>
      </c>
      <c r="E3645" s="1" t="s">
        <v>1</v>
      </c>
      <c r="F3645" s="39">
        <v>0</v>
      </c>
    </row>
    <row r="3646" spans="1:6" x14ac:dyDescent="0.25">
      <c r="A3646" s="1" t="s">
        <v>1856</v>
      </c>
      <c r="B3646" s="1" t="s">
        <v>5614</v>
      </c>
      <c r="C3646" s="1" t="s">
        <v>2058</v>
      </c>
      <c r="D3646" s="39">
        <v>1525</v>
      </c>
      <c r="E3646" s="1" t="s">
        <v>1</v>
      </c>
      <c r="F3646" s="3">
        <v>47541.27</v>
      </c>
    </row>
    <row r="3647" spans="1:6" x14ac:dyDescent="0.25">
      <c r="A3647" s="1" t="s">
        <v>5615</v>
      </c>
      <c r="B3647" s="1" t="s">
        <v>5616</v>
      </c>
      <c r="C3647" s="1" t="s">
        <v>2058</v>
      </c>
      <c r="D3647" s="39">
        <v>0</v>
      </c>
      <c r="E3647" s="1" t="s">
        <v>1</v>
      </c>
      <c r="F3647" s="39">
        <v>0</v>
      </c>
    </row>
    <row r="3648" spans="1:6" x14ac:dyDescent="0.25">
      <c r="A3648" s="1" t="s">
        <v>1864</v>
      </c>
      <c r="B3648" s="1" t="s">
        <v>5617</v>
      </c>
      <c r="C3648" s="1" t="s">
        <v>2058</v>
      </c>
      <c r="D3648" s="39">
        <v>0</v>
      </c>
      <c r="E3648" s="1" t="s">
        <v>1</v>
      </c>
      <c r="F3648" s="39">
        <v>0</v>
      </c>
    </row>
    <row r="3649" spans="1:6" x14ac:dyDescent="0.25">
      <c r="A3649" s="1" t="s">
        <v>5618</v>
      </c>
      <c r="B3649" s="1" t="s">
        <v>5619</v>
      </c>
      <c r="C3649" s="1" t="s">
        <v>2058</v>
      </c>
      <c r="D3649" s="39">
        <v>0</v>
      </c>
      <c r="E3649" s="1" t="s">
        <v>1</v>
      </c>
      <c r="F3649" s="39">
        <v>0</v>
      </c>
    </row>
    <row r="3650" spans="1:6" x14ac:dyDescent="0.25">
      <c r="A3650" s="1" t="s">
        <v>5620</v>
      </c>
      <c r="B3650" s="1" t="s">
        <v>5621</v>
      </c>
      <c r="C3650" s="1" t="s">
        <v>2058</v>
      </c>
      <c r="D3650" s="39">
        <v>0</v>
      </c>
      <c r="E3650" s="1" t="s">
        <v>1</v>
      </c>
      <c r="F3650" s="39">
        <v>0</v>
      </c>
    </row>
    <row r="3651" spans="1:6" x14ac:dyDescent="0.25">
      <c r="A3651" s="1" t="s">
        <v>5622</v>
      </c>
      <c r="B3651" s="1" t="s">
        <v>5623</v>
      </c>
      <c r="C3651" s="1" t="s">
        <v>2058</v>
      </c>
      <c r="D3651" s="39">
        <v>0</v>
      </c>
      <c r="E3651" s="1" t="s">
        <v>1</v>
      </c>
      <c r="F3651" s="39">
        <v>0</v>
      </c>
    </row>
    <row r="3652" spans="1:6" x14ac:dyDescent="0.25">
      <c r="A3652" s="1" t="s">
        <v>5624</v>
      </c>
      <c r="B3652" s="1" t="s">
        <v>5625</v>
      </c>
      <c r="C3652" s="1" t="s">
        <v>2058</v>
      </c>
      <c r="D3652" s="39">
        <v>0</v>
      </c>
      <c r="E3652" s="1" t="s">
        <v>1</v>
      </c>
      <c r="F3652" s="39">
        <v>0</v>
      </c>
    </row>
    <row r="3653" spans="1:6" x14ac:dyDescent="0.25">
      <c r="A3653" s="1" t="s">
        <v>5626</v>
      </c>
      <c r="B3653" s="1" t="s">
        <v>5627</v>
      </c>
      <c r="C3653" s="1" t="s">
        <v>2058</v>
      </c>
      <c r="D3653" s="39">
        <v>0</v>
      </c>
      <c r="E3653" s="1" t="s">
        <v>1</v>
      </c>
      <c r="F3653" s="39">
        <v>0</v>
      </c>
    </row>
    <row r="3654" spans="1:6" x14ac:dyDescent="0.25">
      <c r="A3654" s="1" t="s">
        <v>5628</v>
      </c>
      <c r="B3654" s="1" t="s">
        <v>5629</v>
      </c>
      <c r="C3654" s="1" t="s">
        <v>2058</v>
      </c>
      <c r="D3654" s="39">
        <v>0</v>
      </c>
      <c r="E3654" s="1" t="s">
        <v>1</v>
      </c>
      <c r="F3654" s="39">
        <v>0</v>
      </c>
    </row>
    <row r="3655" spans="1:6" x14ac:dyDescent="0.25">
      <c r="A3655" s="1" t="s">
        <v>5630</v>
      </c>
      <c r="B3655" s="1" t="s">
        <v>2640</v>
      </c>
      <c r="C3655" s="1" t="s">
        <v>2058</v>
      </c>
      <c r="D3655" s="39">
        <v>0</v>
      </c>
      <c r="E3655" s="1" t="s">
        <v>1</v>
      </c>
      <c r="F3655" s="39">
        <v>0</v>
      </c>
    </row>
    <row r="3656" spans="1:6" x14ac:dyDescent="0.25">
      <c r="A3656" s="1" t="s">
        <v>5631</v>
      </c>
      <c r="B3656" s="1" t="s">
        <v>5632</v>
      </c>
      <c r="C3656" s="1" t="s">
        <v>2058</v>
      </c>
      <c r="D3656" s="39">
        <v>0</v>
      </c>
      <c r="E3656" s="1" t="s">
        <v>1</v>
      </c>
      <c r="F3656" s="39">
        <v>0</v>
      </c>
    </row>
    <row r="3657" spans="1:6" x14ac:dyDescent="0.25">
      <c r="A3657" s="1" t="s">
        <v>5633</v>
      </c>
      <c r="B3657" s="1" t="s">
        <v>5634</v>
      </c>
      <c r="C3657" s="1" t="s">
        <v>2058</v>
      </c>
      <c r="D3657" s="39">
        <v>0</v>
      </c>
      <c r="E3657" s="1" t="s">
        <v>1</v>
      </c>
      <c r="F3657" s="39">
        <v>0</v>
      </c>
    </row>
    <row r="3658" spans="1:6" x14ac:dyDescent="0.25">
      <c r="A3658" s="1" t="s">
        <v>1857</v>
      </c>
      <c r="B3658" s="1" t="s">
        <v>5635</v>
      </c>
      <c r="C3658" s="1" t="s">
        <v>2058</v>
      </c>
      <c r="D3658" s="39">
        <v>320</v>
      </c>
      <c r="E3658" s="1" t="s">
        <v>1</v>
      </c>
      <c r="F3658" s="3">
        <v>26939.78</v>
      </c>
    </row>
    <row r="3659" spans="1:6" x14ac:dyDescent="0.25">
      <c r="A3659" s="1" t="s">
        <v>1859</v>
      </c>
      <c r="B3659" s="1" t="s">
        <v>5636</v>
      </c>
      <c r="C3659" s="1" t="s">
        <v>2058</v>
      </c>
      <c r="D3659" s="39">
        <v>0</v>
      </c>
      <c r="E3659" s="1" t="s">
        <v>1</v>
      </c>
      <c r="F3659" s="39">
        <v>0</v>
      </c>
    </row>
    <row r="3660" spans="1:6" x14ac:dyDescent="0.25">
      <c r="A3660" s="1" t="s">
        <v>1858</v>
      </c>
      <c r="B3660" s="1" t="s">
        <v>5637</v>
      </c>
      <c r="C3660" s="1" t="s">
        <v>2058</v>
      </c>
      <c r="D3660" s="39">
        <v>400</v>
      </c>
      <c r="E3660" s="1" t="s">
        <v>1</v>
      </c>
      <c r="F3660" s="3">
        <v>6717.72</v>
      </c>
    </row>
    <row r="3661" spans="1:6" x14ac:dyDescent="0.25">
      <c r="A3661" s="1" t="s">
        <v>1860</v>
      </c>
      <c r="B3661" s="1" t="s">
        <v>5638</v>
      </c>
      <c r="C3661" s="1" t="s">
        <v>2058</v>
      </c>
      <c r="D3661" s="39">
        <v>0</v>
      </c>
      <c r="E3661" s="1" t="s">
        <v>1</v>
      </c>
      <c r="F3661" s="39">
        <v>0</v>
      </c>
    </row>
    <row r="3662" spans="1:6" x14ac:dyDescent="0.25">
      <c r="A3662" s="1" t="s">
        <v>5639</v>
      </c>
      <c r="B3662" s="1" t="s">
        <v>5640</v>
      </c>
      <c r="C3662" s="1" t="s">
        <v>2058</v>
      </c>
      <c r="D3662" s="39">
        <v>0</v>
      </c>
      <c r="E3662" s="1" t="s">
        <v>1</v>
      </c>
      <c r="F3662" s="39">
        <v>0</v>
      </c>
    </row>
    <row r="3663" spans="1:6" x14ac:dyDescent="0.25">
      <c r="A3663" s="1" t="s">
        <v>5641</v>
      </c>
      <c r="B3663" s="1" t="s">
        <v>5642</v>
      </c>
      <c r="C3663" s="1" t="s">
        <v>2058</v>
      </c>
      <c r="D3663" s="39">
        <v>0</v>
      </c>
      <c r="E3663" s="1" t="s">
        <v>1</v>
      </c>
      <c r="F3663" s="39">
        <v>0</v>
      </c>
    </row>
    <row r="3664" spans="1:6" x14ac:dyDescent="0.25">
      <c r="A3664" s="1" t="s">
        <v>5643</v>
      </c>
      <c r="B3664" s="1" t="s">
        <v>5644</v>
      </c>
      <c r="C3664" s="1" t="s">
        <v>2058</v>
      </c>
      <c r="D3664" s="39">
        <v>0</v>
      </c>
      <c r="E3664" s="1" t="s">
        <v>1</v>
      </c>
      <c r="F3664" s="39">
        <v>0</v>
      </c>
    </row>
    <row r="3665" spans="1:6" x14ac:dyDescent="0.25">
      <c r="A3665" s="1" t="s">
        <v>5645</v>
      </c>
      <c r="B3665" s="1" t="s">
        <v>5646</v>
      </c>
      <c r="C3665" s="1" t="s">
        <v>2058</v>
      </c>
      <c r="D3665" s="39">
        <v>0</v>
      </c>
      <c r="E3665" s="1" t="s">
        <v>1</v>
      </c>
      <c r="F3665" s="39">
        <v>0</v>
      </c>
    </row>
    <row r="3666" spans="1:6" x14ac:dyDescent="0.25">
      <c r="A3666" s="1" t="s">
        <v>1861</v>
      </c>
      <c r="B3666" s="1" t="s">
        <v>5647</v>
      </c>
      <c r="C3666" s="1" t="s">
        <v>2058</v>
      </c>
      <c r="D3666" s="39">
        <v>0</v>
      </c>
      <c r="E3666" s="1" t="s">
        <v>1</v>
      </c>
      <c r="F3666" s="39">
        <v>0</v>
      </c>
    </row>
    <row r="3667" spans="1:6" x14ac:dyDescent="0.25">
      <c r="A3667" s="1" t="s">
        <v>1862</v>
      </c>
      <c r="B3667" s="1" t="s">
        <v>5648</v>
      </c>
      <c r="C3667" s="1" t="s">
        <v>2058</v>
      </c>
      <c r="D3667" s="39">
        <v>0</v>
      </c>
      <c r="E3667" s="1" t="s">
        <v>1</v>
      </c>
      <c r="F3667" s="39">
        <v>0</v>
      </c>
    </row>
    <row r="3668" spans="1:6" x14ac:dyDescent="0.25">
      <c r="A3668" s="1" t="s">
        <v>1863</v>
      </c>
      <c r="B3668" s="1" t="s">
        <v>5649</v>
      </c>
      <c r="C3668" s="1" t="s">
        <v>2058</v>
      </c>
      <c r="D3668" s="39">
        <v>3082</v>
      </c>
      <c r="E3668" s="1" t="s">
        <v>1</v>
      </c>
      <c r="F3668" s="3">
        <v>119352.29</v>
      </c>
    </row>
    <row r="3669" spans="1:6" x14ac:dyDescent="0.25">
      <c r="A3669" s="1" t="s">
        <v>1140</v>
      </c>
      <c r="B3669" s="1" t="s">
        <v>1141</v>
      </c>
      <c r="C3669" s="1" t="s">
        <v>2058</v>
      </c>
      <c r="D3669" s="39">
        <v>0</v>
      </c>
      <c r="E3669" s="1" t="s">
        <v>1</v>
      </c>
      <c r="F3669" s="39">
        <v>0</v>
      </c>
    </row>
    <row r="3670" spans="1:6" x14ac:dyDescent="0.25">
      <c r="A3670" s="1" t="s">
        <v>5650</v>
      </c>
      <c r="B3670" s="1" t="s">
        <v>5651</v>
      </c>
      <c r="C3670" s="1" t="s">
        <v>2058</v>
      </c>
      <c r="D3670" s="39">
        <v>0</v>
      </c>
      <c r="E3670" s="1" t="s">
        <v>1</v>
      </c>
      <c r="F3670" s="39">
        <v>0</v>
      </c>
    </row>
    <row r="3671" spans="1:6" x14ac:dyDescent="0.25">
      <c r="A3671" s="1" t="s">
        <v>5652</v>
      </c>
      <c r="B3671" s="1" t="s">
        <v>4369</v>
      </c>
      <c r="C3671" s="1" t="s">
        <v>2058</v>
      </c>
      <c r="D3671" s="39">
        <v>0</v>
      </c>
      <c r="E3671" s="1" t="s">
        <v>1</v>
      </c>
      <c r="F3671" s="39">
        <v>0</v>
      </c>
    </row>
    <row r="3672" spans="1:6" x14ac:dyDescent="0.25">
      <c r="A3672" s="1" t="s">
        <v>5653</v>
      </c>
      <c r="B3672" s="1" t="s">
        <v>4371</v>
      </c>
      <c r="C3672" s="1" t="s">
        <v>2058</v>
      </c>
      <c r="D3672" s="39">
        <v>0</v>
      </c>
      <c r="E3672" s="1" t="s">
        <v>1</v>
      </c>
      <c r="F3672" s="39">
        <v>0</v>
      </c>
    </row>
    <row r="3673" spans="1:6" x14ac:dyDescent="0.25">
      <c r="A3673" s="1" t="s">
        <v>5654</v>
      </c>
      <c r="B3673" s="1" t="s">
        <v>5655</v>
      </c>
      <c r="C3673" s="1" t="s">
        <v>2058</v>
      </c>
      <c r="D3673" s="39">
        <v>0</v>
      </c>
      <c r="E3673" s="1" t="s">
        <v>1</v>
      </c>
      <c r="F3673" s="39">
        <v>0</v>
      </c>
    </row>
    <row r="3674" spans="1:6" x14ac:dyDescent="0.25">
      <c r="A3674" s="1" t="s">
        <v>1143</v>
      </c>
      <c r="B3674" s="1" t="s">
        <v>1144</v>
      </c>
      <c r="C3674" s="1" t="s">
        <v>2058</v>
      </c>
      <c r="D3674" s="39">
        <v>0</v>
      </c>
      <c r="E3674" s="1" t="s">
        <v>1</v>
      </c>
      <c r="F3674" s="39">
        <v>0</v>
      </c>
    </row>
    <row r="3675" spans="1:6" x14ac:dyDescent="0.25">
      <c r="A3675" s="1" t="s">
        <v>1153</v>
      </c>
      <c r="B3675" s="1" t="s">
        <v>1154</v>
      </c>
      <c r="C3675" s="1" t="s">
        <v>2058</v>
      </c>
      <c r="D3675" s="39">
        <v>0</v>
      </c>
      <c r="E3675" s="1" t="s">
        <v>1</v>
      </c>
      <c r="F3675" s="39">
        <v>0</v>
      </c>
    </row>
    <row r="3676" spans="1:6" x14ac:dyDescent="0.25">
      <c r="A3676" s="1" t="s">
        <v>5656</v>
      </c>
      <c r="B3676" s="1" t="s">
        <v>2306</v>
      </c>
      <c r="C3676" s="1" t="s">
        <v>2058</v>
      </c>
      <c r="D3676" s="39">
        <v>0</v>
      </c>
      <c r="E3676" s="1" t="s">
        <v>1</v>
      </c>
      <c r="F3676" s="39">
        <v>0</v>
      </c>
    </row>
    <row r="3677" spans="1:6" x14ac:dyDescent="0.25">
      <c r="A3677" s="1" t="s">
        <v>5657</v>
      </c>
      <c r="B3677" s="1" t="s">
        <v>2309</v>
      </c>
      <c r="C3677" s="1" t="s">
        <v>2058</v>
      </c>
      <c r="D3677" s="39">
        <v>0</v>
      </c>
      <c r="E3677" s="1" t="s">
        <v>1</v>
      </c>
      <c r="F3677" s="39">
        <v>0</v>
      </c>
    </row>
    <row r="3678" spans="1:6" x14ac:dyDescent="0.25">
      <c r="A3678" s="1" t="s">
        <v>5658</v>
      </c>
      <c r="B3678" s="1" t="s">
        <v>2308</v>
      </c>
      <c r="C3678" s="1" t="s">
        <v>2058</v>
      </c>
      <c r="D3678" s="39">
        <v>0</v>
      </c>
      <c r="E3678" s="1" t="s">
        <v>1</v>
      </c>
      <c r="F3678" s="39">
        <v>0</v>
      </c>
    </row>
    <row r="3679" spans="1:6" x14ac:dyDescent="0.25">
      <c r="A3679" s="1" t="s">
        <v>5659</v>
      </c>
      <c r="B3679" s="1" t="s">
        <v>5660</v>
      </c>
      <c r="C3679" s="1" t="s">
        <v>2058</v>
      </c>
      <c r="D3679" s="39">
        <v>0</v>
      </c>
      <c r="E3679" s="1" t="s">
        <v>1</v>
      </c>
      <c r="F3679" s="39">
        <v>0</v>
      </c>
    </row>
    <row r="3680" spans="1:6" x14ac:dyDescent="0.25">
      <c r="A3680" s="1" t="s">
        <v>5661</v>
      </c>
      <c r="B3680" s="1" t="s">
        <v>2322</v>
      </c>
      <c r="C3680" s="1" t="s">
        <v>2058</v>
      </c>
      <c r="D3680" s="39">
        <v>0</v>
      </c>
      <c r="E3680" s="1" t="s">
        <v>1</v>
      </c>
      <c r="F3680" s="39">
        <v>0</v>
      </c>
    </row>
    <row r="3681" spans="1:6" x14ac:dyDescent="0.25">
      <c r="A3681" s="1" t="s">
        <v>5662</v>
      </c>
      <c r="B3681" s="1" t="s">
        <v>2321</v>
      </c>
      <c r="C3681" s="1" t="s">
        <v>2058</v>
      </c>
      <c r="D3681" s="39">
        <v>0</v>
      </c>
      <c r="E3681" s="1" t="s">
        <v>1</v>
      </c>
      <c r="F3681" s="39">
        <v>0</v>
      </c>
    </row>
    <row r="3682" spans="1:6" x14ac:dyDescent="0.25">
      <c r="A3682" s="1" t="s">
        <v>5663</v>
      </c>
      <c r="B3682" s="1" t="s">
        <v>5664</v>
      </c>
      <c r="C3682" s="1" t="s">
        <v>2058</v>
      </c>
      <c r="D3682" s="39">
        <v>0</v>
      </c>
      <c r="E3682" s="1" t="s">
        <v>1</v>
      </c>
      <c r="F3682" s="39">
        <v>0</v>
      </c>
    </row>
    <row r="3683" spans="1:6" x14ac:dyDescent="0.25">
      <c r="A3683" s="1" t="s">
        <v>5665</v>
      </c>
      <c r="B3683" s="1" t="s">
        <v>5666</v>
      </c>
      <c r="C3683" s="1" t="s">
        <v>2058</v>
      </c>
      <c r="D3683" s="39">
        <v>0</v>
      </c>
      <c r="E3683" s="1" t="s">
        <v>1</v>
      </c>
      <c r="F3683" s="39">
        <v>0</v>
      </c>
    </row>
    <row r="3684" spans="1:6" x14ac:dyDescent="0.25">
      <c r="A3684" s="1" t="s">
        <v>5667</v>
      </c>
      <c r="B3684" s="1" t="s">
        <v>4377</v>
      </c>
      <c r="C3684" s="1" t="s">
        <v>2058</v>
      </c>
      <c r="D3684" s="39">
        <v>0</v>
      </c>
      <c r="E3684" s="1" t="s">
        <v>1</v>
      </c>
      <c r="F3684" s="39">
        <v>0</v>
      </c>
    </row>
    <row r="3685" spans="1:6" x14ac:dyDescent="0.25">
      <c r="A3685" s="1" t="s">
        <v>1159</v>
      </c>
      <c r="B3685" s="1" t="s">
        <v>1160</v>
      </c>
      <c r="C3685" s="1" t="s">
        <v>2058</v>
      </c>
      <c r="D3685" s="39">
        <v>576</v>
      </c>
      <c r="E3685" s="1" t="s">
        <v>1</v>
      </c>
      <c r="F3685" s="3">
        <v>2982.41</v>
      </c>
    </row>
    <row r="3686" spans="1:6" x14ac:dyDescent="0.25">
      <c r="A3686" s="1" t="s">
        <v>1162</v>
      </c>
      <c r="B3686" s="1" t="s">
        <v>1163</v>
      </c>
      <c r="C3686" s="1" t="s">
        <v>2058</v>
      </c>
      <c r="D3686" s="39">
        <v>0</v>
      </c>
      <c r="E3686" s="1" t="s">
        <v>1</v>
      </c>
      <c r="F3686" s="39">
        <v>0</v>
      </c>
    </row>
    <row r="3687" spans="1:6" x14ac:dyDescent="0.25">
      <c r="A3687" s="1" t="s">
        <v>5668</v>
      </c>
      <c r="B3687" s="1" t="s">
        <v>4381</v>
      </c>
      <c r="C3687" s="1" t="s">
        <v>2058</v>
      </c>
      <c r="D3687" s="39">
        <v>0</v>
      </c>
      <c r="E3687" s="1" t="s">
        <v>1</v>
      </c>
      <c r="F3687" s="39">
        <v>0</v>
      </c>
    </row>
    <row r="3688" spans="1:6" x14ac:dyDescent="0.25">
      <c r="A3688" s="1" t="s">
        <v>5669</v>
      </c>
      <c r="B3688" s="1" t="s">
        <v>4383</v>
      </c>
      <c r="C3688" s="1" t="s">
        <v>2058</v>
      </c>
      <c r="D3688" s="39">
        <v>0</v>
      </c>
      <c r="E3688" s="1" t="s">
        <v>1</v>
      </c>
      <c r="F3688" s="39">
        <v>0</v>
      </c>
    </row>
    <row r="3689" spans="1:6" x14ac:dyDescent="0.25">
      <c r="A3689" s="1" t="s">
        <v>5670</v>
      </c>
      <c r="B3689" s="1" t="s">
        <v>4386</v>
      </c>
      <c r="C3689" s="1" t="s">
        <v>2058</v>
      </c>
      <c r="D3689" s="39">
        <v>0</v>
      </c>
      <c r="E3689" s="1" t="s">
        <v>1</v>
      </c>
      <c r="F3689" s="39">
        <v>0</v>
      </c>
    </row>
    <row r="3690" spans="1:6" x14ac:dyDescent="0.25">
      <c r="A3690" s="1" t="s">
        <v>5671</v>
      </c>
      <c r="B3690" s="1" t="s">
        <v>4388</v>
      </c>
      <c r="C3690" s="1" t="s">
        <v>2058</v>
      </c>
      <c r="D3690" s="39">
        <v>0</v>
      </c>
      <c r="E3690" s="1" t="s">
        <v>1</v>
      </c>
      <c r="F3690" s="39">
        <v>0</v>
      </c>
    </row>
    <row r="3691" spans="1:6" x14ac:dyDescent="0.25">
      <c r="A3691" s="1" t="s">
        <v>1165</v>
      </c>
      <c r="B3691" s="1" t="s">
        <v>1166</v>
      </c>
      <c r="C3691" s="1" t="s">
        <v>2058</v>
      </c>
      <c r="D3691" s="39">
        <v>0</v>
      </c>
      <c r="E3691" s="1" t="s">
        <v>1</v>
      </c>
      <c r="F3691" s="39">
        <v>0</v>
      </c>
    </row>
    <row r="3692" spans="1:6" x14ac:dyDescent="0.25">
      <c r="A3692" s="1" t="s">
        <v>5672</v>
      </c>
      <c r="B3692" s="1" t="s">
        <v>4392</v>
      </c>
      <c r="C3692" s="1" t="s">
        <v>2058</v>
      </c>
      <c r="D3692" s="39">
        <v>0</v>
      </c>
      <c r="E3692" s="1" t="s">
        <v>1</v>
      </c>
      <c r="F3692" s="39">
        <v>0</v>
      </c>
    </row>
    <row r="3693" spans="1:6" x14ac:dyDescent="0.25">
      <c r="A3693" s="1" t="s">
        <v>5673</v>
      </c>
      <c r="B3693" s="1" t="s">
        <v>4394</v>
      </c>
      <c r="C3693" s="1" t="s">
        <v>2058</v>
      </c>
      <c r="D3693" s="39">
        <v>0</v>
      </c>
      <c r="E3693" s="1" t="s">
        <v>1</v>
      </c>
      <c r="F3693" s="39">
        <v>0</v>
      </c>
    </row>
    <row r="3694" spans="1:6" x14ac:dyDescent="0.25">
      <c r="A3694" s="1" t="s">
        <v>5674</v>
      </c>
      <c r="B3694" s="1" t="s">
        <v>5675</v>
      </c>
      <c r="C3694" s="1" t="s">
        <v>2058</v>
      </c>
      <c r="D3694" s="39">
        <v>0</v>
      </c>
      <c r="E3694" s="1" t="s">
        <v>1</v>
      </c>
      <c r="F3694" s="39">
        <v>0</v>
      </c>
    </row>
    <row r="3695" spans="1:6" x14ac:dyDescent="0.25">
      <c r="A3695" s="1" t="s">
        <v>5676</v>
      </c>
      <c r="B3695" s="1" t="s">
        <v>4401</v>
      </c>
      <c r="C3695" s="1" t="s">
        <v>2058</v>
      </c>
      <c r="D3695" s="39">
        <v>0</v>
      </c>
      <c r="E3695" s="1" t="s">
        <v>1</v>
      </c>
      <c r="F3695" s="39">
        <v>0</v>
      </c>
    </row>
    <row r="3696" spans="1:6" x14ac:dyDescent="0.25">
      <c r="A3696" s="1" t="s">
        <v>5677</v>
      </c>
      <c r="B3696" s="1" t="s">
        <v>4403</v>
      </c>
      <c r="C3696" s="1" t="s">
        <v>2058</v>
      </c>
      <c r="D3696" s="39">
        <v>0</v>
      </c>
      <c r="E3696" s="1" t="s">
        <v>1</v>
      </c>
      <c r="F3696" s="39">
        <v>0</v>
      </c>
    </row>
    <row r="3697" spans="1:6" x14ac:dyDescent="0.25">
      <c r="A3697" s="1" t="s">
        <v>5678</v>
      </c>
      <c r="B3697" s="1" t="s">
        <v>5679</v>
      </c>
      <c r="C3697" s="1" t="s">
        <v>2058</v>
      </c>
      <c r="D3697" s="39">
        <v>0</v>
      </c>
      <c r="E3697" s="1" t="s">
        <v>1</v>
      </c>
      <c r="F3697" s="39">
        <v>0</v>
      </c>
    </row>
    <row r="3698" spans="1:6" x14ac:dyDescent="0.25">
      <c r="A3698" s="1" t="s">
        <v>5680</v>
      </c>
      <c r="B3698" s="1" t="s">
        <v>4405</v>
      </c>
      <c r="C3698" s="1" t="s">
        <v>2058</v>
      </c>
      <c r="D3698" s="39">
        <v>0</v>
      </c>
      <c r="E3698" s="1" t="s">
        <v>1</v>
      </c>
      <c r="F3698" s="39">
        <v>0</v>
      </c>
    </row>
    <row r="3699" spans="1:6" x14ac:dyDescent="0.25">
      <c r="A3699" s="1" t="s">
        <v>5681</v>
      </c>
      <c r="B3699" s="1" t="s">
        <v>4407</v>
      </c>
      <c r="C3699" s="1" t="s">
        <v>2058</v>
      </c>
      <c r="D3699" s="39">
        <v>0</v>
      </c>
      <c r="E3699" s="1" t="s">
        <v>1</v>
      </c>
      <c r="F3699" s="39">
        <v>0</v>
      </c>
    </row>
    <row r="3700" spans="1:6" x14ac:dyDescent="0.25">
      <c r="A3700" s="1" t="s">
        <v>5682</v>
      </c>
      <c r="B3700" s="1" t="s">
        <v>4410</v>
      </c>
      <c r="C3700" s="1" t="s">
        <v>2058</v>
      </c>
      <c r="D3700" s="39">
        <v>0</v>
      </c>
      <c r="E3700" s="1" t="s">
        <v>1</v>
      </c>
      <c r="F3700" s="39">
        <v>0</v>
      </c>
    </row>
    <row r="3701" spans="1:6" x14ac:dyDescent="0.25">
      <c r="A3701" s="1" t="s">
        <v>5683</v>
      </c>
      <c r="B3701" s="1" t="s">
        <v>4412</v>
      </c>
      <c r="C3701" s="1" t="s">
        <v>2058</v>
      </c>
      <c r="D3701" s="39">
        <v>0</v>
      </c>
      <c r="E3701" s="1" t="s">
        <v>1</v>
      </c>
      <c r="F3701" s="39">
        <v>0</v>
      </c>
    </row>
    <row r="3702" spans="1:6" x14ac:dyDescent="0.25">
      <c r="A3702" s="1" t="s">
        <v>5684</v>
      </c>
      <c r="B3702" s="1" t="s">
        <v>2383</v>
      </c>
      <c r="C3702" s="1" t="s">
        <v>2058</v>
      </c>
      <c r="D3702" s="39">
        <v>0</v>
      </c>
      <c r="E3702" s="1" t="s">
        <v>1</v>
      </c>
      <c r="F3702" s="39">
        <v>0</v>
      </c>
    </row>
    <row r="3703" spans="1:6" x14ac:dyDescent="0.25">
      <c r="A3703" s="1" t="s">
        <v>5685</v>
      </c>
      <c r="B3703" s="1" t="s">
        <v>4414</v>
      </c>
      <c r="C3703" s="1" t="s">
        <v>2058</v>
      </c>
      <c r="D3703" s="39">
        <v>0</v>
      </c>
      <c r="E3703" s="1" t="s">
        <v>1</v>
      </c>
      <c r="F3703" s="39">
        <v>0</v>
      </c>
    </row>
    <row r="3704" spans="1:6" x14ac:dyDescent="0.25">
      <c r="A3704" s="1" t="s">
        <v>5686</v>
      </c>
      <c r="B3704" s="1" t="s">
        <v>4416</v>
      </c>
      <c r="C3704" s="1" t="s">
        <v>2058</v>
      </c>
      <c r="D3704" s="39">
        <v>0</v>
      </c>
      <c r="E3704" s="1" t="s">
        <v>1</v>
      </c>
      <c r="F3704" s="39">
        <v>0</v>
      </c>
    </row>
    <row r="3705" spans="1:6" x14ac:dyDescent="0.25">
      <c r="A3705" s="1" t="s">
        <v>5687</v>
      </c>
      <c r="B3705" s="1" t="s">
        <v>1206</v>
      </c>
      <c r="C3705" s="1" t="s">
        <v>2058</v>
      </c>
      <c r="D3705" s="39">
        <v>0</v>
      </c>
      <c r="E3705" s="1" t="s">
        <v>1</v>
      </c>
      <c r="F3705" s="39">
        <v>0</v>
      </c>
    </row>
    <row r="3706" spans="1:6" x14ac:dyDescent="0.25">
      <c r="A3706" s="1" t="s">
        <v>5688</v>
      </c>
      <c r="B3706" s="1" t="s">
        <v>5689</v>
      </c>
      <c r="C3706" s="1" t="s">
        <v>2058</v>
      </c>
      <c r="D3706" s="39">
        <v>0</v>
      </c>
      <c r="E3706" s="1" t="s">
        <v>1</v>
      </c>
      <c r="F3706" s="39">
        <v>0</v>
      </c>
    </row>
    <row r="3707" spans="1:6" x14ac:dyDescent="0.25">
      <c r="A3707" s="1" t="s">
        <v>1184</v>
      </c>
      <c r="B3707" s="1" t="s">
        <v>1185</v>
      </c>
      <c r="C3707" s="1" t="s">
        <v>2058</v>
      </c>
      <c r="D3707" s="39">
        <v>0</v>
      </c>
      <c r="E3707" s="1" t="s">
        <v>1</v>
      </c>
      <c r="F3707" s="39">
        <v>0</v>
      </c>
    </row>
    <row r="3708" spans="1:6" x14ac:dyDescent="0.25">
      <c r="A3708" s="1" t="s">
        <v>1187</v>
      </c>
      <c r="B3708" s="1" t="s">
        <v>1188</v>
      </c>
      <c r="C3708" s="1" t="s">
        <v>2058</v>
      </c>
      <c r="D3708" s="39">
        <v>0</v>
      </c>
      <c r="E3708" s="1" t="s">
        <v>1</v>
      </c>
      <c r="F3708" s="39">
        <v>0</v>
      </c>
    </row>
    <row r="3709" spans="1:6" x14ac:dyDescent="0.25">
      <c r="A3709" s="1" t="s">
        <v>5690</v>
      </c>
      <c r="B3709" s="1" t="s">
        <v>5691</v>
      </c>
      <c r="C3709" s="1" t="s">
        <v>2058</v>
      </c>
      <c r="D3709" s="39">
        <v>0</v>
      </c>
      <c r="E3709" s="1" t="s">
        <v>1</v>
      </c>
      <c r="F3709" s="39">
        <v>0</v>
      </c>
    </row>
    <row r="3710" spans="1:6" x14ac:dyDescent="0.25">
      <c r="A3710" s="1" t="s">
        <v>5692</v>
      </c>
      <c r="B3710" s="1" t="s">
        <v>5693</v>
      </c>
      <c r="C3710" s="1" t="s">
        <v>2058</v>
      </c>
      <c r="D3710" s="39">
        <v>0</v>
      </c>
      <c r="E3710" s="1" t="s">
        <v>1</v>
      </c>
      <c r="F3710" s="39">
        <v>0</v>
      </c>
    </row>
    <row r="3711" spans="1:6" x14ac:dyDescent="0.25">
      <c r="A3711" s="1" t="s">
        <v>1195</v>
      </c>
      <c r="B3711" s="1" t="s">
        <v>1196</v>
      </c>
      <c r="C3711" s="1" t="s">
        <v>2058</v>
      </c>
      <c r="D3711" s="39">
        <v>0</v>
      </c>
      <c r="E3711" s="1" t="s">
        <v>1</v>
      </c>
      <c r="F3711" s="39">
        <v>0</v>
      </c>
    </row>
    <row r="3712" spans="1:6" x14ac:dyDescent="0.25">
      <c r="A3712" s="1" t="s">
        <v>1201</v>
      </c>
      <c r="B3712" s="1" t="s">
        <v>1202</v>
      </c>
      <c r="C3712" s="1" t="s">
        <v>2058</v>
      </c>
      <c r="D3712" s="39">
        <v>0</v>
      </c>
      <c r="E3712" s="1" t="s">
        <v>1</v>
      </c>
      <c r="F3712" s="39">
        <v>0</v>
      </c>
    </row>
    <row r="3713" spans="1:6" x14ac:dyDescent="0.25">
      <c r="A3713" s="1" t="s">
        <v>1897</v>
      </c>
      <c r="B3713" s="1" t="s">
        <v>5694</v>
      </c>
      <c r="C3713" s="1" t="s">
        <v>2058</v>
      </c>
      <c r="D3713" s="39">
        <v>25908</v>
      </c>
      <c r="E3713" s="1" t="s">
        <v>1</v>
      </c>
      <c r="F3713" s="3">
        <v>74029.509999999995</v>
      </c>
    </row>
    <row r="3714" spans="1:6" x14ac:dyDescent="0.25">
      <c r="A3714" s="1" t="s">
        <v>1207</v>
      </c>
      <c r="B3714" s="1" t="s">
        <v>1208</v>
      </c>
      <c r="C3714" s="1" t="s">
        <v>2058</v>
      </c>
      <c r="D3714" s="39">
        <v>0</v>
      </c>
      <c r="E3714" s="1" t="s">
        <v>1</v>
      </c>
      <c r="F3714" s="39">
        <v>0</v>
      </c>
    </row>
    <row r="3715" spans="1:6" x14ac:dyDescent="0.25">
      <c r="A3715" s="1" t="s">
        <v>1212</v>
      </c>
      <c r="B3715" s="1" t="s">
        <v>1213</v>
      </c>
      <c r="C3715" s="1" t="s">
        <v>2058</v>
      </c>
      <c r="D3715" s="39">
        <v>0</v>
      </c>
      <c r="E3715" s="1" t="s">
        <v>1</v>
      </c>
      <c r="F3715" s="39">
        <v>0</v>
      </c>
    </row>
    <row r="3716" spans="1:6" x14ac:dyDescent="0.25">
      <c r="A3716" s="1" t="s">
        <v>1217</v>
      </c>
      <c r="B3716" s="1" t="s">
        <v>1218</v>
      </c>
      <c r="C3716" s="1" t="s">
        <v>2058</v>
      </c>
      <c r="D3716" s="39">
        <v>0</v>
      </c>
      <c r="E3716" s="1" t="s">
        <v>1</v>
      </c>
      <c r="F3716" s="39">
        <v>0</v>
      </c>
    </row>
    <row r="3717" spans="1:6" x14ac:dyDescent="0.25">
      <c r="A3717" s="1" t="s">
        <v>1222</v>
      </c>
      <c r="B3717" s="1" t="s">
        <v>1223</v>
      </c>
      <c r="C3717" s="1" t="s">
        <v>2058</v>
      </c>
      <c r="D3717" s="39">
        <v>0</v>
      </c>
      <c r="E3717" s="1" t="s">
        <v>1</v>
      </c>
      <c r="F3717" s="39">
        <v>0</v>
      </c>
    </row>
    <row r="3718" spans="1:6" x14ac:dyDescent="0.25">
      <c r="A3718" s="1" t="s">
        <v>1227</v>
      </c>
      <c r="B3718" s="1" t="s">
        <v>1228</v>
      </c>
      <c r="C3718" s="1" t="s">
        <v>2058</v>
      </c>
      <c r="D3718" s="39">
        <v>0</v>
      </c>
      <c r="E3718" s="1" t="s">
        <v>1</v>
      </c>
      <c r="F3718" s="39">
        <v>0</v>
      </c>
    </row>
    <row r="3719" spans="1:6" x14ac:dyDescent="0.25">
      <c r="A3719" s="1" t="s">
        <v>5695</v>
      </c>
      <c r="B3719" s="1" t="s">
        <v>5696</v>
      </c>
      <c r="C3719" s="1" t="s">
        <v>2058</v>
      </c>
      <c r="D3719" s="39">
        <v>0</v>
      </c>
      <c r="E3719" s="1" t="s">
        <v>1</v>
      </c>
      <c r="F3719" s="39">
        <v>0</v>
      </c>
    </row>
    <row r="3720" spans="1:6" x14ac:dyDescent="0.25">
      <c r="A3720" s="1" t="s">
        <v>1235</v>
      </c>
      <c r="B3720" s="1" t="s">
        <v>1236</v>
      </c>
      <c r="C3720" s="1" t="s">
        <v>2058</v>
      </c>
      <c r="D3720" s="39">
        <v>0</v>
      </c>
      <c r="E3720" s="1" t="s">
        <v>1</v>
      </c>
      <c r="F3720" s="39">
        <v>0</v>
      </c>
    </row>
    <row r="3721" spans="1:6" x14ac:dyDescent="0.25">
      <c r="A3721" s="1" t="s">
        <v>1241</v>
      </c>
      <c r="B3721" s="1" t="s">
        <v>1242</v>
      </c>
      <c r="C3721" s="1" t="s">
        <v>2058</v>
      </c>
      <c r="D3721" s="39">
        <v>0</v>
      </c>
      <c r="E3721" s="1" t="s">
        <v>1</v>
      </c>
      <c r="F3721" s="39">
        <v>0</v>
      </c>
    </row>
    <row r="3722" spans="1:6" x14ac:dyDescent="0.25">
      <c r="A3722" s="1" t="s">
        <v>1248</v>
      </c>
      <c r="B3722" s="1" t="s">
        <v>1249</v>
      </c>
      <c r="C3722" s="1" t="s">
        <v>2058</v>
      </c>
      <c r="D3722" s="39">
        <v>0</v>
      </c>
      <c r="E3722" s="1" t="s">
        <v>1</v>
      </c>
      <c r="F3722" s="39">
        <v>0</v>
      </c>
    </row>
    <row r="3723" spans="1:6" x14ac:dyDescent="0.25">
      <c r="A3723" s="1" t="s">
        <v>1263</v>
      </c>
      <c r="B3723" s="1" t="s">
        <v>1264</v>
      </c>
      <c r="C3723" s="1" t="s">
        <v>2058</v>
      </c>
      <c r="D3723" s="39">
        <v>0</v>
      </c>
      <c r="E3723" s="1" t="s">
        <v>1</v>
      </c>
      <c r="F3723" s="39">
        <v>0</v>
      </c>
    </row>
    <row r="3724" spans="1:6" x14ac:dyDescent="0.25">
      <c r="A3724" s="1" t="s">
        <v>5697</v>
      </c>
      <c r="B3724" s="1" t="s">
        <v>5698</v>
      </c>
      <c r="C3724" s="1" t="s">
        <v>2058</v>
      </c>
      <c r="D3724" s="39">
        <v>0</v>
      </c>
      <c r="E3724" s="1" t="s">
        <v>1</v>
      </c>
      <c r="F3724" s="39">
        <v>0</v>
      </c>
    </row>
    <row r="3725" spans="1:6" x14ac:dyDescent="0.25">
      <c r="A3725" s="1" t="s">
        <v>5699</v>
      </c>
      <c r="B3725" s="1" t="s">
        <v>5700</v>
      </c>
      <c r="C3725" s="1" t="s">
        <v>2058</v>
      </c>
      <c r="D3725" s="39">
        <v>0</v>
      </c>
      <c r="E3725" s="1" t="s">
        <v>1</v>
      </c>
      <c r="F3725" s="39">
        <v>0</v>
      </c>
    </row>
    <row r="3726" spans="1:6" x14ac:dyDescent="0.25">
      <c r="A3726" s="1" t="s">
        <v>1270</v>
      </c>
      <c r="B3726" s="1" t="s">
        <v>1271</v>
      </c>
      <c r="C3726" s="1" t="s">
        <v>2058</v>
      </c>
      <c r="D3726" s="39">
        <v>0</v>
      </c>
      <c r="E3726" s="1" t="s">
        <v>1</v>
      </c>
      <c r="F3726" s="39">
        <v>0</v>
      </c>
    </row>
    <row r="3727" spans="1:6" x14ac:dyDescent="0.25">
      <c r="A3727" s="1" t="s">
        <v>1277</v>
      </c>
      <c r="B3727" s="1" t="s">
        <v>1278</v>
      </c>
      <c r="C3727" s="1" t="s">
        <v>2058</v>
      </c>
      <c r="D3727" s="39">
        <v>0</v>
      </c>
      <c r="E3727" s="1" t="s">
        <v>1</v>
      </c>
      <c r="F3727" s="39">
        <v>0</v>
      </c>
    </row>
    <row r="3728" spans="1:6" x14ac:dyDescent="0.25">
      <c r="A3728" s="1" t="s">
        <v>1282</v>
      </c>
      <c r="B3728" s="1" t="s">
        <v>1283</v>
      </c>
      <c r="C3728" s="1" t="s">
        <v>2058</v>
      </c>
      <c r="D3728" s="39">
        <v>0</v>
      </c>
      <c r="E3728" s="1" t="s">
        <v>1</v>
      </c>
      <c r="F3728" s="39">
        <v>0</v>
      </c>
    </row>
    <row r="3729" spans="1:6" x14ac:dyDescent="0.25">
      <c r="A3729" s="1" t="s">
        <v>1287</v>
      </c>
      <c r="B3729" s="1" t="s">
        <v>1288</v>
      </c>
      <c r="C3729" s="1" t="s">
        <v>2058</v>
      </c>
      <c r="D3729" s="39">
        <v>0</v>
      </c>
      <c r="E3729" s="1" t="s">
        <v>1</v>
      </c>
      <c r="F3729" s="39">
        <v>0</v>
      </c>
    </row>
    <row r="3730" spans="1:6" x14ac:dyDescent="0.25">
      <c r="A3730" s="1" t="s">
        <v>1292</v>
      </c>
      <c r="B3730" s="1" t="s">
        <v>1293</v>
      </c>
      <c r="C3730" s="1" t="s">
        <v>2058</v>
      </c>
      <c r="D3730" s="39">
        <v>0</v>
      </c>
      <c r="E3730" s="1" t="s">
        <v>1</v>
      </c>
      <c r="F3730" s="39">
        <v>0</v>
      </c>
    </row>
    <row r="3731" spans="1:6" x14ac:dyDescent="0.25">
      <c r="A3731" s="1" t="s">
        <v>1297</v>
      </c>
      <c r="B3731" s="1" t="s">
        <v>1298</v>
      </c>
      <c r="C3731" s="1" t="s">
        <v>2058</v>
      </c>
      <c r="D3731" s="39">
        <v>0</v>
      </c>
      <c r="E3731" s="1" t="s">
        <v>1</v>
      </c>
      <c r="F3731" s="39">
        <v>0</v>
      </c>
    </row>
    <row r="3732" spans="1:6" x14ac:dyDescent="0.25">
      <c r="A3732" s="1" t="s">
        <v>1304</v>
      </c>
      <c r="B3732" s="1" t="s">
        <v>1305</v>
      </c>
      <c r="C3732" s="1" t="s">
        <v>2058</v>
      </c>
      <c r="D3732" s="39">
        <v>0</v>
      </c>
      <c r="E3732" s="1" t="s">
        <v>1</v>
      </c>
      <c r="F3732" s="39">
        <v>0</v>
      </c>
    </row>
    <row r="3733" spans="1:6" x14ac:dyDescent="0.25">
      <c r="A3733" s="1" t="s">
        <v>1308</v>
      </c>
      <c r="B3733" s="1" t="s">
        <v>1309</v>
      </c>
      <c r="C3733" s="1" t="s">
        <v>2058</v>
      </c>
      <c r="D3733" s="39">
        <v>0</v>
      </c>
      <c r="E3733" s="1" t="s">
        <v>1</v>
      </c>
      <c r="F3733" s="39">
        <v>0</v>
      </c>
    </row>
    <row r="3734" spans="1:6" x14ac:dyDescent="0.25">
      <c r="A3734" s="1" t="s">
        <v>1312</v>
      </c>
      <c r="B3734" s="1" t="s">
        <v>1313</v>
      </c>
      <c r="C3734" s="1" t="s">
        <v>2058</v>
      </c>
      <c r="D3734" s="39">
        <v>0</v>
      </c>
      <c r="E3734" s="1" t="s">
        <v>1</v>
      </c>
      <c r="F3734" s="39">
        <v>0</v>
      </c>
    </row>
    <row r="3735" spans="1:6" x14ac:dyDescent="0.25">
      <c r="A3735" s="1" t="s">
        <v>1316</v>
      </c>
      <c r="B3735" s="1" t="s">
        <v>1317</v>
      </c>
      <c r="C3735" s="1" t="s">
        <v>2058</v>
      </c>
      <c r="D3735" s="39">
        <v>0</v>
      </c>
      <c r="E3735" s="1" t="s">
        <v>1</v>
      </c>
      <c r="F3735" s="39">
        <v>0</v>
      </c>
    </row>
    <row r="3736" spans="1:6" x14ac:dyDescent="0.25">
      <c r="A3736" s="1" t="s">
        <v>5701</v>
      </c>
      <c r="B3736" s="1" t="s">
        <v>5702</v>
      </c>
      <c r="C3736" s="1" t="s">
        <v>2058</v>
      </c>
      <c r="D3736" s="39">
        <v>0</v>
      </c>
      <c r="E3736" s="1" t="s">
        <v>1</v>
      </c>
      <c r="F3736" s="39">
        <v>0</v>
      </c>
    </row>
    <row r="3737" spans="1:6" x14ac:dyDescent="0.25">
      <c r="A3737" s="1" t="s">
        <v>5703</v>
      </c>
      <c r="B3737" s="1" t="s">
        <v>5704</v>
      </c>
      <c r="C3737" s="1" t="s">
        <v>2058</v>
      </c>
      <c r="D3737" s="39">
        <v>0</v>
      </c>
      <c r="E3737" s="1" t="s">
        <v>1</v>
      </c>
      <c r="F3737" s="39">
        <v>0</v>
      </c>
    </row>
    <row r="3738" spans="1:6" x14ac:dyDescent="0.25">
      <c r="A3738" s="1" t="s">
        <v>5705</v>
      </c>
      <c r="B3738" s="1" t="s">
        <v>5706</v>
      </c>
      <c r="C3738" s="1" t="s">
        <v>2058</v>
      </c>
      <c r="D3738" s="39">
        <v>0</v>
      </c>
      <c r="E3738" s="1" t="s">
        <v>1</v>
      </c>
      <c r="F3738" s="39">
        <v>0</v>
      </c>
    </row>
    <row r="3739" spans="1:6" x14ac:dyDescent="0.25">
      <c r="A3739" s="1" t="s">
        <v>1847</v>
      </c>
      <c r="B3739" s="1" t="s">
        <v>5707</v>
      </c>
      <c r="C3739" s="1" t="s">
        <v>2058</v>
      </c>
      <c r="D3739" s="39">
        <v>1156</v>
      </c>
      <c r="E3739" s="1" t="s">
        <v>1</v>
      </c>
      <c r="F3739" s="3">
        <v>202331.9</v>
      </c>
    </row>
    <row r="3740" spans="1:6" x14ac:dyDescent="0.25">
      <c r="A3740" s="1" t="s">
        <v>1848</v>
      </c>
      <c r="B3740" s="1" t="s">
        <v>5707</v>
      </c>
      <c r="C3740" s="1" t="s">
        <v>2058</v>
      </c>
      <c r="D3740" s="39">
        <v>0</v>
      </c>
      <c r="E3740" s="1" t="s">
        <v>1</v>
      </c>
      <c r="F3740" s="39">
        <v>0</v>
      </c>
    </row>
    <row r="3741" spans="1:6" x14ac:dyDescent="0.25">
      <c r="A3741" s="1" t="s">
        <v>5708</v>
      </c>
      <c r="B3741" s="1" t="s">
        <v>5709</v>
      </c>
      <c r="C3741" s="1" t="s">
        <v>2058</v>
      </c>
      <c r="D3741" s="39">
        <v>0</v>
      </c>
      <c r="E3741" s="1" t="s">
        <v>1</v>
      </c>
      <c r="F3741" s="39">
        <v>0</v>
      </c>
    </row>
    <row r="3742" spans="1:6" x14ac:dyDescent="0.25">
      <c r="A3742" s="1" t="s">
        <v>5710</v>
      </c>
      <c r="B3742" s="1" t="s">
        <v>5711</v>
      </c>
      <c r="C3742" s="1" t="s">
        <v>2058</v>
      </c>
      <c r="D3742" s="39">
        <v>0</v>
      </c>
      <c r="E3742" s="1" t="s">
        <v>1</v>
      </c>
      <c r="F3742" s="39">
        <v>0</v>
      </c>
    </row>
    <row r="3743" spans="1:6" x14ac:dyDescent="0.25">
      <c r="A3743" s="1" t="s">
        <v>5712</v>
      </c>
      <c r="B3743" s="1" t="s">
        <v>2626</v>
      </c>
      <c r="C3743" s="1" t="s">
        <v>2058</v>
      </c>
      <c r="D3743" s="39">
        <v>0</v>
      </c>
      <c r="E3743" s="1" t="s">
        <v>1</v>
      </c>
      <c r="F3743" s="39">
        <v>0</v>
      </c>
    </row>
    <row r="3744" spans="1:6" x14ac:dyDescent="0.25">
      <c r="A3744" s="1" t="s">
        <v>5713</v>
      </c>
      <c r="B3744" s="1" t="s">
        <v>5714</v>
      </c>
      <c r="C3744" s="1" t="s">
        <v>2058</v>
      </c>
      <c r="D3744" s="39">
        <v>0</v>
      </c>
      <c r="E3744" s="1" t="s">
        <v>1</v>
      </c>
      <c r="F3744" s="39">
        <v>0</v>
      </c>
    </row>
    <row r="3745" spans="1:6" x14ac:dyDescent="0.25">
      <c r="A3745" s="1" t="s">
        <v>5715</v>
      </c>
      <c r="B3745" s="1" t="s">
        <v>5716</v>
      </c>
      <c r="C3745" s="1" t="s">
        <v>2058</v>
      </c>
      <c r="D3745" s="39">
        <v>0</v>
      </c>
      <c r="E3745" s="1" t="s">
        <v>1</v>
      </c>
      <c r="F3745" s="39">
        <v>0</v>
      </c>
    </row>
    <row r="3746" spans="1:6" x14ac:dyDescent="0.25">
      <c r="A3746" s="1" t="s">
        <v>5717</v>
      </c>
      <c r="B3746" s="1" t="s">
        <v>5718</v>
      </c>
      <c r="C3746" s="1" t="s">
        <v>2058</v>
      </c>
      <c r="D3746" s="39">
        <v>0</v>
      </c>
      <c r="E3746" s="1" t="s">
        <v>1</v>
      </c>
      <c r="F3746" s="39">
        <v>0</v>
      </c>
    </row>
    <row r="3747" spans="1:6" x14ac:dyDescent="0.25">
      <c r="A3747" s="1" t="s">
        <v>5719</v>
      </c>
      <c r="B3747" s="1" t="s">
        <v>5720</v>
      </c>
      <c r="C3747" s="1" t="s">
        <v>2058</v>
      </c>
      <c r="D3747" s="39">
        <v>0</v>
      </c>
      <c r="E3747" s="1" t="s">
        <v>1</v>
      </c>
      <c r="F3747" s="39">
        <v>0</v>
      </c>
    </row>
    <row r="3748" spans="1:6" x14ac:dyDescent="0.25">
      <c r="A3748" s="1" t="s">
        <v>5721</v>
      </c>
      <c r="B3748" s="1" t="s">
        <v>5722</v>
      </c>
      <c r="C3748" s="1" t="s">
        <v>2058</v>
      </c>
      <c r="D3748" s="39">
        <v>0</v>
      </c>
      <c r="E3748" s="1" t="s">
        <v>1</v>
      </c>
      <c r="F3748" s="39">
        <v>0</v>
      </c>
    </row>
    <row r="3749" spans="1:6" x14ac:dyDescent="0.25">
      <c r="A3749" s="1" t="s">
        <v>2042</v>
      </c>
      <c r="B3749" s="1" t="s">
        <v>5723</v>
      </c>
      <c r="C3749" s="1" t="s">
        <v>2058</v>
      </c>
      <c r="D3749" s="39">
        <v>0</v>
      </c>
      <c r="E3749" s="1" t="s">
        <v>1</v>
      </c>
      <c r="F3749" s="39">
        <v>0</v>
      </c>
    </row>
    <row r="3750" spans="1:6" x14ac:dyDescent="0.25">
      <c r="A3750" s="1" t="s">
        <v>2038</v>
      </c>
      <c r="B3750" s="1" t="s">
        <v>5724</v>
      </c>
      <c r="C3750" s="1" t="s">
        <v>2058</v>
      </c>
      <c r="D3750" s="39">
        <v>0</v>
      </c>
      <c r="E3750" s="1" t="s">
        <v>1</v>
      </c>
      <c r="F3750" s="39">
        <v>0</v>
      </c>
    </row>
    <row r="3751" spans="1:6" x14ac:dyDescent="0.25">
      <c r="A3751" s="1" t="s">
        <v>2026</v>
      </c>
      <c r="B3751" s="1" t="s">
        <v>5725</v>
      </c>
      <c r="C3751" s="1" t="s">
        <v>2058</v>
      </c>
      <c r="D3751" s="39">
        <v>0</v>
      </c>
      <c r="E3751" s="1" t="s">
        <v>1</v>
      </c>
      <c r="F3751" s="39">
        <v>0</v>
      </c>
    </row>
    <row r="3752" spans="1:6" x14ac:dyDescent="0.25">
      <c r="A3752" s="1" t="s">
        <v>2034</v>
      </c>
      <c r="B3752" s="1" t="s">
        <v>5726</v>
      </c>
      <c r="C3752" s="1" t="s">
        <v>2058</v>
      </c>
      <c r="D3752" s="39">
        <v>0</v>
      </c>
      <c r="E3752" s="1" t="s">
        <v>1</v>
      </c>
      <c r="F3752" s="39">
        <v>0</v>
      </c>
    </row>
    <row r="3753" spans="1:6" x14ac:dyDescent="0.25">
      <c r="A3753" s="1" t="s">
        <v>2030</v>
      </c>
      <c r="B3753" s="1" t="s">
        <v>5727</v>
      </c>
      <c r="C3753" s="1" t="s">
        <v>2058</v>
      </c>
      <c r="D3753" s="39">
        <v>0</v>
      </c>
      <c r="E3753" s="1" t="s">
        <v>1</v>
      </c>
      <c r="F3753" s="39">
        <v>0</v>
      </c>
    </row>
    <row r="3754" spans="1:6" x14ac:dyDescent="0.25">
      <c r="A3754" s="1" t="s">
        <v>2043</v>
      </c>
      <c r="B3754" s="1" t="s">
        <v>5728</v>
      </c>
      <c r="C3754" s="1" t="s">
        <v>2058</v>
      </c>
      <c r="D3754" s="39">
        <v>0</v>
      </c>
      <c r="E3754" s="1" t="s">
        <v>1</v>
      </c>
      <c r="F3754" s="39">
        <v>0</v>
      </c>
    </row>
    <row r="3755" spans="1:6" x14ac:dyDescent="0.25">
      <c r="A3755" s="1" t="s">
        <v>2039</v>
      </c>
      <c r="B3755" s="1" t="s">
        <v>5729</v>
      </c>
      <c r="C3755" s="1" t="s">
        <v>2058</v>
      </c>
      <c r="D3755" s="39">
        <v>0</v>
      </c>
      <c r="E3755" s="1" t="s">
        <v>1</v>
      </c>
      <c r="F3755" s="39">
        <v>0</v>
      </c>
    </row>
    <row r="3756" spans="1:6" x14ac:dyDescent="0.25">
      <c r="A3756" s="1" t="s">
        <v>2027</v>
      </c>
      <c r="B3756" s="1" t="s">
        <v>5730</v>
      </c>
      <c r="C3756" s="1" t="s">
        <v>2058</v>
      </c>
      <c r="D3756" s="39">
        <v>0</v>
      </c>
      <c r="E3756" s="1" t="s">
        <v>1</v>
      </c>
      <c r="F3756" s="39">
        <v>0</v>
      </c>
    </row>
    <row r="3757" spans="1:6" x14ac:dyDescent="0.25">
      <c r="A3757" s="1" t="s">
        <v>2035</v>
      </c>
      <c r="B3757" s="1" t="s">
        <v>5731</v>
      </c>
      <c r="C3757" s="1" t="s">
        <v>2058</v>
      </c>
      <c r="D3757" s="39">
        <v>0</v>
      </c>
      <c r="E3757" s="1" t="s">
        <v>1</v>
      </c>
      <c r="F3757" s="39">
        <v>0</v>
      </c>
    </row>
    <row r="3758" spans="1:6" x14ac:dyDescent="0.25">
      <c r="A3758" s="1" t="s">
        <v>2031</v>
      </c>
      <c r="B3758" s="1" t="s">
        <v>5732</v>
      </c>
      <c r="C3758" s="1" t="s">
        <v>2058</v>
      </c>
      <c r="D3758" s="39">
        <v>0</v>
      </c>
      <c r="E3758" s="1" t="s">
        <v>1</v>
      </c>
      <c r="F3758" s="39">
        <v>0</v>
      </c>
    </row>
    <row r="3759" spans="1:6" x14ac:dyDescent="0.25">
      <c r="A3759" s="1" t="s">
        <v>2044</v>
      </c>
      <c r="B3759" s="1" t="s">
        <v>5733</v>
      </c>
      <c r="C3759" s="1" t="s">
        <v>2058</v>
      </c>
      <c r="D3759" s="39">
        <v>0</v>
      </c>
      <c r="E3759" s="1" t="s">
        <v>1</v>
      </c>
      <c r="F3759" s="39">
        <v>0</v>
      </c>
    </row>
    <row r="3760" spans="1:6" x14ac:dyDescent="0.25">
      <c r="A3760" s="1" t="s">
        <v>2040</v>
      </c>
      <c r="B3760" s="1" t="s">
        <v>5734</v>
      </c>
      <c r="C3760" s="1" t="s">
        <v>2058</v>
      </c>
      <c r="D3760" s="39">
        <v>0</v>
      </c>
      <c r="E3760" s="1" t="s">
        <v>1</v>
      </c>
      <c r="F3760" s="39">
        <v>0</v>
      </c>
    </row>
    <row r="3761" spans="1:6" x14ac:dyDescent="0.25">
      <c r="A3761" s="1" t="s">
        <v>2028</v>
      </c>
      <c r="B3761" s="1" t="s">
        <v>5735</v>
      </c>
      <c r="C3761" s="1" t="s">
        <v>2058</v>
      </c>
      <c r="D3761" s="39">
        <v>0</v>
      </c>
      <c r="E3761" s="1" t="s">
        <v>1</v>
      </c>
      <c r="F3761" s="39">
        <v>0</v>
      </c>
    </row>
    <row r="3762" spans="1:6" x14ac:dyDescent="0.25">
      <c r="A3762" s="1" t="s">
        <v>2036</v>
      </c>
      <c r="B3762" s="1" t="s">
        <v>5736</v>
      </c>
      <c r="C3762" s="1" t="s">
        <v>2058</v>
      </c>
      <c r="D3762" s="39">
        <v>0</v>
      </c>
      <c r="E3762" s="1" t="s">
        <v>1</v>
      </c>
      <c r="F3762" s="39">
        <v>0</v>
      </c>
    </row>
    <row r="3763" spans="1:6" x14ac:dyDescent="0.25">
      <c r="A3763" s="1" t="s">
        <v>2032</v>
      </c>
      <c r="B3763" s="1" t="s">
        <v>5737</v>
      </c>
      <c r="C3763" s="1" t="s">
        <v>2058</v>
      </c>
      <c r="D3763" s="39">
        <v>0</v>
      </c>
      <c r="E3763" s="1" t="s">
        <v>1</v>
      </c>
      <c r="F3763" s="39">
        <v>0</v>
      </c>
    </row>
    <row r="3764" spans="1:6" x14ac:dyDescent="0.25">
      <c r="A3764" s="1" t="s">
        <v>2045</v>
      </c>
      <c r="B3764" s="1" t="s">
        <v>5738</v>
      </c>
      <c r="C3764" s="1" t="s">
        <v>2058</v>
      </c>
      <c r="D3764" s="39">
        <v>0</v>
      </c>
      <c r="E3764" s="1" t="s">
        <v>1</v>
      </c>
      <c r="F3764" s="39">
        <v>0</v>
      </c>
    </row>
    <row r="3765" spans="1:6" x14ac:dyDescent="0.25">
      <c r="A3765" s="1" t="s">
        <v>2041</v>
      </c>
      <c r="B3765" s="1" t="s">
        <v>5739</v>
      </c>
      <c r="C3765" s="1" t="s">
        <v>2058</v>
      </c>
      <c r="D3765" s="39">
        <v>0</v>
      </c>
      <c r="E3765" s="1" t="s">
        <v>1</v>
      </c>
      <c r="F3765" s="39">
        <v>0</v>
      </c>
    </row>
    <row r="3766" spans="1:6" x14ac:dyDescent="0.25">
      <c r="A3766" s="1" t="s">
        <v>2029</v>
      </c>
      <c r="B3766" s="1" t="s">
        <v>5740</v>
      </c>
      <c r="C3766" s="1" t="s">
        <v>2058</v>
      </c>
      <c r="D3766" s="39">
        <v>0</v>
      </c>
      <c r="E3766" s="1" t="s">
        <v>1</v>
      </c>
      <c r="F3766" s="39">
        <v>0</v>
      </c>
    </row>
    <row r="3767" spans="1:6" x14ac:dyDescent="0.25">
      <c r="A3767" s="1" t="s">
        <v>2037</v>
      </c>
      <c r="B3767" s="1" t="s">
        <v>5741</v>
      </c>
      <c r="C3767" s="1" t="s">
        <v>2058</v>
      </c>
      <c r="D3767" s="39">
        <v>0</v>
      </c>
      <c r="E3767" s="1" t="s">
        <v>1</v>
      </c>
      <c r="F3767" s="39">
        <v>0</v>
      </c>
    </row>
    <row r="3768" spans="1:6" x14ac:dyDescent="0.25">
      <c r="A3768" s="1" t="s">
        <v>2033</v>
      </c>
      <c r="B3768" s="1" t="s">
        <v>5742</v>
      </c>
      <c r="C3768" s="1" t="s">
        <v>2058</v>
      </c>
      <c r="D3768" s="39">
        <v>0</v>
      </c>
      <c r="E3768" s="1" t="s">
        <v>1</v>
      </c>
      <c r="F3768" s="39">
        <v>0</v>
      </c>
    </row>
    <row r="3769" spans="1:6" x14ac:dyDescent="0.25">
      <c r="A3769" s="1" t="s">
        <v>5743</v>
      </c>
      <c r="B3769" s="1" t="s">
        <v>5744</v>
      </c>
      <c r="C3769" s="1" t="s">
        <v>2058</v>
      </c>
      <c r="D3769" s="39">
        <v>0</v>
      </c>
      <c r="E3769" s="1" t="s">
        <v>1</v>
      </c>
      <c r="F3769" s="39">
        <v>0</v>
      </c>
    </row>
    <row r="3770" spans="1:6" x14ac:dyDescent="0.25">
      <c r="A3770" s="1" t="s">
        <v>1336</v>
      </c>
      <c r="B3770" s="1" t="s">
        <v>1337</v>
      </c>
      <c r="C3770" s="1" t="s">
        <v>2058</v>
      </c>
      <c r="D3770" s="39">
        <v>0</v>
      </c>
      <c r="E3770" s="1" t="s">
        <v>482</v>
      </c>
      <c r="F3770" s="39">
        <v>0</v>
      </c>
    </row>
    <row r="3771" spans="1:6" x14ac:dyDescent="0.25">
      <c r="A3771" s="1" t="s">
        <v>1895</v>
      </c>
      <c r="B3771" s="1" t="s">
        <v>5745</v>
      </c>
      <c r="C3771" s="1" t="s">
        <v>2058</v>
      </c>
      <c r="D3771" s="39">
        <v>0</v>
      </c>
      <c r="E3771" s="1" t="s">
        <v>1</v>
      </c>
      <c r="F3771" s="39">
        <v>0</v>
      </c>
    </row>
    <row r="3772" spans="1:6" x14ac:dyDescent="0.25">
      <c r="A3772" s="1" t="s">
        <v>1896</v>
      </c>
      <c r="B3772" s="1" t="s">
        <v>5746</v>
      </c>
      <c r="C3772" s="1" t="s">
        <v>2058</v>
      </c>
      <c r="D3772" s="39">
        <v>0</v>
      </c>
      <c r="E3772" s="1" t="s">
        <v>1</v>
      </c>
      <c r="F3772" s="39">
        <v>0</v>
      </c>
    </row>
    <row r="3773" spans="1:6" x14ac:dyDescent="0.25">
      <c r="A3773" s="1" t="s">
        <v>5747</v>
      </c>
      <c r="B3773" s="1" t="s">
        <v>5748</v>
      </c>
      <c r="C3773" s="1" t="s">
        <v>2058</v>
      </c>
      <c r="D3773" s="39">
        <v>0</v>
      </c>
      <c r="E3773" s="1" t="s">
        <v>1</v>
      </c>
      <c r="F3773" s="39">
        <v>0</v>
      </c>
    </row>
    <row r="3774" spans="1:6" x14ac:dyDescent="0.25">
      <c r="A3774" s="1" t="s">
        <v>5749</v>
      </c>
      <c r="B3774" s="1" t="s">
        <v>5750</v>
      </c>
      <c r="C3774" s="1" t="s">
        <v>2058</v>
      </c>
      <c r="D3774" s="39">
        <v>0</v>
      </c>
      <c r="E3774" s="1" t="s">
        <v>1</v>
      </c>
      <c r="F3774" s="39">
        <v>0</v>
      </c>
    </row>
    <row r="3775" spans="1:6" x14ac:dyDescent="0.25">
      <c r="A3775" s="1" t="s">
        <v>1352</v>
      </c>
      <c r="B3775" s="1" t="s">
        <v>1353</v>
      </c>
      <c r="C3775" s="1" t="s">
        <v>2058</v>
      </c>
      <c r="D3775" s="39">
        <v>0</v>
      </c>
      <c r="E3775" s="1" t="s">
        <v>1</v>
      </c>
      <c r="F3775" s="39">
        <v>0</v>
      </c>
    </row>
    <row r="3776" spans="1:6" x14ac:dyDescent="0.25">
      <c r="A3776" s="1" t="s">
        <v>1356</v>
      </c>
      <c r="B3776" s="1" t="s">
        <v>1357</v>
      </c>
      <c r="C3776" s="1" t="s">
        <v>2058</v>
      </c>
      <c r="D3776" s="39">
        <v>0</v>
      </c>
      <c r="E3776" s="1" t="s">
        <v>1</v>
      </c>
      <c r="F3776" s="39">
        <v>0</v>
      </c>
    </row>
    <row r="3777" spans="1:6" x14ac:dyDescent="0.25">
      <c r="A3777" s="1" t="s">
        <v>1360</v>
      </c>
      <c r="B3777" s="1" t="s">
        <v>1361</v>
      </c>
      <c r="C3777" s="1" t="s">
        <v>2058</v>
      </c>
      <c r="D3777" s="39">
        <v>0</v>
      </c>
      <c r="E3777" s="1" t="s">
        <v>1</v>
      </c>
      <c r="F3777" s="39">
        <v>0</v>
      </c>
    </row>
    <row r="3778" spans="1:6" x14ac:dyDescent="0.25">
      <c r="A3778" s="1" t="s">
        <v>1364</v>
      </c>
      <c r="B3778" s="1" t="s">
        <v>1365</v>
      </c>
      <c r="C3778" s="1" t="s">
        <v>2058</v>
      </c>
      <c r="D3778" s="39">
        <v>0</v>
      </c>
      <c r="E3778" s="1" t="s">
        <v>1</v>
      </c>
      <c r="F3778" s="39">
        <v>0</v>
      </c>
    </row>
    <row r="3779" spans="1:6" x14ac:dyDescent="0.25">
      <c r="A3779" s="1" t="s">
        <v>1368</v>
      </c>
      <c r="B3779" s="1" t="s">
        <v>1369</v>
      </c>
      <c r="C3779" s="1" t="s">
        <v>2058</v>
      </c>
      <c r="D3779" s="39">
        <v>0</v>
      </c>
      <c r="E3779" s="1" t="s">
        <v>1</v>
      </c>
      <c r="F3779" s="39">
        <v>0</v>
      </c>
    </row>
    <row r="3780" spans="1:6" x14ac:dyDescent="0.25">
      <c r="A3780" s="1" t="s">
        <v>1373</v>
      </c>
      <c r="B3780" s="1" t="s">
        <v>1374</v>
      </c>
      <c r="C3780" s="1" t="s">
        <v>2058</v>
      </c>
      <c r="D3780" s="39">
        <v>0</v>
      </c>
      <c r="E3780" s="1" t="s">
        <v>1</v>
      </c>
      <c r="F3780" s="39">
        <v>0</v>
      </c>
    </row>
    <row r="3781" spans="1:6" x14ac:dyDescent="0.25">
      <c r="A3781" s="1" t="s">
        <v>5751</v>
      </c>
      <c r="B3781" s="1" t="s">
        <v>5752</v>
      </c>
      <c r="C3781" s="1" t="s">
        <v>2058</v>
      </c>
      <c r="D3781" s="39">
        <v>0</v>
      </c>
      <c r="E3781" s="1" t="s">
        <v>1</v>
      </c>
      <c r="F3781" s="39">
        <v>0</v>
      </c>
    </row>
    <row r="3782" spans="1:6" x14ac:dyDescent="0.25">
      <c r="A3782" s="1" t="s">
        <v>5753</v>
      </c>
      <c r="B3782" s="1" t="s">
        <v>5754</v>
      </c>
      <c r="C3782" s="1" t="s">
        <v>2058</v>
      </c>
      <c r="D3782" s="39">
        <v>0</v>
      </c>
      <c r="E3782" s="1" t="s">
        <v>1</v>
      </c>
      <c r="F3782" s="39">
        <v>0</v>
      </c>
    </row>
    <row r="3783" spans="1:6" x14ac:dyDescent="0.25">
      <c r="A3783" s="1" t="s">
        <v>5755</v>
      </c>
      <c r="B3783" s="1" t="s">
        <v>5756</v>
      </c>
      <c r="C3783" s="1" t="s">
        <v>2058</v>
      </c>
      <c r="D3783" s="39">
        <v>0</v>
      </c>
      <c r="E3783" s="1" t="s">
        <v>1</v>
      </c>
      <c r="F3783" s="39">
        <v>0</v>
      </c>
    </row>
    <row r="3784" spans="1:6" x14ac:dyDescent="0.25">
      <c r="A3784" s="1" t="s">
        <v>1383</v>
      </c>
      <c r="B3784" s="1" t="s">
        <v>1384</v>
      </c>
      <c r="C3784" s="1" t="s">
        <v>2058</v>
      </c>
      <c r="D3784" s="39">
        <v>0</v>
      </c>
      <c r="E3784" s="1" t="s">
        <v>1</v>
      </c>
      <c r="F3784" s="39">
        <v>0</v>
      </c>
    </row>
    <row r="3785" spans="1:6" x14ac:dyDescent="0.25">
      <c r="A3785" s="1" t="s">
        <v>1393</v>
      </c>
      <c r="B3785" s="1" t="s">
        <v>1394</v>
      </c>
      <c r="C3785" s="1" t="s">
        <v>2058</v>
      </c>
      <c r="D3785" s="39">
        <v>0</v>
      </c>
      <c r="E3785" s="1" t="s">
        <v>1</v>
      </c>
      <c r="F3785" s="39">
        <v>0</v>
      </c>
    </row>
    <row r="3786" spans="1:6" x14ac:dyDescent="0.25">
      <c r="A3786" s="1" t="s">
        <v>1403</v>
      </c>
      <c r="B3786" s="1" t="s">
        <v>1404</v>
      </c>
      <c r="C3786" s="1" t="s">
        <v>2058</v>
      </c>
      <c r="D3786" s="39">
        <v>0</v>
      </c>
      <c r="E3786" s="1" t="s">
        <v>1</v>
      </c>
      <c r="F3786" s="39">
        <v>0</v>
      </c>
    </row>
    <row r="3787" spans="1:6" x14ac:dyDescent="0.25">
      <c r="A3787" s="1" t="s">
        <v>1413</v>
      </c>
      <c r="B3787" s="1" t="s">
        <v>1414</v>
      </c>
      <c r="C3787" s="1" t="s">
        <v>2058</v>
      </c>
      <c r="D3787" s="39">
        <v>0</v>
      </c>
      <c r="E3787" s="1" t="s">
        <v>1</v>
      </c>
      <c r="F3787" s="39">
        <v>0</v>
      </c>
    </row>
    <row r="3788" spans="1:6" x14ac:dyDescent="0.25">
      <c r="A3788" s="1" t="s">
        <v>1418</v>
      </c>
      <c r="B3788" s="1" t="s">
        <v>1419</v>
      </c>
      <c r="C3788" s="1" t="s">
        <v>2058</v>
      </c>
      <c r="D3788" s="39">
        <v>0</v>
      </c>
      <c r="E3788" s="1" t="s">
        <v>1</v>
      </c>
      <c r="F3788" s="39">
        <v>0</v>
      </c>
    </row>
    <row r="3789" spans="1:6" x14ac:dyDescent="0.25">
      <c r="A3789" s="1" t="s">
        <v>5757</v>
      </c>
      <c r="B3789" s="1" t="s">
        <v>5758</v>
      </c>
      <c r="C3789" s="1" t="s">
        <v>2058</v>
      </c>
      <c r="D3789" s="39">
        <v>0</v>
      </c>
      <c r="E3789" s="1" t="s">
        <v>1</v>
      </c>
      <c r="F3789" s="39">
        <v>0</v>
      </c>
    </row>
    <row r="3790" spans="1:6" x14ac:dyDescent="0.25">
      <c r="A3790" s="1" t="s">
        <v>5759</v>
      </c>
      <c r="B3790" s="1" t="s">
        <v>5760</v>
      </c>
      <c r="C3790" s="1" t="s">
        <v>2058</v>
      </c>
      <c r="D3790" s="39">
        <v>0</v>
      </c>
      <c r="E3790" s="1" t="s">
        <v>1</v>
      </c>
      <c r="F3790" s="39">
        <v>0</v>
      </c>
    </row>
    <row r="3791" spans="1:6" x14ac:dyDescent="0.25">
      <c r="A3791" s="1" t="s">
        <v>5761</v>
      </c>
      <c r="B3791" s="1" t="s">
        <v>5762</v>
      </c>
      <c r="C3791" s="1" t="s">
        <v>2058</v>
      </c>
      <c r="D3791" s="39">
        <v>0</v>
      </c>
      <c r="E3791" s="1" t="s">
        <v>1</v>
      </c>
      <c r="F3791" s="39">
        <v>0</v>
      </c>
    </row>
    <row r="3792" spans="1:6" x14ac:dyDescent="0.25">
      <c r="A3792" s="1" t="s">
        <v>1940</v>
      </c>
      <c r="B3792" s="1" t="s">
        <v>5763</v>
      </c>
      <c r="C3792" s="1" t="s">
        <v>2058</v>
      </c>
      <c r="D3792" s="39">
        <v>5112</v>
      </c>
      <c r="E3792" s="1" t="s">
        <v>1</v>
      </c>
      <c r="F3792" s="3">
        <v>55422.26</v>
      </c>
    </row>
    <row r="3793" spans="1:6" x14ac:dyDescent="0.25">
      <c r="A3793" s="1" t="s">
        <v>1426</v>
      </c>
      <c r="B3793" s="1" t="s">
        <v>1427</v>
      </c>
      <c r="C3793" s="1" t="s">
        <v>2058</v>
      </c>
      <c r="D3793" s="39">
        <v>0</v>
      </c>
      <c r="E3793" s="1" t="s">
        <v>1</v>
      </c>
      <c r="F3793" s="39">
        <v>0</v>
      </c>
    </row>
    <row r="3794" spans="1:6" x14ac:dyDescent="0.25">
      <c r="A3794" s="1" t="s">
        <v>5764</v>
      </c>
      <c r="B3794" s="1" t="s">
        <v>5765</v>
      </c>
      <c r="C3794" s="1" t="s">
        <v>2058</v>
      </c>
      <c r="D3794" s="39">
        <v>0</v>
      </c>
      <c r="E3794" s="1" t="s">
        <v>1</v>
      </c>
      <c r="F3794" s="39">
        <v>0</v>
      </c>
    </row>
    <row r="3795" spans="1:6" x14ac:dyDescent="0.25">
      <c r="A3795" s="1" t="s">
        <v>5766</v>
      </c>
      <c r="B3795" s="1" t="s">
        <v>5767</v>
      </c>
      <c r="C3795" s="1" t="s">
        <v>2058</v>
      </c>
      <c r="D3795" s="39">
        <v>0</v>
      </c>
      <c r="E3795" s="1" t="s">
        <v>1</v>
      </c>
      <c r="F3795" s="39">
        <v>0</v>
      </c>
    </row>
    <row r="3796" spans="1:6" x14ac:dyDescent="0.25">
      <c r="A3796" s="1" t="s">
        <v>5768</v>
      </c>
      <c r="B3796" s="1" t="s">
        <v>5769</v>
      </c>
      <c r="C3796" s="1" t="s">
        <v>2058</v>
      </c>
      <c r="D3796" s="39">
        <v>0</v>
      </c>
      <c r="E3796" s="1" t="s">
        <v>1</v>
      </c>
      <c r="F3796" s="39">
        <v>0</v>
      </c>
    </row>
    <row r="3797" spans="1:6" x14ac:dyDescent="0.25">
      <c r="A3797" s="1" t="s">
        <v>1925</v>
      </c>
      <c r="B3797" s="1" t="s">
        <v>5770</v>
      </c>
      <c r="C3797" s="1" t="s">
        <v>2058</v>
      </c>
      <c r="D3797" s="39">
        <v>0</v>
      </c>
      <c r="E3797" s="1" t="s">
        <v>1</v>
      </c>
      <c r="F3797" s="39">
        <v>0</v>
      </c>
    </row>
    <row r="3798" spans="1:6" x14ac:dyDescent="0.25">
      <c r="A3798" s="1" t="s">
        <v>5771</v>
      </c>
      <c r="B3798" s="1" t="s">
        <v>5772</v>
      </c>
      <c r="C3798" s="1" t="s">
        <v>2058</v>
      </c>
      <c r="D3798" s="39">
        <v>0</v>
      </c>
      <c r="E3798" s="1" t="s">
        <v>1</v>
      </c>
      <c r="F3798" s="39">
        <v>0</v>
      </c>
    </row>
    <row r="3799" spans="1:6" x14ac:dyDescent="0.25">
      <c r="A3799" s="1" t="s">
        <v>5773</v>
      </c>
      <c r="B3799" s="1" t="s">
        <v>5774</v>
      </c>
      <c r="C3799" s="1" t="s">
        <v>2058</v>
      </c>
      <c r="D3799" s="39">
        <v>0</v>
      </c>
      <c r="E3799" s="1" t="s">
        <v>1</v>
      </c>
      <c r="F3799" s="39">
        <v>0</v>
      </c>
    </row>
    <row r="3800" spans="1:6" x14ac:dyDescent="0.25">
      <c r="A3800" s="1" t="s">
        <v>5775</v>
      </c>
      <c r="B3800" s="1" t="s">
        <v>5776</v>
      </c>
      <c r="C3800" s="1" t="s">
        <v>2058</v>
      </c>
      <c r="D3800" s="39">
        <v>0</v>
      </c>
      <c r="E3800" s="1" t="s">
        <v>1</v>
      </c>
      <c r="F3800" s="39">
        <v>0</v>
      </c>
    </row>
    <row r="3801" spans="1:6" x14ac:dyDescent="0.25">
      <c r="A3801" s="1" t="s">
        <v>1926</v>
      </c>
      <c r="B3801" s="1" t="s">
        <v>5777</v>
      </c>
      <c r="C3801" s="1" t="s">
        <v>2058</v>
      </c>
      <c r="D3801" s="39">
        <v>1992</v>
      </c>
      <c r="E3801" s="1" t="s">
        <v>1</v>
      </c>
      <c r="F3801" s="3">
        <v>5112.87</v>
      </c>
    </row>
    <row r="3802" spans="1:6" x14ac:dyDescent="0.25">
      <c r="A3802" s="1" t="s">
        <v>1927</v>
      </c>
      <c r="B3802" s="1" t="s">
        <v>5778</v>
      </c>
      <c r="C3802" s="1" t="s">
        <v>2058</v>
      </c>
      <c r="D3802" s="39">
        <v>1792</v>
      </c>
      <c r="E3802" s="1" t="s">
        <v>1</v>
      </c>
      <c r="F3802" s="3">
        <v>5623.65</v>
      </c>
    </row>
    <row r="3803" spans="1:6" x14ac:dyDescent="0.25">
      <c r="A3803" s="1" t="s">
        <v>1429</v>
      </c>
      <c r="B3803" s="1" t="s">
        <v>1430</v>
      </c>
      <c r="C3803" s="1" t="s">
        <v>2058</v>
      </c>
      <c r="D3803" s="39">
        <v>0</v>
      </c>
      <c r="E3803" s="1" t="s">
        <v>1</v>
      </c>
      <c r="F3803" s="39">
        <v>0</v>
      </c>
    </row>
    <row r="3804" spans="1:6" x14ac:dyDescent="0.25">
      <c r="A3804" s="1" t="s">
        <v>1928</v>
      </c>
      <c r="B3804" s="1" t="s">
        <v>5779</v>
      </c>
      <c r="C3804" s="1" t="s">
        <v>2058</v>
      </c>
      <c r="D3804" s="39">
        <v>0</v>
      </c>
      <c r="E3804" s="1" t="s">
        <v>1</v>
      </c>
      <c r="F3804" s="39">
        <v>0</v>
      </c>
    </row>
    <row r="3805" spans="1:6" x14ac:dyDescent="0.25">
      <c r="A3805" s="1" t="s">
        <v>1930</v>
      </c>
      <c r="B3805" s="1" t="s">
        <v>5780</v>
      </c>
      <c r="C3805" s="1" t="s">
        <v>2058</v>
      </c>
      <c r="D3805" s="39">
        <v>0</v>
      </c>
      <c r="E3805" s="1" t="s">
        <v>1</v>
      </c>
      <c r="F3805" s="39">
        <v>0</v>
      </c>
    </row>
    <row r="3806" spans="1:6" x14ac:dyDescent="0.25">
      <c r="A3806" s="1" t="s">
        <v>1931</v>
      </c>
      <c r="B3806" s="1" t="s">
        <v>5781</v>
      </c>
      <c r="C3806" s="1" t="s">
        <v>2058</v>
      </c>
      <c r="D3806" s="39">
        <v>0</v>
      </c>
      <c r="E3806" s="1" t="s">
        <v>1</v>
      </c>
      <c r="F3806" s="39">
        <v>0</v>
      </c>
    </row>
    <row r="3807" spans="1:6" x14ac:dyDescent="0.25">
      <c r="A3807" s="1" t="s">
        <v>1929</v>
      </c>
      <c r="B3807" s="1" t="s">
        <v>5782</v>
      </c>
      <c r="C3807" s="1" t="s">
        <v>2058</v>
      </c>
      <c r="D3807" s="39">
        <v>0</v>
      </c>
      <c r="E3807" s="1" t="s">
        <v>1</v>
      </c>
      <c r="F3807" s="39">
        <v>0</v>
      </c>
    </row>
    <row r="3808" spans="1:6" x14ac:dyDescent="0.25">
      <c r="A3808" s="1" t="s">
        <v>1995</v>
      </c>
      <c r="B3808" s="1" t="s">
        <v>5783</v>
      </c>
      <c r="C3808" s="1" t="s">
        <v>2058</v>
      </c>
      <c r="D3808" s="39">
        <v>0</v>
      </c>
      <c r="E3808" s="1" t="s">
        <v>1</v>
      </c>
      <c r="F3808" s="39">
        <v>0</v>
      </c>
    </row>
    <row r="3809" spans="1:6" x14ac:dyDescent="0.25">
      <c r="A3809" s="1" t="s">
        <v>5784</v>
      </c>
      <c r="B3809" s="1" t="s">
        <v>2618</v>
      </c>
      <c r="C3809" s="1" t="s">
        <v>2058</v>
      </c>
      <c r="D3809" s="39">
        <v>0</v>
      </c>
      <c r="E3809" s="1" t="s">
        <v>1</v>
      </c>
      <c r="F3809" s="39">
        <v>0</v>
      </c>
    </row>
    <row r="3810" spans="1:6" x14ac:dyDescent="0.25">
      <c r="A3810" s="1" t="s">
        <v>5785</v>
      </c>
      <c r="B3810" s="1" t="s">
        <v>5786</v>
      </c>
      <c r="C3810" s="1" t="s">
        <v>2058</v>
      </c>
      <c r="D3810" s="39">
        <v>0</v>
      </c>
      <c r="E3810" s="1" t="s">
        <v>1</v>
      </c>
      <c r="F3810" s="39">
        <v>0</v>
      </c>
    </row>
    <row r="3811" spans="1:6" x14ac:dyDescent="0.25">
      <c r="A3811" s="1" t="s">
        <v>1932</v>
      </c>
      <c r="B3811" s="1" t="s">
        <v>5787</v>
      </c>
      <c r="C3811" s="1" t="s">
        <v>2058</v>
      </c>
      <c r="D3811" s="39">
        <v>0</v>
      </c>
      <c r="E3811" s="1" t="s">
        <v>1</v>
      </c>
      <c r="F3811" s="39">
        <v>0</v>
      </c>
    </row>
    <row r="3812" spans="1:6" x14ac:dyDescent="0.25">
      <c r="A3812" s="1" t="s">
        <v>1933</v>
      </c>
      <c r="B3812" s="1" t="s">
        <v>5788</v>
      </c>
      <c r="C3812" s="1" t="s">
        <v>2058</v>
      </c>
      <c r="D3812" s="39">
        <v>804</v>
      </c>
      <c r="E3812" s="1" t="s">
        <v>1</v>
      </c>
      <c r="F3812" s="3">
        <v>2491.0300000000002</v>
      </c>
    </row>
    <row r="3813" spans="1:6" x14ac:dyDescent="0.25">
      <c r="A3813" s="1" t="s">
        <v>1934</v>
      </c>
      <c r="B3813" s="1" t="s">
        <v>5789</v>
      </c>
      <c r="C3813" s="1" t="s">
        <v>2058</v>
      </c>
      <c r="D3813" s="39">
        <v>3840</v>
      </c>
      <c r="E3813" s="1" t="s">
        <v>1</v>
      </c>
      <c r="F3813" s="3">
        <v>9305.09</v>
      </c>
    </row>
    <row r="3814" spans="1:6" x14ac:dyDescent="0.25">
      <c r="A3814" s="1" t="s">
        <v>1936</v>
      </c>
      <c r="B3814" s="1" t="s">
        <v>5790</v>
      </c>
      <c r="C3814" s="1" t="s">
        <v>2058</v>
      </c>
      <c r="D3814" s="39">
        <v>6336</v>
      </c>
      <c r="E3814" s="1" t="s">
        <v>1</v>
      </c>
      <c r="F3814" s="3">
        <v>14401.73</v>
      </c>
    </row>
    <row r="3815" spans="1:6" x14ac:dyDescent="0.25">
      <c r="A3815" s="1" t="s">
        <v>1937</v>
      </c>
      <c r="B3815" s="1" t="s">
        <v>5791</v>
      </c>
      <c r="C3815" s="1" t="s">
        <v>2058</v>
      </c>
      <c r="D3815" s="39">
        <v>4968</v>
      </c>
      <c r="E3815" s="1" t="s">
        <v>1</v>
      </c>
      <c r="F3815" s="3">
        <v>10376.66</v>
      </c>
    </row>
    <row r="3816" spans="1:6" x14ac:dyDescent="0.25">
      <c r="A3816" s="1" t="s">
        <v>1935</v>
      </c>
      <c r="B3816" s="1" t="s">
        <v>5792</v>
      </c>
      <c r="C3816" s="1" t="s">
        <v>2058</v>
      </c>
      <c r="D3816" s="39">
        <v>5088</v>
      </c>
      <c r="E3816" s="1" t="s">
        <v>1</v>
      </c>
      <c r="F3816" s="3">
        <v>11129.49</v>
      </c>
    </row>
    <row r="3817" spans="1:6" x14ac:dyDescent="0.25">
      <c r="A3817" s="1" t="s">
        <v>5793</v>
      </c>
      <c r="B3817" s="1" t="s">
        <v>5794</v>
      </c>
      <c r="C3817" s="1" t="s">
        <v>2058</v>
      </c>
      <c r="D3817" s="39">
        <v>0</v>
      </c>
      <c r="E3817" s="1" t="s">
        <v>1</v>
      </c>
      <c r="F3817" s="39">
        <v>0</v>
      </c>
    </row>
    <row r="3818" spans="1:6" x14ac:dyDescent="0.25">
      <c r="A3818" s="1" t="s">
        <v>1889</v>
      </c>
      <c r="B3818" s="1" t="s">
        <v>5795</v>
      </c>
      <c r="C3818" s="1" t="s">
        <v>2058</v>
      </c>
      <c r="D3818" s="39">
        <v>2850</v>
      </c>
      <c r="E3818" s="1" t="s">
        <v>1</v>
      </c>
      <c r="F3818" s="3">
        <v>47204.83</v>
      </c>
    </row>
    <row r="3819" spans="1:6" x14ac:dyDescent="0.25">
      <c r="A3819" s="1" t="s">
        <v>1890</v>
      </c>
      <c r="B3819" s="1" t="s">
        <v>5796</v>
      </c>
      <c r="C3819" s="1" t="s">
        <v>2058</v>
      </c>
      <c r="D3819" s="39">
        <v>1296</v>
      </c>
      <c r="E3819" s="1" t="s">
        <v>1</v>
      </c>
      <c r="F3819" s="3">
        <v>5789.23</v>
      </c>
    </row>
    <row r="3820" spans="1:6" x14ac:dyDescent="0.25">
      <c r="A3820" s="1" t="s">
        <v>1942</v>
      </c>
      <c r="B3820" s="1" t="s">
        <v>5797</v>
      </c>
      <c r="C3820" s="1" t="s">
        <v>2058</v>
      </c>
      <c r="D3820" s="39">
        <v>3780</v>
      </c>
      <c r="E3820" s="1" t="s">
        <v>1</v>
      </c>
      <c r="F3820" s="3">
        <v>25024.74</v>
      </c>
    </row>
    <row r="3821" spans="1:6" x14ac:dyDescent="0.25">
      <c r="A3821" s="1" t="s">
        <v>1939</v>
      </c>
      <c r="B3821" s="1" t="s">
        <v>5798</v>
      </c>
      <c r="C3821" s="1" t="s">
        <v>2058</v>
      </c>
      <c r="D3821" s="39">
        <v>0</v>
      </c>
      <c r="E3821" s="1" t="s">
        <v>1</v>
      </c>
      <c r="F3821" s="39">
        <v>0</v>
      </c>
    </row>
    <row r="3822" spans="1:6" x14ac:dyDescent="0.25">
      <c r="A3822" s="1" t="s">
        <v>5799</v>
      </c>
      <c r="B3822" s="1" t="s">
        <v>5800</v>
      </c>
      <c r="C3822" s="1" t="s">
        <v>2058</v>
      </c>
      <c r="D3822" s="39">
        <v>0</v>
      </c>
      <c r="E3822" s="1" t="s">
        <v>1</v>
      </c>
      <c r="F3822" s="39">
        <v>0</v>
      </c>
    </row>
    <row r="3823" spans="1:6" x14ac:dyDescent="0.25">
      <c r="A3823" s="1" t="s">
        <v>1432</v>
      </c>
      <c r="B3823" s="1" t="s">
        <v>1433</v>
      </c>
      <c r="C3823" s="1" t="s">
        <v>2058</v>
      </c>
      <c r="D3823" s="39">
        <v>1150</v>
      </c>
      <c r="E3823" s="1" t="s">
        <v>1</v>
      </c>
      <c r="F3823" s="3">
        <v>32931.39</v>
      </c>
    </row>
    <row r="3824" spans="1:6" x14ac:dyDescent="0.25">
      <c r="A3824" s="1" t="s">
        <v>1888</v>
      </c>
      <c r="B3824" s="1" t="s">
        <v>5801</v>
      </c>
      <c r="C3824" s="1" t="s">
        <v>2058</v>
      </c>
      <c r="D3824" s="39">
        <v>264</v>
      </c>
      <c r="E3824" s="1" t="s">
        <v>1</v>
      </c>
      <c r="F3824" s="3">
        <v>2393.4499999999998</v>
      </c>
    </row>
    <row r="3825" spans="1:6" x14ac:dyDescent="0.25">
      <c r="A3825" s="1" t="s">
        <v>5802</v>
      </c>
      <c r="B3825" s="1" t="s">
        <v>5803</v>
      </c>
      <c r="C3825" s="1" t="s">
        <v>2058</v>
      </c>
      <c r="D3825" s="39">
        <v>0</v>
      </c>
      <c r="E3825" s="1" t="s">
        <v>1</v>
      </c>
      <c r="F3825" s="39">
        <v>0</v>
      </c>
    </row>
    <row r="3826" spans="1:6" x14ac:dyDescent="0.25">
      <c r="A3826" s="1" t="s">
        <v>5804</v>
      </c>
      <c r="B3826" s="1" t="s">
        <v>5805</v>
      </c>
      <c r="C3826" s="1" t="s">
        <v>2058</v>
      </c>
      <c r="D3826" s="39">
        <v>0</v>
      </c>
      <c r="E3826" s="1" t="s">
        <v>1</v>
      </c>
      <c r="F3826" s="39">
        <v>0</v>
      </c>
    </row>
    <row r="3827" spans="1:6" x14ac:dyDescent="0.25">
      <c r="A3827" s="1" t="s">
        <v>1435</v>
      </c>
      <c r="B3827" s="1" t="s">
        <v>1436</v>
      </c>
      <c r="C3827" s="1" t="s">
        <v>2058</v>
      </c>
      <c r="D3827" s="39">
        <v>0</v>
      </c>
      <c r="E3827" s="1" t="s">
        <v>1</v>
      </c>
      <c r="F3827" s="39">
        <v>0</v>
      </c>
    </row>
    <row r="3828" spans="1:6" x14ac:dyDescent="0.25">
      <c r="A3828" s="1" t="s">
        <v>1441</v>
      </c>
      <c r="B3828" s="1" t="s">
        <v>1442</v>
      </c>
      <c r="C3828" s="1" t="s">
        <v>2058</v>
      </c>
      <c r="D3828" s="39">
        <v>0</v>
      </c>
      <c r="E3828" s="1" t="s">
        <v>1</v>
      </c>
      <c r="F3828" s="39">
        <v>0</v>
      </c>
    </row>
    <row r="3829" spans="1:6" x14ac:dyDescent="0.25">
      <c r="A3829" s="1" t="s">
        <v>1445</v>
      </c>
      <c r="B3829" s="1" t="s">
        <v>1446</v>
      </c>
      <c r="C3829" s="1" t="s">
        <v>2058</v>
      </c>
      <c r="D3829" s="39">
        <v>0</v>
      </c>
      <c r="E3829" s="1" t="s">
        <v>1</v>
      </c>
      <c r="F3829" s="39">
        <v>0</v>
      </c>
    </row>
    <row r="3830" spans="1:6" x14ac:dyDescent="0.25">
      <c r="A3830" s="1" t="s">
        <v>5806</v>
      </c>
      <c r="B3830" s="1" t="s">
        <v>5807</v>
      </c>
      <c r="C3830" s="1" t="s">
        <v>2058</v>
      </c>
      <c r="D3830" s="39">
        <v>0</v>
      </c>
      <c r="E3830" s="1" t="s">
        <v>1</v>
      </c>
      <c r="F3830" s="39">
        <v>0</v>
      </c>
    </row>
    <row r="3831" spans="1:6" x14ac:dyDescent="0.25">
      <c r="A3831" s="1" t="s">
        <v>1891</v>
      </c>
      <c r="B3831" s="1" t="s">
        <v>5808</v>
      </c>
      <c r="C3831" s="1" t="s">
        <v>2058</v>
      </c>
      <c r="D3831" s="39">
        <v>1402</v>
      </c>
      <c r="E3831" s="1" t="s">
        <v>1</v>
      </c>
      <c r="F3831" s="3">
        <v>30185.06</v>
      </c>
    </row>
    <row r="3832" spans="1:6" x14ac:dyDescent="0.25">
      <c r="A3832" s="1" t="s">
        <v>1892</v>
      </c>
      <c r="B3832" s="1" t="s">
        <v>5809</v>
      </c>
      <c r="C3832" s="1" t="s">
        <v>2058</v>
      </c>
      <c r="D3832" s="39">
        <v>1946</v>
      </c>
      <c r="E3832" s="1" t="s">
        <v>1</v>
      </c>
      <c r="F3832" s="3">
        <v>12704.85</v>
      </c>
    </row>
    <row r="3833" spans="1:6" x14ac:dyDescent="0.25">
      <c r="A3833" s="1" t="s">
        <v>1994</v>
      </c>
      <c r="B3833" s="1" t="s">
        <v>5810</v>
      </c>
      <c r="C3833" s="1" t="s">
        <v>2058</v>
      </c>
      <c r="D3833" s="39">
        <v>252</v>
      </c>
      <c r="E3833" s="1" t="s">
        <v>1</v>
      </c>
      <c r="F3833" s="3">
        <v>17165.330000000002</v>
      </c>
    </row>
    <row r="3834" spans="1:6" x14ac:dyDescent="0.25">
      <c r="A3834" s="1" t="s">
        <v>5811</v>
      </c>
      <c r="B3834" s="1" t="s">
        <v>5812</v>
      </c>
      <c r="C3834" s="1" t="s">
        <v>2058</v>
      </c>
      <c r="D3834" s="39">
        <v>0</v>
      </c>
      <c r="E3834" s="1" t="s">
        <v>1</v>
      </c>
      <c r="F3834" s="39">
        <v>0</v>
      </c>
    </row>
    <row r="3835" spans="1:6" x14ac:dyDescent="0.25">
      <c r="A3835" s="1" t="s">
        <v>1991</v>
      </c>
      <c r="B3835" s="1" t="s">
        <v>5813</v>
      </c>
      <c r="C3835" s="1" t="s">
        <v>2058</v>
      </c>
      <c r="D3835" s="39">
        <v>0</v>
      </c>
      <c r="E3835" s="1" t="s">
        <v>1</v>
      </c>
      <c r="F3835" s="39">
        <v>0</v>
      </c>
    </row>
    <row r="3836" spans="1:6" x14ac:dyDescent="0.25">
      <c r="A3836" s="1" t="s">
        <v>1449</v>
      </c>
      <c r="B3836" s="1" t="s">
        <v>1450</v>
      </c>
      <c r="C3836" s="1" t="s">
        <v>2058</v>
      </c>
      <c r="D3836" s="39">
        <v>0</v>
      </c>
      <c r="E3836" s="1" t="s">
        <v>1</v>
      </c>
      <c r="F3836" s="39">
        <v>0</v>
      </c>
    </row>
    <row r="3837" spans="1:6" x14ac:dyDescent="0.25">
      <c r="A3837" s="1" t="s">
        <v>5814</v>
      </c>
      <c r="B3837" s="1" t="s">
        <v>5815</v>
      </c>
      <c r="C3837" s="1" t="s">
        <v>2058</v>
      </c>
      <c r="D3837" s="39">
        <v>0</v>
      </c>
      <c r="E3837" s="1" t="s">
        <v>1</v>
      </c>
      <c r="F3837" s="39">
        <v>0</v>
      </c>
    </row>
    <row r="3838" spans="1:6" x14ac:dyDescent="0.25">
      <c r="A3838" s="1" t="s">
        <v>1456</v>
      </c>
      <c r="B3838" s="1" t="s">
        <v>1457</v>
      </c>
      <c r="C3838" s="1" t="s">
        <v>2058</v>
      </c>
      <c r="D3838" s="39">
        <v>0</v>
      </c>
      <c r="E3838" s="1" t="s">
        <v>1</v>
      </c>
      <c r="F3838" s="39">
        <v>0</v>
      </c>
    </row>
    <row r="3839" spans="1:6" x14ac:dyDescent="0.25">
      <c r="A3839" s="1" t="s">
        <v>1460</v>
      </c>
      <c r="B3839" s="1" t="s">
        <v>1461</v>
      </c>
      <c r="C3839" s="1" t="s">
        <v>2058</v>
      </c>
      <c r="D3839" s="39">
        <v>0</v>
      </c>
      <c r="E3839" s="1" t="s">
        <v>1</v>
      </c>
      <c r="F3839" s="39">
        <v>0</v>
      </c>
    </row>
    <row r="3840" spans="1:6" x14ac:dyDescent="0.25">
      <c r="A3840" s="1" t="s">
        <v>5816</v>
      </c>
      <c r="B3840" s="1" t="s">
        <v>5817</v>
      </c>
      <c r="C3840" s="1" t="s">
        <v>2058</v>
      </c>
      <c r="D3840" s="39">
        <v>0</v>
      </c>
      <c r="E3840" s="1" t="s">
        <v>1</v>
      </c>
      <c r="F3840" s="39">
        <v>0</v>
      </c>
    </row>
    <row r="3841" spans="1:6" x14ac:dyDescent="0.25">
      <c r="A3841" s="1" t="s">
        <v>5818</v>
      </c>
      <c r="B3841" s="1" t="s">
        <v>5819</v>
      </c>
      <c r="C3841" s="1" t="s">
        <v>2058</v>
      </c>
      <c r="D3841" s="39">
        <v>0</v>
      </c>
      <c r="E3841" s="1" t="s">
        <v>1</v>
      </c>
      <c r="F3841" s="39">
        <v>0</v>
      </c>
    </row>
    <row r="3842" spans="1:6" x14ac:dyDescent="0.25">
      <c r="A3842" s="1" t="s">
        <v>5820</v>
      </c>
      <c r="B3842" s="1" t="s">
        <v>5821</v>
      </c>
      <c r="C3842" s="1" t="s">
        <v>2058</v>
      </c>
      <c r="D3842" s="39">
        <v>0</v>
      </c>
      <c r="E3842" s="1" t="s">
        <v>1</v>
      </c>
      <c r="F3842" s="39">
        <v>0</v>
      </c>
    </row>
    <row r="3843" spans="1:6" x14ac:dyDescent="0.25">
      <c r="A3843" s="1" t="s">
        <v>1992</v>
      </c>
      <c r="B3843" s="1" t="s">
        <v>5822</v>
      </c>
      <c r="C3843" s="1" t="s">
        <v>2058</v>
      </c>
      <c r="D3843" s="39">
        <v>611</v>
      </c>
      <c r="E3843" s="1" t="s">
        <v>1</v>
      </c>
      <c r="F3843" s="3">
        <v>31445.3</v>
      </c>
    </row>
    <row r="3844" spans="1:6" x14ac:dyDescent="0.25">
      <c r="A3844" s="1" t="s">
        <v>5823</v>
      </c>
      <c r="B3844" s="1" t="s">
        <v>5824</v>
      </c>
      <c r="C3844" s="1" t="s">
        <v>2058</v>
      </c>
      <c r="D3844" s="39">
        <v>0</v>
      </c>
      <c r="E3844" s="1" t="s">
        <v>1</v>
      </c>
      <c r="F3844" s="39">
        <v>0</v>
      </c>
    </row>
    <row r="3845" spans="1:6" x14ac:dyDescent="0.25">
      <c r="A3845" s="1" t="s">
        <v>5825</v>
      </c>
      <c r="B3845" s="1" t="s">
        <v>5826</v>
      </c>
      <c r="C3845" s="1" t="s">
        <v>2058</v>
      </c>
      <c r="D3845" s="39">
        <v>0</v>
      </c>
      <c r="E3845" s="1" t="s">
        <v>1</v>
      </c>
      <c r="F3845" s="39">
        <v>0</v>
      </c>
    </row>
    <row r="3846" spans="1:6" x14ac:dyDescent="0.25">
      <c r="A3846" s="1" t="s">
        <v>1993</v>
      </c>
      <c r="B3846" s="1" t="s">
        <v>5827</v>
      </c>
      <c r="C3846" s="1" t="s">
        <v>2058</v>
      </c>
      <c r="D3846" s="39">
        <v>452</v>
      </c>
      <c r="E3846" s="1" t="s">
        <v>1</v>
      </c>
      <c r="F3846" s="3">
        <v>32493.91</v>
      </c>
    </row>
    <row r="3847" spans="1:6" x14ac:dyDescent="0.25">
      <c r="A3847" s="1" t="s">
        <v>5828</v>
      </c>
      <c r="B3847" s="1" t="s">
        <v>5829</v>
      </c>
      <c r="C3847" s="1" t="s">
        <v>2058</v>
      </c>
      <c r="D3847" s="39">
        <v>0</v>
      </c>
      <c r="E3847" s="1" t="s">
        <v>1</v>
      </c>
      <c r="F3847" s="39">
        <v>0</v>
      </c>
    </row>
    <row r="3848" spans="1:6" x14ac:dyDescent="0.25">
      <c r="A3848" s="1" t="s">
        <v>5830</v>
      </c>
      <c r="B3848" s="1" t="s">
        <v>5831</v>
      </c>
      <c r="C3848" s="1" t="s">
        <v>2058</v>
      </c>
      <c r="D3848" s="39">
        <v>0</v>
      </c>
      <c r="E3848" s="1" t="s">
        <v>1</v>
      </c>
      <c r="F3848" s="39">
        <v>0</v>
      </c>
    </row>
    <row r="3849" spans="1:6" x14ac:dyDescent="0.25">
      <c r="A3849" s="1" t="s">
        <v>5832</v>
      </c>
      <c r="B3849" s="1" t="s">
        <v>5833</v>
      </c>
      <c r="C3849" s="1" t="s">
        <v>2058</v>
      </c>
      <c r="D3849" s="39">
        <v>0</v>
      </c>
      <c r="E3849" s="1" t="s">
        <v>1</v>
      </c>
      <c r="F3849" s="39">
        <v>0</v>
      </c>
    </row>
    <row r="3850" spans="1:6" x14ac:dyDescent="0.25">
      <c r="A3850" s="1" t="s">
        <v>5834</v>
      </c>
      <c r="B3850" s="1" t="s">
        <v>5835</v>
      </c>
      <c r="C3850" s="1" t="s">
        <v>2058</v>
      </c>
      <c r="D3850" s="39">
        <v>0</v>
      </c>
      <c r="E3850" s="1" t="s">
        <v>1</v>
      </c>
      <c r="F3850" s="39">
        <v>0</v>
      </c>
    </row>
    <row r="3851" spans="1:6" x14ac:dyDescent="0.25">
      <c r="A3851" s="1" t="s">
        <v>5836</v>
      </c>
      <c r="B3851" s="1" t="s">
        <v>5837</v>
      </c>
      <c r="C3851" s="1" t="s">
        <v>2058</v>
      </c>
      <c r="D3851" s="39">
        <v>0</v>
      </c>
      <c r="E3851" s="1" t="s">
        <v>1</v>
      </c>
      <c r="F3851" s="39">
        <v>0</v>
      </c>
    </row>
    <row r="3852" spans="1:6" x14ac:dyDescent="0.25">
      <c r="A3852" s="1" t="s">
        <v>5838</v>
      </c>
      <c r="B3852" s="1" t="s">
        <v>5839</v>
      </c>
      <c r="C3852" s="1" t="s">
        <v>2058</v>
      </c>
      <c r="D3852" s="39">
        <v>0</v>
      </c>
      <c r="E3852" s="1" t="s">
        <v>1</v>
      </c>
      <c r="F3852" s="39">
        <v>0</v>
      </c>
    </row>
    <row r="3853" spans="1:6" x14ac:dyDescent="0.25">
      <c r="A3853" s="1" t="s">
        <v>1465</v>
      </c>
      <c r="B3853" s="1" t="s">
        <v>1466</v>
      </c>
      <c r="C3853" s="1" t="s">
        <v>2058</v>
      </c>
      <c r="D3853" s="39">
        <v>0</v>
      </c>
      <c r="E3853" s="1" t="s">
        <v>1</v>
      </c>
      <c r="F3853" s="39">
        <v>0</v>
      </c>
    </row>
    <row r="3854" spans="1:6" x14ac:dyDescent="0.25">
      <c r="A3854" s="1" t="s">
        <v>5840</v>
      </c>
      <c r="B3854" s="1" t="s">
        <v>5841</v>
      </c>
      <c r="C3854" s="1" t="s">
        <v>2058</v>
      </c>
      <c r="D3854" s="39">
        <v>0</v>
      </c>
      <c r="E3854" s="1" t="s">
        <v>1</v>
      </c>
      <c r="F3854" s="39">
        <v>0</v>
      </c>
    </row>
    <row r="3855" spans="1:6" x14ac:dyDescent="0.25">
      <c r="A3855" s="1" t="s">
        <v>5842</v>
      </c>
      <c r="B3855" s="1" t="s">
        <v>5843</v>
      </c>
      <c r="C3855" s="1" t="s">
        <v>2058</v>
      </c>
      <c r="D3855" s="39">
        <v>164</v>
      </c>
      <c r="E3855" s="1" t="s">
        <v>1</v>
      </c>
      <c r="F3855" s="3">
        <v>196.8</v>
      </c>
    </row>
    <row r="3856" spans="1:6" x14ac:dyDescent="0.25">
      <c r="A3856" s="1" t="s">
        <v>5844</v>
      </c>
      <c r="B3856" s="1" t="s">
        <v>5845</v>
      </c>
      <c r="C3856" s="1" t="s">
        <v>2058</v>
      </c>
      <c r="D3856" s="39">
        <v>0</v>
      </c>
      <c r="E3856" s="1" t="s">
        <v>1</v>
      </c>
      <c r="F3856" s="39">
        <v>0</v>
      </c>
    </row>
    <row r="3857" spans="1:6" x14ac:dyDescent="0.25">
      <c r="A3857" s="1" t="s">
        <v>5846</v>
      </c>
      <c r="B3857" s="1" t="s">
        <v>5847</v>
      </c>
      <c r="C3857" s="1" t="s">
        <v>2058</v>
      </c>
      <c r="D3857" s="39">
        <v>0</v>
      </c>
      <c r="E3857" s="1" t="s">
        <v>1</v>
      </c>
      <c r="F3857" s="39">
        <v>0</v>
      </c>
    </row>
    <row r="3858" spans="1:6" x14ac:dyDescent="0.25">
      <c r="A3858" s="1" t="s">
        <v>5848</v>
      </c>
      <c r="B3858" s="1" t="s">
        <v>5849</v>
      </c>
      <c r="C3858" s="1" t="s">
        <v>2058</v>
      </c>
      <c r="D3858" s="39">
        <v>0</v>
      </c>
      <c r="E3858" s="1" t="s">
        <v>1</v>
      </c>
      <c r="F3858" s="39">
        <v>0</v>
      </c>
    </row>
    <row r="3859" spans="1:6" x14ac:dyDescent="0.25">
      <c r="A3859" s="1" t="s">
        <v>5850</v>
      </c>
      <c r="B3859" s="1" t="s">
        <v>5851</v>
      </c>
      <c r="C3859" s="1" t="s">
        <v>2058</v>
      </c>
      <c r="D3859" s="39">
        <v>0</v>
      </c>
      <c r="E3859" s="1" t="s">
        <v>1</v>
      </c>
      <c r="F3859" s="39">
        <v>0</v>
      </c>
    </row>
    <row r="3860" spans="1:6" x14ac:dyDescent="0.25">
      <c r="A3860" s="1" t="s">
        <v>5852</v>
      </c>
      <c r="B3860" s="1" t="s">
        <v>5853</v>
      </c>
      <c r="C3860" s="1" t="s">
        <v>2058</v>
      </c>
      <c r="D3860" s="39">
        <v>0</v>
      </c>
      <c r="E3860" s="1" t="s">
        <v>1</v>
      </c>
      <c r="F3860" s="39">
        <v>0</v>
      </c>
    </row>
    <row r="3861" spans="1:6" x14ac:dyDescent="0.25">
      <c r="A3861" s="1" t="s">
        <v>5854</v>
      </c>
      <c r="B3861" s="1" t="s">
        <v>5855</v>
      </c>
      <c r="C3861" s="1" t="s">
        <v>2058</v>
      </c>
      <c r="D3861" s="39">
        <v>0</v>
      </c>
      <c r="E3861" s="1" t="s">
        <v>1</v>
      </c>
      <c r="F3861" s="39">
        <v>0</v>
      </c>
    </row>
    <row r="3862" spans="1:6" x14ac:dyDescent="0.25">
      <c r="A3862" s="1" t="s">
        <v>5856</v>
      </c>
      <c r="B3862" s="1" t="s">
        <v>5857</v>
      </c>
      <c r="C3862" s="1" t="s">
        <v>2058</v>
      </c>
      <c r="D3862" s="39">
        <v>0</v>
      </c>
      <c r="E3862" s="1" t="s">
        <v>1</v>
      </c>
      <c r="F3862" s="39">
        <v>0</v>
      </c>
    </row>
    <row r="3863" spans="1:6" x14ac:dyDescent="0.25">
      <c r="A3863" s="1" t="s">
        <v>1468</v>
      </c>
      <c r="B3863" s="1" t="s">
        <v>1469</v>
      </c>
      <c r="C3863" s="1" t="s">
        <v>2058</v>
      </c>
      <c r="D3863" s="39">
        <v>0</v>
      </c>
      <c r="E3863" s="1" t="s">
        <v>1</v>
      </c>
      <c r="F3863" s="39">
        <v>0</v>
      </c>
    </row>
    <row r="3864" spans="1:6" x14ac:dyDescent="0.25">
      <c r="A3864" s="1" t="s">
        <v>5858</v>
      </c>
      <c r="B3864" s="1" t="s">
        <v>5859</v>
      </c>
      <c r="C3864" s="1" t="s">
        <v>2058</v>
      </c>
      <c r="D3864" s="39">
        <v>0</v>
      </c>
      <c r="E3864" s="1" t="s">
        <v>1</v>
      </c>
      <c r="F3864" s="39">
        <v>0</v>
      </c>
    </row>
    <row r="3865" spans="1:6" x14ac:dyDescent="0.25">
      <c r="A3865" s="1" t="s">
        <v>5860</v>
      </c>
      <c r="B3865" s="1" t="s">
        <v>5861</v>
      </c>
      <c r="C3865" s="1" t="s">
        <v>2058</v>
      </c>
      <c r="D3865" s="39">
        <v>164</v>
      </c>
      <c r="E3865" s="1" t="s">
        <v>1</v>
      </c>
      <c r="F3865" s="3">
        <v>262.39999999999998</v>
      </c>
    </row>
    <row r="3866" spans="1:6" x14ac:dyDescent="0.25">
      <c r="A3866" s="1" t="s">
        <v>5862</v>
      </c>
      <c r="B3866" s="1" t="s">
        <v>5863</v>
      </c>
      <c r="C3866" s="1" t="s">
        <v>2058</v>
      </c>
      <c r="D3866" s="39">
        <v>0</v>
      </c>
      <c r="E3866" s="1" t="s">
        <v>1</v>
      </c>
      <c r="F3866" s="39">
        <v>0</v>
      </c>
    </row>
    <row r="3867" spans="1:6" x14ac:dyDescent="0.25">
      <c r="A3867" s="1" t="s">
        <v>5864</v>
      </c>
      <c r="B3867" s="1" t="s">
        <v>5865</v>
      </c>
      <c r="C3867" s="1" t="s">
        <v>2058</v>
      </c>
      <c r="D3867" s="39">
        <v>0</v>
      </c>
      <c r="E3867" s="1" t="s">
        <v>1</v>
      </c>
      <c r="F3867" s="39">
        <v>0</v>
      </c>
    </row>
    <row r="3868" spans="1:6" x14ac:dyDescent="0.25">
      <c r="A3868" s="1" t="s">
        <v>5866</v>
      </c>
      <c r="B3868" s="1" t="s">
        <v>5867</v>
      </c>
      <c r="C3868" s="1" t="s">
        <v>2058</v>
      </c>
      <c r="D3868" s="39">
        <v>0</v>
      </c>
      <c r="E3868" s="1" t="s">
        <v>1</v>
      </c>
      <c r="F3868" s="39">
        <v>0</v>
      </c>
    </row>
    <row r="3869" spans="1:6" x14ac:dyDescent="0.25">
      <c r="A3869" s="1" t="s">
        <v>1471</v>
      </c>
      <c r="B3869" s="1" t="s">
        <v>1472</v>
      </c>
      <c r="C3869" s="1" t="s">
        <v>2058</v>
      </c>
      <c r="D3869" s="39">
        <v>0</v>
      </c>
      <c r="E3869" s="1" t="s">
        <v>1</v>
      </c>
      <c r="F3869" s="39">
        <v>0</v>
      </c>
    </row>
    <row r="3870" spans="1:6" x14ac:dyDescent="0.25">
      <c r="A3870" s="1" t="s">
        <v>5868</v>
      </c>
      <c r="B3870" s="1" t="s">
        <v>4835</v>
      </c>
      <c r="C3870" s="1" t="s">
        <v>2058</v>
      </c>
      <c r="D3870" s="39">
        <v>0</v>
      </c>
      <c r="E3870" s="1" t="s">
        <v>1</v>
      </c>
      <c r="F3870" s="39">
        <v>0</v>
      </c>
    </row>
    <row r="3871" spans="1:6" x14ac:dyDescent="0.25">
      <c r="A3871" s="1" t="s">
        <v>5869</v>
      </c>
      <c r="B3871" s="1" t="s">
        <v>5870</v>
      </c>
      <c r="C3871" s="1" t="s">
        <v>2058</v>
      </c>
      <c r="D3871" s="39">
        <v>0</v>
      </c>
      <c r="E3871" s="1" t="s">
        <v>1</v>
      </c>
      <c r="F3871" s="39">
        <v>0</v>
      </c>
    </row>
    <row r="3872" spans="1:6" x14ac:dyDescent="0.25">
      <c r="A3872" s="1" t="s">
        <v>5871</v>
      </c>
      <c r="B3872" s="1" t="s">
        <v>5872</v>
      </c>
      <c r="C3872" s="1" t="s">
        <v>2058</v>
      </c>
      <c r="D3872" s="39">
        <v>0</v>
      </c>
      <c r="E3872" s="1" t="s">
        <v>1</v>
      </c>
      <c r="F3872" s="39">
        <v>0</v>
      </c>
    </row>
    <row r="3873" spans="1:6" x14ac:dyDescent="0.25">
      <c r="A3873" s="1" t="s">
        <v>5873</v>
      </c>
      <c r="B3873" s="1" t="s">
        <v>5874</v>
      </c>
      <c r="C3873" s="1" t="s">
        <v>2058</v>
      </c>
      <c r="D3873" s="39">
        <v>0</v>
      </c>
      <c r="E3873" s="1" t="s">
        <v>1</v>
      </c>
      <c r="F3873" s="39">
        <v>0</v>
      </c>
    </row>
    <row r="3874" spans="1:6" x14ac:dyDescent="0.25">
      <c r="A3874" s="1" t="s">
        <v>5875</v>
      </c>
      <c r="B3874" s="1" t="s">
        <v>5876</v>
      </c>
      <c r="C3874" s="1" t="s">
        <v>2058</v>
      </c>
      <c r="D3874" s="39">
        <v>0</v>
      </c>
      <c r="E3874" s="1" t="s">
        <v>1</v>
      </c>
      <c r="F3874" s="39">
        <v>0</v>
      </c>
    </row>
    <row r="3875" spans="1:6" x14ac:dyDescent="0.25">
      <c r="A3875" s="1" t="s">
        <v>5877</v>
      </c>
      <c r="B3875" s="1" t="s">
        <v>5878</v>
      </c>
      <c r="C3875" s="1" t="s">
        <v>2058</v>
      </c>
      <c r="D3875" s="39">
        <v>0</v>
      </c>
      <c r="E3875" s="1" t="s">
        <v>1</v>
      </c>
      <c r="F3875" s="39">
        <v>0</v>
      </c>
    </row>
    <row r="3876" spans="1:6" x14ac:dyDescent="0.25">
      <c r="A3876" s="1" t="s">
        <v>1865</v>
      </c>
      <c r="B3876" s="1" t="s">
        <v>5879</v>
      </c>
      <c r="C3876" s="1" t="s">
        <v>2058</v>
      </c>
      <c r="D3876" s="39">
        <v>1851</v>
      </c>
      <c r="E3876" s="1" t="s">
        <v>1</v>
      </c>
      <c r="F3876" s="3">
        <v>55692.53</v>
      </c>
    </row>
    <row r="3877" spans="1:6" x14ac:dyDescent="0.25">
      <c r="A3877" s="1" t="s">
        <v>1866</v>
      </c>
      <c r="B3877" s="1" t="s">
        <v>5880</v>
      </c>
      <c r="C3877" s="1" t="s">
        <v>2058</v>
      </c>
      <c r="D3877" s="39">
        <v>20268</v>
      </c>
      <c r="E3877" s="1" t="s">
        <v>1</v>
      </c>
      <c r="F3877" s="3">
        <v>77006.240000000005</v>
      </c>
    </row>
    <row r="3878" spans="1:6" x14ac:dyDescent="0.25">
      <c r="A3878" s="1" t="s">
        <v>5881</v>
      </c>
      <c r="B3878" s="1" t="s">
        <v>5882</v>
      </c>
      <c r="C3878" s="1" t="s">
        <v>2058</v>
      </c>
      <c r="D3878" s="39">
        <v>0</v>
      </c>
      <c r="E3878" s="1" t="s">
        <v>1</v>
      </c>
      <c r="F3878" s="39">
        <v>0</v>
      </c>
    </row>
    <row r="3879" spans="1:6" x14ac:dyDescent="0.25">
      <c r="A3879" s="1" t="s">
        <v>5883</v>
      </c>
      <c r="B3879" s="1" t="s">
        <v>5884</v>
      </c>
      <c r="C3879" s="1" t="s">
        <v>2058</v>
      </c>
      <c r="D3879" s="39">
        <v>0</v>
      </c>
      <c r="E3879" s="1" t="s">
        <v>1</v>
      </c>
      <c r="F3879" s="39">
        <v>0</v>
      </c>
    </row>
    <row r="3880" spans="1:6" x14ac:dyDescent="0.25">
      <c r="A3880" s="1" t="s">
        <v>1963</v>
      </c>
      <c r="B3880" s="1" t="s">
        <v>5885</v>
      </c>
      <c r="C3880" s="1" t="s">
        <v>2058</v>
      </c>
      <c r="D3880" s="39">
        <v>57</v>
      </c>
      <c r="E3880" s="1" t="s">
        <v>1</v>
      </c>
      <c r="F3880" s="3">
        <v>979.98</v>
      </c>
    </row>
    <row r="3881" spans="1:6" x14ac:dyDescent="0.25">
      <c r="A3881" s="1" t="s">
        <v>1964</v>
      </c>
      <c r="B3881" s="1" t="s">
        <v>5886</v>
      </c>
      <c r="C3881" s="1" t="s">
        <v>2058</v>
      </c>
      <c r="D3881" s="39">
        <v>0</v>
      </c>
      <c r="E3881" s="1" t="s">
        <v>1</v>
      </c>
      <c r="F3881" s="39">
        <v>0</v>
      </c>
    </row>
    <row r="3882" spans="1:6" x14ac:dyDescent="0.25">
      <c r="A3882" s="1" t="s">
        <v>5887</v>
      </c>
      <c r="B3882" s="1" t="s">
        <v>5888</v>
      </c>
      <c r="C3882" s="1" t="s">
        <v>2058</v>
      </c>
      <c r="D3882" s="39">
        <v>0</v>
      </c>
      <c r="E3882" s="1" t="s">
        <v>1</v>
      </c>
      <c r="F3882" s="39">
        <v>0</v>
      </c>
    </row>
    <row r="3883" spans="1:6" x14ac:dyDescent="0.25">
      <c r="A3883" s="1" t="s">
        <v>1867</v>
      </c>
      <c r="B3883" s="1" t="s">
        <v>5889</v>
      </c>
      <c r="C3883" s="1" t="s">
        <v>2058</v>
      </c>
      <c r="D3883" s="39">
        <v>0</v>
      </c>
      <c r="E3883" s="1" t="s">
        <v>1</v>
      </c>
      <c r="F3883" s="39">
        <v>0</v>
      </c>
    </row>
    <row r="3884" spans="1:6" x14ac:dyDescent="0.25">
      <c r="A3884" s="1" t="s">
        <v>1965</v>
      </c>
      <c r="B3884" s="1" t="s">
        <v>5890</v>
      </c>
      <c r="C3884" s="1" t="s">
        <v>2058</v>
      </c>
      <c r="D3884" s="39">
        <v>0</v>
      </c>
      <c r="E3884" s="1" t="s">
        <v>1</v>
      </c>
      <c r="F3884" s="39">
        <v>0</v>
      </c>
    </row>
    <row r="3885" spans="1:6" x14ac:dyDescent="0.25">
      <c r="A3885" s="1" t="s">
        <v>5891</v>
      </c>
      <c r="B3885" s="1" t="s">
        <v>5892</v>
      </c>
      <c r="C3885" s="1" t="s">
        <v>2058</v>
      </c>
      <c r="D3885" s="39">
        <v>0</v>
      </c>
      <c r="E3885" s="1" t="s">
        <v>1</v>
      </c>
      <c r="F3885" s="39">
        <v>0</v>
      </c>
    </row>
    <row r="3886" spans="1:6" x14ac:dyDescent="0.25">
      <c r="A3886" s="1" t="s">
        <v>5893</v>
      </c>
      <c r="B3886" s="1" t="s">
        <v>5894</v>
      </c>
      <c r="C3886" s="1" t="s">
        <v>2058</v>
      </c>
      <c r="D3886" s="39">
        <v>0</v>
      </c>
      <c r="E3886" s="1" t="s">
        <v>1</v>
      </c>
      <c r="F3886" s="39">
        <v>0</v>
      </c>
    </row>
    <row r="3887" spans="1:6" x14ac:dyDescent="0.25">
      <c r="A3887" s="1" t="s">
        <v>1966</v>
      </c>
      <c r="B3887" s="1" t="s">
        <v>5895</v>
      </c>
      <c r="C3887" s="1" t="s">
        <v>2058</v>
      </c>
      <c r="D3887" s="39">
        <v>134</v>
      </c>
      <c r="E3887" s="1" t="s">
        <v>1</v>
      </c>
      <c r="F3887" s="3">
        <v>5955.23</v>
      </c>
    </row>
    <row r="3888" spans="1:6" x14ac:dyDescent="0.25">
      <c r="A3888" s="1" t="s">
        <v>1967</v>
      </c>
      <c r="B3888" s="1" t="s">
        <v>5896</v>
      </c>
      <c r="C3888" s="1" t="s">
        <v>2058</v>
      </c>
      <c r="D3888" s="39">
        <v>308</v>
      </c>
      <c r="E3888" s="1" t="s">
        <v>1</v>
      </c>
      <c r="F3888" s="3">
        <v>22499.34</v>
      </c>
    </row>
    <row r="3889" spans="1:6" x14ac:dyDescent="0.25">
      <c r="A3889" s="1" t="s">
        <v>1968</v>
      </c>
      <c r="B3889" s="1" t="s">
        <v>5897</v>
      </c>
      <c r="C3889" s="1" t="s">
        <v>2058</v>
      </c>
      <c r="D3889" s="39">
        <v>2412</v>
      </c>
      <c r="E3889" s="1" t="s">
        <v>1</v>
      </c>
      <c r="F3889" s="3">
        <v>16686.46</v>
      </c>
    </row>
    <row r="3890" spans="1:6" x14ac:dyDescent="0.25">
      <c r="A3890" s="1" t="s">
        <v>1496</v>
      </c>
      <c r="B3890" s="1" t="s">
        <v>1497</v>
      </c>
      <c r="C3890" s="1" t="s">
        <v>2058</v>
      </c>
      <c r="D3890" s="39">
        <v>0</v>
      </c>
      <c r="E3890" s="1" t="s">
        <v>1</v>
      </c>
      <c r="F3890" s="39">
        <v>0</v>
      </c>
    </row>
    <row r="3891" spans="1:6" x14ac:dyDescent="0.25">
      <c r="A3891" s="1" t="s">
        <v>1969</v>
      </c>
      <c r="B3891" s="1" t="s">
        <v>5898</v>
      </c>
      <c r="C3891" s="1" t="s">
        <v>2058</v>
      </c>
      <c r="D3891" s="39">
        <v>102</v>
      </c>
      <c r="E3891" s="1" t="s">
        <v>1</v>
      </c>
      <c r="F3891" s="3">
        <v>911.5</v>
      </c>
    </row>
    <row r="3892" spans="1:6" x14ac:dyDescent="0.25">
      <c r="A3892" s="1" t="s">
        <v>5899</v>
      </c>
      <c r="B3892" s="1" t="s">
        <v>5900</v>
      </c>
      <c r="C3892" s="1" t="s">
        <v>2058</v>
      </c>
      <c r="D3892" s="39">
        <v>0</v>
      </c>
      <c r="E3892" s="1" t="s">
        <v>1</v>
      </c>
      <c r="F3892" s="39">
        <v>0</v>
      </c>
    </row>
    <row r="3893" spans="1:6" x14ac:dyDescent="0.25">
      <c r="A3893" s="1" t="s">
        <v>5901</v>
      </c>
      <c r="B3893" s="1" t="s">
        <v>5902</v>
      </c>
      <c r="C3893" s="1" t="s">
        <v>2058</v>
      </c>
      <c r="D3893" s="39">
        <v>0</v>
      </c>
      <c r="E3893" s="1" t="s">
        <v>1</v>
      </c>
      <c r="F3893" s="39">
        <v>0</v>
      </c>
    </row>
    <row r="3894" spans="1:6" x14ac:dyDescent="0.25">
      <c r="A3894" s="1" t="s">
        <v>5903</v>
      </c>
      <c r="B3894" s="1" t="s">
        <v>5904</v>
      </c>
      <c r="C3894" s="1" t="s">
        <v>2058</v>
      </c>
      <c r="D3894" s="39">
        <v>0</v>
      </c>
      <c r="E3894" s="1" t="s">
        <v>1</v>
      </c>
      <c r="F3894" s="39">
        <v>0</v>
      </c>
    </row>
    <row r="3895" spans="1:6" x14ac:dyDescent="0.25">
      <c r="A3895" s="1" t="s">
        <v>1499</v>
      </c>
      <c r="B3895" s="1" t="s">
        <v>227</v>
      </c>
      <c r="C3895" s="1" t="s">
        <v>2058</v>
      </c>
      <c r="D3895" s="39">
        <v>0</v>
      </c>
      <c r="E3895" s="1" t="s">
        <v>1</v>
      </c>
      <c r="F3895" s="39">
        <v>0</v>
      </c>
    </row>
    <row r="3896" spans="1:6" x14ac:dyDescent="0.25">
      <c r="A3896" s="1" t="s">
        <v>5905</v>
      </c>
      <c r="B3896" s="1" t="s">
        <v>5906</v>
      </c>
      <c r="C3896" s="1" t="s">
        <v>2058</v>
      </c>
      <c r="D3896" s="39">
        <v>0</v>
      </c>
      <c r="E3896" s="1" t="s">
        <v>1</v>
      </c>
      <c r="F3896" s="39">
        <v>0</v>
      </c>
    </row>
    <row r="3897" spans="1:6" x14ac:dyDescent="0.25">
      <c r="A3897" s="1" t="s">
        <v>1502</v>
      </c>
      <c r="B3897" s="1" t="s">
        <v>5907</v>
      </c>
      <c r="C3897" s="1" t="s">
        <v>2058</v>
      </c>
      <c r="D3897" s="39">
        <v>0</v>
      </c>
      <c r="E3897" s="1" t="s">
        <v>1</v>
      </c>
      <c r="F3897" s="39">
        <v>0</v>
      </c>
    </row>
    <row r="3898" spans="1:6" x14ac:dyDescent="0.25">
      <c r="A3898" s="1" t="s">
        <v>1507</v>
      </c>
      <c r="B3898" s="1" t="s">
        <v>1508</v>
      </c>
      <c r="C3898" s="1" t="s">
        <v>2058</v>
      </c>
      <c r="D3898" s="39">
        <v>0</v>
      </c>
      <c r="E3898" s="1" t="s">
        <v>1</v>
      </c>
      <c r="F3898" s="39">
        <v>0</v>
      </c>
    </row>
    <row r="3899" spans="1:6" x14ac:dyDescent="0.25">
      <c r="A3899" s="1" t="s">
        <v>1512</v>
      </c>
      <c r="B3899" s="1" t="s">
        <v>1513</v>
      </c>
      <c r="C3899" s="1" t="s">
        <v>2058</v>
      </c>
      <c r="D3899" s="39">
        <v>0</v>
      </c>
      <c r="E3899" s="1" t="s">
        <v>1</v>
      </c>
      <c r="F3899" s="39">
        <v>0</v>
      </c>
    </row>
    <row r="3900" spans="1:6" x14ac:dyDescent="0.25">
      <c r="A3900" s="1" t="s">
        <v>5908</v>
      </c>
      <c r="B3900" s="1" t="s">
        <v>5909</v>
      </c>
      <c r="C3900" s="1" t="s">
        <v>2058</v>
      </c>
      <c r="D3900" s="39">
        <v>0</v>
      </c>
      <c r="E3900" s="1" t="s">
        <v>1</v>
      </c>
      <c r="F3900" s="39">
        <v>0</v>
      </c>
    </row>
    <row r="3901" spans="1:6" x14ac:dyDescent="0.25">
      <c r="A3901" s="1" t="s">
        <v>1517</v>
      </c>
      <c r="B3901" s="1" t="s">
        <v>1518</v>
      </c>
      <c r="C3901" s="1" t="s">
        <v>2058</v>
      </c>
      <c r="D3901" s="39">
        <v>0</v>
      </c>
      <c r="E3901" s="1" t="s">
        <v>1</v>
      </c>
      <c r="F3901" s="39">
        <v>0</v>
      </c>
    </row>
    <row r="3902" spans="1:6" x14ac:dyDescent="0.25">
      <c r="A3902" s="1" t="s">
        <v>1522</v>
      </c>
      <c r="B3902" s="1" t="s">
        <v>1523</v>
      </c>
      <c r="C3902" s="1" t="s">
        <v>2058</v>
      </c>
      <c r="D3902" s="39">
        <v>0</v>
      </c>
      <c r="E3902" s="1" t="s">
        <v>1</v>
      </c>
      <c r="F3902" s="39">
        <v>0</v>
      </c>
    </row>
    <row r="3903" spans="1:6" x14ac:dyDescent="0.25">
      <c r="A3903" s="1" t="s">
        <v>5910</v>
      </c>
      <c r="B3903" s="1" t="s">
        <v>5911</v>
      </c>
      <c r="C3903" s="1" t="s">
        <v>2058</v>
      </c>
      <c r="D3903" s="39">
        <v>0</v>
      </c>
      <c r="E3903" s="1" t="s">
        <v>1</v>
      </c>
      <c r="F3903" s="39">
        <v>0</v>
      </c>
    </row>
    <row r="3904" spans="1:6" x14ac:dyDescent="0.25">
      <c r="A3904" s="1" t="s">
        <v>1854</v>
      </c>
      <c r="B3904" s="1" t="s">
        <v>5912</v>
      </c>
      <c r="C3904" s="1" t="s">
        <v>2058</v>
      </c>
      <c r="D3904" s="39">
        <v>10488</v>
      </c>
      <c r="E3904" s="1" t="s">
        <v>1</v>
      </c>
      <c r="F3904" s="3">
        <v>15905.05</v>
      </c>
    </row>
    <row r="3905" spans="1:6" x14ac:dyDescent="0.25">
      <c r="A3905" s="1" t="s">
        <v>1855</v>
      </c>
      <c r="B3905" s="1" t="s">
        <v>5913</v>
      </c>
      <c r="C3905" s="1" t="s">
        <v>2058</v>
      </c>
      <c r="D3905" s="39">
        <v>8640</v>
      </c>
      <c r="E3905" s="1" t="s">
        <v>1</v>
      </c>
      <c r="F3905" s="3">
        <v>8159.61</v>
      </c>
    </row>
    <row r="3906" spans="1:6" x14ac:dyDescent="0.25">
      <c r="A3906" s="1" t="s">
        <v>5914</v>
      </c>
      <c r="B3906" s="1" t="s">
        <v>2211</v>
      </c>
      <c r="C3906" s="1" t="s">
        <v>2058</v>
      </c>
      <c r="D3906" s="39">
        <v>0</v>
      </c>
      <c r="E3906" s="1" t="s">
        <v>1</v>
      </c>
      <c r="F3906" s="39">
        <v>0</v>
      </c>
    </row>
    <row r="3907" spans="1:6" x14ac:dyDescent="0.25">
      <c r="A3907" s="1" t="s">
        <v>5915</v>
      </c>
      <c r="B3907" s="1" t="s">
        <v>5916</v>
      </c>
      <c r="C3907" s="1" t="s">
        <v>2058</v>
      </c>
      <c r="D3907" s="39">
        <v>0</v>
      </c>
      <c r="E3907" s="1" t="s">
        <v>1</v>
      </c>
      <c r="F3907" s="39">
        <v>0</v>
      </c>
    </row>
    <row r="3908" spans="1:6" x14ac:dyDescent="0.25">
      <c r="A3908" s="1" t="s">
        <v>1534</v>
      </c>
      <c r="B3908" s="1" t="s">
        <v>1535</v>
      </c>
      <c r="C3908" s="1" t="s">
        <v>2058</v>
      </c>
      <c r="D3908" s="39">
        <v>0</v>
      </c>
      <c r="E3908" s="1" t="s">
        <v>482</v>
      </c>
      <c r="F3908" s="39">
        <v>0</v>
      </c>
    </row>
    <row r="3909" spans="1:6" x14ac:dyDescent="0.25">
      <c r="A3909" s="1" t="s">
        <v>1542</v>
      </c>
      <c r="B3909" s="1" t="s">
        <v>1543</v>
      </c>
      <c r="C3909" s="1" t="s">
        <v>2058</v>
      </c>
      <c r="D3909" s="39">
        <v>0</v>
      </c>
      <c r="E3909" s="1" t="s">
        <v>1</v>
      </c>
      <c r="F3909" s="39">
        <v>0</v>
      </c>
    </row>
    <row r="3910" spans="1:6" x14ac:dyDescent="0.25">
      <c r="A3910" s="1" t="s">
        <v>1547</v>
      </c>
      <c r="B3910" s="1" t="s">
        <v>1548</v>
      </c>
      <c r="C3910" s="1" t="s">
        <v>2058</v>
      </c>
      <c r="D3910" s="39">
        <v>0</v>
      </c>
      <c r="E3910" s="1" t="s">
        <v>1</v>
      </c>
      <c r="F3910" s="39">
        <v>0</v>
      </c>
    </row>
    <row r="3911" spans="1:6" x14ac:dyDescent="0.25">
      <c r="A3911" s="1" t="s">
        <v>1553</v>
      </c>
      <c r="B3911" s="1" t="s">
        <v>1554</v>
      </c>
      <c r="C3911" s="1" t="s">
        <v>2058</v>
      </c>
      <c r="D3911" s="39">
        <v>0</v>
      </c>
      <c r="E3911" s="1" t="s">
        <v>1</v>
      </c>
      <c r="F3911" s="39">
        <v>0</v>
      </c>
    </row>
    <row r="3912" spans="1:6" x14ac:dyDescent="0.25">
      <c r="A3912" s="1" t="s">
        <v>1557</v>
      </c>
      <c r="B3912" s="1" t="s">
        <v>1558</v>
      </c>
      <c r="C3912" s="1" t="s">
        <v>2058</v>
      </c>
      <c r="D3912" s="39">
        <v>0</v>
      </c>
      <c r="E3912" s="1" t="s">
        <v>1</v>
      </c>
      <c r="F3912" s="39">
        <v>0</v>
      </c>
    </row>
    <row r="3913" spans="1:6" x14ac:dyDescent="0.25">
      <c r="A3913" s="1" t="s">
        <v>1568</v>
      </c>
      <c r="B3913" s="1" t="s">
        <v>1569</v>
      </c>
      <c r="C3913" s="1" t="s">
        <v>2058</v>
      </c>
      <c r="D3913" s="39">
        <v>0</v>
      </c>
      <c r="E3913" s="1" t="s">
        <v>1</v>
      </c>
      <c r="F3913" s="39">
        <v>0</v>
      </c>
    </row>
    <row r="3914" spans="1:6" x14ac:dyDescent="0.25">
      <c r="A3914" s="1" t="s">
        <v>1579</v>
      </c>
      <c r="B3914" s="1" t="s">
        <v>1580</v>
      </c>
      <c r="C3914" s="1" t="s">
        <v>2058</v>
      </c>
      <c r="D3914" s="39">
        <v>0</v>
      </c>
      <c r="E3914" s="1" t="s">
        <v>1</v>
      </c>
      <c r="F3914" s="39">
        <v>0</v>
      </c>
    </row>
    <row r="3915" spans="1:6" x14ac:dyDescent="0.25">
      <c r="A3915" s="1" t="s">
        <v>1585</v>
      </c>
      <c r="B3915" s="1" t="s">
        <v>1586</v>
      </c>
      <c r="C3915" s="1" t="s">
        <v>2058</v>
      </c>
      <c r="D3915" s="39">
        <v>0</v>
      </c>
      <c r="E3915" s="1" t="s">
        <v>1</v>
      </c>
      <c r="F3915" s="39">
        <v>0</v>
      </c>
    </row>
    <row r="3916" spans="1:6" x14ac:dyDescent="0.25">
      <c r="A3916" s="1" t="s">
        <v>1588</v>
      </c>
      <c r="B3916" s="1" t="s">
        <v>1589</v>
      </c>
      <c r="C3916" s="1" t="s">
        <v>2058</v>
      </c>
      <c r="D3916" s="39">
        <v>0</v>
      </c>
      <c r="E3916" s="1" t="s">
        <v>1</v>
      </c>
      <c r="F3916" s="39">
        <v>0</v>
      </c>
    </row>
    <row r="3917" spans="1:6" x14ac:dyDescent="0.25">
      <c r="A3917" s="1" t="s">
        <v>1592</v>
      </c>
      <c r="B3917" s="1" t="s">
        <v>283</v>
      </c>
      <c r="C3917" s="1" t="s">
        <v>2058</v>
      </c>
      <c r="D3917" s="39">
        <v>0</v>
      </c>
      <c r="E3917" s="1" t="s">
        <v>1</v>
      </c>
      <c r="F3917" s="39">
        <v>0</v>
      </c>
    </row>
    <row r="3918" spans="1:6" x14ac:dyDescent="0.25">
      <c r="A3918" s="1" t="s">
        <v>5917</v>
      </c>
      <c r="B3918" s="1" t="s">
        <v>4732</v>
      </c>
      <c r="C3918" s="1" t="s">
        <v>2058</v>
      </c>
      <c r="D3918" s="39">
        <v>0</v>
      </c>
      <c r="E3918" s="1" t="s">
        <v>1</v>
      </c>
      <c r="F3918" s="39">
        <v>0</v>
      </c>
    </row>
    <row r="3919" spans="1:6" x14ac:dyDescent="0.25">
      <c r="A3919" s="1" t="s">
        <v>1594</v>
      </c>
      <c r="B3919" s="1" t="s">
        <v>1595</v>
      </c>
      <c r="C3919" s="1" t="s">
        <v>2058</v>
      </c>
      <c r="D3919" s="39">
        <v>0</v>
      </c>
      <c r="E3919" s="1" t="s">
        <v>1</v>
      </c>
      <c r="F3919" s="39">
        <v>0</v>
      </c>
    </row>
    <row r="3920" spans="1:6" x14ac:dyDescent="0.25">
      <c r="A3920" s="1" t="s">
        <v>1597</v>
      </c>
      <c r="B3920" s="1" t="s">
        <v>1598</v>
      </c>
      <c r="C3920" s="1" t="s">
        <v>2058</v>
      </c>
      <c r="D3920" s="39">
        <v>0</v>
      </c>
      <c r="E3920" s="1" t="s">
        <v>1</v>
      </c>
      <c r="F3920" s="39">
        <v>0</v>
      </c>
    </row>
    <row r="3921" spans="1:6" x14ac:dyDescent="0.25">
      <c r="A3921" s="1" t="s">
        <v>1605</v>
      </c>
      <c r="B3921" s="1" t="s">
        <v>1606</v>
      </c>
      <c r="C3921" s="1" t="s">
        <v>2058</v>
      </c>
      <c r="D3921" s="39">
        <v>0</v>
      </c>
      <c r="E3921" s="1" t="s">
        <v>1</v>
      </c>
      <c r="F3921" s="39">
        <v>0</v>
      </c>
    </row>
    <row r="3922" spans="1:6" x14ac:dyDescent="0.25">
      <c r="A3922" s="1" t="s">
        <v>5918</v>
      </c>
      <c r="B3922" s="1" t="s">
        <v>5919</v>
      </c>
      <c r="C3922" s="1" t="s">
        <v>2058</v>
      </c>
      <c r="D3922" s="39">
        <v>0</v>
      </c>
      <c r="E3922" s="1" t="s">
        <v>1</v>
      </c>
      <c r="F3922" s="39">
        <v>0</v>
      </c>
    </row>
    <row r="3923" spans="1:6" x14ac:dyDescent="0.25">
      <c r="A3923" s="1" t="s">
        <v>1608</v>
      </c>
      <c r="B3923" s="1" t="s">
        <v>5920</v>
      </c>
      <c r="C3923" s="1" t="s">
        <v>2058</v>
      </c>
      <c r="D3923" s="39">
        <v>0</v>
      </c>
      <c r="E3923" s="1" t="s">
        <v>1</v>
      </c>
      <c r="F3923" s="39">
        <v>0</v>
      </c>
    </row>
    <row r="3924" spans="1:6" x14ac:dyDescent="0.25">
      <c r="A3924" s="1" t="s">
        <v>1614</v>
      </c>
      <c r="B3924" s="1" t="s">
        <v>1615</v>
      </c>
      <c r="C3924" s="1" t="s">
        <v>2058</v>
      </c>
      <c r="D3924" s="39">
        <v>0</v>
      </c>
      <c r="E3924" s="1" t="s">
        <v>1</v>
      </c>
      <c r="F3924" s="39">
        <v>0</v>
      </c>
    </row>
    <row r="3925" spans="1:6" x14ac:dyDescent="0.25">
      <c r="A3925" s="1" t="s">
        <v>1617</v>
      </c>
      <c r="B3925" s="1" t="s">
        <v>1618</v>
      </c>
      <c r="C3925" s="1" t="s">
        <v>2058</v>
      </c>
      <c r="D3925" s="39">
        <v>0</v>
      </c>
      <c r="E3925" s="1" t="s">
        <v>1</v>
      </c>
      <c r="F3925" s="39">
        <v>0</v>
      </c>
    </row>
    <row r="3926" spans="1:6" x14ac:dyDescent="0.25">
      <c r="A3926" s="1" t="s">
        <v>1621</v>
      </c>
      <c r="B3926" s="1" t="s">
        <v>298</v>
      </c>
      <c r="C3926" s="1" t="s">
        <v>2058</v>
      </c>
      <c r="D3926" s="39">
        <v>0</v>
      </c>
      <c r="E3926" s="1" t="s">
        <v>1</v>
      </c>
      <c r="F3926" s="39">
        <v>0</v>
      </c>
    </row>
    <row r="3927" spans="1:6" x14ac:dyDescent="0.25">
      <c r="A3927" s="1" t="s">
        <v>1624</v>
      </c>
      <c r="B3927" s="1" t="s">
        <v>5921</v>
      </c>
      <c r="C3927" s="1" t="s">
        <v>2058</v>
      </c>
      <c r="D3927" s="39">
        <v>0</v>
      </c>
      <c r="E3927" s="1" t="s">
        <v>1</v>
      </c>
      <c r="F3927" s="39">
        <v>0</v>
      </c>
    </row>
    <row r="3928" spans="1:6" x14ac:dyDescent="0.25">
      <c r="A3928" s="1" t="s">
        <v>1628</v>
      </c>
      <c r="B3928" s="1" t="s">
        <v>1629</v>
      </c>
      <c r="C3928" s="1" t="s">
        <v>2058</v>
      </c>
      <c r="D3928" s="39">
        <v>0</v>
      </c>
      <c r="E3928" s="1" t="s">
        <v>1</v>
      </c>
      <c r="F3928" s="39">
        <v>0</v>
      </c>
    </row>
    <row r="3929" spans="1:6" x14ac:dyDescent="0.25">
      <c r="A3929" s="1" t="s">
        <v>1634</v>
      </c>
      <c r="B3929" s="1" t="s">
        <v>1635</v>
      </c>
      <c r="C3929" s="1" t="s">
        <v>2058</v>
      </c>
      <c r="D3929" s="39">
        <v>0</v>
      </c>
      <c r="E3929" s="1" t="s">
        <v>1</v>
      </c>
      <c r="F3929" s="39">
        <v>0</v>
      </c>
    </row>
    <row r="3930" spans="1:6" x14ac:dyDescent="0.25">
      <c r="A3930" s="1" t="s">
        <v>5922</v>
      </c>
      <c r="B3930" s="1" t="s">
        <v>5923</v>
      </c>
      <c r="C3930" s="1" t="s">
        <v>2058</v>
      </c>
      <c r="D3930" s="39">
        <v>0</v>
      </c>
      <c r="E3930" s="1" t="s">
        <v>1</v>
      </c>
      <c r="F3930" s="39">
        <v>0</v>
      </c>
    </row>
    <row r="3931" spans="1:6" x14ac:dyDescent="0.25">
      <c r="A3931" s="1" t="s">
        <v>1638</v>
      </c>
      <c r="B3931" s="1" t="s">
        <v>1639</v>
      </c>
      <c r="C3931" s="1" t="s">
        <v>2058</v>
      </c>
      <c r="D3931" s="39">
        <v>0</v>
      </c>
      <c r="E3931" s="1" t="s">
        <v>1</v>
      </c>
      <c r="F3931" s="39">
        <v>0</v>
      </c>
    </row>
    <row r="3932" spans="1:6" x14ac:dyDescent="0.25">
      <c r="A3932" s="1" t="s">
        <v>1642</v>
      </c>
      <c r="B3932" s="1" t="s">
        <v>1643</v>
      </c>
      <c r="C3932" s="1" t="s">
        <v>2058</v>
      </c>
      <c r="D3932" s="39">
        <v>0</v>
      </c>
      <c r="E3932" s="1" t="s">
        <v>1</v>
      </c>
      <c r="F3932" s="39">
        <v>0</v>
      </c>
    </row>
    <row r="3933" spans="1:6" x14ac:dyDescent="0.25">
      <c r="A3933" s="1" t="s">
        <v>1647</v>
      </c>
      <c r="B3933" s="1" t="s">
        <v>1648</v>
      </c>
      <c r="C3933" s="1" t="s">
        <v>2058</v>
      </c>
      <c r="D3933" s="39">
        <v>0</v>
      </c>
      <c r="E3933" s="1" t="s">
        <v>1</v>
      </c>
      <c r="F3933" s="39">
        <v>0</v>
      </c>
    </row>
    <row r="3934" spans="1:6" x14ac:dyDescent="0.25">
      <c r="A3934" s="1" t="s">
        <v>1652</v>
      </c>
      <c r="B3934" s="1" t="s">
        <v>1653</v>
      </c>
      <c r="C3934" s="1" t="s">
        <v>2058</v>
      </c>
      <c r="D3934" s="39">
        <v>0</v>
      </c>
      <c r="E3934" s="1" t="s">
        <v>1</v>
      </c>
      <c r="F3934" s="39">
        <v>0</v>
      </c>
    </row>
    <row r="3935" spans="1:6" x14ac:dyDescent="0.25">
      <c r="A3935" s="1" t="s">
        <v>1657</v>
      </c>
      <c r="B3935" s="1" t="s">
        <v>1658</v>
      </c>
      <c r="C3935" s="1" t="s">
        <v>2058</v>
      </c>
      <c r="D3935" s="39">
        <v>0</v>
      </c>
      <c r="E3935" s="1" t="s">
        <v>1</v>
      </c>
      <c r="F3935" s="39">
        <v>0</v>
      </c>
    </row>
    <row r="3936" spans="1:6" x14ac:dyDescent="0.25">
      <c r="A3936" s="1" t="s">
        <v>1662</v>
      </c>
      <c r="B3936" s="1" t="s">
        <v>1663</v>
      </c>
      <c r="C3936" s="1" t="s">
        <v>2058</v>
      </c>
      <c r="D3936" s="39">
        <v>0</v>
      </c>
      <c r="E3936" s="1" t="s">
        <v>1</v>
      </c>
      <c r="F3936" s="39">
        <v>0</v>
      </c>
    </row>
    <row r="3937" spans="1:6" x14ac:dyDescent="0.25">
      <c r="A3937" s="1" t="s">
        <v>2046</v>
      </c>
      <c r="B3937" s="1" t="s">
        <v>5924</v>
      </c>
      <c r="C3937" s="1" t="s">
        <v>2058</v>
      </c>
      <c r="D3937" s="39">
        <v>0</v>
      </c>
      <c r="E3937" s="1" t="s">
        <v>1</v>
      </c>
      <c r="F3937" s="39">
        <v>0</v>
      </c>
    </row>
    <row r="3938" spans="1:6" x14ac:dyDescent="0.25">
      <c r="A3938" s="1" t="s">
        <v>2047</v>
      </c>
      <c r="B3938" s="1" t="s">
        <v>5925</v>
      </c>
      <c r="C3938" s="1" t="s">
        <v>2058</v>
      </c>
      <c r="D3938" s="39">
        <v>1970</v>
      </c>
      <c r="E3938" s="1" t="s">
        <v>1</v>
      </c>
      <c r="F3938" s="3">
        <v>23393.360000000001</v>
      </c>
    </row>
    <row r="3939" spans="1:6" x14ac:dyDescent="0.25">
      <c r="A3939" s="1" t="s">
        <v>1667</v>
      </c>
      <c r="B3939" s="1" t="s">
        <v>1668</v>
      </c>
      <c r="C3939" s="1" t="s">
        <v>2058</v>
      </c>
      <c r="D3939" s="39">
        <v>0</v>
      </c>
      <c r="E3939" s="1" t="s">
        <v>1</v>
      </c>
      <c r="F3939" s="39">
        <v>0</v>
      </c>
    </row>
    <row r="3940" spans="1:6" x14ac:dyDescent="0.25">
      <c r="A3940" s="1" t="s">
        <v>5926</v>
      </c>
      <c r="B3940" s="1" t="s">
        <v>5927</v>
      </c>
      <c r="C3940" s="1" t="s">
        <v>2058</v>
      </c>
      <c r="D3940" s="39">
        <v>0</v>
      </c>
      <c r="E3940" s="1" t="s">
        <v>482</v>
      </c>
      <c r="F3940" s="39">
        <v>0</v>
      </c>
    </row>
    <row r="3941" spans="1:6" x14ac:dyDescent="0.25">
      <c r="A3941" s="1" t="s">
        <v>1671</v>
      </c>
      <c r="B3941" s="1" t="s">
        <v>1672</v>
      </c>
      <c r="C3941" s="1" t="s">
        <v>2058</v>
      </c>
      <c r="D3941" s="39">
        <v>0</v>
      </c>
      <c r="E3941" s="1" t="s">
        <v>1</v>
      </c>
      <c r="F3941" s="39">
        <v>0</v>
      </c>
    </row>
    <row r="3942" spans="1:6" x14ac:dyDescent="0.25">
      <c r="A3942" s="1" t="s">
        <v>1674</v>
      </c>
      <c r="B3942" s="1" t="s">
        <v>1675</v>
      </c>
      <c r="C3942" s="1" t="s">
        <v>2058</v>
      </c>
      <c r="D3942" s="39">
        <v>0</v>
      </c>
      <c r="E3942" s="1" t="s">
        <v>1</v>
      </c>
      <c r="F3942" s="39">
        <v>0</v>
      </c>
    </row>
    <row r="3943" spans="1:6" x14ac:dyDescent="0.25">
      <c r="A3943" s="1" t="s">
        <v>1679</v>
      </c>
      <c r="B3943" s="1" t="s">
        <v>1680</v>
      </c>
      <c r="C3943" s="1" t="s">
        <v>2058</v>
      </c>
      <c r="D3943" s="39">
        <v>0</v>
      </c>
      <c r="E3943" s="1" t="s">
        <v>1</v>
      </c>
      <c r="F3943" s="39">
        <v>0</v>
      </c>
    </row>
    <row r="3944" spans="1:6" x14ac:dyDescent="0.25">
      <c r="A3944" s="1" t="s">
        <v>1684</v>
      </c>
      <c r="B3944" s="1" t="s">
        <v>1685</v>
      </c>
      <c r="C3944" s="1" t="s">
        <v>2058</v>
      </c>
      <c r="D3944" s="39">
        <v>0</v>
      </c>
      <c r="E3944" s="1" t="s">
        <v>1</v>
      </c>
      <c r="F3944" s="39">
        <v>0</v>
      </c>
    </row>
    <row r="3945" spans="1:6" x14ac:dyDescent="0.25">
      <c r="A3945" s="1" t="s">
        <v>1690</v>
      </c>
      <c r="B3945" s="1" t="s">
        <v>1691</v>
      </c>
      <c r="C3945" s="1" t="s">
        <v>2058</v>
      </c>
      <c r="D3945" s="39">
        <v>0</v>
      </c>
      <c r="E3945" s="1" t="s">
        <v>1</v>
      </c>
      <c r="F3945" s="39">
        <v>0</v>
      </c>
    </row>
    <row r="3946" spans="1:6" x14ac:dyDescent="0.25">
      <c r="A3946" s="1" t="s">
        <v>5928</v>
      </c>
      <c r="B3946" s="1" t="s">
        <v>5929</v>
      </c>
      <c r="C3946" s="1" t="s">
        <v>2058</v>
      </c>
      <c r="D3946" s="39">
        <v>0</v>
      </c>
      <c r="E3946" s="1" t="s">
        <v>1</v>
      </c>
      <c r="F3946" s="39">
        <v>0</v>
      </c>
    </row>
    <row r="3947" spans="1:6" x14ac:dyDescent="0.25">
      <c r="A3947" s="1" t="s">
        <v>5930</v>
      </c>
      <c r="B3947" s="1" t="s">
        <v>5931</v>
      </c>
      <c r="C3947" s="1" t="s">
        <v>2058</v>
      </c>
      <c r="D3947" s="39">
        <v>0</v>
      </c>
      <c r="E3947" s="1" t="s">
        <v>1</v>
      </c>
      <c r="F3947" s="39">
        <v>0</v>
      </c>
    </row>
    <row r="3948" spans="1:6" x14ac:dyDescent="0.25">
      <c r="A3948" s="1" t="s">
        <v>1700</v>
      </c>
      <c r="B3948" s="1" t="s">
        <v>1701</v>
      </c>
      <c r="C3948" s="1" t="s">
        <v>2058</v>
      </c>
      <c r="D3948" s="39">
        <v>0</v>
      </c>
      <c r="E3948" s="1" t="s">
        <v>1</v>
      </c>
      <c r="F3948" s="39">
        <v>0</v>
      </c>
    </row>
    <row r="3949" spans="1:6" x14ac:dyDescent="0.25">
      <c r="A3949" s="1" t="s">
        <v>5932</v>
      </c>
      <c r="B3949" s="1" t="s">
        <v>5933</v>
      </c>
      <c r="C3949" s="1" t="s">
        <v>2058</v>
      </c>
      <c r="D3949" s="39">
        <v>0</v>
      </c>
      <c r="E3949" s="1" t="s">
        <v>1</v>
      </c>
      <c r="F3949" s="39">
        <v>0</v>
      </c>
    </row>
    <row r="3950" spans="1:6" x14ac:dyDescent="0.25">
      <c r="A3950" s="1" t="s">
        <v>1704</v>
      </c>
      <c r="B3950" s="1" t="s">
        <v>1705</v>
      </c>
      <c r="C3950" s="1" t="s">
        <v>2058</v>
      </c>
      <c r="D3950" s="39">
        <v>0</v>
      </c>
      <c r="E3950" s="1" t="s">
        <v>1</v>
      </c>
      <c r="F3950" s="39">
        <v>0</v>
      </c>
    </row>
    <row r="3951" spans="1:6" x14ac:dyDescent="0.25">
      <c r="A3951" s="1" t="s">
        <v>5934</v>
      </c>
      <c r="B3951" s="1" t="s">
        <v>5935</v>
      </c>
      <c r="C3951" s="1" t="s">
        <v>2058</v>
      </c>
      <c r="D3951" s="39">
        <v>0</v>
      </c>
      <c r="E3951" s="1" t="s">
        <v>1</v>
      </c>
      <c r="F3951" s="39">
        <v>0</v>
      </c>
    </row>
    <row r="3952" spans="1:6" x14ac:dyDescent="0.25">
      <c r="A3952" s="1" t="s">
        <v>1707</v>
      </c>
      <c r="B3952" s="1" t="s">
        <v>1708</v>
      </c>
      <c r="C3952" s="1" t="s">
        <v>2058</v>
      </c>
      <c r="D3952" s="39">
        <v>0</v>
      </c>
      <c r="E3952" s="1" t="s">
        <v>1</v>
      </c>
      <c r="F3952" s="39">
        <v>0</v>
      </c>
    </row>
    <row r="3953" spans="1:6" x14ac:dyDescent="0.25">
      <c r="A3953" s="1" t="s">
        <v>5936</v>
      </c>
      <c r="B3953" s="1" t="s">
        <v>5937</v>
      </c>
      <c r="C3953" s="1" t="s">
        <v>2058</v>
      </c>
      <c r="D3953" s="39">
        <v>0</v>
      </c>
      <c r="E3953" s="1" t="s">
        <v>1</v>
      </c>
      <c r="F3953" s="39">
        <v>0</v>
      </c>
    </row>
    <row r="3954" spans="1:6" x14ac:dyDescent="0.25">
      <c r="A3954" s="1" t="s">
        <v>1723</v>
      </c>
      <c r="B3954" s="1" t="s">
        <v>1724</v>
      </c>
      <c r="C3954" s="1" t="s">
        <v>2058</v>
      </c>
      <c r="D3954" s="39">
        <v>0</v>
      </c>
      <c r="E3954" s="1" t="s">
        <v>1</v>
      </c>
      <c r="F3954" s="39">
        <v>0</v>
      </c>
    </row>
    <row r="3955" spans="1:6" x14ac:dyDescent="0.25">
      <c r="A3955" s="1" t="s">
        <v>5938</v>
      </c>
      <c r="B3955" s="1" t="s">
        <v>5939</v>
      </c>
      <c r="C3955" s="1" t="s">
        <v>2058</v>
      </c>
      <c r="D3955" s="39">
        <v>0</v>
      </c>
      <c r="E3955" s="1" t="s">
        <v>1</v>
      </c>
      <c r="F3955" s="39">
        <v>0</v>
      </c>
    </row>
    <row r="3956" spans="1:6" x14ac:dyDescent="0.25">
      <c r="A3956" s="1" t="s">
        <v>5940</v>
      </c>
      <c r="B3956" s="1" t="s">
        <v>5941</v>
      </c>
      <c r="C3956" s="1" t="s">
        <v>2058</v>
      </c>
      <c r="D3956" s="39">
        <v>0</v>
      </c>
      <c r="E3956" s="1" t="s">
        <v>1</v>
      </c>
      <c r="F3956" s="39">
        <v>0</v>
      </c>
    </row>
    <row r="3957" spans="1:6" x14ac:dyDescent="0.25">
      <c r="A3957" s="1" t="s">
        <v>5942</v>
      </c>
      <c r="B3957" s="1" t="s">
        <v>5943</v>
      </c>
      <c r="C3957" s="1" t="s">
        <v>2058</v>
      </c>
      <c r="D3957" s="39">
        <v>0</v>
      </c>
      <c r="E3957" s="1" t="s">
        <v>1</v>
      </c>
      <c r="F3957" s="39">
        <v>0</v>
      </c>
    </row>
    <row r="3958" spans="1:6" x14ac:dyDescent="0.25">
      <c r="A3958" s="1" t="s">
        <v>1728</v>
      </c>
      <c r="B3958" s="1" t="s">
        <v>1729</v>
      </c>
      <c r="C3958" s="1" t="s">
        <v>2058</v>
      </c>
      <c r="D3958" s="39">
        <v>0</v>
      </c>
      <c r="E3958" s="1" t="s">
        <v>1</v>
      </c>
      <c r="F3958" s="39">
        <v>0</v>
      </c>
    </row>
    <row r="3959" spans="1:6" x14ac:dyDescent="0.25">
      <c r="A3959" s="1" t="s">
        <v>1736</v>
      </c>
      <c r="B3959" s="1" t="s">
        <v>1737</v>
      </c>
      <c r="C3959" s="1" t="s">
        <v>2058</v>
      </c>
      <c r="D3959" s="39">
        <v>0</v>
      </c>
      <c r="E3959" s="1" t="s">
        <v>1</v>
      </c>
      <c r="F3959" s="39">
        <v>0</v>
      </c>
    </row>
    <row r="3960" spans="1:6" x14ac:dyDescent="0.25">
      <c r="A3960" s="1" t="s">
        <v>1741</v>
      </c>
      <c r="B3960" s="1" t="s">
        <v>1742</v>
      </c>
      <c r="C3960" s="1" t="s">
        <v>2058</v>
      </c>
      <c r="D3960" s="39">
        <v>0</v>
      </c>
      <c r="E3960" s="1" t="s">
        <v>1</v>
      </c>
      <c r="F3960" s="39">
        <v>0</v>
      </c>
    </row>
    <row r="3961" spans="1:6" x14ac:dyDescent="0.25">
      <c r="A3961" s="1" t="s">
        <v>1746</v>
      </c>
      <c r="B3961" s="1" t="s">
        <v>1747</v>
      </c>
      <c r="C3961" s="1" t="s">
        <v>2058</v>
      </c>
      <c r="D3961" s="39">
        <v>0</v>
      </c>
      <c r="E3961" s="1" t="s">
        <v>1</v>
      </c>
      <c r="F3961" s="39">
        <v>0</v>
      </c>
    </row>
    <row r="3962" spans="1:6" x14ac:dyDescent="0.25">
      <c r="A3962" s="1" t="s">
        <v>5944</v>
      </c>
      <c r="B3962" s="1" t="s">
        <v>5945</v>
      </c>
      <c r="C3962" s="1" t="s">
        <v>2058</v>
      </c>
      <c r="D3962" s="39">
        <v>0</v>
      </c>
      <c r="E3962" s="1" t="s">
        <v>1</v>
      </c>
      <c r="F3962" s="39">
        <v>0</v>
      </c>
    </row>
    <row r="3963" spans="1:6" x14ac:dyDescent="0.25">
      <c r="A3963" s="1" t="s">
        <v>1850</v>
      </c>
      <c r="B3963" s="1" t="s">
        <v>5946</v>
      </c>
      <c r="C3963" s="1" t="s">
        <v>2058</v>
      </c>
      <c r="D3963" s="39">
        <v>4346</v>
      </c>
      <c r="E3963" s="1" t="s">
        <v>1</v>
      </c>
      <c r="F3963" s="3">
        <v>81052.02</v>
      </c>
    </row>
    <row r="3964" spans="1:6" x14ac:dyDescent="0.25">
      <c r="A3964" s="1" t="s">
        <v>5947</v>
      </c>
      <c r="B3964" s="1" t="s">
        <v>5948</v>
      </c>
      <c r="C3964" s="1" t="s">
        <v>2058</v>
      </c>
      <c r="D3964" s="39">
        <v>0</v>
      </c>
      <c r="E3964" s="1" t="s">
        <v>1</v>
      </c>
      <c r="F3964" s="39">
        <v>0</v>
      </c>
    </row>
    <row r="3965" spans="1:6" x14ac:dyDescent="0.25">
      <c r="A3965" s="1" t="s">
        <v>5949</v>
      </c>
      <c r="B3965" s="1" t="s">
        <v>5950</v>
      </c>
      <c r="C3965" s="1" t="s">
        <v>2058</v>
      </c>
      <c r="D3965" s="39">
        <v>0</v>
      </c>
      <c r="E3965" s="1" t="s">
        <v>1</v>
      </c>
      <c r="F3965" s="39">
        <v>0</v>
      </c>
    </row>
    <row r="3966" spans="1:6" x14ac:dyDescent="0.25">
      <c r="A3966" s="1" t="s">
        <v>5951</v>
      </c>
      <c r="B3966" s="1" t="s">
        <v>5952</v>
      </c>
      <c r="C3966" s="1" t="s">
        <v>2058</v>
      </c>
      <c r="D3966" s="39">
        <v>0</v>
      </c>
      <c r="E3966" s="1" t="s">
        <v>1</v>
      </c>
      <c r="F3966" s="39">
        <v>0</v>
      </c>
    </row>
    <row r="3967" spans="1:6" x14ac:dyDescent="0.25">
      <c r="A3967" s="1" t="s">
        <v>5953</v>
      </c>
      <c r="B3967" s="1" t="s">
        <v>2654</v>
      </c>
      <c r="C3967" s="1" t="s">
        <v>2058</v>
      </c>
      <c r="D3967" s="39">
        <v>0</v>
      </c>
      <c r="E3967" s="1" t="s">
        <v>1</v>
      </c>
      <c r="F3967" s="39">
        <v>0</v>
      </c>
    </row>
    <row r="3968" spans="1:6" x14ac:dyDescent="0.25">
      <c r="A3968" s="1" t="s">
        <v>1870</v>
      </c>
      <c r="B3968" s="1" t="s">
        <v>5954</v>
      </c>
      <c r="C3968" s="1" t="s">
        <v>2058</v>
      </c>
      <c r="D3968" s="39">
        <v>0</v>
      </c>
      <c r="E3968" s="1" t="s">
        <v>1</v>
      </c>
      <c r="F3968" s="39">
        <v>0</v>
      </c>
    </row>
    <row r="3969" spans="1:6" x14ac:dyDescent="0.25">
      <c r="A3969" s="1" t="s">
        <v>5955</v>
      </c>
      <c r="B3969" s="1" t="s">
        <v>2651</v>
      </c>
      <c r="C3969" s="1" t="s">
        <v>2058</v>
      </c>
      <c r="D3969" s="39">
        <v>0</v>
      </c>
      <c r="E3969" s="1" t="s">
        <v>1</v>
      </c>
      <c r="F3969" s="39">
        <v>0</v>
      </c>
    </row>
    <row r="3970" spans="1:6" x14ac:dyDescent="0.25">
      <c r="A3970" s="1" t="s">
        <v>1851</v>
      </c>
      <c r="B3970" s="1" t="s">
        <v>5956</v>
      </c>
      <c r="C3970" s="1" t="s">
        <v>2058</v>
      </c>
      <c r="D3970" s="39">
        <v>324</v>
      </c>
      <c r="E3970" s="1" t="s">
        <v>1</v>
      </c>
      <c r="F3970" s="3">
        <v>5184</v>
      </c>
    </row>
    <row r="3971" spans="1:6" x14ac:dyDescent="0.25">
      <c r="A3971" s="1" t="s">
        <v>1852</v>
      </c>
      <c r="B3971" s="1" t="s">
        <v>5957</v>
      </c>
      <c r="C3971" s="1" t="s">
        <v>2058</v>
      </c>
      <c r="D3971" s="39">
        <v>0</v>
      </c>
      <c r="E3971" s="1" t="s">
        <v>1</v>
      </c>
      <c r="F3971" s="39">
        <v>0</v>
      </c>
    </row>
    <row r="3972" spans="1:6" x14ac:dyDescent="0.25">
      <c r="A3972" s="1" t="s">
        <v>5958</v>
      </c>
      <c r="B3972" s="1" t="s">
        <v>2310</v>
      </c>
      <c r="C3972" s="1" t="s">
        <v>2058</v>
      </c>
      <c r="D3972" s="39">
        <v>0</v>
      </c>
      <c r="E3972" s="1" t="s">
        <v>1</v>
      </c>
      <c r="F3972" s="39">
        <v>0</v>
      </c>
    </row>
    <row r="3973" spans="1:6" x14ac:dyDescent="0.25">
      <c r="A3973" s="1" t="s">
        <v>1751</v>
      </c>
      <c r="B3973" s="1" t="s">
        <v>1752</v>
      </c>
      <c r="C3973" s="1" t="s">
        <v>2058</v>
      </c>
      <c r="D3973" s="39">
        <v>0</v>
      </c>
      <c r="E3973" s="1" t="s">
        <v>1</v>
      </c>
      <c r="F3973" s="39">
        <v>0</v>
      </c>
    </row>
    <row r="3974" spans="1:6" x14ac:dyDescent="0.25">
      <c r="A3974" s="1" t="s">
        <v>1754</v>
      </c>
      <c r="B3974" s="1" t="s">
        <v>1755</v>
      </c>
      <c r="C3974" s="1" t="s">
        <v>2058</v>
      </c>
      <c r="D3974" s="39">
        <v>0</v>
      </c>
      <c r="E3974" s="1" t="s">
        <v>1</v>
      </c>
      <c r="F3974" s="39">
        <v>0</v>
      </c>
    </row>
    <row r="3975" spans="1:6" x14ac:dyDescent="0.25">
      <c r="A3975" s="1" t="s">
        <v>5959</v>
      </c>
      <c r="B3975" s="1" t="s">
        <v>5960</v>
      </c>
      <c r="C3975" s="1" t="s">
        <v>2058</v>
      </c>
      <c r="D3975" s="39">
        <v>0</v>
      </c>
      <c r="E3975" s="1" t="s">
        <v>1</v>
      </c>
      <c r="F3975" s="39">
        <v>0</v>
      </c>
    </row>
    <row r="3976" spans="1:6" x14ac:dyDescent="0.25">
      <c r="A3976" s="1" t="s">
        <v>5961</v>
      </c>
      <c r="B3976" s="1" t="s">
        <v>5962</v>
      </c>
      <c r="C3976" s="1" t="s">
        <v>2058</v>
      </c>
      <c r="D3976" s="39">
        <v>0</v>
      </c>
      <c r="E3976" s="1" t="s">
        <v>1</v>
      </c>
      <c r="F3976" s="39">
        <v>0</v>
      </c>
    </row>
    <row r="3977" spans="1:6" x14ac:dyDescent="0.25">
      <c r="A3977" s="1" t="s">
        <v>1996</v>
      </c>
      <c r="B3977" s="1" t="s">
        <v>5963</v>
      </c>
      <c r="C3977" s="1" t="s">
        <v>2058</v>
      </c>
      <c r="D3977" s="39">
        <v>0</v>
      </c>
      <c r="E3977" s="1" t="s">
        <v>1</v>
      </c>
      <c r="F3977" s="39">
        <v>0</v>
      </c>
    </row>
    <row r="3978" spans="1:6" x14ac:dyDescent="0.25">
      <c r="A3978" s="1" t="s">
        <v>5964</v>
      </c>
      <c r="B3978" s="1" t="s">
        <v>5965</v>
      </c>
      <c r="C3978" s="1" t="s">
        <v>2058</v>
      </c>
      <c r="D3978" s="39">
        <v>0</v>
      </c>
      <c r="E3978" s="1" t="s">
        <v>1</v>
      </c>
      <c r="F3978" s="39">
        <v>0</v>
      </c>
    </row>
    <row r="3979" spans="1:6" x14ac:dyDescent="0.25">
      <c r="A3979" s="1" t="s">
        <v>5966</v>
      </c>
      <c r="B3979" s="1" t="s">
        <v>5967</v>
      </c>
      <c r="C3979" s="1" t="s">
        <v>2058</v>
      </c>
      <c r="D3979" s="39">
        <v>0</v>
      </c>
      <c r="E3979" s="1" t="s">
        <v>1</v>
      </c>
      <c r="F3979" s="39">
        <v>0</v>
      </c>
    </row>
    <row r="3980" spans="1:6" x14ac:dyDescent="0.25">
      <c r="A3980" s="1" t="s">
        <v>1761</v>
      </c>
      <c r="B3980" s="1" t="s">
        <v>1762</v>
      </c>
      <c r="C3980" s="1" t="s">
        <v>2058</v>
      </c>
      <c r="D3980" s="39">
        <v>0</v>
      </c>
      <c r="E3980" s="1" t="s">
        <v>1</v>
      </c>
      <c r="F3980" s="39">
        <v>0</v>
      </c>
    </row>
    <row r="3981" spans="1:6" x14ac:dyDescent="0.25">
      <c r="A3981" s="1" t="s">
        <v>1766</v>
      </c>
      <c r="B3981" s="1" t="s">
        <v>1767</v>
      </c>
      <c r="C3981" s="1" t="s">
        <v>2058</v>
      </c>
      <c r="D3981" s="39">
        <v>0</v>
      </c>
      <c r="E3981" s="1" t="s">
        <v>1</v>
      </c>
      <c r="F3981" s="39">
        <v>0</v>
      </c>
    </row>
    <row r="3982" spans="1:6" x14ac:dyDescent="0.25">
      <c r="A3982" s="1" t="s">
        <v>5968</v>
      </c>
      <c r="B3982" s="1" t="s">
        <v>5969</v>
      </c>
      <c r="C3982" s="1" t="s">
        <v>2058</v>
      </c>
      <c r="D3982" s="39">
        <v>0</v>
      </c>
      <c r="E3982" s="1" t="s">
        <v>1</v>
      </c>
      <c r="F3982" s="39">
        <v>0</v>
      </c>
    </row>
    <row r="3983" spans="1:6" x14ac:dyDescent="0.25">
      <c r="A3983" s="1" t="s">
        <v>5970</v>
      </c>
      <c r="B3983" s="1" t="s">
        <v>5971</v>
      </c>
      <c r="C3983" s="1" t="s">
        <v>2058</v>
      </c>
      <c r="D3983" s="39">
        <v>0</v>
      </c>
      <c r="E3983" s="1" t="s">
        <v>1</v>
      </c>
      <c r="F3983" s="39">
        <v>0</v>
      </c>
    </row>
    <row r="3984" spans="1:6" x14ac:dyDescent="0.25">
      <c r="A3984" s="1" t="s">
        <v>1997</v>
      </c>
      <c r="B3984" s="1" t="s">
        <v>5972</v>
      </c>
      <c r="C3984" s="1" t="s">
        <v>2058</v>
      </c>
      <c r="D3984" s="39">
        <v>0</v>
      </c>
      <c r="E3984" s="1" t="s">
        <v>1</v>
      </c>
      <c r="F3984" s="39">
        <v>0</v>
      </c>
    </row>
    <row r="3985" spans="1:6" x14ac:dyDescent="0.25">
      <c r="A3985" s="1" t="s">
        <v>1998</v>
      </c>
      <c r="B3985" s="1" t="s">
        <v>5973</v>
      </c>
      <c r="C3985" s="1" t="s">
        <v>2058</v>
      </c>
      <c r="D3985" s="39">
        <v>0</v>
      </c>
      <c r="E3985" s="1" t="s">
        <v>1</v>
      </c>
      <c r="F3985" s="39">
        <v>0</v>
      </c>
    </row>
    <row r="3986" spans="1:6" x14ac:dyDescent="0.25">
      <c r="A3986" s="1" t="s">
        <v>5974</v>
      </c>
      <c r="B3986" s="1" t="s">
        <v>5975</v>
      </c>
      <c r="C3986" s="1" t="s">
        <v>2058</v>
      </c>
      <c r="D3986" s="39">
        <v>0</v>
      </c>
      <c r="E3986" s="1" t="s">
        <v>1</v>
      </c>
      <c r="F3986" s="39">
        <v>0</v>
      </c>
    </row>
    <row r="3987" spans="1:6" x14ac:dyDescent="0.25">
      <c r="A3987" s="1" t="s">
        <v>1904</v>
      </c>
      <c r="B3987" s="1" t="s">
        <v>5976</v>
      </c>
      <c r="C3987" s="1" t="s">
        <v>2058</v>
      </c>
      <c r="D3987" s="39">
        <v>312</v>
      </c>
      <c r="E3987" s="1" t="s">
        <v>1</v>
      </c>
      <c r="F3987" s="3">
        <v>2771.15</v>
      </c>
    </row>
    <row r="3988" spans="1:6" x14ac:dyDescent="0.25">
      <c r="A3988" s="1" t="s">
        <v>1905</v>
      </c>
      <c r="B3988" s="1" t="s">
        <v>5977</v>
      </c>
      <c r="C3988" s="1" t="s">
        <v>2058</v>
      </c>
      <c r="D3988" s="39">
        <v>378</v>
      </c>
      <c r="E3988" s="1" t="s">
        <v>1</v>
      </c>
      <c r="F3988" s="3">
        <v>3707.42</v>
      </c>
    </row>
    <row r="3989" spans="1:6" x14ac:dyDescent="0.25">
      <c r="A3989" s="1" t="s">
        <v>5978</v>
      </c>
      <c r="B3989" s="1" t="s">
        <v>2317</v>
      </c>
      <c r="C3989" s="1" t="s">
        <v>2058</v>
      </c>
      <c r="D3989" s="39">
        <v>0</v>
      </c>
      <c r="E3989" s="1" t="s">
        <v>1</v>
      </c>
      <c r="F3989" s="39">
        <v>0</v>
      </c>
    </row>
    <row r="3990" spans="1:6" x14ac:dyDescent="0.25">
      <c r="A3990" s="1" t="s">
        <v>5979</v>
      </c>
      <c r="B3990" s="1" t="s">
        <v>2318</v>
      </c>
      <c r="C3990" s="1" t="s">
        <v>2058</v>
      </c>
      <c r="D3990" s="39">
        <v>0</v>
      </c>
      <c r="E3990" s="1" t="s">
        <v>1</v>
      </c>
      <c r="F3990" s="39">
        <v>0</v>
      </c>
    </row>
    <row r="3991" spans="1:6" x14ac:dyDescent="0.25">
      <c r="A3991" s="1" t="s">
        <v>5980</v>
      </c>
      <c r="B3991" s="1" t="s">
        <v>2319</v>
      </c>
      <c r="C3991" s="1" t="s">
        <v>2058</v>
      </c>
      <c r="D3991" s="39">
        <v>0</v>
      </c>
      <c r="E3991" s="1" t="s">
        <v>1</v>
      </c>
      <c r="F3991" s="39">
        <v>0</v>
      </c>
    </row>
    <row r="3992" spans="1:6" x14ac:dyDescent="0.25">
      <c r="A3992" s="1" t="s">
        <v>5981</v>
      </c>
      <c r="B3992" s="1" t="s">
        <v>5982</v>
      </c>
      <c r="C3992" s="1" t="s">
        <v>2058</v>
      </c>
      <c r="D3992" s="39">
        <v>0</v>
      </c>
      <c r="E3992" s="1" t="s">
        <v>1</v>
      </c>
      <c r="F3992" s="39">
        <v>0</v>
      </c>
    </row>
    <row r="3993" spans="1:6" x14ac:dyDescent="0.25">
      <c r="A3993" s="1" t="s">
        <v>5983</v>
      </c>
      <c r="B3993" s="1" t="s">
        <v>5984</v>
      </c>
      <c r="C3993" s="1" t="s">
        <v>2058</v>
      </c>
      <c r="D3993" s="39">
        <v>0</v>
      </c>
      <c r="E3993" s="1" t="s">
        <v>1</v>
      </c>
      <c r="F3993" s="39">
        <v>0</v>
      </c>
    </row>
    <row r="3994" spans="1:6" x14ac:dyDescent="0.25">
      <c r="A3994" s="1" t="s">
        <v>1772</v>
      </c>
      <c r="B3994" s="1" t="s">
        <v>1773</v>
      </c>
      <c r="C3994" s="1" t="s">
        <v>2058</v>
      </c>
      <c r="D3994" s="39">
        <v>0</v>
      </c>
      <c r="E3994" s="1" t="s">
        <v>1</v>
      </c>
      <c r="F3994" s="39">
        <v>0</v>
      </c>
    </row>
    <row r="3995" spans="1:6" x14ac:dyDescent="0.25">
      <c r="A3995" s="1" t="s">
        <v>5985</v>
      </c>
      <c r="B3995" s="1" t="s">
        <v>5986</v>
      </c>
      <c r="C3995" s="1" t="s">
        <v>2058</v>
      </c>
      <c r="D3995" s="39">
        <v>0</v>
      </c>
      <c r="E3995" s="1" t="s">
        <v>1</v>
      </c>
      <c r="F3995" s="39">
        <v>0</v>
      </c>
    </row>
    <row r="3996" spans="1:6" x14ac:dyDescent="0.25">
      <c r="A3996" s="1" t="s">
        <v>1781</v>
      </c>
      <c r="B3996" s="1" t="s">
        <v>1782</v>
      </c>
      <c r="C3996" s="1" t="s">
        <v>2058</v>
      </c>
      <c r="D3996" s="39">
        <v>3360</v>
      </c>
      <c r="E3996" s="1" t="s">
        <v>1</v>
      </c>
      <c r="F3996" s="3">
        <v>44361.75</v>
      </c>
    </row>
    <row r="3997" spans="1:6" x14ac:dyDescent="0.25">
      <c r="A3997" s="1" t="s">
        <v>1789</v>
      </c>
      <c r="B3997" s="1" t="s">
        <v>1790</v>
      </c>
      <c r="C3997" s="1" t="s">
        <v>2058</v>
      </c>
      <c r="D3997" s="39">
        <v>0</v>
      </c>
      <c r="E3997" s="1" t="s">
        <v>1</v>
      </c>
      <c r="F3997" s="39">
        <v>0</v>
      </c>
    </row>
    <row r="3998" spans="1:6" x14ac:dyDescent="0.25">
      <c r="A3998" s="1" t="s">
        <v>1795</v>
      </c>
      <c r="B3998" s="1" t="s">
        <v>1796</v>
      </c>
      <c r="C3998" s="1" t="s">
        <v>2058</v>
      </c>
      <c r="D3998" s="39">
        <v>1944</v>
      </c>
      <c r="E3998" s="1" t="s">
        <v>1</v>
      </c>
      <c r="F3998" s="3">
        <v>8845.2000000000007</v>
      </c>
    </row>
    <row r="3999" spans="1:6" x14ac:dyDescent="0.25">
      <c r="A3999" s="1" t="s">
        <v>5987</v>
      </c>
      <c r="B3999" s="1" t="s">
        <v>5988</v>
      </c>
      <c r="C3999" s="1" t="s">
        <v>2058</v>
      </c>
      <c r="D3999" s="39">
        <v>0</v>
      </c>
      <c r="E3999" s="1" t="s">
        <v>1</v>
      </c>
      <c r="F3999" s="39">
        <v>0</v>
      </c>
    </row>
    <row r="4000" spans="1:6" x14ac:dyDescent="0.25">
      <c r="A4000" s="1" t="s">
        <v>5989</v>
      </c>
      <c r="B4000" s="1" t="s">
        <v>5990</v>
      </c>
      <c r="C4000" s="1" t="s">
        <v>2058</v>
      </c>
      <c r="D4000" s="39">
        <v>0</v>
      </c>
      <c r="E4000" s="1" t="s">
        <v>1</v>
      </c>
      <c r="F4000" s="39">
        <v>0</v>
      </c>
    </row>
    <row r="4001" spans="1:6" x14ac:dyDescent="0.25">
      <c r="A4001" s="1" t="s">
        <v>5991</v>
      </c>
      <c r="B4001" s="1" t="s">
        <v>5992</v>
      </c>
      <c r="C4001" s="1" t="s">
        <v>2058</v>
      </c>
      <c r="D4001" s="39">
        <v>0</v>
      </c>
      <c r="E4001" s="1" t="s">
        <v>1</v>
      </c>
      <c r="F4001" s="39">
        <v>0</v>
      </c>
    </row>
    <row r="4002" spans="1:6" x14ac:dyDescent="0.25">
      <c r="A4002" s="1" t="s">
        <v>5993</v>
      </c>
      <c r="B4002" s="1" t="s">
        <v>5994</v>
      </c>
      <c r="C4002" s="1" t="s">
        <v>2058</v>
      </c>
      <c r="D4002" s="39">
        <v>0</v>
      </c>
      <c r="E4002" s="1" t="s">
        <v>1</v>
      </c>
      <c r="F4002" s="39">
        <v>0</v>
      </c>
    </row>
    <row r="4003" spans="1:6" x14ac:dyDescent="0.25">
      <c r="A4003" s="1" t="s">
        <v>5995</v>
      </c>
      <c r="B4003" s="1" t="s">
        <v>5996</v>
      </c>
      <c r="C4003" s="1" t="s">
        <v>2058</v>
      </c>
      <c r="D4003" s="39">
        <v>0</v>
      </c>
      <c r="E4003" s="1" t="s">
        <v>1</v>
      </c>
      <c r="F4003" s="39">
        <v>0</v>
      </c>
    </row>
    <row r="4004" spans="1:6" x14ac:dyDescent="0.25">
      <c r="A4004" s="1" t="s">
        <v>5997</v>
      </c>
      <c r="B4004" s="1" t="s">
        <v>5998</v>
      </c>
      <c r="C4004" s="1" t="s">
        <v>2058</v>
      </c>
      <c r="D4004" s="39">
        <v>0</v>
      </c>
      <c r="E4004" s="1" t="s">
        <v>1</v>
      </c>
      <c r="F4004" s="39">
        <v>0</v>
      </c>
    </row>
    <row r="4005" spans="1:6" x14ac:dyDescent="0.25">
      <c r="A4005" s="1" t="s">
        <v>5999</v>
      </c>
      <c r="B4005" s="1" t="s">
        <v>6000</v>
      </c>
      <c r="C4005" s="1" t="s">
        <v>2058</v>
      </c>
      <c r="D4005" s="39">
        <v>0</v>
      </c>
      <c r="E4005" s="1" t="s">
        <v>1</v>
      </c>
      <c r="F4005" s="39">
        <v>0</v>
      </c>
    </row>
    <row r="4006" spans="1:6" x14ac:dyDescent="0.25">
      <c r="A4006" s="1" t="s">
        <v>6001</v>
      </c>
      <c r="B4006" s="1" t="s">
        <v>6002</v>
      </c>
      <c r="C4006" s="1" t="s">
        <v>2058</v>
      </c>
      <c r="D4006" s="39">
        <v>0</v>
      </c>
      <c r="E4006" s="1" t="s">
        <v>1</v>
      </c>
      <c r="F4006" s="39">
        <v>0</v>
      </c>
    </row>
    <row r="4007" spans="1:6" x14ac:dyDescent="0.25">
      <c r="A4007" s="1" t="s">
        <v>6003</v>
      </c>
      <c r="B4007" s="1" t="s">
        <v>6004</v>
      </c>
      <c r="C4007" s="1" t="s">
        <v>2058</v>
      </c>
      <c r="D4007" s="39">
        <v>0</v>
      </c>
      <c r="E4007" s="1" t="s">
        <v>1</v>
      </c>
      <c r="F4007" s="39">
        <v>0</v>
      </c>
    </row>
    <row r="4008" spans="1:6" x14ac:dyDescent="0.25">
      <c r="A4008" s="1" t="s">
        <v>6005</v>
      </c>
      <c r="B4008" s="1" t="s">
        <v>6006</v>
      </c>
      <c r="C4008" s="1" t="s">
        <v>2058</v>
      </c>
      <c r="D4008" s="39">
        <v>0</v>
      </c>
      <c r="E4008" s="1" t="s">
        <v>1</v>
      </c>
      <c r="F4008" s="39">
        <v>0</v>
      </c>
    </row>
    <row r="4009" spans="1:6" x14ac:dyDescent="0.25">
      <c r="A4009" s="1" t="s">
        <v>1813</v>
      </c>
      <c r="B4009" s="1" t="s">
        <v>1814</v>
      </c>
      <c r="C4009" s="1" t="s">
        <v>2058</v>
      </c>
      <c r="D4009" s="39">
        <v>0</v>
      </c>
      <c r="E4009" s="1" t="s">
        <v>1</v>
      </c>
      <c r="F4009" s="39">
        <v>0</v>
      </c>
    </row>
    <row r="4010" spans="1:6" x14ac:dyDescent="0.25">
      <c r="A4010" s="1" t="s">
        <v>6007</v>
      </c>
      <c r="B4010" s="1" t="s">
        <v>6008</v>
      </c>
      <c r="C4010" s="1" t="s">
        <v>2058</v>
      </c>
      <c r="D4010" s="39">
        <v>0</v>
      </c>
      <c r="E4010" s="1" t="s">
        <v>1</v>
      </c>
      <c r="F4010" s="39">
        <v>0</v>
      </c>
    </row>
    <row r="4011" spans="1:6" x14ac:dyDescent="0.25">
      <c r="A4011" s="1" t="s">
        <v>6009</v>
      </c>
      <c r="B4011" s="1" t="s">
        <v>6010</v>
      </c>
      <c r="C4011" s="1" t="s">
        <v>2058</v>
      </c>
      <c r="D4011" s="39">
        <v>0</v>
      </c>
      <c r="E4011" s="1" t="s">
        <v>1</v>
      </c>
      <c r="F4011" s="39">
        <v>0</v>
      </c>
    </row>
    <row r="4012" spans="1:6" x14ac:dyDescent="0.25">
      <c r="A4012" s="1" t="s">
        <v>6011</v>
      </c>
      <c r="B4012" s="1" t="s">
        <v>6012</v>
      </c>
      <c r="C4012" s="1" t="s">
        <v>2058</v>
      </c>
      <c r="D4012" s="39">
        <v>0</v>
      </c>
      <c r="E4012" s="1" t="s">
        <v>1</v>
      </c>
      <c r="F4012" s="39">
        <v>0</v>
      </c>
    </row>
    <row r="4013" spans="1:6" x14ac:dyDescent="0.25">
      <c r="A4013" s="1" t="s">
        <v>6013</v>
      </c>
      <c r="B4013" s="1" t="s">
        <v>6012</v>
      </c>
      <c r="C4013" s="1" t="s">
        <v>2058</v>
      </c>
      <c r="D4013" s="39">
        <v>0</v>
      </c>
      <c r="E4013" s="1" t="s">
        <v>1</v>
      </c>
      <c r="F4013" s="39">
        <v>0</v>
      </c>
    </row>
    <row r="4014" spans="1:6" x14ac:dyDescent="0.25">
      <c r="A4014" s="1" t="s">
        <v>6014</v>
      </c>
      <c r="B4014" s="1" t="s">
        <v>6015</v>
      </c>
      <c r="C4014" s="1" t="s">
        <v>2058</v>
      </c>
      <c r="D4014" s="39">
        <v>0</v>
      </c>
      <c r="E4014" s="1" t="s">
        <v>1</v>
      </c>
      <c r="F4014" s="39">
        <v>0</v>
      </c>
    </row>
    <row r="4015" spans="1:6" x14ac:dyDescent="0.25">
      <c r="A4015" s="1" t="s">
        <v>6016</v>
      </c>
      <c r="B4015" s="1" t="s">
        <v>6017</v>
      </c>
      <c r="C4015" s="1" t="s">
        <v>2058</v>
      </c>
      <c r="D4015" s="39">
        <v>0</v>
      </c>
      <c r="E4015" s="1" t="s">
        <v>1</v>
      </c>
      <c r="F4015" s="39">
        <v>0</v>
      </c>
    </row>
    <row r="4016" spans="1:6" x14ac:dyDescent="0.25">
      <c r="A4016" s="1" t="s">
        <v>6018</v>
      </c>
      <c r="B4016" s="1" t="s">
        <v>6017</v>
      </c>
      <c r="C4016" s="1" t="s">
        <v>2058</v>
      </c>
      <c r="D4016" s="39">
        <v>0</v>
      </c>
      <c r="E4016" s="1" t="s">
        <v>1</v>
      </c>
      <c r="F4016" s="39">
        <v>0</v>
      </c>
    </row>
    <row r="4017" spans="1:6" x14ac:dyDescent="0.25">
      <c r="A4017" s="1" t="s">
        <v>6019</v>
      </c>
      <c r="B4017" s="1" t="s">
        <v>6020</v>
      </c>
      <c r="C4017" s="1" t="s">
        <v>2058</v>
      </c>
      <c r="D4017" s="39">
        <v>0</v>
      </c>
      <c r="E4017" s="1" t="s">
        <v>1</v>
      </c>
      <c r="F4017" s="39">
        <v>0</v>
      </c>
    </row>
    <row r="4018" spans="1:6" x14ac:dyDescent="0.25">
      <c r="A4018" s="1" t="s">
        <v>6021</v>
      </c>
      <c r="B4018" s="1" t="s">
        <v>6020</v>
      </c>
      <c r="C4018" s="1" t="s">
        <v>2058</v>
      </c>
      <c r="D4018" s="39">
        <v>0</v>
      </c>
      <c r="E4018" s="1" t="s">
        <v>1</v>
      </c>
      <c r="F4018" s="39">
        <v>0</v>
      </c>
    </row>
    <row r="4019" spans="1:6" x14ac:dyDescent="0.25">
      <c r="A4019" s="1" t="s">
        <v>6022</v>
      </c>
      <c r="B4019" s="1" t="s">
        <v>6023</v>
      </c>
      <c r="C4019" s="1" t="s">
        <v>2058</v>
      </c>
      <c r="D4019" s="39">
        <v>0</v>
      </c>
      <c r="E4019" s="1" t="s">
        <v>1</v>
      </c>
      <c r="F4019" s="39">
        <v>0</v>
      </c>
    </row>
    <row r="4020" spans="1:6" x14ac:dyDescent="0.25">
      <c r="A4020" s="1" t="s">
        <v>6024</v>
      </c>
      <c r="B4020" s="1" t="s">
        <v>6025</v>
      </c>
      <c r="C4020" s="1" t="s">
        <v>2058</v>
      </c>
      <c r="D4020" s="39">
        <v>0</v>
      </c>
      <c r="E4020" s="1" t="s">
        <v>1</v>
      </c>
      <c r="F4020" s="39">
        <v>0</v>
      </c>
    </row>
    <row r="4021" spans="1:6" x14ac:dyDescent="0.25">
      <c r="A4021" s="1" t="s">
        <v>6026</v>
      </c>
      <c r="B4021" s="1" t="s">
        <v>6027</v>
      </c>
      <c r="C4021" s="1" t="s">
        <v>2058</v>
      </c>
      <c r="D4021" s="39">
        <v>0</v>
      </c>
      <c r="E4021" s="1" t="s">
        <v>1</v>
      </c>
      <c r="F4021" s="39">
        <v>0</v>
      </c>
    </row>
    <row r="4022" spans="1:6" x14ac:dyDescent="0.25">
      <c r="A4022" s="1" t="s">
        <v>6028</v>
      </c>
      <c r="B4022" s="1" t="s">
        <v>6029</v>
      </c>
      <c r="C4022" s="1" t="s">
        <v>2058</v>
      </c>
      <c r="D4022" s="39">
        <v>0</v>
      </c>
      <c r="E4022" s="1" t="s">
        <v>1</v>
      </c>
      <c r="F4022" s="39">
        <v>0</v>
      </c>
    </row>
    <row r="4023" spans="1:6" x14ac:dyDescent="0.25">
      <c r="A4023" s="1" t="s">
        <v>6030</v>
      </c>
      <c r="B4023" s="1" t="s">
        <v>6031</v>
      </c>
      <c r="C4023" s="1" t="s">
        <v>2058</v>
      </c>
      <c r="D4023" s="39">
        <v>0</v>
      </c>
      <c r="E4023" s="1" t="s">
        <v>1</v>
      </c>
      <c r="F4023" s="39">
        <v>0</v>
      </c>
    </row>
    <row r="4024" spans="1:6" x14ac:dyDescent="0.25">
      <c r="A4024" s="1" t="s">
        <v>6032</v>
      </c>
      <c r="B4024" s="1" t="s">
        <v>6031</v>
      </c>
      <c r="C4024" s="1" t="s">
        <v>2058</v>
      </c>
      <c r="D4024" s="39">
        <v>0</v>
      </c>
      <c r="E4024" s="1" t="s">
        <v>1</v>
      </c>
      <c r="F4024" s="39">
        <v>0</v>
      </c>
    </row>
    <row r="4025" spans="1:6" x14ac:dyDescent="0.25">
      <c r="A4025" s="1" t="s">
        <v>6033</v>
      </c>
      <c r="B4025" s="1" t="s">
        <v>2066</v>
      </c>
      <c r="C4025" s="1" t="s">
        <v>2058</v>
      </c>
      <c r="D4025" s="39">
        <v>0</v>
      </c>
      <c r="E4025" s="1" t="s">
        <v>1</v>
      </c>
      <c r="F4025" s="39">
        <v>0</v>
      </c>
    </row>
    <row r="4026" spans="1:6" x14ac:dyDescent="0.25">
      <c r="A4026" s="1" t="s">
        <v>6034</v>
      </c>
      <c r="B4026" s="1" t="s">
        <v>2068</v>
      </c>
      <c r="C4026" s="1" t="s">
        <v>2058</v>
      </c>
      <c r="D4026" s="39">
        <v>0</v>
      </c>
      <c r="E4026" s="1" t="s">
        <v>1</v>
      </c>
      <c r="F4026" s="39">
        <v>0</v>
      </c>
    </row>
    <row r="4027" spans="1:6" x14ac:dyDescent="0.25">
      <c r="A4027" s="1" t="s">
        <v>6035</v>
      </c>
      <c r="B4027" s="1" t="s">
        <v>2076</v>
      </c>
      <c r="C4027" s="1" t="s">
        <v>2058</v>
      </c>
      <c r="D4027" s="39">
        <v>0</v>
      </c>
      <c r="E4027" s="1" t="s">
        <v>1</v>
      </c>
      <c r="F4027" s="39">
        <v>0</v>
      </c>
    </row>
    <row r="4028" spans="1:6" x14ac:dyDescent="0.25">
      <c r="A4028" s="1" t="s">
        <v>6036</v>
      </c>
      <c r="B4028" s="1" t="s">
        <v>2083</v>
      </c>
      <c r="C4028" s="1" t="s">
        <v>2058</v>
      </c>
      <c r="D4028" s="39">
        <v>0</v>
      </c>
      <c r="E4028" s="1" t="s">
        <v>1</v>
      </c>
      <c r="F4028" s="39">
        <v>0</v>
      </c>
    </row>
    <row r="4029" spans="1:6" x14ac:dyDescent="0.25">
      <c r="A4029" s="1" t="s">
        <v>6037</v>
      </c>
      <c r="B4029" s="1" t="s">
        <v>6038</v>
      </c>
      <c r="C4029" s="1" t="s">
        <v>2058</v>
      </c>
      <c r="D4029" s="39">
        <v>0</v>
      </c>
      <c r="E4029" s="1" t="s">
        <v>1</v>
      </c>
      <c r="F4029" s="39">
        <v>0</v>
      </c>
    </row>
    <row r="4030" spans="1:6" x14ac:dyDescent="0.25">
      <c r="A4030" s="1" t="s">
        <v>6039</v>
      </c>
      <c r="B4030" s="1" t="s">
        <v>6040</v>
      </c>
      <c r="C4030" s="1" t="s">
        <v>2058</v>
      </c>
      <c r="D4030" s="39">
        <v>0</v>
      </c>
      <c r="E4030" s="1" t="s">
        <v>1</v>
      </c>
      <c r="F4030" s="39">
        <v>0</v>
      </c>
    </row>
    <row r="4031" spans="1:6" x14ac:dyDescent="0.25">
      <c r="A4031" s="1" t="s">
        <v>6041</v>
      </c>
      <c r="B4031" s="1" t="s">
        <v>6042</v>
      </c>
      <c r="C4031" s="1" t="s">
        <v>2058</v>
      </c>
      <c r="D4031" s="39">
        <v>0</v>
      </c>
      <c r="E4031" s="1" t="s">
        <v>1</v>
      </c>
      <c r="F4031" s="39">
        <v>0</v>
      </c>
    </row>
    <row r="4032" spans="1:6" x14ac:dyDescent="0.25">
      <c r="A4032" s="1" t="s">
        <v>6043</v>
      </c>
      <c r="B4032" s="1" t="s">
        <v>6044</v>
      </c>
      <c r="C4032" s="1" t="s">
        <v>2058</v>
      </c>
      <c r="D4032" s="39">
        <v>0</v>
      </c>
      <c r="E4032" s="1" t="s">
        <v>1</v>
      </c>
      <c r="F4032" s="39">
        <v>0</v>
      </c>
    </row>
    <row r="4033" spans="1:6" x14ac:dyDescent="0.25">
      <c r="A4033" s="1" t="s">
        <v>6045</v>
      </c>
      <c r="B4033" s="1" t="s">
        <v>6046</v>
      </c>
      <c r="C4033" s="1" t="s">
        <v>2058</v>
      </c>
      <c r="D4033" s="39">
        <v>0</v>
      </c>
      <c r="E4033" s="1" t="s">
        <v>1</v>
      </c>
      <c r="F4033" s="39">
        <v>0</v>
      </c>
    </row>
    <row r="4034" spans="1:6" x14ac:dyDescent="0.25">
      <c r="A4034" s="1" t="s">
        <v>6047</v>
      </c>
      <c r="B4034" s="1" t="s">
        <v>6048</v>
      </c>
      <c r="C4034" s="1" t="s">
        <v>2058</v>
      </c>
      <c r="D4034" s="39">
        <v>0</v>
      </c>
      <c r="E4034" s="1" t="s">
        <v>1</v>
      </c>
      <c r="F4034" s="39">
        <v>0</v>
      </c>
    </row>
    <row r="4035" spans="1:6" x14ac:dyDescent="0.25">
      <c r="A4035" s="41" t="s">
        <v>185</v>
      </c>
      <c r="B4035" s="41" t="s">
        <v>185</v>
      </c>
      <c r="C4035" s="41" t="s">
        <v>185</v>
      </c>
      <c r="D4035" s="42">
        <v>135796.42300000001</v>
      </c>
      <c r="E4035" s="41" t="s">
        <v>3</v>
      </c>
      <c r="F4035" s="43">
        <v>7651401.0599999996</v>
      </c>
    </row>
    <row r="4036" spans="1:6" x14ac:dyDescent="0.25">
      <c r="A4036" s="41" t="s">
        <v>185</v>
      </c>
      <c r="B4036" s="41" t="s">
        <v>185</v>
      </c>
      <c r="C4036" s="41" t="s">
        <v>185</v>
      </c>
      <c r="D4036" s="44">
        <v>0</v>
      </c>
      <c r="E4036" s="41" t="s">
        <v>2401</v>
      </c>
      <c r="F4036" s="41" t="s">
        <v>185</v>
      </c>
    </row>
    <row r="4037" spans="1:6" x14ac:dyDescent="0.25">
      <c r="A4037" s="41" t="s">
        <v>185</v>
      </c>
      <c r="B4037" s="41" t="s">
        <v>185</v>
      </c>
      <c r="C4037" s="41" t="s">
        <v>185</v>
      </c>
      <c r="D4037" s="44">
        <v>0</v>
      </c>
      <c r="E4037" s="41" t="s">
        <v>2</v>
      </c>
      <c r="F4037" s="41" t="s">
        <v>185</v>
      </c>
    </row>
    <row r="4038" spans="1:6" x14ac:dyDescent="0.25">
      <c r="A4038" s="41" t="s">
        <v>185</v>
      </c>
      <c r="B4038" s="41" t="s">
        <v>185</v>
      </c>
      <c r="C4038" s="41" t="s">
        <v>185</v>
      </c>
      <c r="D4038" s="44">
        <v>0</v>
      </c>
      <c r="E4038" s="41" t="s">
        <v>482</v>
      </c>
      <c r="F4038" s="41" t="s">
        <v>185</v>
      </c>
    </row>
    <row r="4039" spans="1:6" x14ac:dyDescent="0.25">
      <c r="A4039" s="41" t="s">
        <v>185</v>
      </c>
      <c r="B4039" s="41" t="s">
        <v>185</v>
      </c>
      <c r="C4039" s="41" t="s">
        <v>185</v>
      </c>
      <c r="D4039" s="44">
        <v>2106306</v>
      </c>
      <c r="E4039" s="41" t="s">
        <v>1</v>
      </c>
      <c r="F4039" s="41" t="s">
        <v>185</v>
      </c>
    </row>
    <row r="4040" spans="1:6" x14ac:dyDescent="0.25">
      <c r="A4040" s="41" t="s">
        <v>185</v>
      </c>
      <c r="B4040" s="41" t="s">
        <v>185</v>
      </c>
      <c r="C4040" s="41" t="s">
        <v>185</v>
      </c>
      <c r="D4040" s="44">
        <v>0</v>
      </c>
      <c r="E4040" s="41" t="s">
        <v>3371</v>
      </c>
      <c r="F4040" s="41" t="s">
        <v>185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AFF6-F1CF-4771-82E3-6EA93D65DBE8}">
  <dimension ref="A1:F855"/>
  <sheetViews>
    <sheetView zoomScale="85" zoomScaleNormal="85" workbookViewId="0">
      <selection sqref="A1:XFD1048576"/>
    </sheetView>
  </sheetViews>
  <sheetFormatPr defaultRowHeight="15" x14ac:dyDescent="0.25"/>
  <cols>
    <col min="1" max="1" width="11.5703125" style="5" bestFit="1" customWidth="1"/>
    <col min="2" max="2" width="44.85546875" style="5" bestFit="1" customWidth="1"/>
    <col min="3" max="3" width="8.85546875" style="5" bestFit="1" customWidth="1"/>
    <col min="4" max="4" width="14.140625" style="5" bestFit="1" customWidth="1"/>
    <col min="5" max="5" width="5" style="5" bestFit="1" customWidth="1"/>
    <col min="6" max="6" width="13.140625" style="5" bestFit="1" customWidth="1"/>
    <col min="7" max="16384" width="9.140625" style="5"/>
  </cols>
  <sheetData>
    <row r="1" spans="1:6" x14ac:dyDescent="0.25">
      <c r="A1" s="38" t="s">
        <v>5</v>
      </c>
      <c r="B1" s="38" t="s">
        <v>6</v>
      </c>
      <c r="C1" s="38" t="s">
        <v>2054</v>
      </c>
      <c r="D1" s="38" t="s">
        <v>2055</v>
      </c>
      <c r="E1" s="38" t="s">
        <v>14</v>
      </c>
      <c r="F1" s="38" t="s">
        <v>2056</v>
      </c>
    </row>
    <row r="2" spans="1:6" x14ac:dyDescent="0.25">
      <c r="A2" s="1">
        <v>9256</v>
      </c>
      <c r="B2" s="1" t="s">
        <v>181</v>
      </c>
      <c r="C2" s="1" t="s">
        <v>6049</v>
      </c>
      <c r="D2" s="39">
        <v>0</v>
      </c>
      <c r="E2" s="1" t="s">
        <v>1</v>
      </c>
      <c r="F2" s="39">
        <v>0</v>
      </c>
    </row>
    <row r="3" spans="1:6" x14ac:dyDescent="0.25">
      <c r="A3" s="1">
        <v>9257</v>
      </c>
      <c r="B3" s="1" t="s">
        <v>183</v>
      </c>
      <c r="C3" s="1" t="s">
        <v>6049</v>
      </c>
      <c r="D3" s="39">
        <v>0</v>
      </c>
      <c r="E3" s="1" t="s">
        <v>1</v>
      </c>
      <c r="F3" s="39">
        <v>0</v>
      </c>
    </row>
    <row r="4" spans="1:6" x14ac:dyDescent="0.25">
      <c r="A4" s="1">
        <v>9349</v>
      </c>
      <c r="B4" s="1" t="s">
        <v>2191</v>
      </c>
      <c r="C4" s="1" t="s">
        <v>6049</v>
      </c>
      <c r="D4" s="39">
        <v>0</v>
      </c>
      <c r="E4" s="1" t="s">
        <v>1</v>
      </c>
      <c r="F4" s="39">
        <v>0</v>
      </c>
    </row>
    <row r="5" spans="1:6" x14ac:dyDescent="0.25">
      <c r="A5" s="1">
        <v>9350</v>
      </c>
      <c r="B5" s="1" t="s">
        <v>2192</v>
      </c>
      <c r="C5" s="1" t="s">
        <v>6049</v>
      </c>
      <c r="D5" s="39">
        <v>0</v>
      </c>
      <c r="E5" s="1" t="s">
        <v>1</v>
      </c>
      <c r="F5" s="39">
        <v>0</v>
      </c>
    </row>
    <row r="6" spans="1:6" x14ac:dyDescent="0.25">
      <c r="A6" s="1">
        <v>9351</v>
      </c>
      <c r="B6" s="1" t="s">
        <v>201</v>
      </c>
      <c r="C6" s="1" t="s">
        <v>6049</v>
      </c>
      <c r="D6" s="39">
        <v>0</v>
      </c>
      <c r="E6" s="1" t="s">
        <v>1</v>
      </c>
      <c r="F6" s="39">
        <v>0</v>
      </c>
    </row>
    <row r="7" spans="1:6" x14ac:dyDescent="0.25">
      <c r="A7" s="1">
        <v>9352</v>
      </c>
      <c r="B7" s="1" t="s">
        <v>2193</v>
      </c>
      <c r="C7" s="1" t="s">
        <v>6049</v>
      </c>
      <c r="D7" s="39">
        <v>0</v>
      </c>
      <c r="E7" s="1" t="s">
        <v>1</v>
      </c>
      <c r="F7" s="39">
        <v>0</v>
      </c>
    </row>
    <row r="8" spans="1:6" x14ac:dyDescent="0.25">
      <c r="A8" s="1">
        <v>9353</v>
      </c>
      <c r="B8" s="1" t="s">
        <v>2194</v>
      </c>
      <c r="C8" s="1" t="s">
        <v>6049</v>
      </c>
      <c r="D8" s="39">
        <v>0</v>
      </c>
      <c r="E8" s="1" t="s">
        <v>1</v>
      </c>
      <c r="F8" s="39">
        <v>0</v>
      </c>
    </row>
    <row r="9" spans="1:6" x14ac:dyDescent="0.25">
      <c r="A9" s="1">
        <v>9356</v>
      </c>
      <c r="B9" s="1" t="s">
        <v>203</v>
      </c>
      <c r="C9" s="1" t="s">
        <v>6049</v>
      </c>
      <c r="D9" s="39">
        <v>0</v>
      </c>
      <c r="E9" s="1" t="s">
        <v>1</v>
      </c>
      <c r="F9" s="39">
        <v>0</v>
      </c>
    </row>
    <row r="10" spans="1:6" x14ac:dyDescent="0.25">
      <c r="A10" s="1">
        <v>9357</v>
      </c>
      <c r="B10" s="1" t="s">
        <v>205</v>
      </c>
      <c r="C10" s="1" t="s">
        <v>6049</v>
      </c>
      <c r="D10" s="39">
        <v>0</v>
      </c>
      <c r="E10" s="1" t="s">
        <v>1</v>
      </c>
      <c r="F10" s="39">
        <v>0</v>
      </c>
    </row>
    <row r="11" spans="1:6" x14ac:dyDescent="0.25">
      <c r="A11" s="1">
        <v>2000818</v>
      </c>
      <c r="B11" s="1" t="s">
        <v>2252</v>
      </c>
      <c r="C11" s="1" t="s">
        <v>6049</v>
      </c>
      <c r="D11" s="39">
        <v>0</v>
      </c>
      <c r="E11" s="1" t="s">
        <v>1</v>
      </c>
      <c r="F11" s="39">
        <v>0</v>
      </c>
    </row>
    <row r="12" spans="1:6" x14ac:dyDescent="0.25">
      <c r="A12" s="1">
        <v>3000741</v>
      </c>
      <c r="B12" s="1" t="s">
        <v>2395</v>
      </c>
      <c r="C12" s="1" t="s">
        <v>6049</v>
      </c>
      <c r="D12" s="39">
        <v>0</v>
      </c>
      <c r="E12" s="1" t="s">
        <v>3</v>
      </c>
      <c r="F12" s="39">
        <v>0</v>
      </c>
    </row>
    <row r="13" spans="1:6" x14ac:dyDescent="0.25">
      <c r="A13" s="1">
        <v>3001466</v>
      </c>
      <c r="B13" s="1" t="s">
        <v>2506</v>
      </c>
      <c r="C13" s="1" t="s">
        <v>6049</v>
      </c>
      <c r="D13" s="39">
        <v>0</v>
      </c>
      <c r="E13" s="1" t="s">
        <v>1</v>
      </c>
      <c r="F13" s="39">
        <v>0</v>
      </c>
    </row>
    <row r="14" spans="1:6" x14ac:dyDescent="0.25">
      <c r="A14" s="1">
        <v>3001467</v>
      </c>
      <c r="B14" s="1" t="s">
        <v>886</v>
      </c>
      <c r="C14" s="1" t="s">
        <v>6049</v>
      </c>
      <c r="D14" s="39">
        <v>0</v>
      </c>
      <c r="E14" s="1" t="s">
        <v>1</v>
      </c>
      <c r="F14" s="39">
        <v>0</v>
      </c>
    </row>
    <row r="15" spans="1:6" x14ac:dyDescent="0.25">
      <c r="A15" s="1">
        <v>3001472</v>
      </c>
      <c r="B15" s="1" t="s">
        <v>2507</v>
      </c>
      <c r="C15" s="1" t="s">
        <v>6049</v>
      </c>
      <c r="D15" s="39">
        <v>0</v>
      </c>
      <c r="E15" s="1" t="s">
        <v>3</v>
      </c>
      <c r="F15" s="39">
        <v>0</v>
      </c>
    </row>
    <row r="16" spans="1:6" x14ac:dyDescent="0.25">
      <c r="A16" s="1">
        <v>3001473</v>
      </c>
      <c r="B16" s="1" t="s">
        <v>2508</v>
      </c>
      <c r="C16" s="1" t="s">
        <v>6049</v>
      </c>
      <c r="D16" s="39">
        <v>0</v>
      </c>
      <c r="E16" s="1" t="s">
        <v>3</v>
      </c>
      <c r="F16" s="39">
        <v>0</v>
      </c>
    </row>
    <row r="17" spans="1:6" x14ac:dyDescent="0.25">
      <c r="A17" s="1">
        <v>3001474</v>
      </c>
      <c r="B17" s="1" t="s">
        <v>2509</v>
      </c>
      <c r="C17" s="1" t="s">
        <v>6049</v>
      </c>
      <c r="D17" s="39">
        <v>0</v>
      </c>
      <c r="E17" s="1" t="s">
        <v>3</v>
      </c>
      <c r="F17" s="39">
        <v>0</v>
      </c>
    </row>
    <row r="18" spans="1:6" x14ac:dyDescent="0.25">
      <c r="A18" s="1">
        <v>3001475</v>
      </c>
      <c r="B18" s="1" t="s">
        <v>978</v>
      </c>
      <c r="C18" s="1" t="s">
        <v>6049</v>
      </c>
      <c r="D18" s="39">
        <v>0</v>
      </c>
      <c r="E18" s="1" t="s">
        <v>3</v>
      </c>
      <c r="F18" s="39">
        <v>0</v>
      </c>
    </row>
    <row r="19" spans="1:6" x14ac:dyDescent="0.25">
      <c r="A19" s="1">
        <v>3001476</v>
      </c>
      <c r="B19" s="1" t="s">
        <v>969</v>
      </c>
      <c r="C19" s="1" t="s">
        <v>6049</v>
      </c>
      <c r="D19" s="39">
        <v>0</v>
      </c>
      <c r="E19" s="1" t="s">
        <v>3</v>
      </c>
      <c r="F19" s="39">
        <v>0</v>
      </c>
    </row>
    <row r="20" spans="1:6" x14ac:dyDescent="0.25">
      <c r="A20" s="1">
        <v>3001477</v>
      </c>
      <c r="B20" s="1" t="s">
        <v>982</v>
      </c>
      <c r="C20" s="1" t="s">
        <v>6049</v>
      </c>
      <c r="D20" s="39">
        <v>0</v>
      </c>
      <c r="E20" s="1" t="s">
        <v>3</v>
      </c>
      <c r="F20" s="39">
        <v>0</v>
      </c>
    </row>
    <row r="21" spans="1:6" x14ac:dyDescent="0.25">
      <c r="A21" s="1">
        <v>3001478</v>
      </c>
      <c r="B21" s="1" t="s">
        <v>2510</v>
      </c>
      <c r="C21" s="1" t="s">
        <v>6049</v>
      </c>
      <c r="D21" s="39">
        <v>0</v>
      </c>
      <c r="E21" s="1" t="s">
        <v>3</v>
      </c>
      <c r="F21" s="39">
        <v>0</v>
      </c>
    </row>
    <row r="22" spans="1:6" x14ac:dyDescent="0.25">
      <c r="A22" s="1">
        <v>3001479</v>
      </c>
      <c r="B22" s="1" t="s">
        <v>974</v>
      </c>
      <c r="C22" s="1" t="s">
        <v>6049</v>
      </c>
      <c r="D22" s="39">
        <v>0</v>
      </c>
      <c r="E22" s="1" t="s">
        <v>3</v>
      </c>
      <c r="F22" s="39">
        <v>0</v>
      </c>
    </row>
    <row r="23" spans="1:6" x14ac:dyDescent="0.25">
      <c r="A23" s="1">
        <v>3001485</v>
      </c>
      <c r="B23" s="1" t="s">
        <v>2514</v>
      </c>
      <c r="C23" s="1" t="s">
        <v>6049</v>
      </c>
      <c r="D23" s="39">
        <v>0</v>
      </c>
      <c r="E23" s="1" t="s">
        <v>1</v>
      </c>
      <c r="F23" s="39">
        <v>0</v>
      </c>
    </row>
    <row r="24" spans="1:6" x14ac:dyDescent="0.25">
      <c r="A24" s="1">
        <v>3001486</v>
      </c>
      <c r="B24" s="1" t="s">
        <v>232</v>
      </c>
      <c r="C24" s="1" t="s">
        <v>6049</v>
      </c>
      <c r="D24" s="39">
        <v>0</v>
      </c>
      <c r="E24" s="1" t="s">
        <v>1</v>
      </c>
      <c r="F24" s="39">
        <v>0</v>
      </c>
    </row>
    <row r="25" spans="1:6" x14ac:dyDescent="0.25">
      <c r="A25" s="1">
        <v>3003892</v>
      </c>
      <c r="B25" s="1" t="s">
        <v>1301</v>
      </c>
      <c r="C25" s="1" t="s">
        <v>6049</v>
      </c>
      <c r="D25" s="39">
        <v>0</v>
      </c>
      <c r="E25" s="1" t="s">
        <v>1</v>
      </c>
      <c r="F25" s="39">
        <v>0</v>
      </c>
    </row>
    <row r="26" spans="1:6" x14ac:dyDescent="0.25">
      <c r="A26" s="1">
        <v>3003894</v>
      </c>
      <c r="B26" s="1" t="s">
        <v>1274</v>
      </c>
      <c r="C26" s="1" t="s">
        <v>6049</v>
      </c>
      <c r="D26" s="39">
        <v>0</v>
      </c>
      <c r="E26" s="1" t="s">
        <v>1</v>
      </c>
      <c r="F26" s="39">
        <v>0</v>
      </c>
    </row>
    <row r="27" spans="1:6" x14ac:dyDescent="0.25">
      <c r="A27" s="1">
        <v>3005132</v>
      </c>
      <c r="B27" s="1" t="s">
        <v>1197</v>
      </c>
      <c r="C27" s="1" t="s">
        <v>6049</v>
      </c>
      <c r="D27" s="39">
        <v>0</v>
      </c>
      <c r="E27" s="1" t="s">
        <v>3</v>
      </c>
      <c r="F27" s="39">
        <v>0</v>
      </c>
    </row>
    <row r="28" spans="1:6" x14ac:dyDescent="0.25">
      <c r="A28" s="1">
        <v>4000009</v>
      </c>
      <c r="B28" s="1" t="s">
        <v>2675</v>
      </c>
      <c r="C28" s="1" t="s">
        <v>6049</v>
      </c>
      <c r="D28" s="39">
        <v>0</v>
      </c>
      <c r="E28" s="1" t="s">
        <v>1</v>
      </c>
      <c r="F28" s="39">
        <v>0</v>
      </c>
    </row>
    <row r="29" spans="1:6" x14ac:dyDescent="0.25">
      <c r="A29" s="1">
        <v>4000012</v>
      </c>
      <c r="B29" s="1" t="s">
        <v>2676</v>
      </c>
      <c r="C29" s="1" t="s">
        <v>6049</v>
      </c>
      <c r="D29" s="39">
        <v>1100</v>
      </c>
      <c r="E29" s="1" t="s">
        <v>1</v>
      </c>
      <c r="F29" s="3">
        <v>979.33</v>
      </c>
    </row>
    <row r="30" spans="1:6" x14ac:dyDescent="0.25">
      <c r="A30" s="1">
        <v>4000013</v>
      </c>
      <c r="B30" s="1" t="s">
        <v>522</v>
      </c>
      <c r="C30" s="1" t="s">
        <v>6049</v>
      </c>
      <c r="D30" s="39">
        <v>542</v>
      </c>
      <c r="E30" s="1" t="s">
        <v>1</v>
      </c>
      <c r="F30" s="3">
        <v>192.3</v>
      </c>
    </row>
    <row r="31" spans="1:6" x14ac:dyDescent="0.25">
      <c r="A31" s="1">
        <v>4000017</v>
      </c>
      <c r="B31" s="1" t="s">
        <v>485</v>
      </c>
      <c r="C31" s="1" t="s">
        <v>6049</v>
      </c>
      <c r="D31" s="39">
        <v>1066</v>
      </c>
      <c r="E31" s="1" t="s">
        <v>1</v>
      </c>
      <c r="F31" s="3">
        <v>237.51</v>
      </c>
    </row>
    <row r="32" spans="1:6" x14ac:dyDescent="0.25">
      <c r="A32" s="1">
        <v>4000018</v>
      </c>
      <c r="B32" s="1" t="s">
        <v>486</v>
      </c>
      <c r="C32" s="1" t="s">
        <v>6049</v>
      </c>
      <c r="D32" s="39">
        <v>1760</v>
      </c>
      <c r="E32" s="1" t="s">
        <v>1</v>
      </c>
      <c r="F32" s="3">
        <v>4266.42</v>
      </c>
    </row>
    <row r="33" spans="1:6" x14ac:dyDescent="0.25">
      <c r="A33" s="1">
        <v>4000022</v>
      </c>
      <c r="B33" s="1" t="s">
        <v>2677</v>
      </c>
      <c r="C33" s="1" t="s">
        <v>6049</v>
      </c>
      <c r="D33" s="39">
        <v>50</v>
      </c>
      <c r="E33" s="1" t="s">
        <v>1</v>
      </c>
      <c r="F33" s="3">
        <v>12.07</v>
      </c>
    </row>
    <row r="34" spans="1:6" x14ac:dyDescent="0.25">
      <c r="A34" s="1">
        <v>4000023</v>
      </c>
      <c r="B34" s="1" t="s">
        <v>2678</v>
      </c>
      <c r="C34" s="1" t="s">
        <v>6049</v>
      </c>
      <c r="D34" s="39">
        <v>0</v>
      </c>
      <c r="E34" s="1" t="s">
        <v>1</v>
      </c>
      <c r="F34" s="39">
        <v>0</v>
      </c>
    </row>
    <row r="35" spans="1:6" x14ac:dyDescent="0.25">
      <c r="A35" s="1">
        <v>4000046</v>
      </c>
      <c r="B35" s="1" t="s">
        <v>2679</v>
      </c>
      <c r="C35" s="1" t="s">
        <v>6049</v>
      </c>
      <c r="D35" s="39">
        <v>0</v>
      </c>
      <c r="E35" s="1" t="s">
        <v>1</v>
      </c>
      <c r="F35" s="39">
        <v>0</v>
      </c>
    </row>
    <row r="36" spans="1:6" x14ac:dyDescent="0.25">
      <c r="A36" s="1">
        <v>4000056</v>
      </c>
      <c r="B36" s="1" t="s">
        <v>1243</v>
      </c>
      <c r="C36" s="1" t="s">
        <v>6049</v>
      </c>
      <c r="D36" s="39">
        <v>1372</v>
      </c>
      <c r="E36" s="1" t="s">
        <v>1</v>
      </c>
      <c r="F36" s="3">
        <v>1281.73</v>
      </c>
    </row>
    <row r="37" spans="1:6" x14ac:dyDescent="0.25">
      <c r="A37" s="1">
        <v>4000070</v>
      </c>
      <c r="B37" s="1" t="s">
        <v>632</v>
      </c>
      <c r="C37" s="1" t="s">
        <v>6049</v>
      </c>
      <c r="D37" s="39">
        <v>1738</v>
      </c>
      <c r="E37" s="1" t="s">
        <v>1</v>
      </c>
      <c r="F37" s="3">
        <v>3205.74</v>
      </c>
    </row>
    <row r="38" spans="1:6" x14ac:dyDescent="0.25">
      <c r="A38" s="1">
        <v>4000071</v>
      </c>
      <c r="B38" s="1" t="s">
        <v>633</v>
      </c>
      <c r="C38" s="1" t="s">
        <v>6049</v>
      </c>
      <c r="D38" s="39">
        <v>4085</v>
      </c>
      <c r="E38" s="1" t="s">
        <v>1</v>
      </c>
      <c r="F38" s="3">
        <v>2417.91</v>
      </c>
    </row>
    <row r="39" spans="1:6" x14ac:dyDescent="0.25">
      <c r="A39" s="1">
        <v>4000080</v>
      </c>
      <c r="B39" s="1" t="s">
        <v>2680</v>
      </c>
      <c r="C39" s="1" t="s">
        <v>6049</v>
      </c>
      <c r="D39" s="39">
        <v>0</v>
      </c>
      <c r="E39" s="1" t="s">
        <v>1</v>
      </c>
      <c r="F39" s="39">
        <v>0</v>
      </c>
    </row>
    <row r="40" spans="1:6" x14ac:dyDescent="0.25">
      <c r="A40" s="1">
        <v>4000082</v>
      </c>
      <c r="B40" s="1" t="s">
        <v>2681</v>
      </c>
      <c r="C40" s="1" t="s">
        <v>6049</v>
      </c>
      <c r="D40" s="39">
        <v>0</v>
      </c>
      <c r="E40" s="1" t="s">
        <v>1</v>
      </c>
      <c r="F40" s="39">
        <v>0</v>
      </c>
    </row>
    <row r="41" spans="1:6" x14ac:dyDescent="0.25">
      <c r="A41" s="1">
        <v>4000083</v>
      </c>
      <c r="B41" s="1" t="s">
        <v>2682</v>
      </c>
      <c r="C41" s="1" t="s">
        <v>6049</v>
      </c>
      <c r="D41" s="39">
        <v>0</v>
      </c>
      <c r="E41" s="1" t="s">
        <v>1</v>
      </c>
      <c r="F41" s="39">
        <v>0</v>
      </c>
    </row>
    <row r="42" spans="1:6" x14ac:dyDescent="0.25">
      <c r="A42" s="1">
        <v>4000086</v>
      </c>
      <c r="B42" s="1" t="s">
        <v>2683</v>
      </c>
      <c r="C42" s="1" t="s">
        <v>6049</v>
      </c>
      <c r="D42" s="39">
        <v>0</v>
      </c>
      <c r="E42" s="1" t="s">
        <v>1</v>
      </c>
      <c r="F42" s="39">
        <v>0</v>
      </c>
    </row>
    <row r="43" spans="1:6" x14ac:dyDescent="0.25">
      <c r="A43" s="1">
        <v>4000087</v>
      </c>
      <c r="B43" s="1" t="s">
        <v>2684</v>
      </c>
      <c r="C43" s="1" t="s">
        <v>6049</v>
      </c>
      <c r="D43" s="39">
        <v>0</v>
      </c>
      <c r="E43" s="1" t="s">
        <v>1</v>
      </c>
      <c r="F43" s="39">
        <v>0</v>
      </c>
    </row>
    <row r="44" spans="1:6" x14ac:dyDescent="0.25">
      <c r="A44" s="1">
        <v>4000094</v>
      </c>
      <c r="B44" s="1" t="s">
        <v>2685</v>
      </c>
      <c r="C44" s="1" t="s">
        <v>6049</v>
      </c>
      <c r="D44" s="39">
        <v>0</v>
      </c>
      <c r="E44" s="1" t="s">
        <v>1</v>
      </c>
      <c r="F44" s="39">
        <v>0</v>
      </c>
    </row>
    <row r="45" spans="1:6" x14ac:dyDescent="0.25">
      <c r="A45" s="1">
        <v>4000095</v>
      </c>
      <c r="B45" s="1" t="s">
        <v>2686</v>
      </c>
      <c r="C45" s="1" t="s">
        <v>6049</v>
      </c>
      <c r="D45" s="39">
        <v>0</v>
      </c>
      <c r="E45" s="1" t="s">
        <v>1</v>
      </c>
      <c r="F45" s="39">
        <v>0</v>
      </c>
    </row>
    <row r="46" spans="1:6" x14ac:dyDescent="0.25">
      <c r="A46" s="1">
        <v>4000098</v>
      </c>
      <c r="B46" s="1" t="s">
        <v>2687</v>
      </c>
      <c r="C46" s="1" t="s">
        <v>6049</v>
      </c>
      <c r="D46" s="39">
        <v>0</v>
      </c>
      <c r="E46" s="1" t="s">
        <v>1</v>
      </c>
      <c r="F46" s="39">
        <v>0</v>
      </c>
    </row>
    <row r="47" spans="1:6" x14ac:dyDescent="0.25">
      <c r="A47" s="1">
        <v>4000117</v>
      </c>
      <c r="B47" s="1" t="s">
        <v>123</v>
      </c>
      <c r="C47" s="1" t="s">
        <v>6049</v>
      </c>
      <c r="D47" s="39">
        <v>600</v>
      </c>
      <c r="E47" s="1" t="s">
        <v>1</v>
      </c>
      <c r="F47" s="3">
        <v>669.6</v>
      </c>
    </row>
    <row r="48" spans="1:6" x14ac:dyDescent="0.25">
      <c r="A48" s="1">
        <v>4000120</v>
      </c>
      <c r="B48" s="1" t="s">
        <v>129</v>
      </c>
      <c r="C48" s="1" t="s">
        <v>6049</v>
      </c>
      <c r="D48" s="39">
        <v>866</v>
      </c>
      <c r="E48" s="1" t="s">
        <v>1</v>
      </c>
      <c r="F48" s="3">
        <v>378.36</v>
      </c>
    </row>
    <row r="49" spans="1:6" x14ac:dyDescent="0.25">
      <c r="A49" s="1">
        <v>4000121</v>
      </c>
      <c r="B49" s="1" t="s">
        <v>561</v>
      </c>
      <c r="C49" s="1" t="s">
        <v>6049</v>
      </c>
      <c r="D49" s="39">
        <v>2122</v>
      </c>
      <c r="E49" s="1" t="s">
        <v>1</v>
      </c>
      <c r="F49" s="3">
        <v>1970.71</v>
      </c>
    </row>
    <row r="50" spans="1:6" x14ac:dyDescent="0.25">
      <c r="A50" s="1">
        <v>4000122</v>
      </c>
      <c r="B50" s="1" t="s">
        <v>2688</v>
      </c>
      <c r="C50" s="1" t="s">
        <v>6049</v>
      </c>
      <c r="D50" s="39">
        <v>0</v>
      </c>
      <c r="E50" s="1" t="s">
        <v>1</v>
      </c>
      <c r="F50" s="39">
        <v>0</v>
      </c>
    </row>
    <row r="51" spans="1:6" x14ac:dyDescent="0.25">
      <c r="A51" s="1">
        <v>4000124</v>
      </c>
      <c r="B51" s="1" t="s">
        <v>514</v>
      </c>
      <c r="C51" s="1" t="s">
        <v>6049</v>
      </c>
      <c r="D51" s="39">
        <v>700</v>
      </c>
      <c r="E51" s="1" t="s">
        <v>1</v>
      </c>
      <c r="F51" s="3">
        <v>311.36</v>
      </c>
    </row>
    <row r="52" spans="1:6" x14ac:dyDescent="0.25">
      <c r="A52" s="1">
        <v>4000125</v>
      </c>
      <c r="B52" s="1" t="s">
        <v>515</v>
      </c>
      <c r="C52" s="1" t="s">
        <v>6049</v>
      </c>
      <c r="D52" s="39">
        <v>871</v>
      </c>
      <c r="E52" s="1" t="s">
        <v>1</v>
      </c>
      <c r="F52" s="3">
        <v>624.24</v>
      </c>
    </row>
    <row r="53" spans="1:6" x14ac:dyDescent="0.25">
      <c r="A53" s="1">
        <v>4000126</v>
      </c>
      <c r="B53" s="1" t="s">
        <v>529</v>
      </c>
      <c r="C53" s="1" t="s">
        <v>6049</v>
      </c>
      <c r="D53" s="39">
        <v>375</v>
      </c>
      <c r="E53" s="1" t="s">
        <v>1</v>
      </c>
      <c r="F53" s="3">
        <v>244.54</v>
      </c>
    </row>
    <row r="54" spans="1:6" x14ac:dyDescent="0.25">
      <c r="A54" s="1">
        <v>4000129</v>
      </c>
      <c r="B54" s="1" t="s">
        <v>501</v>
      </c>
      <c r="C54" s="1" t="s">
        <v>6049</v>
      </c>
      <c r="D54" s="39">
        <v>1840</v>
      </c>
      <c r="E54" s="1" t="s">
        <v>1</v>
      </c>
      <c r="F54" s="3">
        <v>1703.47</v>
      </c>
    </row>
    <row r="55" spans="1:6" x14ac:dyDescent="0.25">
      <c r="A55" s="1">
        <v>4000133</v>
      </c>
      <c r="B55" s="1" t="s">
        <v>1229</v>
      </c>
      <c r="C55" s="1" t="s">
        <v>6049</v>
      </c>
      <c r="D55" s="39">
        <v>1039</v>
      </c>
      <c r="E55" s="1" t="s">
        <v>1</v>
      </c>
      <c r="F55" s="3">
        <v>1973.68</v>
      </c>
    </row>
    <row r="56" spans="1:6" x14ac:dyDescent="0.25">
      <c r="A56" s="1">
        <v>4000136</v>
      </c>
      <c r="B56" s="1" t="s">
        <v>353</v>
      </c>
      <c r="C56" s="1" t="s">
        <v>6049</v>
      </c>
      <c r="D56" s="39">
        <v>612</v>
      </c>
      <c r="E56" s="1" t="s">
        <v>1</v>
      </c>
      <c r="F56" s="3">
        <v>1182.51</v>
      </c>
    </row>
    <row r="57" spans="1:6" x14ac:dyDescent="0.25">
      <c r="A57" s="1">
        <v>4000137</v>
      </c>
      <c r="B57" s="1" t="s">
        <v>354</v>
      </c>
      <c r="C57" s="1" t="s">
        <v>6049</v>
      </c>
      <c r="D57" s="39">
        <v>450</v>
      </c>
      <c r="E57" s="1" t="s">
        <v>1</v>
      </c>
      <c r="F57" s="3">
        <v>316.8</v>
      </c>
    </row>
    <row r="58" spans="1:6" x14ac:dyDescent="0.25">
      <c r="A58" s="1">
        <v>4000138</v>
      </c>
      <c r="B58" s="1" t="s">
        <v>18</v>
      </c>
      <c r="C58" s="1" t="s">
        <v>6049</v>
      </c>
      <c r="D58" s="39">
        <v>800</v>
      </c>
      <c r="E58" s="1" t="s">
        <v>1</v>
      </c>
      <c r="F58" s="3">
        <v>622.4</v>
      </c>
    </row>
    <row r="59" spans="1:6" x14ac:dyDescent="0.25">
      <c r="A59" s="1">
        <v>4000139</v>
      </c>
      <c r="B59" s="1" t="s">
        <v>2689</v>
      </c>
      <c r="C59" s="1" t="s">
        <v>6049</v>
      </c>
      <c r="D59" s="39">
        <v>0</v>
      </c>
      <c r="E59" s="1" t="s">
        <v>1</v>
      </c>
      <c r="F59" s="39">
        <v>0</v>
      </c>
    </row>
    <row r="60" spans="1:6" x14ac:dyDescent="0.25">
      <c r="A60" s="1">
        <v>4000140</v>
      </c>
      <c r="B60" s="1" t="s">
        <v>2690</v>
      </c>
      <c r="C60" s="1" t="s">
        <v>6049</v>
      </c>
      <c r="D60" s="39">
        <v>417</v>
      </c>
      <c r="E60" s="1" t="s">
        <v>1</v>
      </c>
      <c r="F60" s="3">
        <v>266.8</v>
      </c>
    </row>
    <row r="61" spans="1:6" x14ac:dyDescent="0.25">
      <c r="A61" s="1">
        <v>4000141</v>
      </c>
      <c r="B61" s="1" t="s">
        <v>89</v>
      </c>
      <c r="C61" s="1" t="s">
        <v>6049</v>
      </c>
      <c r="D61" s="39">
        <v>3966</v>
      </c>
      <c r="E61" s="1" t="s">
        <v>1</v>
      </c>
      <c r="F61" s="3">
        <v>1601.08</v>
      </c>
    </row>
    <row r="62" spans="1:6" x14ac:dyDescent="0.25">
      <c r="A62" s="1">
        <v>4000180</v>
      </c>
      <c r="B62" s="1" t="s">
        <v>2691</v>
      </c>
      <c r="C62" s="1" t="s">
        <v>6049</v>
      </c>
      <c r="D62" s="39">
        <v>0</v>
      </c>
      <c r="E62" s="1" t="s">
        <v>3</v>
      </c>
      <c r="F62" s="39">
        <v>0</v>
      </c>
    </row>
    <row r="63" spans="1:6" x14ac:dyDescent="0.25">
      <c r="A63" s="1">
        <v>4000329</v>
      </c>
      <c r="B63" s="1" t="s">
        <v>2692</v>
      </c>
      <c r="C63" s="1" t="s">
        <v>6049</v>
      </c>
      <c r="D63" s="39">
        <v>0</v>
      </c>
      <c r="E63" s="1" t="s">
        <v>1</v>
      </c>
      <c r="F63" s="39">
        <v>0</v>
      </c>
    </row>
    <row r="64" spans="1:6" x14ac:dyDescent="0.25">
      <c r="A64" s="1">
        <v>4000332</v>
      </c>
      <c r="B64" s="1" t="s">
        <v>2693</v>
      </c>
      <c r="C64" s="1" t="s">
        <v>6049</v>
      </c>
      <c r="D64" s="39">
        <v>0</v>
      </c>
      <c r="E64" s="1" t="s">
        <v>1</v>
      </c>
      <c r="F64" s="39">
        <v>0</v>
      </c>
    </row>
    <row r="65" spans="1:6" x14ac:dyDescent="0.25">
      <c r="A65" s="1">
        <v>4000333</v>
      </c>
      <c r="B65" s="1" t="s">
        <v>2694</v>
      </c>
      <c r="C65" s="1" t="s">
        <v>6049</v>
      </c>
      <c r="D65" s="39">
        <v>0</v>
      </c>
      <c r="E65" s="1" t="s">
        <v>1</v>
      </c>
      <c r="F65" s="39">
        <v>0</v>
      </c>
    </row>
    <row r="66" spans="1:6" x14ac:dyDescent="0.25">
      <c r="A66" s="1">
        <v>4000542</v>
      </c>
      <c r="B66" s="1" t="s">
        <v>2695</v>
      </c>
      <c r="C66" s="1" t="s">
        <v>6049</v>
      </c>
      <c r="D66" s="39">
        <v>0</v>
      </c>
      <c r="E66" s="1" t="s">
        <v>1</v>
      </c>
      <c r="F66" s="39">
        <v>0</v>
      </c>
    </row>
    <row r="67" spans="1:6" x14ac:dyDescent="0.25">
      <c r="A67" s="1">
        <v>4000701</v>
      </c>
      <c r="B67" s="1" t="s">
        <v>2699</v>
      </c>
      <c r="C67" s="1" t="s">
        <v>6049</v>
      </c>
      <c r="D67" s="39">
        <v>0</v>
      </c>
      <c r="E67" s="1" t="s">
        <v>1</v>
      </c>
      <c r="F67" s="39">
        <v>0</v>
      </c>
    </row>
    <row r="68" spans="1:6" x14ac:dyDescent="0.25">
      <c r="A68" s="1">
        <v>4000846</v>
      </c>
      <c r="B68" s="1" t="s">
        <v>2700</v>
      </c>
      <c r="C68" s="1" t="s">
        <v>6049</v>
      </c>
      <c r="D68" s="39">
        <v>0</v>
      </c>
      <c r="E68" s="1" t="s">
        <v>1</v>
      </c>
      <c r="F68" s="39">
        <v>0</v>
      </c>
    </row>
    <row r="69" spans="1:6" x14ac:dyDescent="0.25">
      <c r="A69" s="1">
        <v>4001137</v>
      </c>
      <c r="B69" s="1" t="s">
        <v>2701</v>
      </c>
      <c r="C69" s="1" t="s">
        <v>6049</v>
      </c>
      <c r="D69" s="39">
        <v>0</v>
      </c>
      <c r="E69" s="1" t="s">
        <v>1</v>
      </c>
      <c r="F69" s="39">
        <v>0</v>
      </c>
    </row>
    <row r="70" spans="1:6" x14ac:dyDescent="0.25">
      <c r="A70" s="1">
        <v>4001138</v>
      </c>
      <c r="B70" s="1" t="s">
        <v>461</v>
      </c>
      <c r="C70" s="1" t="s">
        <v>6049</v>
      </c>
      <c r="D70" s="39">
        <v>347</v>
      </c>
      <c r="E70" s="1" t="s">
        <v>1</v>
      </c>
      <c r="F70" s="3">
        <v>3853.12</v>
      </c>
    </row>
    <row r="71" spans="1:6" x14ac:dyDescent="0.25">
      <c r="A71" s="1">
        <v>4001140</v>
      </c>
      <c r="B71" s="1" t="s">
        <v>256</v>
      </c>
      <c r="C71" s="1" t="s">
        <v>6049</v>
      </c>
      <c r="D71" s="39">
        <v>454</v>
      </c>
      <c r="E71" s="1" t="s">
        <v>1</v>
      </c>
      <c r="F71" s="3">
        <v>1954.29</v>
      </c>
    </row>
    <row r="72" spans="1:6" x14ac:dyDescent="0.25">
      <c r="A72" s="1">
        <v>4001141</v>
      </c>
      <c r="B72" s="1" t="s">
        <v>270</v>
      </c>
      <c r="C72" s="1" t="s">
        <v>6049</v>
      </c>
      <c r="D72" s="39">
        <v>1010</v>
      </c>
      <c r="E72" s="1" t="s">
        <v>1</v>
      </c>
      <c r="F72" s="3">
        <v>2838.1</v>
      </c>
    </row>
    <row r="73" spans="1:6" x14ac:dyDescent="0.25">
      <c r="A73" s="1">
        <v>4001142</v>
      </c>
      <c r="B73" s="1" t="s">
        <v>261</v>
      </c>
      <c r="C73" s="1" t="s">
        <v>6049</v>
      </c>
      <c r="D73" s="39">
        <v>1079</v>
      </c>
      <c r="E73" s="1" t="s">
        <v>1</v>
      </c>
      <c r="F73" s="3">
        <v>8708.82</v>
      </c>
    </row>
    <row r="74" spans="1:6" x14ac:dyDescent="0.25">
      <c r="A74" s="1">
        <v>4001144</v>
      </c>
      <c r="B74" s="1" t="s">
        <v>574</v>
      </c>
      <c r="C74" s="1" t="s">
        <v>6049</v>
      </c>
      <c r="D74" s="39">
        <v>155</v>
      </c>
      <c r="E74" s="1" t="s">
        <v>1</v>
      </c>
      <c r="F74" s="3">
        <v>681.92</v>
      </c>
    </row>
    <row r="75" spans="1:6" x14ac:dyDescent="0.25">
      <c r="A75" s="1">
        <v>4001145</v>
      </c>
      <c r="B75" s="1" t="s">
        <v>2702</v>
      </c>
      <c r="C75" s="1" t="s">
        <v>6049</v>
      </c>
      <c r="D75" s="39">
        <v>0</v>
      </c>
      <c r="E75" s="1" t="s">
        <v>1</v>
      </c>
      <c r="F75" s="39">
        <v>0</v>
      </c>
    </row>
    <row r="76" spans="1:6" x14ac:dyDescent="0.25">
      <c r="A76" s="1">
        <v>4001146</v>
      </c>
      <c r="B76" s="1" t="s">
        <v>568</v>
      </c>
      <c r="C76" s="1" t="s">
        <v>6049</v>
      </c>
      <c r="D76" s="39">
        <v>1082</v>
      </c>
      <c r="E76" s="1" t="s">
        <v>1</v>
      </c>
      <c r="F76" s="3">
        <v>5676.82</v>
      </c>
    </row>
    <row r="77" spans="1:6" x14ac:dyDescent="0.25">
      <c r="A77" s="1">
        <v>4001149</v>
      </c>
      <c r="B77" s="1" t="s">
        <v>2703</v>
      </c>
      <c r="C77" s="1" t="s">
        <v>6049</v>
      </c>
      <c r="D77" s="39">
        <v>0</v>
      </c>
      <c r="E77" s="1" t="s">
        <v>1</v>
      </c>
      <c r="F77" s="39">
        <v>0</v>
      </c>
    </row>
    <row r="78" spans="1:6" x14ac:dyDescent="0.25">
      <c r="A78" s="1">
        <v>4001151</v>
      </c>
      <c r="B78" s="1" t="s">
        <v>584</v>
      </c>
      <c r="C78" s="1" t="s">
        <v>6049</v>
      </c>
      <c r="D78" s="39">
        <v>411</v>
      </c>
      <c r="E78" s="1" t="s">
        <v>1</v>
      </c>
      <c r="F78" s="3">
        <v>1454.08</v>
      </c>
    </row>
    <row r="79" spans="1:6" x14ac:dyDescent="0.25">
      <c r="A79" s="1">
        <v>4001152</v>
      </c>
      <c r="B79" s="1" t="s">
        <v>2704</v>
      </c>
      <c r="C79" s="1" t="s">
        <v>6049</v>
      </c>
      <c r="D79" s="39">
        <v>0</v>
      </c>
      <c r="E79" s="1" t="s">
        <v>1</v>
      </c>
      <c r="F79" s="39">
        <v>0</v>
      </c>
    </row>
    <row r="80" spans="1:6" x14ac:dyDescent="0.25">
      <c r="A80" s="1">
        <v>4001153</v>
      </c>
      <c r="B80" s="1" t="s">
        <v>124</v>
      </c>
      <c r="C80" s="1" t="s">
        <v>6049</v>
      </c>
      <c r="D80" s="39">
        <v>652</v>
      </c>
      <c r="E80" s="1" t="s">
        <v>1</v>
      </c>
      <c r="F80" s="3">
        <v>3159.01</v>
      </c>
    </row>
    <row r="81" spans="1:6" x14ac:dyDescent="0.25">
      <c r="A81" s="1">
        <v>4001156</v>
      </c>
      <c r="B81" s="1" t="s">
        <v>2705</v>
      </c>
      <c r="C81" s="1" t="s">
        <v>6049</v>
      </c>
      <c r="D81" s="39">
        <v>0</v>
      </c>
      <c r="E81" s="1" t="s">
        <v>1</v>
      </c>
      <c r="F81" s="39">
        <v>0</v>
      </c>
    </row>
    <row r="82" spans="1:6" x14ac:dyDescent="0.25">
      <c r="A82" s="1">
        <v>4001157</v>
      </c>
      <c r="B82" s="1" t="s">
        <v>2706</v>
      </c>
      <c r="C82" s="1" t="s">
        <v>6049</v>
      </c>
      <c r="D82" s="39">
        <v>0</v>
      </c>
      <c r="E82" s="1" t="s">
        <v>1</v>
      </c>
      <c r="F82" s="39">
        <v>0</v>
      </c>
    </row>
    <row r="83" spans="1:6" x14ac:dyDescent="0.25">
      <c r="A83" s="1">
        <v>4001158</v>
      </c>
      <c r="B83" s="1" t="s">
        <v>2707</v>
      </c>
      <c r="C83" s="1" t="s">
        <v>6049</v>
      </c>
      <c r="D83" s="39">
        <v>0</v>
      </c>
      <c r="E83" s="1" t="s">
        <v>1</v>
      </c>
      <c r="F83" s="39">
        <v>0</v>
      </c>
    </row>
    <row r="84" spans="1:6" x14ac:dyDescent="0.25">
      <c r="A84" s="1">
        <v>4001159</v>
      </c>
      <c r="B84" s="1" t="s">
        <v>251</v>
      </c>
      <c r="C84" s="1" t="s">
        <v>6049</v>
      </c>
      <c r="D84" s="39">
        <v>906</v>
      </c>
      <c r="E84" s="1" t="s">
        <v>1</v>
      </c>
      <c r="F84" s="3">
        <v>2944.41</v>
      </c>
    </row>
    <row r="85" spans="1:6" x14ac:dyDescent="0.25">
      <c r="A85" s="1">
        <v>4001160</v>
      </c>
      <c r="B85" s="1" t="s">
        <v>2708</v>
      </c>
      <c r="C85" s="1" t="s">
        <v>6049</v>
      </c>
      <c r="D85" s="39">
        <v>0</v>
      </c>
      <c r="E85" s="1" t="s">
        <v>1</v>
      </c>
      <c r="F85" s="39">
        <v>0</v>
      </c>
    </row>
    <row r="86" spans="1:6" x14ac:dyDescent="0.25">
      <c r="A86" s="1">
        <v>4001161</v>
      </c>
      <c r="B86" s="1" t="s">
        <v>700</v>
      </c>
      <c r="C86" s="1" t="s">
        <v>6049</v>
      </c>
      <c r="D86" s="39">
        <v>213</v>
      </c>
      <c r="E86" s="1" t="s">
        <v>1</v>
      </c>
      <c r="F86" s="3">
        <v>1365.24</v>
      </c>
    </row>
    <row r="87" spans="1:6" x14ac:dyDescent="0.25">
      <c r="A87" s="1">
        <v>4001165</v>
      </c>
      <c r="B87" s="1" t="s">
        <v>169</v>
      </c>
      <c r="C87" s="1" t="s">
        <v>6049</v>
      </c>
      <c r="D87" s="39">
        <v>0</v>
      </c>
      <c r="E87" s="1" t="s">
        <v>1</v>
      </c>
      <c r="F87" s="39">
        <v>0</v>
      </c>
    </row>
    <row r="88" spans="1:6" x14ac:dyDescent="0.25">
      <c r="A88" s="1">
        <v>4001166</v>
      </c>
      <c r="B88" s="1" t="s">
        <v>2709</v>
      </c>
      <c r="C88" s="1" t="s">
        <v>6049</v>
      </c>
      <c r="D88" s="39">
        <v>0</v>
      </c>
      <c r="E88" s="1" t="s">
        <v>1</v>
      </c>
      <c r="F88" s="39">
        <v>0</v>
      </c>
    </row>
    <row r="89" spans="1:6" x14ac:dyDescent="0.25">
      <c r="A89" s="1">
        <v>4001167</v>
      </c>
      <c r="B89" s="1" t="s">
        <v>2710</v>
      </c>
      <c r="C89" s="1" t="s">
        <v>6049</v>
      </c>
      <c r="D89" s="39">
        <v>0</v>
      </c>
      <c r="E89" s="1" t="s">
        <v>1</v>
      </c>
      <c r="F89" s="39">
        <v>0</v>
      </c>
    </row>
    <row r="90" spans="1:6" x14ac:dyDescent="0.25">
      <c r="A90" s="1">
        <v>4001168</v>
      </c>
      <c r="B90" s="1" t="s">
        <v>2711</v>
      </c>
      <c r="C90" s="1" t="s">
        <v>6049</v>
      </c>
      <c r="D90" s="39">
        <v>0</v>
      </c>
      <c r="E90" s="1" t="s">
        <v>1</v>
      </c>
      <c r="F90" s="39">
        <v>0</v>
      </c>
    </row>
    <row r="91" spans="1:6" x14ac:dyDescent="0.25">
      <c r="A91" s="1">
        <v>4001169</v>
      </c>
      <c r="B91" s="1" t="s">
        <v>131</v>
      </c>
      <c r="C91" s="1" t="s">
        <v>6049</v>
      </c>
      <c r="D91" s="39">
        <v>450</v>
      </c>
      <c r="E91" s="1" t="s">
        <v>1</v>
      </c>
      <c r="F91" s="3">
        <v>1517.45</v>
      </c>
    </row>
    <row r="92" spans="1:6" x14ac:dyDescent="0.25">
      <c r="A92" s="1">
        <v>4001170</v>
      </c>
      <c r="B92" s="1" t="s">
        <v>705</v>
      </c>
      <c r="C92" s="1" t="s">
        <v>6049</v>
      </c>
      <c r="D92" s="39">
        <v>2954</v>
      </c>
      <c r="E92" s="1" t="s">
        <v>1</v>
      </c>
      <c r="F92" s="3">
        <v>6355.23</v>
      </c>
    </row>
    <row r="93" spans="1:6" x14ac:dyDescent="0.25">
      <c r="A93" s="1">
        <v>4001173</v>
      </c>
      <c r="B93" s="1" t="s">
        <v>2712</v>
      </c>
      <c r="C93" s="1" t="s">
        <v>6049</v>
      </c>
      <c r="D93" s="39">
        <v>0</v>
      </c>
      <c r="E93" s="1" t="s">
        <v>1</v>
      </c>
      <c r="F93" s="39">
        <v>0</v>
      </c>
    </row>
    <row r="94" spans="1:6" x14ac:dyDescent="0.25">
      <c r="A94" s="1">
        <v>4001174</v>
      </c>
      <c r="B94" s="1" t="s">
        <v>2713</v>
      </c>
      <c r="C94" s="1" t="s">
        <v>6049</v>
      </c>
      <c r="D94" s="39">
        <v>0</v>
      </c>
      <c r="E94" s="1" t="s">
        <v>1</v>
      </c>
      <c r="F94" s="39">
        <v>0</v>
      </c>
    </row>
    <row r="95" spans="1:6" x14ac:dyDescent="0.25">
      <c r="A95" s="1">
        <v>4001175</v>
      </c>
      <c r="B95" s="1" t="s">
        <v>247</v>
      </c>
      <c r="C95" s="1" t="s">
        <v>6049</v>
      </c>
      <c r="D95" s="39">
        <v>353</v>
      </c>
      <c r="E95" s="1" t="s">
        <v>1</v>
      </c>
      <c r="F95" s="3">
        <v>1673.57</v>
      </c>
    </row>
    <row r="96" spans="1:6" x14ac:dyDescent="0.25">
      <c r="A96" s="1">
        <v>4001176</v>
      </c>
      <c r="B96" s="1" t="s">
        <v>2714</v>
      </c>
      <c r="C96" s="1" t="s">
        <v>6049</v>
      </c>
      <c r="D96" s="39">
        <v>0</v>
      </c>
      <c r="E96" s="1" t="s">
        <v>1</v>
      </c>
      <c r="F96" s="39">
        <v>0</v>
      </c>
    </row>
    <row r="97" spans="1:6" x14ac:dyDescent="0.25">
      <c r="A97" s="1">
        <v>4001177</v>
      </c>
      <c r="B97" s="1" t="s">
        <v>2715</v>
      </c>
      <c r="C97" s="1" t="s">
        <v>6049</v>
      </c>
      <c r="D97" s="39">
        <v>0</v>
      </c>
      <c r="E97" s="1" t="s">
        <v>1</v>
      </c>
      <c r="F97" s="39">
        <v>0</v>
      </c>
    </row>
    <row r="98" spans="1:6" x14ac:dyDescent="0.25">
      <c r="A98" s="1">
        <v>4001178</v>
      </c>
      <c r="B98" s="1" t="s">
        <v>476</v>
      </c>
      <c r="C98" s="1" t="s">
        <v>6049</v>
      </c>
      <c r="D98" s="39">
        <v>367</v>
      </c>
      <c r="E98" s="1" t="s">
        <v>1</v>
      </c>
      <c r="F98" s="3">
        <v>1102.03</v>
      </c>
    </row>
    <row r="99" spans="1:6" x14ac:dyDescent="0.25">
      <c r="A99" s="1">
        <v>4001183</v>
      </c>
      <c r="B99" s="1" t="s">
        <v>95</v>
      </c>
      <c r="C99" s="1" t="s">
        <v>6049</v>
      </c>
      <c r="D99" s="39">
        <v>129</v>
      </c>
      <c r="E99" s="1" t="s">
        <v>1</v>
      </c>
      <c r="F99" s="3">
        <v>626.23</v>
      </c>
    </row>
    <row r="100" spans="1:6" x14ac:dyDescent="0.25">
      <c r="A100" s="1">
        <v>4001185</v>
      </c>
      <c r="B100" s="1" t="s">
        <v>2717</v>
      </c>
      <c r="C100" s="1" t="s">
        <v>6049</v>
      </c>
      <c r="D100" s="39">
        <v>0</v>
      </c>
      <c r="E100" s="1" t="s">
        <v>1</v>
      </c>
      <c r="F100" s="39">
        <v>0</v>
      </c>
    </row>
    <row r="101" spans="1:6" x14ac:dyDescent="0.25">
      <c r="A101" s="1">
        <v>4001186</v>
      </c>
      <c r="B101" s="1" t="s">
        <v>471</v>
      </c>
      <c r="C101" s="1" t="s">
        <v>6049</v>
      </c>
      <c r="D101" s="39">
        <v>0</v>
      </c>
      <c r="E101" s="1" t="s">
        <v>1</v>
      </c>
      <c r="F101" s="39">
        <v>0</v>
      </c>
    </row>
    <row r="102" spans="1:6" x14ac:dyDescent="0.25">
      <c r="A102" s="1">
        <v>4001187</v>
      </c>
      <c r="B102" s="1" t="s">
        <v>474</v>
      </c>
      <c r="C102" s="1" t="s">
        <v>6049</v>
      </c>
      <c r="D102" s="39">
        <v>0</v>
      </c>
      <c r="E102" s="1" t="s">
        <v>1</v>
      </c>
      <c r="F102" s="39">
        <v>0</v>
      </c>
    </row>
    <row r="103" spans="1:6" x14ac:dyDescent="0.25">
      <c r="A103" s="1">
        <v>4001190</v>
      </c>
      <c r="B103" s="1" t="s">
        <v>2719</v>
      </c>
      <c r="C103" s="1" t="s">
        <v>6049</v>
      </c>
      <c r="D103" s="39">
        <v>0</v>
      </c>
      <c r="E103" s="1" t="s">
        <v>1</v>
      </c>
      <c r="F103" s="39">
        <v>0</v>
      </c>
    </row>
    <row r="104" spans="1:6" x14ac:dyDescent="0.25">
      <c r="A104" s="1">
        <v>4001191</v>
      </c>
      <c r="B104" s="1" t="s">
        <v>2720</v>
      </c>
      <c r="C104" s="1" t="s">
        <v>6049</v>
      </c>
      <c r="D104" s="39">
        <v>0</v>
      </c>
      <c r="E104" s="1" t="s">
        <v>1</v>
      </c>
      <c r="F104" s="39">
        <v>0</v>
      </c>
    </row>
    <row r="105" spans="1:6" x14ac:dyDescent="0.25">
      <c r="A105" s="1">
        <v>4001192</v>
      </c>
      <c r="B105" s="1" t="s">
        <v>2721</v>
      </c>
      <c r="C105" s="1" t="s">
        <v>6049</v>
      </c>
      <c r="D105" s="39">
        <v>0</v>
      </c>
      <c r="E105" s="1" t="s">
        <v>1</v>
      </c>
      <c r="F105" s="39">
        <v>0</v>
      </c>
    </row>
    <row r="106" spans="1:6" x14ac:dyDescent="0.25">
      <c r="A106" s="1">
        <v>4001194</v>
      </c>
      <c r="B106" s="1" t="s">
        <v>2722</v>
      </c>
      <c r="C106" s="1" t="s">
        <v>6049</v>
      </c>
      <c r="D106" s="39">
        <v>0</v>
      </c>
      <c r="E106" s="1" t="s">
        <v>1</v>
      </c>
      <c r="F106" s="39">
        <v>0</v>
      </c>
    </row>
    <row r="107" spans="1:6" x14ac:dyDescent="0.25">
      <c r="A107" s="1">
        <v>4001195</v>
      </c>
      <c r="B107" s="1" t="s">
        <v>622</v>
      </c>
      <c r="C107" s="1" t="s">
        <v>6049</v>
      </c>
      <c r="D107" s="39">
        <v>0</v>
      </c>
      <c r="E107" s="1" t="s">
        <v>1</v>
      </c>
      <c r="F107" s="39">
        <v>0</v>
      </c>
    </row>
    <row r="108" spans="1:6" x14ac:dyDescent="0.25">
      <c r="A108" s="1">
        <v>4001196</v>
      </c>
      <c r="B108" s="1" t="s">
        <v>197</v>
      </c>
      <c r="C108" s="1" t="s">
        <v>6049</v>
      </c>
      <c r="D108" s="39">
        <v>108</v>
      </c>
      <c r="E108" s="1" t="s">
        <v>1</v>
      </c>
      <c r="F108" s="3">
        <v>486.42</v>
      </c>
    </row>
    <row r="109" spans="1:6" x14ac:dyDescent="0.25">
      <c r="A109" s="1">
        <v>4001197</v>
      </c>
      <c r="B109" s="1" t="s">
        <v>2723</v>
      </c>
      <c r="C109" s="1" t="s">
        <v>6049</v>
      </c>
      <c r="D109" s="39">
        <v>0</v>
      </c>
      <c r="E109" s="1" t="s">
        <v>1</v>
      </c>
      <c r="F109" s="39">
        <v>0</v>
      </c>
    </row>
    <row r="110" spans="1:6" x14ac:dyDescent="0.25">
      <c r="A110" s="1">
        <v>4001198</v>
      </c>
      <c r="B110" s="1" t="s">
        <v>2724</v>
      </c>
      <c r="C110" s="1" t="s">
        <v>6049</v>
      </c>
      <c r="D110" s="39">
        <v>0</v>
      </c>
      <c r="E110" s="1" t="s">
        <v>1</v>
      </c>
      <c r="F110" s="39">
        <v>0</v>
      </c>
    </row>
    <row r="111" spans="1:6" x14ac:dyDescent="0.25">
      <c r="A111" s="1">
        <v>4001199</v>
      </c>
      <c r="B111" s="1" t="s">
        <v>2725</v>
      </c>
      <c r="C111" s="1" t="s">
        <v>6049</v>
      </c>
      <c r="D111" s="39">
        <v>0</v>
      </c>
      <c r="E111" s="1" t="s">
        <v>1</v>
      </c>
      <c r="F111" s="39">
        <v>0</v>
      </c>
    </row>
    <row r="112" spans="1:6" x14ac:dyDescent="0.25">
      <c r="A112" s="1">
        <v>4001200</v>
      </c>
      <c r="B112" s="1" t="s">
        <v>640</v>
      </c>
      <c r="C112" s="1" t="s">
        <v>6049</v>
      </c>
      <c r="D112" s="39">
        <v>548</v>
      </c>
      <c r="E112" s="1" t="s">
        <v>1</v>
      </c>
      <c r="F112" s="3">
        <v>1990.99</v>
      </c>
    </row>
    <row r="113" spans="1:6" x14ac:dyDescent="0.25">
      <c r="A113" s="1">
        <v>4001201</v>
      </c>
      <c r="B113" s="1" t="s">
        <v>608</v>
      </c>
      <c r="C113" s="1" t="s">
        <v>6049</v>
      </c>
      <c r="D113" s="39">
        <v>146</v>
      </c>
      <c r="E113" s="1" t="s">
        <v>1</v>
      </c>
      <c r="F113" s="3">
        <v>454.28</v>
      </c>
    </row>
    <row r="114" spans="1:6" x14ac:dyDescent="0.25">
      <c r="A114" s="1">
        <v>4001202</v>
      </c>
      <c r="B114" s="1" t="s">
        <v>2726</v>
      </c>
      <c r="C114" s="1" t="s">
        <v>6049</v>
      </c>
      <c r="D114" s="39">
        <v>0</v>
      </c>
      <c r="E114" s="1" t="s">
        <v>1</v>
      </c>
      <c r="F114" s="39">
        <v>0</v>
      </c>
    </row>
    <row r="115" spans="1:6" x14ac:dyDescent="0.25">
      <c r="A115" s="1">
        <v>4001203</v>
      </c>
      <c r="B115" s="1" t="s">
        <v>208</v>
      </c>
      <c r="C115" s="1" t="s">
        <v>6049</v>
      </c>
      <c r="D115" s="39">
        <v>38</v>
      </c>
      <c r="E115" s="1" t="s">
        <v>1</v>
      </c>
      <c r="F115" s="3">
        <v>272.43</v>
      </c>
    </row>
    <row r="116" spans="1:6" x14ac:dyDescent="0.25">
      <c r="A116" s="1">
        <v>4001205</v>
      </c>
      <c r="B116" s="1" t="s">
        <v>2727</v>
      </c>
      <c r="C116" s="1" t="s">
        <v>6049</v>
      </c>
      <c r="D116" s="39">
        <v>0</v>
      </c>
      <c r="E116" s="1" t="s">
        <v>1</v>
      </c>
      <c r="F116" s="39">
        <v>0</v>
      </c>
    </row>
    <row r="117" spans="1:6" x14ac:dyDescent="0.25">
      <c r="A117" s="1">
        <v>4001206</v>
      </c>
      <c r="B117" s="1" t="s">
        <v>189</v>
      </c>
      <c r="C117" s="1" t="s">
        <v>6049</v>
      </c>
      <c r="D117" s="39">
        <v>1086</v>
      </c>
      <c r="E117" s="1" t="s">
        <v>1</v>
      </c>
      <c r="F117" s="3">
        <v>5645.68</v>
      </c>
    </row>
    <row r="118" spans="1:6" x14ac:dyDescent="0.25">
      <c r="A118" s="1">
        <v>4001207</v>
      </c>
      <c r="B118" s="1" t="s">
        <v>2728</v>
      </c>
      <c r="C118" s="1" t="s">
        <v>6049</v>
      </c>
      <c r="D118" s="39">
        <v>0</v>
      </c>
      <c r="E118" s="1" t="s">
        <v>1</v>
      </c>
      <c r="F118" s="39">
        <v>0</v>
      </c>
    </row>
    <row r="119" spans="1:6" x14ac:dyDescent="0.25">
      <c r="A119" s="1">
        <v>4001208</v>
      </c>
      <c r="B119" s="1" t="s">
        <v>2729</v>
      </c>
      <c r="C119" s="1" t="s">
        <v>6049</v>
      </c>
      <c r="D119" s="39">
        <v>0</v>
      </c>
      <c r="E119" s="1" t="s">
        <v>1</v>
      </c>
      <c r="F119" s="39">
        <v>0</v>
      </c>
    </row>
    <row r="120" spans="1:6" x14ac:dyDescent="0.25">
      <c r="A120" s="1">
        <v>4001209</v>
      </c>
      <c r="B120" s="1" t="s">
        <v>266</v>
      </c>
      <c r="C120" s="1" t="s">
        <v>6049</v>
      </c>
      <c r="D120" s="39">
        <v>81</v>
      </c>
      <c r="E120" s="1" t="s">
        <v>1</v>
      </c>
      <c r="F120" s="3">
        <v>433.4</v>
      </c>
    </row>
    <row r="121" spans="1:6" x14ac:dyDescent="0.25">
      <c r="A121" s="1">
        <v>4001210</v>
      </c>
      <c r="B121" s="1" t="s">
        <v>2730</v>
      </c>
      <c r="C121" s="1" t="s">
        <v>6049</v>
      </c>
      <c r="D121" s="39">
        <v>0</v>
      </c>
      <c r="E121" s="1" t="s">
        <v>1</v>
      </c>
      <c r="F121" s="39">
        <v>0</v>
      </c>
    </row>
    <row r="122" spans="1:6" x14ac:dyDescent="0.25">
      <c r="A122" s="1">
        <v>4001211</v>
      </c>
      <c r="B122" s="1" t="s">
        <v>2731</v>
      </c>
      <c r="C122" s="1" t="s">
        <v>6049</v>
      </c>
      <c r="D122" s="39">
        <v>0</v>
      </c>
      <c r="E122" s="1" t="s">
        <v>1</v>
      </c>
      <c r="F122" s="39">
        <v>0</v>
      </c>
    </row>
    <row r="123" spans="1:6" x14ac:dyDescent="0.25">
      <c r="A123" s="1">
        <v>4001212</v>
      </c>
      <c r="B123" s="1" t="s">
        <v>238</v>
      </c>
      <c r="C123" s="1" t="s">
        <v>6049</v>
      </c>
      <c r="D123" s="39">
        <v>397</v>
      </c>
      <c r="E123" s="1" t="s">
        <v>1</v>
      </c>
      <c r="F123" s="3">
        <v>1455.96</v>
      </c>
    </row>
    <row r="124" spans="1:6" x14ac:dyDescent="0.25">
      <c r="A124" s="1">
        <v>4001213</v>
      </c>
      <c r="B124" s="1" t="s">
        <v>516</v>
      </c>
      <c r="C124" s="1" t="s">
        <v>6049</v>
      </c>
      <c r="D124" s="39">
        <v>663</v>
      </c>
      <c r="E124" s="1" t="s">
        <v>1</v>
      </c>
      <c r="F124" s="3">
        <v>2872.19</v>
      </c>
    </row>
    <row r="125" spans="1:6" x14ac:dyDescent="0.25">
      <c r="A125" s="1">
        <v>4001215</v>
      </c>
      <c r="B125" s="1" t="s">
        <v>493</v>
      </c>
      <c r="C125" s="1" t="s">
        <v>6049</v>
      </c>
      <c r="D125" s="39">
        <v>919</v>
      </c>
      <c r="E125" s="1" t="s">
        <v>1</v>
      </c>
      <c r="F125" s="3">
        <v>4126.13</v>
      </c>
    </row>
    <row r="126" spans="1:6" x14ac:dyDescent="0.25">
      <c r="A126" s="1">
        <v>4001216</v>
      </c>
      <c r="B126" s="1" t="s">
        <v>487</v>
      </c>
      <c r="C126" s="1" t="s">
        <v>6049</v>
      </c>
      <c r="D126" s="39">
        <v>2623</v>
      </c>
      <c r="E126" s="1" t="s">
        <v>1</v>
      </c>
      <c r="F126" s="3">
        <v>15563.84</v>
      </c>
    </row>
    <row r="127" spans="1:6" x14ac:dyDescent="0.25">
      <c r="A127" s="1">
        <v>4001217</v>
      </c>
      <c r="B127" s="1" t="s">
        <v>2732</v>
      </c>
      <c r="C127" s="1" t="s">
        <v>6049</v>
      </c>
      <c r="D127" s="39">
        <v>0</v>
      </c>
      <c r="E127" s="1" t="s">
        <v>1</v>
      </c>
      <c r="F127" s="39">
        <v>0</v>
      </c>
    </row>
    <row r="128" spans="1:6" x14ac:dyDescent="0.25">
      <c r="A128" s="1">
        <v>4001218</v>
      </c>
      <c r="B128" s="1" t="s">
        <v>2733</v>
      </c>
      <c r="C128" s="1" t="s">
        <v>6049</v>
      </c>
      <c r="D128" s="39">
        <v>0</v>
      </c>
      <c r="E128" s="1" t="s">
        <v>1</v>
      </c>
      <c r="F128" s="39">
        <v>0</v>
      </c>
    </row>
    <row r="129" spans="1:6" x14ac:dyDescent="0.25">
      <c r="A129" s="1">
        <v>4001219</v>
      </c>
      <c r="B129" s="1" t="s">
        <v>614</v>
      </c>
      <c r="C129" s="1" t="s">
        <v>6049</v>
      </c>
      <c r="D129" s="39">
        <v>437</v>
      </c>
      <c r="E129" s="1" t="s">
        <v>1</v>
      </c>
      <c r="F129" s="3">
        <v>988.28</v>
      </c>
    </row>
    <row r="130" spans="1:6" x14ac:dyDescent="0.25">
      <c r="A130" s="1">
        <v>4001220</v>
      </c>
      <c r="B130" s="1" t="s">
        <v>523</v>
      </c>
      <c r="C130" s="1" t="s">
        <v>6049</v>
      </c>
      <c r="D130" s="39">
        <v>598</v>
      </c>
      <c r="E130" s="1" t="s">
        <v>1</v>
      </c>
      <c r="F130" s="3">
        <v>2931.1</v>
      </c>
    </row>
    <row r="131" spans="1:6" x14ac:dyDescent="0.25">
      <c r="A131" s="1">
        <v>4001221</v>
      </c>
      <c r="B131" s="1" t="s">
        <v>716</v>
      </c>
      <c r="C131" s="1" t="s">
        <v>6049</v>
      </c>
      <c r="D131" s="39">
        <v>5347</v>
      </c>
      <c r="E131" s="1" t="s">
        <v>1</v>
      </c>
      <c r="F131" s="3">
        <v>31654.240000000002</v>
      </c>
    </row>
    <row r="132" spans="1:6" x14ac:dyDescent="0.25">
      <c r="A132" s="1">
        <v>4001222</v>
      </c>
      <c r="B132" s="1" t="s">
        <v>2734</v>
      </c>
      <c r="C132" s="1" t="s">
        <v>6049</v>
      </c>
      <c r="D132" s="39">
        <v>0</v>
      </c>
      <c r="E132" s="1" t="s">
        <v>1</v>
      </c>
      <c r="F132" s="39">
        <v>0</v>
      </c>
    </row>
    <row r="133" spans="1:6" x14ac:dyDescent="0.25">
      <c r="A133" s="1">
        <v>4001223</v>
      </c>
      <c r="B133" s="1" t="s">
        <v>530</v>
      </c>
      <c r="C133" s="1" t="s">
        <v>6049</v>
      </c>
      <c r="D133" s="39">
        <v>375</v>
      </c>
      <c r="E133" s="1" t="s">
        <v>1</v>
      </c>
      <c r="F133" s="3">
        <v>2079.71</v>
      </c>
    </row>
    <row r="134" spans="1:6" x14ac:dyDescent="0.25">
      <c r="A134" s="1">
        <v>4001226</v>
      </c>
      <c r="B134" s="1" t="s">
        <v>502</v>
      </c>
      <c r="C134" s="1" t="s">
        <v>6049</v>
      </c>
      <c r="D134" s="39">
        <v>414</v>
      </c>
      <c r="E134" s="1" t="s">
        <v>1</v>
      </c>
      <c r="F134" s="3">
        <v>1539.54</v>
      </c>
    </row>
    <row r="135" spans="1:6" x14ac:dyDescent="0.25">
      <c r="A135" s="1">
        <v>4001227</v>
      </c>
      <c r="B135" s="1" t="s">
        <v>508</v>
      </c>
      <c r="C135" s="1" t="s">
        <v>6049</v>
      </c>
      <c r="D135" s="39">
        <v>741</v>
      </c>
      <c r="E135" s="1" t="s">
        <v>1</v>
      </c>
      <c r="F135" s="3">
        <v>2449.89</v>
      </c>
    </row>
    <row r="136" spans="1:6" x14ac:dyDescent="0.25">
      <c r="A136" s="1">
        <v>4001228</v>
      </c>
      <c r="B136" s="1" t="s">
        <v>536</v>
      </c>
      <c r="C136" s="1" t="s">
        <v>6049</v>
      </c>
      <c r="D136" s="39">
        <v>571</v>
      </c>
      <c r="E136" s="1" t="s">
        <v>1</v>
      </c>
      <c r="F136" s="3">
        <v>1672.69</v>
      </c>
    </row>
    <row r="137" spans="1:6" x14ac:dyDescent="0.25">
      <c r="A137" s="1">
        <v>4001229</v>
      </c>
      <c r="B137" s="1" t="s">
        <v>542</v>
      </c>
      <c r="C137" s="1" t="s">
        <v>6049</v>
      </c>
      <c r="D137" s="39">
        <v>499</v>
      </c>
      <c r="E137" s="1" t="s">
        <v>1</v>
      </c>
      <c r="F137" s="3">
        <v>1900.39</v>
      </c>
    </row>
    <row r="138" spans="1:6" x14ac:dyDescent="0.25">
      <c r="A138" s="1">
        <v>4001230</v>
      </c>
      <c r="B138" s="1" t="s">
        <v>548</v>
      </c>
      <c r="C138" s="1" t="s">
        <v>6049</v>
      </c>
      <c r="D138" s="39">
        <v>969</v>
      </c>
      <c r="E138" s="1" t="s">
        <v>1</v>
      </c>
      <c r="F138" s="3">
        <v>4265.1499999999996</v>
      </c>
    </row>
    <row r="139" spans="1:6" x14ac:dyDescent="0.25">
      <c r="A139" s="1">
        <v>4001231</v>
      </c>
      <c r="B139" s="1" t="s">
        <v>2735</v>
      </c>
      <c r="C139" s="1" t="s">
        <v>6049</v>
      </c>
      <c r="D139" s="39">
        <v>222</v>
      </c>
      <c r="E139" s="1" t="s">
        <v>1</v>
      </c>
      <c r="F139" s="3">
        <v>1841.78</v>
      </c>
    </row>
    <row r="140" spans="1:6" x14ac:dyDescent="0.25">
      <c r="A140" s="1">
        <v>4001232</v>
      </c>
      <c r="B140" s="1" t="s">
        <v>634</v>
      </c>
      <c r="C140" s="1" t="s">
        <v>6049</v>
      </c>
      <c r="D140" s="39">
        <v>1469</v>
      </c>
      <c r="E140" s="1" t="s">
        <v>1</v>
      </c>
      <c r="F140" s="3">
        <v>7873.99</v>
      </c>
    </row>
    <row r="141" spans="1:6" x14ac:dyDescent="0.25">
      <c r="A141" s="1">
        <v>4001233</v>
      </c>
      <c r="B141" s="1" t="s">
        <v>692</v>
      </c>
      <c r="C141" s="1" t="s">
        <v>6049</v>
      </c>
      <c r="D141" s="39">
        <v>1806</v>
      </c>
      <c r="E141" s="1" t="s">
        <v>1</v>
      </c>
      <c r="F141" s="3">
        <v>4588.5</v>
      </c>
    </row>
    <row r="142" spans="1:6" x14ac:dyDescent="0.25">
      <c r="A142" s="1">
        <v>4001242</v>
      </c>
      <c r="B142" s="1" t="s">
        <v>2736</v>
      </c>
      <c r="C142" s="1" t="s">
        <v>6049</v>
      </c>
      <c r="D142" s="39">
        <v>0</v>
      </c>
      <c r="E142" s="1" t="s">
        <v>1</v>
      </c>
      <c r="F142" s="39">
        <v>0</v>
      </c>
    </row>
    <row r="143" spans="1:6" x14ac:dyDescent="0.25">
      <c r="A143" s="1">
        <v>4001244</v>
      </c>
      <c r="B143" s="1" t="s">
        <v>310</v>
      </c>
      <c r="C143" s="1" t="s">
        <v>6049</v>
      </c>
      <c r="D143" s="39">
        <v>477</v>
      </c>
      <c r="E143" s="1" t="s">
        <v>1</v>
      </c>
      <c r="F143" s="3">
        <v>1552.64</v>
      </c>
    </row>
    <row r="144" spans="1:6" x14ac:dyDescent="0.25">
      <c r="A144" s="1">
        <v>4001245</v>
      </c>
      <c r="B144" s="1" t="s">
        <v>2737</v>
      </c>
      <c r="C144" s="1" t="s">
        <v>6049</v>
      </c>
      <c r="D144" s="39">
        <v>0</v>
      </c>
      <c r="E144" s="1" t="s">
        <v>1</v>
      </c>
      <c r="F144" s="39">
        <v>0</v>
      </c>
    </row>
    <row r="145" spans="1:6" x14ac:dyDescent="0.25">
      <c r="A145" s="1">
        <v>4001246</v>
      </c>
      <c r="B145" s="1" t="s">
        <v>2738</v>
      </c>
      <c r="C145" s="1" t="s">
        <v>6049</v>
      </c>
      <c r="D145" s="39">
        <v>0</v>
      </c>
      <c r="E145" s="1" t="s">
        <v>1</v>
      </c>
      <c r="F145" s="39">
        <v>0</v>
      </c>
    </row>
    <row r="146" spans="1:6" x14ac:dyDescent="0.25">
      <c r="A146" s="1">
        <v>4001247</v>
      </c>
      <c r="B146" s="1" t="s">
        <v>2739</v>
      </c>
      <c r="C146" s="1" t="s">
        <v>6049</v>
      </c>
      <c r="D146" s="39">
        <v>0</v>
      </c>
      <c r="E146" s="1" t="s">
        <v>1</v>
      </c>
      <c r="F146" s="39">
        <v>0</v>
      </c>
    </row>
    <row r="147" spans="1:6" x14ac:dyDescent="0.25">
      <c r="A147" s="1">
        <v>4001248</v>
      </c>
      <c r="B147" s="1" t="s">
        <v>2740</v>
      </c>
      <c r="C147" s="1" t="s">
        <v>6049</v>
      </c>
      <c r="D147" s="39">
        <v>0</v>
      </c>
      <c r="E147" s="1" t="s">
        <v>1</v>
      </c>
      <c r="F147" s="39">
        <v>0</v>
      </c>
    </row>
    <row r="148" spans="1:6" x14ac:dyDescent="0.25">
      <c r="A148" s="1">
        <v>4001249</v>
      </c>
      <c r="B148" s="1" t="s">
        <v>155</v>
      </c>
      <c r="C148" s="1" t="s">
        <v>6049</v>
      </c>
      <c r="D148" s="39">
        <v>431</v>
      </c>
      <c r="E148" s="1" t="s">
        <v>1</v>
      </c>
      <c r="F148" s="3">
        <v>1017.25</v>
      </c>
    </row>
    <row r="149" spans="1:6" x14ac:dyDescent="0.25">
      <c r="A149" s="1">
        <v>4001251</v>
      </c>
      <c r="B149" s="1" t="s">
        <v>2741</v>
      </c>
      <c r="C149" s="1" t="s">
        <v>6049</v>
      </c>
      <c r="D149" s="39">
        <v>0</v>
      </c>
      <c r="E149" s="1" t="s">
        <v>1</v>
      </c>
      <c r="F149" s="39">
        <v>0</v>
      </c>
    </row>
    <row r="150" spans="1:6" x14ac:dyDescent="0.25">
      <c r="A150" s="1">
        <v>4001252</v>
      </c>
      <c r="B150" s="1" t="s">
        <v>2742</v>
      </c>
      <c r="C150" s="1" t="s">
        <v>6049</v>
      </c>
      <c r="D150" s="39">
        <v>0</v>
      </c>
      <c r="E150" s="1" t="s">
        <v>1</v>
      </c>
      <c r="F150" s="39">
        <v>0</v>
      </c>
    </row>
    <row r="151" spans="1:6" x14ac:dyDescent="0.25">
      <c r="A151" s="1">
        <v>4001254</v>
      </c>
      <c r="B151" s="1" t="s">
        <v>2743</v>
      </c>
      <c r="C151" s="1" t="s">
        <v>6049</v>
      </c>
      <c r="D151" s="39">
        <v>0</v>
      </c>
      <c r="E151" s="1" t="s">
        <v>1</v>
      </c>
      <c r="F151" s="39">
        <v>0</v>
      </c>
    </row>
    <row r="152" spans="1:6" x14ac:dyDescent="0.25">
      <c r="A152" s="1">
        <v>4001256</v>
      </c>
      <c r="B152" s="1" t="s">
        <v>2744</v>
      </c>
      <c r="C152" s="1" t="s">
        <v>6049</v>
      </c>
      <c r="D152" s="39">
        <v>0</v>
      </c>
      <c r="E152" s="1" t="s">
        <v>1</v>
      </c>
      <c r="F152" s="39">
        <v>0</v>
      </c>
    </row>
    <row r="153" spans="1:6" x14ac:dyDescent="0.25">
      <c r="A153" s="1">
        <v>4001269</v>
      </c>
      <c r="B153" s="1" t="s">
        <v>1230</v>
      </c>
      <c r="C153" s="1" t="s">
        <v>6049</v>
      </c>
      <c r="D153" s="39">
        <v>1083</v>
      </c>
      <c r="E153" s="1" t="s">
        <v>1</v>
      </c>
      <c r="F153" s="3">
        <v>3520.72</v>
      </c>
    </row>
    <row r="154" spans="1:6" x14ac:dyDescent="0.25">
      <c r="A154" s="1">
        <v>4001271</v>
      </c>
      <c r="B154" s="1" t="s">
        <v>118</v>
      </c>
      <c r="C154" s="1" t="s">
        <v>6049</v>
      </c>
      <c r="D154" s="39">
        <v>350</v>
      </c>
      <c r="E154" s="1" t="s">
        <v>1</v>
      </c>
      <c r="F154" s="3">
        <v>615.13</v>
      </c>
    </row>
    <row r="155" spans="1:6" x14ac:dyDescent="0.25">
      <c r="A155" s="1">
        <v>4001273</v>
      </c>
      <c r="B155" s="1" t="s">
        <v>590</v>
      </c>
      <c r="C155" s="1" t="s">
        <v>6049</v>
      </c>
      <c r="D155" s="39">
        <v>462</v>
      </c>
      <c r="E155" s="1" t="s">
        <v>1</v>
      </c>
      <c r="F155" s="3">
        <v>1932.13</v>
      </c>
    </row>
    <row r="156" spans="1:6" x14ac:dyDescent="0.25">
      <c r="A156" s="1">
        <v>4001275</v>
      </c>
      <c r="B156" s="1" t="s">
        <v>2745</v>
      </c>
      <c r="C156" s="1" t="s">
        <v>6049</v>
      </c>
      <c r="D156" s="39">
        <v>0</v>
      </c>
      <c r="E156" s="1" t="s">
        <v>1</v>
      </c>
      <c r="F156" s="39">
        <v>0</v>
      </c>
    </row>
    <row r="157" spans="1:6" x14ac:dyDescent="0.25">
      <c r="A157" s="1">
        <v>4001280</v>
      </c>
      <c r="B157" s="1" t="s">
        <v>2747</v>
      </c>
      <c r="C157" s="1" t="s">
        <v>6049</v>
      </c>
      <c r="D157" s="39">
        <v>0</v>
      </c>
      <c r="E157" s="1" t="s">
        <v>1</v>
      </c>
      <c r="F157" s="39">
        <v>0</v>
      </c>
    </row>
    <row r="158" spans="1:6" x14ac:dyDescent="0.25">
      <c r="A158" s="1">
        <v>4001281</v>
      </c>
      <c r="B158" s="1" t="s">
        <v>159</v>
      </c>
      <c r="C158" s="1" t="s">
        <v>6049</v>
      </c>
      <c r="D158" s="39">
        <v>334</v>
      </c>
      <c r="E158" s="1" t="s">
        <v>1</v>
      </c>
      <c r="F158" s="3">
        <v>919.87</v>
      </c>
    </row>
    <row r="159" spans="1:6" x14ac:dyDescent="0.25">
      <c r="A159" s="1">
        <v>4001283</v>
      </c>
      <c r="B159" s="1" t="s">
        <v>602</v>
      </c>
      <c r="C159" s="1" t="s">
        <v>6049</v>
      </c>
      <c r="D159" s="39">
        <v>2573</v>
      </c>
      <c r="E159" s="1" t="s">
        <v>1</v>
      </c>
      <c r="F159" s="3">
        <v>6218.17</v>
      </c>
    </row>
    <row r="160" spans="1:6" x14ac:dyDescent="0.25">
      <c r="A160" s="1">
        <v>4001285</v>
      </c>
      <c r="B160" s="1" t="s">
        <v>84</v>
      </c>
      <c r="C160" s="1" t="s">
        <v>6049</v>
      </c>
      <c r="D160" s="39">
        <v>525</v>
      </c>
      <c r="E160" s="1" t="s">
        <v>1</v>
      </c>
      <c r="F160" s="3">
        <v>2017.62</v>
      </c>
    </row>
    <row r="161" spans="1:6" x14ac:dyDescent="0.25">
      <c r="A161" s="1">
        <v>4001291</v>
      </c>
      <c r="B161" s="1" t="s">
        <v>173</v>
      </c>
      <c r="C161" s="1" t="s">
        <v>6049</v>
      </c>
      <c r="D161" s="39">
        <v>705</v>
      </c>
      <c r="E161" s="1" t="s">
        <v>1</v>
      </c>
      <c r="F161" s="3">
        <v>3892.8</v>
      </c>
    </row>
    <row r="162" spans="1:6" x14ac:dyDescent="0.25">
      <c r="A162" s="1">
        <v>4001292</v>
      </c>
      <c r="B162" s="1" t="s">
        <v>2748</v>
      </c>
      <c r="C162" s="1" t="s">
        <v>6049</v>
      </c>
      <c r="D162" s="39">
        <v>0</v>
      </c>
      <c r="E162" s="1" t="s">
        <v>1</v>
      </c>
      <c r="F162" s="39">
        <v>0</v>
      </c>
    </row>
    <row r="163" spans="1:6" x14ac:dyDescent="0.25">
      <c r="A163" s="1">
        <v>4001294</v>
      </c>
      <c r="B163" s="1" t="s">
        <v>300</v>
      </c>
      <c r="C163" s="1" t="s">
        <v>6049</v>
      </c>
      <c r="D163" s="39">
        <v>472</v>
      </c>
      <c r="E163" s="1" t="s">
        <v>1</v>
      </c>
      <c r="F163" s="3">
        <v>3045.62</v>
      </c>
    </row>
    <row r="164" spans="1:6" x14ac:dyDescent="0.25">
      <c r="A164" s="1">
        <v>4001296</v>
      </c>
      <c r="B164" s="1" t="s">
        <v>305</v>
      </c>
      <c r="C164" s="1" t="s">
        <v>6049</v>
      </c>
      <c r="D164" s="39">
        <v>817</v>
      </c>
      <c r="E164" s="1" t="s">
        <v>1</v>
      </c>
      <c r="F164" s="3">
        <v>3723.48</v>
      </c>
    </row>
    <row r="165" spans="1:6" x14ac:dyDescent="0.25">
      <c r="A165" s="1">
        <v>4001304</v>
      </c>
      <c r="B165" s="1" t="s">
        <v>102</v>
      </c>
      <c r="C165" s="1" t="s">
        <v>6049</v>
      </c>
      <c r="D165" s="39">
        <v>200</v>
      </c>
      <c r="E165" s="1" t="s">
        <v>1</v>
      </c>
      <c r="F165" s="3">
        <v>637.86</v>
      </c>
    </row>
    <row r="166" spans="1:6" x14ac:dyDescent="0.25">
      <c r="A166" s="1">
        <v>4001306</v>
      </c>
      <c r="B166" s="1" t="s">
        <v>107</v>
      </c>
      <c r="C166" s="1" t="s">
        <v>6049</v>
      </c>
      <c r="D166" s="39">
        <v>632</v>
      </c>
      <c r="E166" s="1" t="s">
        <v>1</v>
      </c>
      <c r="F166" s="3">
        <v>2057.6</v>
      </c>
    </row>
    <row r="167" spans="1:6" x14ac:dyDescent="0.25">
      <c r="A167" s="1">
        <v>4001308</v>
      </c>
      <c r="B167" s="1" t="s">
        <v>2749</v>
      </c>
      <c r="C167" s="1" t="s">
        <v>6049</v>
      </c>
      <c r="D167" s="39">
        <v>0</v>
      </c>
      <c r="E167" s="1" t="s">
        <v>1</v>
      </c>
      <c r="F167" s="39">
        <v>0</v>
      </c>
    </row>
    <row r="168" spans="1:6" x14ac:dyDescent="0.25">
      <c r="A168" s="1">
        <v>4001313</v>
      </c>
      <c r="B168" s="1" t="s">
        <v>213</v>
      </c>
      <c r="C168" s="1" t="s">
        <v>6049</v>
      </c>
      <c r="D168" s="39">
        <v>321</v>
      </c>
      <c r="E168" s="1" t="s">
        <v>1</v>
      </c>
      <c r="F168" s="3">
        <v>1162.6300000000001</v>
      </c>
    </row>
    <row r="169" spans="1:6" x14ac:dyDescent="0.25">
      <c r="A169" s="1">
        <v>4001314</v>
      </c>
      <c r="B169" s="1" t="s">
        <v>2750</v>
      </c>
      <c r="C169" s="1" t="s">
        <v>6049</v>
      </c>
      <c r="D169" s="39">
        <v>0</v>
      </c>
      <c r="E169" s="1" t="s">
        <v>1</v>
      </c>
      <c r="F169" s="39">
        <v>0</v>
      </c>
    </row>
    <row r="170" spans="1:6" x14ac:dyDescent="0.25">
      <c r="A170" s="1">
        <v>4001315</v>
      </c>
      <c r="B170" s="1" t="s">
        <v>219</v>
      </c>
      <c r="C170" s="1" t="s">
        <v>6049</v>
      </c>
      <c r="D170" s="39">
        <v>400</v>
      </c>
      <c r="E170" s="1" t="s">
        <v>1</v>
      </c>
      <c r="F170" s="3">
        <v>1491.44</v>
      </c>
    </row>
    <row r="171" spans="1:6" x14ac:dyDescent="0.25">
      <c r="A171" s="1">
        <v>4001317</v>
      </c>
      <c r="B171" s="1" t="s">
        <v>224</v>
      </c>
      <c r="C171" s="1" t="s">
        <v>6049</v>
      </c>
      <c r="D171" s="39">
        <v>920</v>
      </c>
      <c r="E171" s="1" t="s">
        <v>1</v>
      </c>
      <c r="F171" s="3">
        <v>4757.6000000000004</v>
      </c>
    </row>
    <row r="172" spans="1:6" x14ac:dyDescent="0.25">
      <c r="A172" s="1">
        <v>4001320</v>
      </c>
      <c r="B172" s="1" t="s">
        <v>229</v>
      </c>
      <c r="C172" s="1" t="s">
        <v>6049</v>
      </c>
      <c r="D172" s="39">
        <v>285</v>
      </c>
      <c r="E172" s="1" t="s">
        <v>1</v>
      </c>
      <c r="F172" s="3">
        <v>1430.01</v>
      </c>
    </row>
    <row r="173" spans="1:6" x14ac:dyDescent="0.25">
      <c r="A173" s="1">
        <v>4001322</v>
      </c>
      <c r="B173" s="1" t="s">
        <v>2752</v>
      </c>
      <c r="C173" s="1" t="s">
        <v>6049</v>
      </c>
      <c r="D173" s="39">
        <v>0</v>
      </c>
      <c r="E173" s="1" t="s">
        <v>1</v>
      </c>
      <c r="F173" s="39">
        <v>0</v>
      </c>
    </row>
    <row r="174" spans="1:6" x14ac:dyDescent="0.25">
      <c r="A174" s="1">
        <v>4001323</v>
      </c>
      <c r="B174" s="1" t="s">
        <v>2753</v>
      </c>
      <c r="C174" s="1" t="s">
        <v>6049</v>
      </c>
      <c r="D174" s="39">
        <v>0</v>
      </c>
      <c r="E174" s="1" t="s">
        <v>1</v>
      </c>
      <c r="F174" s="39">
        <v>0</v>
      </c>
    </row>
    <row r="175" spans="1:6" x14ac:dyDescent="0.25">
      <c r="A175" s="1">
        <v>4001325</v>
      </c>
      <c r="B175" s="1" t="s">
        <v>242</v>
      </c>
      <c r="C175" s="1" t="s">
        <v>6049</v>
      </c>
      <c r="D175" s="39">
        <v>1117</v>
      </c>
      <c r="E175" s="1" t="s">
        <v>1</v>
      </c>
      <c r="F175" s="3">
        <v>3916.09</v>
      </c>
    </row>
    <row r="176" spans="1:6" x14ac:dyDescent="0.25">
      <c r="A176" s="1">
        <v>4001326</v>
      </c>
      <c r="B176" s="1" t="s">
        <v>2755</v>
      </c>
      <c r="C176" s="1" t="s">
        <v>6049</v>
      </c>
      <c r="D176" s="39">
        <v>0</v>
      </c>
      <c r="E176" s="1" t="s">
        <v>1</v>
      </c>
      <c r="F176" s="39">
        <v>0</v>
      </c>
    </row>
    <row r="177" spans="1:6" x14ac:dyDescent="0.25">
      <c r="A177" s="1">
        <v>4001328</v>
      </c>
      <c r="B177" s="1" t="s">
        <v>2756</v>
      </c>
      <c r="C177" s="1" t="s">
        <v>6049</v>
      </c>
      <c r="D177" s="39">
        <v>0</v>
      </c>
      <c r="E177" s="1" t="s">
        <v>1</v>
      </c>
      <c r="F177" s="39">
        <v>0</v>
      </c>
    </row>
    <row r="178" spans="1:6" x14ac:dyDescent="0.25">
      <c r="A178" s="1">
        <v>4001329</v>
      </c>
      <c r="B178" s="1" t="s">
        <v>285</v>
      </c>
      <c r="C178" s="1" t="s">
        <v>6049</v>
      </c>
      <c r="D178" s="39">
        <v>2670</v>
      </c>
      <c r="E178" s="1" t="s">
        <v>1</v>
      </c>
      <c r="F178" s="3">
        <v>6325.23</v>
      </c>
    </row>
    <row r="179" spans="1:6" x14ac:dyDescent="0.25">
      <c r="A179" s="1">
        <v>4001331</v>
      </c>
      <c r="B179" s="1" t="s">
        <v>2757</v>
      </c>
      <c r="C179" s="1" t="s">
        <v>6049</v>
      </c>
      <c r="D179" s="39">
        <v>0</v>
      </c>
      <c r="E179" s="1" t="s">
        <v>1</v>
      </c>
      <c r="F179" s="39">
        <v>0</v>
      </c>
    </row>
    <row r="180" spans="1:6" x14ac:dyDescent="0.25">
      <c r="A180" s="1">
        <v>4001333</v>
      </c>
      <c r="B180" s="1" t="s">
        <v>2758</v>
      </c>
      <c r="C180" s="1" t="s">
        <v>6049</v>
      </c>
      <c r="D180" s="39">
        <v>0</v>
      </c>
      <c r="E180" s="1" t="s">
        <v>1</v>
      </c>
      <c r="F180" s="39">
        <v>0</v>
      </c>
    </row>
    <row r="181" spans="1:6" x14ac:dyDescent="0.25">
      <c r="A181" s="1">
        <v>4001336</v>
      </c>
      <c r="B181" s="1" t="s">
        <v>2759</v>
      </c>
      <c r="C181" s="1" t="s">
        <v>6049</v>
      </c>
      <c r="D181" s="39">
        <v>0</v>
      </c>
      <c r="E181" s="1" t="s">
        <v>1</v>
      </c>
      <c r="F181" s="39">
        <v>0</v>
      </c>
    </row>
    <row r="182" spans="1:6" x14ac:dyDescent="0.25">
      <c r="A182" s="1">
        <v>4001340</v>
      </c>
      <c r="B182" s="1" t="s">
        <v>19</v>
      </c>
      <c r="C182" s="1" t="s">
        <v>6049</v>
      </c>
      <c r="D182" s="39">
        <v>611</v>
      </c>
      <c r="E182" s="1" t="s">
        <v>1</v>
      </c>
      <c r="F182" s="3">
        <v>2985.1</v>
      </c>
    </row>
    <row r="183" spans="1:6" x14ac:dyDescent="0.25">
      <c r="A183" s="1">
        <v>4001345</v>
      </c>
      <c r="B183" s="1" t="s">
        <v>2760</v>
      </c>
      <c r="C183" s="1" t="s">
        <v>6049</v>
      </c>
      <c r="D183" s="39">
        <v>0</v>
      </c>
      <c r="E183" s="1" t="s">
        <v>1</v>
      </c>
      <c r="F183" s="39">
        <v>0</v>
      </c>
    </row>
    <row r="184" spans="1:6" x14ac:dyDescent="0.25">
      <c r="A184" s="1">
        <v>4001356</v>
      </c>
      <c r="B184" s="1" t="s">
        <v>76</v>
      </c>
      <c r="C184" s="1" t="s">
        <v>6049</v>
      </c>
      <c r="D184" s="39">
        <v>0</v>
      </c>
      <c r="E184" s="1" t="s">
        <v>1</v>
      </c>
      <c r="F184" s="39">
        <v>0</v>
      </c>
    </row>
    <row r="185" spans="1:6" x14ac:dyDescent="0.25">
      <c r="A185" s="1">
        <v>4001358</v>
      </c>
      <c r="B185" s="1" t="s">
        <v>320</v>
      </c>
      <c r="C185" s="1" t="s">
        <v>6049</v>
      </c>
      <c r="D185" s="39">
        <v>3822</v>
      </c>
      <c r="E185" s="1" t="s">
        <v>1</v>
      </c>
      <c r="F185" s="3">
        <v>5726.5</v>
      </c>
    </row>
    <row r="186" spans="1:6" x14ac:dyDescent="0.25">
      <c r="A186" s="1">
        <v>4001359</v>
      </c>
      <c r="B186" s="1" t="s">
        <v>1439</v>
      </c>
      <c r="C186" s="1" t="s">
        <v>6049</v>
      </c>
      <c r="D186" s="39">
        <v>0</v>
      </c>
      <c r="E186" s="1" t="s">
        <v>1</v>
      </c>
      <c r="F186" s="39">
        <v>0</v>
      </c>
    </row>
    <row r="187" spans="1:6" x14ac:dyDescent="0.25">
      <c r="A187" s="1">
        <v>4001360</v>
      </c>
      <c r="B187" s="1" t="s">
        <v>79</v>
      </c>
      <c r="C187" s="1" t="s">
        <v>6049</v>
      </c>
      <c r="D187" s="39">
        <v>0</v>
      </c>
      <c r="E187" s="1" t="s">
        <v>1</v>
      </c>
      <c r="F187" s="39">
        <v>0</v>
      </c>
    </row>
    <row r="188" spans="1:6" x14ac:dyDescent="0.25">
      <c r="A188" s="1">
        <v>4001362</v>
      </c>
      <c r="B188" s="1" t="s">
        <v>90</v>
      </c>
      <c r="C188" s="1" t="s">
        <v>6049</v>
      </c>
      <c r="D188" s="39">
        <v>2437</v>
      </c>
      <c r="E188" s="1" t="s">
        <v>1</v>
      </c>
      <c r="F188" s="3">
        <v>2756.49</v>
      </c>
    </row>
    <row r="189" spans="1:6" x14ac:dyDescent="0.25">
      <c r="A189" s="1">
        <v>4001367</v>
      </c>
      <c r="B189" s="1" t="s">
        <v>290</v>
      </c>
      <c r="C189" s="1" t="s">
        <v>6049</v>
      </c>
      <c r="D189" s="39">
        <v>393</v>
      </c>
      <c r="E189" s="1" t="s">
        <v>1</v>
      </c>
      <c r="F189" s="3">
        <v>1481.85</v>
      </c>
    </row>
    <row r="190" spans="1:6" x14ac:dyDescent="0.25">
      <c r="A190" s="1">
        <v>4001368</v>
      </c>
      <c r="B190" s="1" t="s">
        <v>295</v>
      </c>
      <c r="C190" s="1" t="s">
        <v>6049</v>
      </c>
      <c r="D190" s="39">
        <v>5873</v>
      </c>
      <c r="E190" s="1" t="s">
        <v>1</v>
      </c>
      <c r="F190" s="3">
        <v>17170.88</v>
      </c>
    </row>
    <row r="191" spans="1:6" x14ac:dyDescent="0.25">
      <c r="A191" s="1">
        <v>4001369</v>
      </c>
      <c r="B191" s="1" t="s">
        <v>113</v>
      </c>
      <c r="C191" s="1" t="s">
        <v>6049</v>
      </c>
      <c r="D191" s="39">
        <v>1285</v>
      </c>
      <c r="E191" s="1" t="s">
        <v>1</v>
      </c>
      <c r="F191" s="3">
        <v>4708.5</v>
      </c>
    </row>
    <row r="192" spans="1:6" x14ac:dyDescent="0.25">
      <c r="A192" s="1">
        <v>4001372</v>
      </c>
      <c r="B192" s="1" t="s">
        <v>2761</v>
      </c>
      <c r="C192" s="1" t="s">
        <v>6049</v>
      </c>
      <c r="D192" s="39">
        <v>0</v>
      </c>
      <c r="E192" s="1" t="s">
        <v>1</v>
      </c>
      <c r="F192" s="39">
        <v>0</v>
      </c>
    </row>
    <row r="193" spans="1:6" x14ac:dyDescent="0.25">
      <c r="A193" s="1">
        <v>4001378</v>
      </c>
      <c r="B193" s="1" t="s">
        <v>2762</v>
      </c>
      <c r="C193" s="1" t="s">
        <v>6049</v>
      </c>
      <c r="D193" s="39">
        <v>0</v>
      </c>
      <c r="E193" s="1" t="s">
        <v>1</v>
      </c>
      <c r="F193" s="39">
        <v>0</v>
      </c>
    </row>
    <row r="194" spans="1:6" x14ac:dyDescent="0.25">
      <c r="A194" s="1">
        <v>4001379</v>
      </c>
      <c r="B194" s="1" t="s">
        <v>280</v>
      </c>
      <c r="C194" s="1" t="s">
        <v>6049</v>
      </c>
      <c r="D194" s="39">
        <v>3104</v>
      </c>
      <c r="E194" s="1" t="s">
        <v>1</v>
      </c>
      <c r="F194" s="3">
        <v>7614.11</v>
      </c>
    </row>
    <row r="195" spans="1:6" x14ac:dyDescent="0.25">
      <c r="A195" s="1">
        <v>4001382</v>
      </c>
      <c r="B195" s="1" t="s">
        <v>330</v>
      </c>
      <c r="C195" s="1" t="s">
        <v>6049</v>
      </c>
      <c r="D195" s="39">
        <v>599</v>
      </c>
      <c r="E195" s="1" t="s">
        <v>1</v>
      </c>
      <c r="F195" s="3">
        <v>2599.7199999999998</v>
      </c>
    </row>
    <row r="196" spans="1:6" x14ac:dyDescent="0.25">
      <c r="A196" s="1">
        <v>4001383</v>
      </c>
      <c r="B196" s="1" t="s">
        <v>334</v>
      </c>
      <c r="C196" s="1" t="s">
        <v>6049</v>
      </c>
      <c r="D196" s="39">
        <v>611</v>
      </c>
      <c r="E196" s="1" t="s">
        <v>1</v>
      </c>
      <c r="F196" s="3">
        <v>2854.84</v>
      </c>
    </row>
    <row r="197" spans="1:6" x14ac:dyDescent="0.25">
      <c r="A197" s="1">
        <v>4001384</v>
      </c>
      <c r="B197" s="1" t="s">
        <v>338</v>
      </c>
      <c r="C197" s="1" t="s">
        <v>6049</v>
      </c>
      <c r="D197" s="39">
        <v>1045</v>
      </c>
      <c r="E197" s="1" t="s">
        <v>1</v>
      </c>
      <c r="F197" s="3">
        <v>4843.78</v>
      </c>
    </row>
    <row r="198" spans="1:6" x14ac:dyDescent="0.25">
      <c r="A198" s="1">
        <v>4001385</v>
      </c>
      <c r="B198" s="1" t="s">
        <v>345</v>
      </c>
      <c r="C198" s="1" t="s">
        <v>6049</v>
      </c>
      <c r="D198" s="39">
        <v>431</v>
      </c>
      <c r="E198" s="1" t="s">
        <v>1</v>
      </c>
      <c r="F198" s="3">
        <v>4249.78</v>
      </c>
    </row>
    <row r="199" spans="1:6" x14ac:dyDescent="0.25">
      <c r="A199" s="1">
        <v>4001386</v>
      </c>
      <c r="B199" s="1" t="s">
        <v>349</v>
      </c>
      <c r="C199" s="1" t="s">
        <v>6049</v>
      </c>
      <c r="D199" s="39">
        <v>868</v>
      </c>
      <c r="E199" s="1" t="s">
        <v>1</v>
      </c>
      <c r="F199" s="3">
        <v>7355.78</v>
      </c>
    </row>
    <row r="200" spans="1:6" x14ac:dyDescent="0.25">
      <c r="A200" s="1">
        <v>4001387</v>
      </c>
      <c r="B200" s="1" t="s">
        <v>2763</v>
      </c>
      <c r="C200" s="1" t="s">
        <v>6049</v>
      </c>
      <c r="D200" s="39">
        <v>0</v>
      </c>
      <c r="E200" s="1" t="s">
        <v>1</v>
      </c>
      <c r="F200" s="39">
        <v>0</v>
      </c>
    </row>
    <row r="201" spans="1:6" x14ac:dyDescent="0.25">
      <c r="A201" s="1">
        <v>4001389</v>
      </c>
      <c r="B201" s="1" t="s">
        <v>275</v>
      </c>
      <c r="C201" s="1" t="s">
        <v>6049</v>
      </c>
      <c r="D201" s="39">
        <v>5825</v>
      </c>
      <c r="E201" s="1" t="s">
        <v>1</v>
      </c>
      <c r="F201" s="3">
        <v>21893.27</v>
      </c>
    </row>
    <row r="202" spans="1:6" x14ac:dyDescent="0.25">
      <c r="A202" s="1">
        <v>4001391</v>
      </c>
      <c r="B202" s="1" t="s">
        <v>315</v>
      </c>
      <c r="C202" s="1" t="s">
        <v>6049</v>
      </c>
      <c r="D202" s="39">
        <v>896</v>
      </c>
      <c r="E202" s="1" t="s">
        <v>1</v>
      </c>
      <c r="F202" s="3">
        <v>1873.27</v>
      </c>
    </row>
    <row r="203" spans="1:6" x14ac:dyDescent="0.25">
      <c r="A203" s="1">
        <v>4001392</v>
      </c>
      <c r="B203" s="1" t="s">
        <v>355</v>
      </c>
      <c r="C203" s="1" t="s">
        <v>6049</v>
      </c>
      <c r="D203" s="39">
        <v>104</v>
      </c>
      <c r="E203" s="1" t="s">
        <v>1</v>
      </c>
      <c r="F203" s="3">
        <v>615.76</v>
      </c>
    </row>
    <row r="204" spans="1:6" x14ac:dyDescent="0.25">
      <c r="A204" s="1">
        <v>4001393</v>
      </c>
      <c r="B204" s="1" t="s">
        <v>2764</v>
      </c>
      <c r="C204" s="1" t="s">
        <v>6049</v>
      </c>
      <c r="D204" s="39">
        <v>0</v>
      </c>
      <c r="E204" s="1" t="s">
        <v>1</v>
      </c>
      <c r="F204" s="39">
        <v>0</v>
      </c>
    </row>
    <row r="205" spans="1:6" x14ac:dyDescent="0.25">
      <c r="A205" s="1">
        <v>4001394</v>
      </c>
      <c r="B205" s="1" t="s">
        <v>2765</v>
      </c>
      <c r="C205" s="1" t="s">
        <v>6049</v>
      </c>
      <c r="D205" s="39">
        <v>0</v>
      </c>
      <c r="E205" s="1" t="s">
        <v>1</v>
      </c>
      <c r="F205" s="39">
        <v>0</v>
      </c>
    </row>
    <row r="206" spans="1:6" x14ac:dyDescent="0.25">
      <c r="A206" s="1">
        <v>4001395</v>
      </c>
      <c r="B206" s="1" t="s">
        <v>2766</v>
      </c>
      <c r="C206" s="1" t="s">
        <v>6049</v>
      </c>
      <c r="D206" s="39">
        <v>0</v>
      </c>
      <c r="E206" s="1" t="s">
        <v>1</v>
      </c>
      <c r="F206" s="39">
        <v>0</v>
      </c>
    </row>
    <row r="207" spans="1:6" x14ac:dyDescent="0.25">
      <c r="A207" s="1">
        <v>4001396</v>
      </c>
      <c r="B207" s="1" t="s">
        <v>2767</v>
      </c>
      <c r="C207" s="1" t="s">
        <v>6049</v>
      </c>
      <c r="D207" s="39">
        <v>0</v>
      </c>
      <c r="E207" s="1" t="s">
        <v>1</v>
      </c>
      <c r="F207" s="39">
        <v>0</v>
      </c>
    </row>
    <row r="208" spans="1:6" x14ac:dyDescent="0.25">
      <c r="A208" s="1">
        <v>4001400</v>
      </c>
      <c r="B208" s="1" t="s">
        <v>234</v>
      </c>
      <c r="C208" s="1" t="s">
        <v>6049</v>
      </c>
      <c r="D208" s="39">
        <v>35</v>
      </c>
      <c r="E208" s="1" t="s">
        <v>1</v>
      </c>
      <c r="F208" s="3">
        <v>170.46</v>
      </c>
    </row>
    <row r="209" spans="1:6" x14ac:dyDescent="0.25">
      <c r="A209" s="1">
        <v>4001402</v>
      </c>
      <c r="B209" s="1" t="s">
        <v>2768</v>
      </c>
      <c r="C209" s="1" t="s">
        <v>6049</v>
      </c>
      <c r="D209" s="39">
        <v>0</v>
      </c>
      <c r="E209" s="1" t="s">
        <v>1</v>
      </c>
      <c r="F209" s="39">
        <v>0</v>
      </c>
    </row>
    <row r="210" spans="1:6" x14ac:dyDescent="0.25">
      <c r="A210" s="1">
        <v>4001403</v>
      </c>
      <c r="B210" s="1" t="s">
        <v>67</v>
      </c>
      <c r="C210" s="1" t="s">
        <v>6049</v>
      </c>
      <c r="D210" s="39">
        <v>0</v>
      </c>
      <c r="E210" s="1" t="s">
        <v>1</v>
      </c>
      <c r="F210" s="39">
        <v>0</v>
      </c>
    </row>
    <row r="211" spans="1:6" x14ac:dyDescent="0.25">
      <c r="A211" s="1">
        <v>4001404</v>
      </c>
      <c r="B211" s="1" t="s">
        <v>72</v>
      </c>
      <c r="C211" s="1" t="s">
        <v>6049</v>
      </c>
      <c r="D211" s="39">
        <v>0</v>
      </c>
      <c r="E211" s="1" t="s">
        <v>1</v>
      </c>
      <c r="F211" s="39">
        <v>0</v>
      </c>
    </row>
    <row r="212" spans="1:6" x14ac:dyDescent="0.25">
      <c r="A212" s="1">
        <v>4001816</v>
      </c>
      <c r="B212" s="1" t="s">
        <v>2769</v>
      </c>
      <c r="C212" s="1" t="s">
        <v>6049</v>
      </c>
      <c r="D212" s="39">
        <v>0</v>
      </c>
      <c r="E212" s="1" t="s">
        <v>1</v>
      </c>
      <c r="F212" s="39">
        <v>0</v>
      </c>
    </row>
    <row r="213" spans="1:6" x14ac:dyDescent="0.25">
      <c r="A213" s="1">
        <v>4002347</v>
      </c>
      <c r="B213" s="1" t="s">
        <v>488</v>
      </c>
      <c r="C213" s="1" t="s">
        <v>6049</v>
      </c>
      <c r="D213" s="39">
        <v>29134</v>
      </c>
      <c r="E213" s="1" t="s">
        <v>1</v>
      </c>
      <c r="F213" s="3">
        <v>2534.66</v>
      </c>
    </row>
    <row r="214" spans="1:6" x14ac:dyDescent="0.25">
      <c r="A214" s="1">
        <v>4002348</v>
      </c>
      <c r="B214" s="1" t="s">
        <v>494</v>
      </c>
      <c r="C214" s="1" t="s">
        <v>6049</v>
      </c>
      <c r="D214" s="39">
        <v>7674</v>
      </c>
      <c r="E214" s="1" t="s">
        <v>1</v>
      </c>
      <c r="F214" s="3">
        <v>269.36</v>
      </c>
    </row>
    <row r="215" spans="1:6" x14ac:dyDescent="0.25">
      <c r="A215" s="1">
        <v>4002349</v>
      </c>
      <c r="B215" s="1" t="s">
        <v>503</v>
      </c>
      <c r="C215" s="1" t="s">
        <v>6049</v>
      </c>
      <c r="D215" s="39">
        <v>1425</v>
      </c>
      <c r="E215" s="1" t="s">
        <v>1</v>
      </c>
      <c r="F215" s="3">
        <v>71.959999999999994</v>
      </c>
    </row>
    <row r="216" spans="1:6" x14ac:dyDescent="0.25">
      <c r="A216" s="1">
        <v>4002353</v>
      </c>
      <c r="B216" s="1" t="s">
        <v>509</v>
      </c>
      <c r="C216" s="1" t="s">
        <v>6049</v>
      </c>
      <c r="D216" s="39">
        <v>22848</v>
      </c>
      <c r="E216" s="1" t="s">
        <v>1</v>
      </c>
      <c r="F216" s="3">
        <v>1105.8499999999999</v>
      </c>
    </row>
    <row r="217" spans="1:6" x14ac:dyDescent="0.25">
      <c r="A217" s="1">
        <v>4002358</v>
      </c>
      <c r="B217" s="1" t="s">
        <v>517</v>
      </c>
      <c r="C217" s="1" t="s">
        <v>6049</v>
      </c>
      <c r="D217" s="39">
        <v>11053</v>
      </c>
      <c r="E217" s="1" t="s">
        <v>1</v>
      </c>
      <c r="F217" s="3">
        <v>498.49</v>
      </c>
    </row>
    <row r="218" spans="1:6" x14ac:dyDescent="0.25">
      <c r="A218" s="1">
        <v>4002360</v>
      </c>
      <c r="B218" s="1" t="s">
        <v>20</v>
      </c>
      <c r="C218" s="1" t="s">
        <v>6049</v>
      </c>
      <c r="D218" s="39">
        <v>6036</v>
      </c>
      <c r="E218" s="1" t="s">
        <v>1</v>
      </c>
      <c r="F218" s="3">
        <v>424.93</v>
      </c>
    </row>
    <row r="219" spans="1:6" x14ac:dyDescent="0.25">
      <c r="A219" s="1">
        <v>4002364</v>
      </c>
      <c r="B219" s="1" t="s">
        <v>524</v>
      </c>
      <c r="C219" s="1" t="s">
        <v>6049</v>
      </c>
      <c r="D219" s="39">
        <v>0</v>
      </c>
      <c r="E219" s="1" t="s">
        <v>1</v>
      </c>
      <c r="F219" s="39">
        <v>0</v>
      </c>
    </row>
    <row r="220" spans="1:6" x14ac:dyDescent="0.25">
      <c r="A220" s="1">
        <v>4002365</v>
      </c>
      <c r="B220" s="1" t="s">
        <v>2809</v>
      </c>
      <c r="C220" s="1" t="s">
        <v>6049</v>
      </c>
      <c r="D220" s="39">
        <v>0</v>
      </c>
      <c r="E220" s="1" t="s">
        <v>1</v>
      </c>
      <c r="F220" s="39">
        <v>0</v>
      </c>
    </row>
    <row r="221" spans="1:6" x14ac:dyDescent="0.25">
      <c r="A221" s="1">
        <v>4002366</v>
      </c>
      <c r="B221" s="1" t="s">
        <v>26</v>
      </c>
      <c r="C221" s="1" t="s">
        <v>6049</v>
      </c>
      <c r="D221" s="39">
        <v>36908</v>
      </c>
      <c r="E221" s="1" t="s">
        <v>1</v>
      </c>
      <c r="F221" s="3">
        <v>1797.42</v>
      </c>
    </row>
    <row r="222" spans="1:6" x14ac:dyDescent="0.25">
      <c r="A222" s="1">
        <v>4002368</v>
      </c>
      <c r="B222" s="1" t="s">
        <v>31</v>
      </c>
      <c r="C222" s="1" t="s">
        <v>6049</v>
      </c>
      <c r="D222" s="39">
        <v>0</v>
      </c>
      <c r="E222" s="1" t="s">
        <v>1</v>
      </c>
      <c r="F222" s="39">
        <v>0</v>
      </c>
    </row>
    <row r="223" spans="1:6" x14ac:dyDescent="0.25">
      <c r="A223" s="1">
        <v>4002369</v>
      </c>
      <c r="B223" s="1" t="s">
        <v>2810</v>
      </c>
      <c r="C223" s="1" t="s">
        <v>6049</v>
      </c>
      <c r="D223" s="39">
        <v>0</v>
      </c>
      <c r="E223" s="1" t="s">
        <v>1</v>
      </c>
      <c r="F223" s="39">
        <v>0</v>
      </c>
    </row>
    <row r="224" spans="1:6" x14ac:dyDescent="0.25">
      <c r="A224" s="1">
        <v>4002370</v>
      </c>
      <c r="B224" s="1" t="s">
        <v>38</v>
      </c>
      <c r="C224" s="1" t="s">
        <v>6049</v>
      </c>
      <c r="D224" s="39">
        <v>0</v>
      </c>
      <c r="E224" s="1" t="s">
        <v>1</v>
      </c>
      <c r="F224" s="39">
        <v>0</v>
      </c>
    </row>
    <row r="225" spans="1:6" x14ac:dyDescent="0.25">
      <c r="A225" s="1">
        <v>4002371</v>
      </c>
      <c r="B225" s="1" t="s">
        <v>42</v>
      </c>
      <c r="C225" s="1" t="s">
        <v>6049</v>
      </c>
      <c r="D225" s="39">
        <v>4819</v>
      </c>
      <c r="E225" s="1" t="s">
        <v>1</v>
      </c>
      <c r="F225" s="3">
        <v>217.34</v>
      </c>
    </row>
    <row r="226" spans="1:6" x14ac:dyDescent="0.25">
      <c r="A226" s="1">
        <v>4002372</v>
      </c>
      <c r="B226" s="1" t="s">
        <v>2811</v>
      </c>
      <c r="C226" s="1" t="s">
        <v>6049</v>
      </c>
      <c r="D226" s="39">
        <v>0</v>
      </c>
      <c r="E226" s="1" t="s">
        <v>1</v>
      </c>
      <c r="F226" s="39">
        <v>0</v>
      </c>
    </row>
    <row r="227" spans="1:6" x14ac:dyDescent="0.25">
      <c r="A227" s="1">
        <v>4002373</v>
      </c>
      <c r="B227" s="1" t="s">
        <v>49</v>
      </c>
      <c r="C227" s="1" t="s">
        <v>6049</v>
      </c>
      <c r="D227" s="39">
        <v>0</v>
      </c>
      <c r="E227" s="1" t="s">
        <v>1</v>
      </c>
      <c r="F227" s="39">
        <v>0</v>
      </c>
    </row>
    <row r="228" spans="1:6" x14ac:dyDescent="0.25">
      <c r="A228" s="1">
        <v>4002374</v>
      </c>
      <c r="B228" s="1" t="s">
        <v>531</v>
      </c>
      <c r="C228" s="1" t="s">
        <v>6049</v>
      </c>
      <c r="D228" s="39">
        <v>3541</v>
      </c>
      <c r="E228" s="1" t="s">
        <v>1</v>
      </c>
      <c r="F228" s="3">
        <v>394.11</v>
      </c>
    </row>
    <row r="229" spans="1:6" x14ac:dyDescent="0.25">
      <c r="A229" s="1">
        <v>4002378</v>
      </c>
      <c r="B229" s="1" t="s">
        <v>51</v>
      </c>
      <c r="C229" s="1" t="s">
        <v>6049</v>
      </c>
      <c r="D229" s="39">
        <v>12913</v>
      </c>
      <c r="E229" s="1" t="s">
        <v>1</v>
      </c>
      <c r="F229" s="3">
        <v>628.86</v>
      </c>
    </row>
    <row r="230" spans="1:6" x14ac:dyDescent="0.25">
      <c r="A230" s="1">
        <v>4002379</v>
      </c>
      <c r="B230" s="1" t="s">
        <v>56</v>
      </c>
      <c r="C230" s="1" t="s">
        <v>6049</v>
      </c>
      <c r="D230" s="39">
        <v>0</v>
      </c>
      <c r="E230" s="1" t="s">
        <v>1</v>
      </c>
      <c r="F230" s="39">
        <v>0</v>
      </c>
    </row>
    <row r="231" spans="1:6" x14ac:dyDescent="0.25">
      <c r="A231" s="1">
        <v>4002380</v>
      </c>
      <c r="B231" s="1" t="s">
        <v>68</v>
      </c>
      <c r="C231" s="1" t="s">
        <v>6049</v>
      </c>
      <c r="D231" s="39">
        <v>0</v>
      </c>
      <c r="E231" s="1" t="s">
        <v>1</v>
      </c>
      <c r="F231" s="39">
        <v>0</v>
      </c>
    </row>
    <row r="232" spans="1:6" x14ac:dyDescent="0.25">
      <c r="A232" s="1">
        <v>4002381</v>
      </c>
      <c r="B232" s="1" t="s">
        <v>537</v>
      </c>
      <c r="C232" s="1" t="s">
        <v>6049</v>
      </c>
      <c r="D232" s="39">
        <v>0</v>
      </c>
      <c r="E232" s="1" t="s">
        <v>1</v>
      </c>
      <c r="F232" s="39">
        <v>0</v>
      </c>
    </row>
    <row r="233" spans="1:6" x14ac:dyDescent="0.25">
      <c r="A233" s="1">
        <v>4002382</v>
      </c>
      <c r="B233" s="1" t="s">
        <v>543</v>
      </c>
      <c r="C233" s="1" t="s">
        <v>6049</v>
      </c>
      <c r="D233" s="39">
        <v>0</v>
      </c>
      <c r="E233" s="1" t="s">
        <v>1</v>
      </c>
      <c r="F233" s="39">
        <v>0</v>
      </c>
    </row>
    <row r="234" spans="1:6" x14ac:dyDescent="0.25">
      <c r="A234" s="1">
        <v>4002383</v>
      </c>
      <c r="B234" s="1" t="s">
        <v>549</v>
      </c>
      <c r="C234" s="1" t="s">
        <v>6049</v>
      </c>
      <c r="D234" s="39">
        <v>11553</v>
      </c>
      <c r="E234" s="1" t="s">
        <v>1</v>
      </c>
      <c r="F234" s="3">
        <v>1007.42</v>
      </c>
    </row>
    <row r="235" spans="1:6" x14ac:dyDescent="0.25">
      <c r="A235" s="1">
        <v>4002384</v>
      </c>
      <c r="B235" s="1" t="s">
        <v>556</v>
      </c>
      <c r="C235" s="1" t="s">
        <v>6049</v>
      </c>
      <c r="D235" s="39">
        <v>6</v>
      </c>
      <c r="E235" s="1" t="s">
        <v>1</v>
      </c>
      <c r="F235" s="3">
        <v>0.36</v>
      </c>
    </row>
    <row r="236" spans="1:6" x14ac:dyDescent="0.25">
      <c r="A236" s="1">
        <v>4002385</v>
      </c>
      <c r="B236" s="1" t="s">
        <v>73</v>
      </c>
      <c r="C236" s="1" t="s">
        <v>6049</v>
      </c>
      <c r="D236" s="39">
        <v>0</v>
      </c>
      <c r="E236" s="1" t="s">
        <v>1</v>
      </c>
      <c r="F236" s="39">
        <v>0</v>
      </c>
    </row>
    <row r="237" spans="1:6" x14ac:dyDescent="0.25">
      <c r="A237" s="1">
        <v>4002386</v>
      </c>
      <c r="B237" s="1" t="s">
        <v>77</v>
      </c>
      <c r="C237" s="1" t="s">
        <v>6049</v>
      </c>
      <c r="D237" s="39">
        <v>0</v>
      </c>
      <c r="E237" s="1" t="s">
        <v>1</v>
      </c>
      <c r="F237" s="39">
        <v>0</v>
      </c>
    </row>
    <row r="238" spans="1:6" x14ac:dyDescent="0.25">
      <c r="A238" s="1">
        <v>4002387</v>
      </c>
      <c r="B238" s="1" t="s">
        <v>80</v>
      </c>
      <c r="C238" s="1" t="s">
        <v>6049</v>
      </c>
      <c r="D238" s="39">
        <v>0</v>
      </c>
      <c r="E238" s="1" t="s">
        <v>1</v>
      </c>
      <c r="F238" s="39">
        <v>0</v>
      </c>
    </row>
    <row r="239" spans="1:6" x14ac:dyDescent="0.25">
      <c r="A239" s="1">
        <v>4002388</v>
      </c>
      <c r="B239" s="1" t="s">
        <v>562</v>
      </c>
      <c r="C239" s="1" t="s">
        <v>6049</v>
      </c>
      <c r="D239" s="39">
        <v>0</v>
      </c>
      <c r="E239" s="1" t="s">
        <v>1</v>
      </c>
      <c r="F239" s="39">
        <v>0</v>
      </c>
    </row>
    <row r="240" spans="1:6" x14ac:dyDescent="0.25">
      <c r="A240" s="1">
        <v>4002389</v>
      </c>
      <c r="B240" s="1" t="s">
        <v>569</v>
      </c>
      <c r="C240" s="1" t="s">
        <v>6049</v>
      </c>
      <c r="D240" s="39">
        <v>20221</v>
      </c>
      <c r="E240" s="1" t="s">
        <v>1</v>
      </c>
      <c r="F240" s="3">
        <v>980.72</v>
      </c>
    </row>
    <row r="241" spans="1:6" x14ac:dyDescent="0.25">
      <c r="A241" s="1">
        <v>4002390</v>
      </c>
      <c r="B241" s="1" t="s">
        <v>2812</v>
      </c>
      <c r="C241" s="1" t="s">
        <v>6049</v>
      </c>
      <c r="D241" s="39">
        <v>0</v>
      </c>
      <c r="E241" s="1" t="s">
        <v>1</v>
      </c>
      <c r="F241" s="39">
        <v>0</v>
      </c>
    </row>
    <row r="242" spans="1:6" x14ac:dyDescent="0.25">
      <c r="A242" s="1">
        <v>4002391</v>
      </c>
      <c r="B242" s="1" t="s">
        <v>575</v>
      </c>
      <c r="C242" s="1" t="s">
        <v>6049</v>
      </c>
      <c r="D242" s="39">
        <v>6543</v>
      </c>
      <c r="E242" s="1" t="s">
        <v>1</v>
      </c>
      <c r="F242" s="3">
        <v>480.91</v>
      </c>
    </row>
    <row r="243" spans="1:6" x14ac:dyDescent="0.25">
      <c r="A243" s="1">
        <v>4002396</v>
      </c>
      <c r="B243" s="1" t="s">
        <v>2813</v>
      </c>
      <c r="C243" s="1" t="s">
        <v>6049</v>
      </c>
      <c r="D243" s="39">
        <v>0</v>
      </c>
      <c r="E243" s="1" t="s">
        <v>1</v>
      </c>
      <c r="F243" s="39">
        <v>0</v>
      </c>
    </row>
    <row r="244" spans="1:6" x14ac:dyDescent="0.25">
      <c r="A244" s="1">
        <v>4002398</v>
      </c>
      <c r="B244" s="1" t="s">
        <v>2814</v>
      </c>
      <c r="C244" s="1" t="s">
        <v>6049</v>
      </c>
      <c r="D244" s="39">
        <v>0</v>
      </c>
      <c r="E244" s="1" t="s">
        <v>1</v>
      </c>
      <c r="F244" s="39">
        <v>0</v>
      </c>
    </row>
    <row r="245" spans="1:6" x14ac:dyDescent="0.25">
      <c r="A245" s="1">
        <v>4002399</v>
      </c>
      <c r="B245" s="1" t="s">
        <v>2815</v>
      </c>
      <c r="C245" s="1" t="s">
        <v>6049</v>
      </c>
      <c r="D245" s="39">
        <v>0</v>
      </c>
      <c r="E245" s="1" t="s">
        <v>1</v>
      </c>
      <c r="F245" s="39">
        <v>0</v>
      </c>
    </row>
    <row r="246" spans="1:6" x14ac:dyDescent="0.25">
      <c r="A246" s="1">
        <v>4002404</v>
      </c>
      <c r="B246" s="1" t="s">
        <v>2816</v>
      </c>
      <c r="C246" s="1" t="s">
        <v>6049</v>
      </c>
      <c r="D246" s="39">
        <v>0</v>
      </c>
      <c r="E246" s="1" t="s">
        <v>1</v>
      </c>
      <c r="F246" s="39">
        <v>0</v>
      </c>
    </row>
    <row r="247" spans="1:6" x14ac:dyDescent="0.25">
      <c r="A247" s="1">
        <v>4002405</v>
      </c>
      <c r="B247" s="1" t="s">
        <v>609</v>
      </c>
      <c r="C247" s="1" t="s">
        <v>6049</v>
      </c>
      <c r="D247" s="39">
        <v>3986</v>
      </c>
      <c r="E247" s="1" t="s">
        <v>1</v>
      </c>
      <c r="F247" s="3">
        <v>194.92</v>
      </c>
    </row>
    <row r="248" spans="1:6" x14ac:dyDescent="0.25">
      <c r="A248" s="1">
        <v>4002406</v>
      </c>
      <c r="B248" s="1" t="s">
        <v>615</v>
      </c>
      <c r="C248" s="1" t="s">
        <v>6049</v>
      </c>
      <c r="D248" s="39">
        <v>33293</v>
      </c>
      <c r="E248" s="1" t="s">
        <v>1</v>
      </c>
      <c r="F248" s="3">
        <v>902.24</v>
      </c>
    </row>
    <row r="249" spans="1:6" x14ac:dyDescent="0.25">
      <c r="A249" s="1">
        <v>4002407</v>
      </c>
      <c r="B249" s="1" t="s">
        <v>91</v>
      </c>
      <c r="C249" s="1" t="s">
        <v>6049</v>
      </c>
      <c r="D249" s="39">
        <v>18599</v>
      </c>
      <c r="E249" s="1" t="s">
        <v>1</v>
      </c>
      <c r="F249" s="3">
        <v>946.69</v>
      </c>
    </row>
    <row r="250" spans="1:6" x14ac:dyDescent="0.25">
      <c r="A250" s="1">
        <v>4002408</v>
      </c>
      <c r="B250" s="1" t="s">
        <v>96</v>
      </c>
      <c r="C250" s="1" t="s">
        <v>6049</v>
      </c>
      <c r="D250" s="39">
        <v>10760</v>
      </c>
      <c r="E250" s="1" t="s">
        <v>1</v>
      </c>
      <c r="F250" s="3">
        <v>543.38</v>
      </c>
    </row>
    <row r="251" spans="1:6" x14ac:dyDescent="0.25">
      <c r="A251" s="1">
        <v>4002409</v>
      </c>
      <c r="B251" s="1" t="s">
        <v>103</v>
      </c>
      <c r="C251" s="1" t="s">
        <v>6049</v>
      </c>
      <c r="D251" s="39">
        <v>7372</v>
      </c>
      <c r="E251" s="1" t="s">
        <v>1</v>
      </c>
      <c r="F251" s="3">
        <v>415.04</v>
      </c>
    </row>
    <row r="252" spans="1:6" x14ac:dyDescent="0.25">
      <c r="A252" s="1">
        <v>4002410</v>
      </c>
      <c r="B252" s="1" t="s">
        <v>108</v>
      </c>
      <c r="C252" s="1" t="s">
        <v>6049</v>
      </c>
      <c r="D252" s="39">
        <v>9615</v>
      </c>
      <c r="E252" s="1" t="s">
        <v>1</v>
      </c>
      <c r="F252" s="3">
        <v>610.54999999999995</v>
      </c>
    </row>
    <row r="253" spans="1:6" x14ac:dyDescent="0.25">
      <c r="A253" s="1">
        <v>4002411</v>
      </c>
      <c r="B253" s="1" t="s">
        <v>114</v>
      </c>
      <c r="C253" s="1" t="s">
        <v>6049</v>
      </c>
      <c r="D253" s="39">
        <v>21407</v>
      </c>
      <c r="E253" s="1" t="s">
        <v>1</v>
      </c>
      <c r="F253" s="3">
        <v>1301.55</v>
      </c>
    </row>
    <row r="254" spans="1:6" x14ac:dyDescent="0.25">
      <c r="A254" s="1">
        <v>4002412</v>
      </c>
      <c r="B254" s="1" t="s">
        <v>119</v>
      </c>
      <c r="C254" s="1" t="s">
        <v>6049</v>
      </c>
      <c r="D254" s="39">
        <v>5522</v>
      </c>
      <c r="E254" s="1" t="s">
        <v>1</v>
      </c>
      <c r="F254" s="3">
        <v>286.58999999999997</v>
      </c>
    </row>
    <row r="255" spans="1:6" x14ac:dyDescent="0.25">
      <c r="A255" s="1">
        <v>4002413</v>
      </c>
      <c r="B255" s="1" t="s">
        <v>1231</v>
      </c>
      <c r="C255" s="1" t="s">
        <v>6049</v>
      </c>
      <c r="D255" s="39">
        <v>20773</v>
      </c>
      <c r="E255" s="1" t="s">
        <v>1</v>
      </c>
      <c r="F255" s="3">
        <v>1327.39</v>
      </c>
    </row>
    <row r="256" spans="1:6" x14ac:dyDescent="0.25">
      <c r="A256" s="1">
        <v>4002414</v>
      </c>
      <c r="B256" s="1" t="s">
        <v>125</v>
      </c>
      <c r="C256" s="1" t="s">
        <v>6049</v>
      </c>
      <c r="D256" s="39">
        <v>11274</v>
      </c>
      <c r="E256" s="1" t="s">
        <v>1</v>
      </c>
      <c r="F256" s="3">
        <v>1209.7</v>
      </c>
    </row>
    <row r="257" spans="1:6" x14ac:dyDescent="0.25">
      <c r="A257" s="1">
        <v>4002416</v>
      </c>
      <c r="B257" s="1" t="s">
        <v>2817</v>
      </c>
      <c r="C257" s="1" t="s">
        <v>6049</v>
      </c>
      <c r="D257" s="39">
        <v>0</v>
      </c>
      <c r="E257" s="1" t="s">
        <v>1</v>
      </c>
      <c r="F257" s="39">
        <v>0</v>
      </c>
    </row>
    <row r="258" spans="1:6" x14ac:dyDescent="0.25">
      <c r="A258" s="1">
        <v>4002417</v>
      </c>
      <c r="B258" s="1" t="s">
        <v>132</v>
      </c>
      <c r="C258" s="1" t="s">
        <v>6049</v>
      </c>
      <c r="D258" s="39">
        <v>0</v>
      </c>
      <c r="E258" s="1" t="s">
        <v>1</v>
      </c>
      <c r="F258" s="39">
        <v>0</v>
      </c>
    </row>
    <row r="259" spans="1:6" x14ac:dyDescent="0.25">
      <c r="A259" s="1">
        <v>4002418</v>
      </c>
      <c r="B259" s="1" t="s">
        <v>136</v>
      </c>
      <c r="C259" s="1" t="s">
        <v>6049</v>
      </c>
      <c r="D259" s="39">
        <v>27036</v>
      </c>
      <c r="E259" s="1" t="s">
        <v>1</v>
      </c>
      <c r="F259" s="3">
        <v>1389.65</v>
      </c>
    </row>
    <row r="260" spans="1:6" x14ac:dyDescent="0.25">
      <c r="A260" s="1">
        <v>4002423</v>
      </c>
      <c r="B260" s="1" t="s">
        <v>2818</v>
      </c>
      <c r="C260" s="1" t="s">
        <v>6049</v>
      </c>
      <c r="D260" s="39">
        <v>0</v>
      </c>
      <c r="E260" s="1" t="s">
        <v>1</v>
      </c>
      <c r="F260" s="39">
        <v>0</v>
      </c>
    </row>
    <row r="261" spans="1:6" x14ac:dyDescent="0.25">
      <c r="A261" s="1">
        <v>4002425</v>
      </c>
      <c r="B261" s="1" t="s">
        <v>2819</v>
      </c>
      <c r="C261" s="1" t="s">
        <v>6049</v>
      </c>
      <c r="D261" s="39">
        <v>0</v>
      </c>
      <c r="E261" s="1" t="s">
        <v>1</v>
      </c>
      <c r="F261" s="39">
        <v>0</v>
      </c>
    </row>
    <row r="262" spans="1:6" x14ac:dyDescent="0.25">
      <c r="A262" s="1">
        <v>4002427</v>
      </c>
      <c r="B262" s="1" t="s">
        <v>2820</v>
      </c>
      <c r="C262" s="1" t="s">
        <v>6049</v>
      </c>
      <c r="D262" s="39">
        <v>0</v>
      </c>
      <c r="E262" s="1" t="s">
        <v>1</v>
      </c>
      <c r="F262" s="39">
        <v>0</v>
      </c>
    </row>
    <row r="263" spans="1:6" x14ac:dyDescent="0.25">
      <c r="A263" s="1">
        <v>4002429</v>
      </c>
      <c r="B263" s="1" t="s">
        <v>2821</v>
      </c>
      <c r="C263" s="1" t="s">
        <v>6049</v>
      </c>
      <c r="D263" s="39">
        <v>0</v>
      </c>
      <c r="E263" s="1" t="s">
        <v>1</v>
      </c>
      <c r="F263" s="39">
        <v>0</v>
      </c>
    </row>
    <row r="264" spans="1:6" x14ac:dyDescent="0.25">
      <c r="A264" s="1">
        <v>4002431</v>
      </c>
      <c r="B264" s="1" t="s">
        <v>2822</v>
      </c>
      <c r="C264" s="1" t="s">
        <v>6049</v>
      </c>
      <c r="D264" s="39">
        <v>0</v>
      </c>
      <c r="E264" s="1" t="s">
        <v>1</v>
      </c>
      <c r="F264" s="39">
        <v>0</v>
      </c>
    </row>
    <row r="265" spans="1:6" x14ac:dyDescent="0.25">
      <c r="A265" s="1">
        <v>4002432</v>
      </c>
      <c r="B265" s="1" t="s">
        <v>2823</v>
      </c>
      <c r="C265" s="1" t="s">
        <v>6049</v>
      </c>
      <c r="D265" s="39">
        <v>0</v>
      </c>
      <c r="E265" s="1" t="s">
        <v>1</v>
      </c>
      <c r="F265" s="39">
        <v>0</v>
      </c>
    </row>
    <row r="266" spans="1:6" x14ac:dyDescent="0.25">
      <c r="A266" s="1">
        <v>4002433</v>
      </c>
      <c r="B266" s="1" t="s">
        <v>160</v>
      </c>
      <c r="C266" s="1" t="s">
        <v>6049</v>
      </c>
      <c r="D266" s="39">
        <v>6182</v>
      </c>
      <c r="E266" s="1" t="s">
        <v>1</v>
      </c>
      <c r="F266" s="3">
        <v>632.41999999999996</v>
      </c>
    </row>
    <row r="267" spans="1:6" x14ac:dyDescent="0.25">
      <c r="A267" s="1">
        <v>4002435</v>
      </c>
      <c r="B267" s="1" t="s">
        <v>170</v>
      </c>
      <c r="C267" s="1" t="s">
        <v>6049</v>
      </c>
      <c r="D267" s="39">
        <v>0</v>
      </c>
      <c r="E267" s="1" t="s">
        <v>1</v>
      </c>
      <c r="F267" s="39">
        <v>0</v>
      </c>
    </row>
    <row r="268" spans="1:6" x14ac:dyDescent="0.25">
      <c r="A268" s="1">
        <v>4002436</v>
      </c>
      <c r="B268" s="1" t="s">
        <v>174</v>
      </c>
      <c r="C268" s="1" t="s">
        <v>6049</v>
      </c>
      <c r="D268" s="39">
        <v>7371</v>
      </c>
      <c r="E268" s="1" t="s">
        <v>1</v>
      </c>
      <c r="F268" s="3">
        <v>1253.07</v>
      </c>
    </row>
    <row r="269" spans="1:6" x14ac:dyDescent="0.25">
      <c r="A269" s="1">
        <v>4002439</v>
      </c>
      <c r="B269" s="1" t="s">
        <v>178</v>
      </c>
      <c r="C269" s="1" t="s">
        <v>6049</v>
      </c>
      <c r="D269" s="39">
        <v>0</v>
      </c>
      <c r="E269" s="1" t="s">
        <v>1</v>
      </c>
      <c r="F269" s="39">
        <v>0</v>
      </c>
    </row>
    <row r="270" spans="1:6" x14ac:dyDescent="0.25">
      <c r="A270" s="1">
        <v>4002441</v>
      </c>
      <c r="B270" s="1" t="s">
        <v>635</v>
      </c>
      <c r="C270" s="1" t="s">
        <v>6049</v>
      </c>
      <c r="D270" s="39">
        <v>0</v>
      </c>
      <c r="E270" s="1" t="s">
        <v>1</v>
      </c>
      <c r="F270" s="39">
        <v>0</v>
      </c>
    </row>
    <row r="271" spans="1:6" x14ac:dyDescent="0.25">
      <c r="A271" s="1">
        <v>4002442</v>
      </c>
      <c r="B271" s="1" t="s">
        <v>2824</v>
      </c>
      <c r="C271" s="1" t="s">
        <v>6049</v>
      </c>
      <c r="D271" s="39">
        <v>0</v>
      </c>
      <c r="E271" s="1" t="s">
        <v>1</v>
      </c>
      <c r="F271" s="39">
        <v>0</v>
      </c>
    </row>
    <row r="272" spans="1:6" x14ac:dyDescent="0.25">
      <c r="A272" s="1">
        <v>4002443</v>
      </c>
      <c r="B272" s="1" t="s">
        <v>641</v>
      </c>
      <c r="C272" s="1" t="s">
        <v>6049</v>
      </c>
      <c r="D272" s="39">
        <v>225</v>
      </c>
      <c r="E272" s="1" t="s">
        <v>1</v>
      </c>
      <c r="F272" s="3">
        <v>11.07</v>
      </c>
    </row>
    <row r="273" spans="1:6" x14ac:dyDescent="0.25">
      <c r="A273" s="1">
        <v>4002444</v>
      </c>
      <c r="B273" s="1" t="s">
        <v>2825</v>
      </c>
      <c r="C273" s="1" t="s">
        <v>6049</v>
      </c>
      <c r="D273" s="39">
        <v>0</v>
      </c>
      <c r="E273" s="1" t="s">
        <v>1</v>
      </c>
      <c r="F273" s="39">
        <v>0</v>
      </c>
    </row>
    <row r="274" spans="1:6" x14ac:dyDescent="0.25">
      <c r="A274" s="1">
        <v>4002445</v>
      </c>
      <c r="B274" s="1" t="s">
        <v>2826</v>
      </c>
      <c r="C274" s="1" t="s">
        <v>6049</v>
      </c>
      <c r="D274" s="39">
        <v>0</v>
      </c>
      <c r="E274" s="1" t="s">
        <v>1</v>
      </c>
      <c r="F274" s="39">
        <v>0</v>
      </c>
    </row>
    <row r="275" spans="1:6" x14ac:dyDescent="0.25">
      <c r="A275" s="1">
        <v>4002447</v>
      </c>
      <c r="B275" s="1" t="s">
        <v>2827</v>
      </c>
      <c r="C275" s="1" t="s">
        <v>6049</v>
      </c>
      <c r="D275" s="39">
        <v>0</v>
      </c>
      <c r="E275" s="1" t="s">
        <v>1</v>
      </c>
      <c r="F275" s="39">
        <v>0</v>
      </c>
    </row>
    <row r="276" spans="1:6" x14ac:dyDescent="0.25">
      <c r="A276" s="1">
        <v>4002448</v>
      </c>
      <c r="B276" s="1" t="s">
        <v>2828</v>
      </c>
      <c r="C276" s="1" t="s">
        <v>6049</v>
      </c>
      <c r="D276" s="39">
        <v>0</v>
      </c>
      <c r="E276" s="1" t="s">
        <v>1</v>
      </c>
      <c r="F276" s="39">
        <v>0</v>
      </c>
    </row>
    <row r="277" spans="1:6" x14ac:dyDescent="0.25">
      <c r="A277" s="1">
        <v>4002449</v>
      </c>
      <c r="B277" s="1" t="s">
        <v>190</v>
      </c>
      <c r="C277" s="1" t="s">
        <v>6049</v>
      </c>
      <c r="D277" s="39">
        <v>0</v>
      </c>
      <c r="E277" s="1" t="s">
        <v>1</v>
      </c>
      <c r="F277" s="39">
        <v>0</v>
      </c>
    </row>
    <row r="278" spans="1:6" x14ac:dyDescent="0.25">
      <c r="A278" s="1">
        <v>4002450</v>
      </c>
      <c r="B278" s="1" t="s">
        <v>198</v>
      </c>
      <c r="C278" s="1" t="s">
        <v>6049</v>
      </c>
      <c r="D278" s="39">
        <v>0</v>
      </c>
      <c r="E278" s="1" t="s">
        <v>1</v>
      </c>
      <c r="F278" s="39">
        <v>0</v>
      </c>
    </row>
    <row r="279" spans="1:6" x14ac:dyDescent="0.25">
      <c r="A279" s="1">
        <v>4002452</v>
      </c>
      <c r="B279" s="1" t="s">
        <v>2829</v>
      </c>
      <c r="C279" s="1" t="s">
        <v>6049</v>
      </c>
      <c r="D279" s="39">
        <v>0</v>
      </c>
      <c r="E279" s="1" t="s">
        <v>1</v>
      </c>
      <c r="F279" s="39">
        <v>0</v>
      </c>
    </row>
    <row r="280" spans="1:6" x14ac:dyDescent="0.25">
      <c r="A280" s="1">
        <v>4002453</v>
      </c>
      <c r="B280" s="1" t="s">
        <v>2830</v>
      </c>
      <c r="C280" s="1" t="s">
        <v>6049</v>
      </c>
      <c r="D280" s="39">
        <v>0</v>
      </c>
      <c r="E280" s="1" t="s">
        <v>1</v>
      </c>
      <c r="F280" s="39">
        <v>0</v>
      </c>
    </row>
    <row r="281" spans="1:6" x14ac:dyDescent="0.25">
      <c r="A281" s="1">
        <v>4002463</v>
      </c>
      <c r="B281" s="1" t="s">
        <v>693</v>
      </c>
      <c r="C281" s="1" t="s">
        <v>6049</v>
      </c>
      <c r="D281" s="39">
        <v>10915</v>
      </c>
      <c r="E281" s="1" t="s">
        <v>1</v>
      </c>
      <c r="F281" s="3">
        <v>331.82</v>
      </c>
    </row>
    <row r="282" spans="1:6" x14ac:dyDescent="0.25">
      <c r="A282" s="1">
        <v>4002464</v>
      </c>
      <c r="B282" s="1" t="s">
        <v>2831</v>
      </c>
      <c r="C282" s="1" t="s">
        <v>6049</v>
      </c>
      <c r="D282" s="39">
        <v>0</v>
      </c>
      <c r="E282" s="1" t="s">
        <v>1</v>
      </c>
      <c r="F282" s="39">
        <v>0</v>
      </c>
    </row>
    <row r="283" spans="1:6" x14ac:dyDescent="0.25">
      <c r="A283" s="1">
        <v>4002465</v>
      </c>
      <c r="B283" s="1" t="s">
        <v>2832</v>
      </c>
      <c r="C283" s="1" t="s">
        <v>6049</v>
      </c>
      <c r="D283" s="39">
        <v>0</v>
      </c>
      <c r="E283" s="1" t="s">
        <v>1</v>
      </c>
      <c r="F283" s="39">
        <v>0</v>
      </c>
    </row>
    <row r="284" spans="1:6" x14ac:dyDescent="0.25">
      <c r="A284" s="1">
        <v>4002466</v>
      </c>
      <c r="B284" s="1" t="s">
        <v>2833</v>
      </c>
      <c r="C284" s="1" t="s">
        <v>6049</v>
      </c>
      <c r="D284" s="39">
        <v>0</v>
      </c>
      <c r="E284" s="1" t="s">
        <v>1</v>
      </c>
      <c r="F284" s="39">
        <v>0</v>
      </c>
    </row>
    <row r="285" spans="1:6" x14ac:dyDescent="0.25">
      <c r="A285" s="1">
        <v>4002467</v>
      </c>
      <c r="B285" s="1" t="s">
        <v>316</v>
      </c>
      <c r="C285" s="1" t="s">
        <v>6049</v>
      </c>
      <c r="D285" s="39">
        <v>11365</v>
      </c>
      <c r="E285" s="1" t="s">
        <v>1</v>
      </c>
      <c r="F285" s="3">
        <v>938.75</v>
      </c>
    </row>
    <row r="286" spans="1:6" x14ac:dyDescent="0.25">
      <c r="A286" s="1">
        <v>4002468</v>
      </c>
      <c r="B286" s="1" t="s">
        <v>321</v>
      </c>
      <c r="C286" s="1" t="s">
        <v>6049</v>
      </c>
      <c r="D286" s="39">
        <v>41224</v>
      </c>
      <c r="E286" s="1" t="s">
        <v>1</v>
      </c>
      <c r="F286" s="3">
        <v>1240.8399999999999</v>
      </c>
    </row>
    <row r="287" spans="1:6" x14ac:dyDescent="0.25">
      <c r="A287" s="1">
        <v>4002469</v>
      </c>
      <c r="B287" s="1" t="s">
        <v>2834</v>
      </c>
      <c r="C287" s="1" t="s">
        <v>6049</v>
      </c>
      <c r="D287" s="39">
        <v>0</v>
      </c>
      <c r="E287" s="1" t="s">
        <v>1</v>
      </c>
      <c r="F287" s="39">
        <v>0</v>
      </c>
    </row>
    <row r="288" spans="1:6" x14ac:dyDescent="0.25">
      <c r="A288" s="1">
        <v>4002470</v>
      </c>
      <c r="B288" s="1" t="s">
        <v>2835</v>
      </c>
      <c r="C288" s="1" t="s">
        <v>6049</v>
      </c>
      <c r="D288" s="39">
        <v>0</v>
      </c>
      <c r="E288" s="1" t="s">
        <v>1</v>
      </c>
      <c r="F288" s="39">
        <v>0</v>
      </c>
    </row>
    <row r="289" spans="1:6" x14ac:dyDescent="0.25">
      <c r="A289" s="1">
        <v>4002471</v>
      </c>
      <c r="B289" s="1" t="s">
        <v>2836</v>
      </c>
      <c r="C289" s="1" t="s">
        <v>6049</v>
      </c>
      <c r="D289" s="39">
        <v>0</v>
      </c>
      <c r="E289" s="1" t="s">
        <v>1</v>
      </c>
      <c r="F289" s="39">
        <v>0</v>
      </c>
    </row>
    <row r="290" spans="1:6" x14ac:dyDescent="0.25">
      <c r="A290" s="1">
        <v>4002472</v>
      </c>
      <c r="B290" s="1" t="s">
        <v>356</v>
      </c>
      <c r="C290" s="1" t="s">
        <v>6049</v>
      </c>
      <c r="D290" s="39">
        <v>16147</v>
      </c>
      <c r="E290" s="1" t="s">
        <v>1</v>
      </c>
      <c r="F290" s="3">
        <v>371.38</v>
      </c>
    </row>
    <row r="291" spans="1:6" x14ac:dyDescent="0.25">
      <c r="A291" s="1">
        <v>4002473</v>
      </c>
      <c r="B291" s="1" t="s">
        <v>2837</v>
      </c>
      <c r="C291" s="1" t="s">
        <v>6049</v>
      </c>
      <c r="D291" s="39">
        <v>0</v>
      </c>
      <c r="E291" s="1" t="s">
        <v>1</v>
      </c>
      <c r="F291" s="39">
        <v>0</v>
      </c>
    </row>
    <row r="292" spans="1:6" x14ac:dyDescent="0.25">
      <c r="A292" s="1">
        <v>4002474</v>
      </c>
      <c r="B292" s="1" t="s">
        <v>366</v>
      </c>
      <c r="C292" s="1" t="s">
        <v>6049</v>
      </c>
      <c r="D292" s="39">
        <v>0</v>
      </c>
      <c r="E292" s="1" t="s">
        <v>1</v>
      </c>
      <c r="F292" s="39">
        <v>0</v>
      </c>
    </row>
    <row r="293" spans="1:6" x14ac:dyDescent="0.25">
      <c r="A293" s="1">
        <v>4002476</v>
      </c>
      <c r="B293" s="1" t="s">
        <v>383</v>
      </c>
      <c r="C293" s="1" t="s">
        <v>6049</v>
      </c>
      <c r="D293" s="39">
        <v>0</v>
      </c>
      <c r="E293" s="1" t="s">
        <v>1</v>
      </c>
      <c r="F293" s="39">
        <v>0</v>
      </c>
    </row>
    <row r="294" spans="1:6" x14ac:dyDescent="0.25">
      <c r="A294" s="1">
        <v>4002546</v>
      </c>
      <c r="B294" s="1" t="s">
        <v>179</v>
      </c>
      <c r="C294" s="1" t="s">
        <v>6049</v>
      </c>
      <c r="D294" s="39">
        <v>0</v>
      </c>
      <c r="E294" s="1" t="s">
        <v>1</v>
      </c>
      <c r="F294" s="39">
        <v>0</v>
      </c>
    </row>
    <row r="295" spans="1:6" x14ac:dyDescent="0.25">
      <c r="A295" s="1">
        <v>4002582</v>
      </c>
      <c r="B295" s="1" t="s">
        <v>2838</v>
      </c>
      <c r="C295" s="1" t="s">
        <v>6049</v>
      </c>
      <c r="D295" s="39">
        <v>0</v>
      </c>
      <c r="E295" s="1" t="s">
        <v>1</v>
      </c>
      <c r="F295" s="39">
        <v>0</v>
      </c>
    </row>
    <row r="296" spans="1:6" x14ac:dyDescent="0.25">
      <c r="A296" s="1">
        <v>4002731</v>
      </c>
      <c r="B296" s="1" t="s">
        <v>694</v>
      </c>
      <c r="C296" s="1" t="s">
        <v>6049</v>
      </c>
      <c r="D296" s="40">
        <v>793.31</v>
      </c>
      <c r="E296" s="1" t="s">
        <v>3</v>
      </c>
      <c r="F296" s="3">
        <v>23198.84</v>
      </c>
    </row>
    <row r="297" spans="1:6" x14ac:dyDescent="0.25">
      <c r="A297" s="1">
        <v>4002733</v>
      </c>
      <c r="B297" s="1" t="s">
        <v>243</v>
      </c>
      <c r="C297" s="1" t="s">
        <v>6049</v>
      </c>
      <c r="D297" s="40">
        <v>997.45600000000002</v>
      </c>
      <c r="E297" s="1" t="s">
        <v>3</v>
      </c>
      <c r="F297" s="3">
        <v>33109.550000000003</v>
      </c>
    </row>
    <row r="298" spans="1:6" x14ac:dyDescent="0.25">
      <c r="A298" s="1">
        <v>4002734</v>
      </c>
      <c r="B298" s="1" t="s">
        <v>257</v>
      </c>
      <c r="C298" s="1" t="s">
        <v>6049</v>
      </c>
      <c r="D298" s="40">
        <v>275.86</v>
      </c>
      <c r="E298" s="1" t="s">
        <v>3</v>
      </c>
      <c r="F298" s="3">
        <v>8127.19</v>
      </c>
    </row>
    <row r="299" spans="1:6" x14ac:dyDescent="0.25">
      <c r="A299" s="1">
        <v>4002735</v>
      </c>
      <c r="B299" s="1" t="s">
        <v>262</v>
      </c>
      <c r="C299" s="1" t="s">
        <v>6049</v>
      </c>
      <c r="D299" s="40">
        <v>163.18</v>
      </c>
      <c r="E299" s="1" t="s">
        <v>3</v>
      </c>
      <c r="F299" s="3">
        <v>6089.37</v>
      </c>
    </row>
    <row r="300" spans="1:6" x14ac:dyDescent="0.25">
      <c r="A300" s="1">
        <v>4002736</v>
      </c>
      <c r="B300" s="1" t="s">
        <v>271</v>
      </c>
      <c r="C300" s="1" t="s">
        <v>6049</v>
      </c>
      <c r="D300" s="40">
        <v>315.74</v>
      </c>
      <c r="E300" s="1" t="s">
        <v>3</v>
      </c>
      <c r="F300" s="3">
        <v>14100.92</v>
      </c>
    </row>
    <row r="301" spans="1:6" x14ac:dyDescent="0.25">
      <c r="A301" s="1">
        <v>4002748</v>
      </c>
      <c r="B301" s="1" t="s">
        <v>695</v>
      </c>
      <c r="C301" s="1" t="s">
        <v>6049</v>
      </c>
      <c r="D301" s="40">
        <v>365.47</v>
      </c>
      <c r="E301" s="1" t="s">
        <v>3</v>
      </c>
      <c r="F301" s="3">
        <v>9716.31</v>
      </c>
    </row>
    <row r="302" spans="1:6" x14ac:dyDescent="0.25">
      <c r="A302" s="1">
        <v>4002821</v>
      </c>
      <c r="B302" s="1" t="s">
        <v>2840</v>
      </c>
      <c r="C302" s="1" t="s">
        <v>6049</v>
      </c>
      <c r="D302" s="39">
        <v>0</v>
      </c>
      <c r="E302" s="1" t="s">
        <v>2</v>
      </c>
      <c r="F302" s="39">
        <v>0</v>
      </c>
    </row>
    <row r="303" spans="1:6" x14ac:dyDescent="0.25">
      <c r="A303" s="1">
        <v>4002826</v>
      </c>
      <c r="B303" s="1" t="s">
        <v>4</v>
      </c>
      <c r="C303" s="1" t="s">
        <v>6049</v>
      </c>
      <c r="D303" s="39">
        <v>0</v>
      </c>
      <c r="E303" s="1" t="s">
        <v>1</v>
      </c>
      <c r="F303" s="39">
        <v>0</v>
      </c>
    </row>
    <row r="304" spans="1:6" x14ac:dyDescent="0.25">
      <c r="A304" s="1">
        <v>4002827</v>
      </c>
      <c r="B304" s="1" t="s">
        <v>0</v>
      </c>
      <c r="C304" s="1" t="s">
        <v>6049</v>
      </c>
      <c r="D304" s="39">
        <v>8</v>
      </c>
      <c r="E304" s="1" t="s">
        <v>2</v>
      </c>
      <c r="F304" s="3">
        <v>0.74</v>
      </c>
    </row>
    <row r="305" spans="1:6" x14ac:dyDescent="0.25">
      <c r="A305" s="1">
        <v>4003056</v>
      </c>
      <c r="B305" s="1" t="s">
        <v>2841</v>
      </c>
      <c r="C305" s="1" t="s">
        <v>6049</v>
      </c>
      <c r="D305" s="39">
        <v>0</v>
      </c>
      <c r="E305" s="1" t="s">
        <v>1</v>
      </c>
      <c r="F305" s="39">
        <v>0</v>
      </c>
    </row>
    <row r="306" spans="1:6" x14ac:dyDescent="0.25">
      <c r="A306" s="1">
        <v>4003057</v>
      </c>
      <c r="B306" s="1" t="s">
        <v>2842</v>
      </c>
      <c r="C306" s="1" t="s">
        <v>6049</v>
      </c>
      <c r="D306" s="39">
        <v>0</v>
      </c>
      <c r="E306" s="1" t="s">
        <v>1</v>
      </c>
      <c r="F306" s="39">
        <v>0</v>
      </c>
    </row>
    <row r="307" spans="1:6" x14ac:dyDescent="0.25">
      <c r="A307" s="1">
        <v>4003058</v>
      </c>
      <c r="B307" s="1" t="s">
        <v>2843</v>
      </c>
      <c r="C307" s="1" t="s">
        <v>6049</v>
      </c>
      <c r="D307" s="39">
        <v>0</v>
      </c>
      <c r="E307" s="1" t="s">
        <v>1</v>
      </c>
      <c r="F307" s="39">
        <v>0</v>
      </c>
    </row>
    <row r="308" spans="1:6" x14ac:dyDescent="0.25">
      <c r="A308" s="1">
        <v>4003059</v>
      </c>
      <c r="B308" s="1" t="s">
        <v>225</v>
      </c>
      <c r="C308" s="1" t="s">
        <v>6049</v>
      </c>
      <c r="D308" s="39">
        <v>13000</v>
      </c>
      <c r="E308" s="1" t="s">
        <v>1</v>
      </c>
      <c r="F308" s="3">
        <v>1138.8</v>
      </c>
    </row>
    <row r="309" spans="1:6" x14ac:dyDescent="0.25">
      <c r="A309" s="1">
        <v>4003060</v>
      </c>
      <c r="B309" s="1" t="s">
        <v>230</v>
      </c>
      <c r="C309" s="1" t="s">
        <v>6049</v>
      </c>
      <c r="D309" s="39">
        <v>1434</v>
      </c>
      <c r="E309" s="1" t="s">
        <v>1</v>
      </c>
      <c r="F309" s="3">
        <v>160.32</v>
      </c>
    </row>
    <row r="310" spans="1:6" x14ac:dyDescent="0.25">
      <c r="A310" s="1">
        <v>4003061</v>
      </c>
      <c r="B310" s="1" t="s">
        <v>2844</v>
      </c>
      <c r="C310" s="1" t="s">
        <v>6049</v>
      </c>
      <c r="D310" s="39">
        <v>0</v>
      </c>
      <c r="E310" s="1" t="s">
        <v>1</v>
      </c>
      <c r="F310" s="39">
        <v>0</v>
      </c>
    </row>
    <row r="311" spans="1:6" x14ac:dyDescent="0.25">
      <c r="A311" s="1">
        <v>4003062</v>
      </c>
      <c r="B311" s="1" t="s">
        <v>2845</v>
      </c>
      <c r="C311" s="1" t="s">
        <v>6049</v>
      </c>
      <c r="D311" s="39">
        <v>0</v>
      </c>
      <c r="E311" s="1" t="s">
        <v>1</v>
      </c>
      <c r="F311" s="39">
        <v>0</v>
      </c>
    </row>
    <row r="312" spans="1:6" x14ac:dyDescent="0.25">
      <c r="A312" s="1">
        <v>4003063</v>
      </c>
      <c r="B312" s="1" t="s">
        <v>2846</v>
      </c>
      <c r="C312" s="1" t="s">
        <v>6049</v>
      </c>
      <c r="D312" s="39">
        <v>0</v>
      </c>
      <c r="E312" s="1" t="s">
        <v>1</v>
      </c>
      <c r="F312" s="39">
        <v>0</v>
      </c>
    </row>
    <row r="313" spans="1:6" x14ac:dyDescent="0.25">
      <c r="A313" s="1">
        <v>4003064</v>
      </c>
      <c r="B313" s="1" t="s">
        <v>2847</v>
      </c>
      <c r="C313" s="1" t="s">
        <v>6049</v>
      </c>
      <c r="D313" s="39">
        <v>0</v>
      </c>
      <c r="E313" s="1" t="s">
        <v>1</v>
      </c>
      <c r="F313" s="39">
        <v>0</v>
      </c>
    </row>
    <row r="314" spans="1:6" x14ac:dyDescent="0.25">
      <c r="A314" s="1">
        <v>4003065</v>
      </c>
      <c r="B314" s="1" t="s">
        <v>276</v>
      </c>
      <c r="C314" s="1" t="s">
        <v>6049</v>
      </c>
      <c r="D314" s="39">
        <v>278287</v>
      </c>
      <c r="E314" s="1" t="s">
        <v>1</v>
      </c>
      <c r="F314" s="3">
        <v>31168.14</v>
      </c>
    </row>
    <row r="315" spans="1:6" x14ac:dyDescent="0.25">
      <c r="A315" s="1">
        <v>4003066</v>
      </c>
      <c r="B315" s="1" t="s">
        <v>2848</v>
      </c>
      <c r="C315" s="1" t="s">
        <v>6049</v>
      </c>
      <c r="D315" s="39">
        <v>0</v>
      </c>
      <c r="E315" s="1" t="s">
        <v>1</v>
      </c>
      <c r="F315" s="39">
        <v>0</v>
      </c>
    </row>
    <row r="316" spans="1:6" x14ac:dyDescent="0.25">
      <c r="A316" s="1">
        <v>4003068</v>
      </c>
      <c r="B316" s="1" t="s">
        <v>281</v>
      </c>
      <c r="C316" s="1" t="s">
        <v>6049</v>
      </c>
      <c r="D316" s="39">
        <v>21880</v>
      </c>
      <c r="E316" s="1" t="s">
        <v>1</v>
      </c>
      <c r="F316" s="3">
        <v>2494.3200000000002</v>
      </c>
    </row>
    <row r="317" spans="1:6" x14ac:dyDescent="0.25">
      <c r="A317" s="1">
        <v>4003069</v>
      </c>
      <c r="B317" s="1" t="s">
        <v>2849</v>
      </c>
      <c r="C317" s="1" t="s">
        <v>6049</v>
      </c>
      <c r="D317" s="39">
        <v>0</v>
      </c>
      <c r="E317" s="1" t="s">
        <v>1</v>
      </c>
      <c r="F317" s="39">
        <v>0</v>
      </c>
    </row>
    <row r="318" spans="1:6" x14ac:dyDescent="0.25">
      <c r="A318" s="1">
        <v>4003070</v>
      </c>
      <c r="B318" s="1" t="s">
        <v>286</v>
      </c>
      <c r="C318" s="1" t="s">
        <v>6049</v>
      </c>
      <c r="D318" s="39">
        <v>43187</v>
      </c>
      <c r="E318" s="1" t="s">
        <v>1</v>
      </c>
      <c r="F318" s="3">
        <v>4897.41</v>
      </c>
    </row>
    <row r="319" spans="1:6" x14ac:dyDescent="0.25">
      <c r="A319" s="1">
        <v>4003071</v>
      </c>
      <c r="B319" s="1" t="s">
        <v>291</v>
      </c>
      <c r="C319" s="1" t="s">
        <v>6049</v>
      </c>
      <c r="D319" s="39">
        <v>1383</v>
      </c>
      <c r="E319" s="1" t="s">
        <v>1</v>
      </c>
      <c r="F319" s="3">
        <v>151.30000000000001</v>
      </c>
    </row>
    <row r="320" spans="1:6" x14ac:dyDescent="0.25">
      <c r="A320" s="1">
        <v>4003073</v>
      </c>
      <c r="B320" s="1" t="s">
        <v>296</v>
      </c>
      <c r="C320" s="1" t="s">
        <v>6049</v>
      </c>
      <c r="D320" s="39">
        <v>100500</v>
      </c>
      <c r="E320" s="1" t="s">
        <v>1</v>
      </c>
      <c r="F320" s="3">
        <v>11406.75</v>
      </c>
    </row>
    <row r="321" spans="1:6" x14ac:dyDescent="0.25">
      <c r="A321" s="1">
        <v>4003074</v>
      </c>
      <c r="B321" s="1" t="s">
        <v>301</v>
      </c>
      <c r="C321" s="1" t="s">
        <v>6049</v>
      </c>
      <c r="D321" s="39">
        <v>7257</v>
      </c>
      <c r="E321" s="1" t="s">
        <v>1</v>
      </c>
      <c r="F321" s="3">
        <v>811.33</v>
      </c>
    </row>
    <row r="322" spans="1:6" x14ac:dyDescent="0.25">
      <c r="A322" s="1">
        <v>4003075</v>
      </c>
      <c r="B322" s="1" t="s">
        <v>306</v>
      </c>
      <c r="C322" s="1" t="s">
        <v>6049</v>
      </c>
      <c r="D322" s="39">
        <v>14606</v>
      </c>
      <c r="E322" s="1" t="s">
        <v>1</v>
      </c>
      <c r="F322" s="3">
        <v>1630.03</v>
      </c>
    </row>
    <row r="323" spans="1:6" x14ac:dyDescent="0.25">
      <c r="A323" s="1">
        <v>4003076</v>
      </c>
      <c r="B323" s="1" t="s">
        <v>311</v>
      </c>
      <c r="C323" s="1" t="s">
        <v>6049</v>
      </c>
      <c r="D323" s="39">
        <v>5675</v>
      </c>
      <c r="E323" s="1" t="s">
        <v>1</v>
      </c>
      <c r="F323" s="3">
        <v>595.30999999999995</v>
      </c>
    </row>
    <row r="324" spans="1:6" x14ac:dyDescent="0.25">
      <c r="A324" s="1">
        <v>4003077</v>
      </c>
      <c r="B324" s="1" t="s">
        <v>325</v>
      </c>
      <c r="C324" s="1" t="s">
        <v>6049</v>
      </c>
      <c r="D324" s="39">
        <v>78140</v>
      </c>
      <c r="E324" s="1" t="s">
        <v>1</v>
      </c>
      <c r="F324" s="3">
        <v>8861.08</v>
      </c>
    </row>
    <row r="325" spans="1:6" x14ac:dyDescent="0.25">
      <c r="A325" s="1">
        <v>4003561</v>
      </c>
      <c r="B325" s="1" t="s">
        <v>2850</v>
      </c>
      <c r="C325" s="1" t="s">
        <v>6049</v>
      </c>
      <c r="D325" s="39">
        <v>0</v>
      </c>
      <c r="E325" s="1" t="s">
        <v>1</v>
      </c>
      <c r="F325" s="39">
        <v>0</v>
      </c>
    </row>
    <row r="326" spans="1:6" x14ac:dyDescent="0.25">
      <c r="A326" s="1">
        <v>4003563</v>
      </c>
      <c r="B326" s="1" t="s">
        <v>2852</v>
      </c>
      <c r="C326" s="1" t="s">
        <v>6049</v>
      </c>
      <c r="D326" s="39">
        <v>0</v>
      </c>
      <c r="E326" s="1" t="s">
        <v>1</v>
      </c>
      <c r="F326" s="39">
        <v>0</v>
      </c>
    </row>
    <row r="327" spans="1:6" x14ac:dyDescent="0.25">
      <c r="A327" s="1">
        <v>4003566</v>
      </c>
      <c r="B327" s="1" t="s">
        <v>2853</v>
      </c>
      <c r="C327" s="1" t="s">
        <v>6049</v>
      </c>
      <c r="D327" s="39">
        <v>0</v>
      </c>
      <c r="E327" s="1" t="s">
        <v>1</v>
      </c>
      <c r="F327" s="39">
        <v>0</v>
      </c>
    </row>
    <row r="328" spans="1:6" x14ac:dyDescent="0.25">
      <c r="A328" s="1">
        <v>4003583</v>
      </c>
      <c r="B328" s="1" t="s">
        <v>39</v>
      </c>
      <c r="C328" s="1" t="s">
        <v>6049</v>
      </c>
      <c r="D328" s="39">
        <v>0</v>
      </c>
      <c r="E328" s="1" t="s">
        <v>1</v>
      </c>
      <c r="F328" s="39">
        <v>0</v>
      </c>
    </row>
    <row r="329" spans="1:6" x14ac:dyDescent="0.25">
      <c r="A329" s="1">
        <v>4003584</v>
      </c>
      <c r="B329" s="1" t="s">
        <v>2854</v>
      </c>
      <c r="C329" s="1" t="s">
        <v>6049</v>
      </c>
      <c r="D329" s="39">
        <v>0</v>
      </c>
      <c r="E329" s="1" t="s">
        <v>1</v>
      </c>
      <c r="F329" s="39">
        <v>0</v>
      </c>
    </row>
    <row r="330" spans="1:6" x14ac:dyDescent="0.25">
      <c r="A330" s="1">
        <v>4003592</v>
      </c>
      <c r="B330" s="1" t="s">
        <v>2855</v>
      </c>
      <c r="C330" s="1" t="s">
        <v>6049</v>
      </c>
      <c r="D330" s="39">
        <v>0</v>
      </c>
      <c r="E330" s="1" t="s">
        <v>1</v>
      </c>
      <c r="F330" s="39">
        <v>0</v>
      </c>
    </row>
    <row r="331" spans="1:6" x14ac:dyDescent="0.25">
      <c r="A331" s="1">
        <v>4003593</v>
      </c>
      <c r="B331" s="1" t="s">
        <v>40</v>
      </c>
      <c r="C331" s="1" t="s">
        <v>6049</v>
      </c>
      <c r="D331" s="39">
        <v>8838</v>
      </c>
      <c r="E331" s="1" t="s">
        <v>1</v>
      </c>
      <c r="F331" s="3">
        <v>10779.71</v>
      </c>
    </row>
    <row r="332" spans="1:6" x14ac:dyDescent="0.25">
      <c r="A332" s="1">
        <v>4003594</v>
      </c>
      <c r="B332" s="1" t="s">
        <v>472</v>
      </c>
      <c r="C332" s="1" t="s">
        <v>6049</v>
      </c>
      <c r="D332" s="39">
        <v>0</v>
      </c>
      <c r="E332" s="1" t="s">
        <v>1</v>
      </c>
      <c r="F332" s="39">
        <v>0</v>
      </c>
    </row>
    <row r="333" spans="1:6" x14ac:dyDescent="0.25">
      <c r="A333" s="1">
        <v>4003598</v>
      </c>
      <c r="B333" s="1" t="s">
        <v>2856</v>
      </c>
      <c r="C333" s="1" t="s">
        <v>6049</v>
      </c>
      <c r="D333" s="39">
        <v>0</v>
      </c>
      <c r="E333" s="1" t="s">
        <v>1</v>
      </c>
      <c r="F333" s="39">
        <v>0</v>
      </c>
    </row>
    <row r="334" spans="1:6" x14ac:dyDescent="0.25">
      <c r="A334" s="1">
        <v>4003601</v>
      </c>
      <c r="B334" s="1" t="s">
        <v>2857</v>
      </c>
      <c r="C334" s="1" t="s">
        <v>6049</v>
      </c>
      <c r="D334" s="39">
        <v>0</v>
      </c>
      <c r="E334" s="1" t="s">
        <v>1</v>
      </c>
      <c r="F334" s="39">
        <v>0</v>
      </c>
    </row>
    <row r="335" spans="1:6" x14ac:dyDescent="0.25">
      <c r="A335" s="1">
        <v>4003602</v>
      </c>
      <c r="B335" s="1" t="s">
        <v>2858</v>
      </c>
      <c r="C335" s="1" t="s">
        <v>6049</v>
      </c>
      <c r="D335" s="39">
        <v>0</v>
      </c>
      <c r="E335" s="1" t="s">
        <v>1</v>
      </c>
      <c r="F335" s="39">
        <v>0</v>
      </c>
    </row>
    <row r="336" spans="1:6" x14ac:dyDescent="0.25">
      <c r="A336" s="1">
        <v>4003609</v>
      </c>
      <c r="B336" s="1" t="s">
        <v>2859</v>
      </c>
      <c r="C336" s="1" t="s">
        <v>6049</v>
      </c>
      <c r="D336" s="39">
        <v>0</v>
      </c>
      <c r="E336" s="1" t="s">
        <v>1</v>
      </c>
      <c r="F336" s="39">
        <v>0</v>
      </c>
    </row>
    <row r="337" spans="1:6" x14ac:dyDescent="0.25">
      <c r="A337" s="1">
        <v>4003613</v>
      </c>
      <c r="B337" s="1" t="s">
        <v>2860</v>
      </c>
      <c r="C337" s="1" t="s">
        <v>6049</v>
      </c>
      <c r="D337" s="39">
        <v>0</v>
      </c>
      <c r="E337" s="1" t="s">
        <v>1</v>
      </c>
      <c r="F337" s="39">
        <v>0</v>
      </c>
    </row>
    <row r="338" spans="1:6" x14ac:dyDescent="0.25">
      <c r="A338" s="1">
        <v>4003614</v>
      </c>
      <c r="B338" s="1" t="s">
        <v>2861</v>
      </c>
      <c r="C338" s="1" t="s">
        <v>6049</v>
      </c>
      <c r="D338" s="39">
        <v>0</v>
      </c>
      <c r="E338" s="1" t="s">
        <v>1</v>
      </c>
      <c r="F338" s="39">
        <v>0</v>
      </c>
    </row>
    <row r="339" spans="1:6" x14ac:dyDescent="0.25">
      <c r="A339" s="1">
        <v>4003630</v>
      </c>
      <c r="B339" s="1" t="s">
        <v>2863</v>
      </c>
      <c r="C339" s="1" t="s">
        <v>6049</v>
      </c>
      <c r="D339" s="39">
        <v>0</v>
      </c>
      <c r="E339" s="1" t="s">
        <v>1</v>
      </c>
      <c r="F339" s="39">
        <v>0</v>
      </c>
    </row>
    <row r="340" spans="1:6" x14ac:dyDescent="0.25">
      <c r="A340" s="1">
        <v>4003636</v>
      </c>
      <c r="B340" s="1" t="s">
        <v>2864</v>
      </c>
      <c r="C340" s="1" t="s">
        <v>6049</v>
      </c>
      <c r="D340" s="39">
        <v>0</v>
      </c>
      <c r="E340" s="1" t="s">
        <v>1</v>
      </c>
      <c r="F340" s="39">
        <v>0</v>
      </c>
    </row>
    <row r="341" spans="1:6" x14ac:dyDescent="0.25">
      <c r="A341" s="1">
        <v>4003639</v>
      </c>
      <c r="B341" s="1" t="s">
        <v>585</v>
      </c>
      <c r="C341" s="1" t="s">
        <v>6049</v>
      </c>
      <c r="D341" s="39">
        <v>9254</v>
      </c>
      <c r="E341" s="1" t="s">
        <v>1</v>
      </c>
      <c r="F341" s="3">
        <v>2791.01</v>
      </c>
    </row>
    <row r="342" spans="1:6" x14ac:dyDescent="0.25">
      <c r="A342" s="1">
        <v>4003640</v>
      </c>
      <c r="B342" s="1" t="s">
        <v>591</v>
      </c>
      <c r="C342" s="1" t="s">
        <v>6049</v>
      </c>
      <c r="D342" s="39">
        <v>0</v>
      </c>
      <c r="E342" s="1" t="s">
        <v>1</v>
      </c>
      <c r="F342" s="39">
        <v>0</v>
      </c>
    </row>
    <row r="343" spans="1:6" x14ac:dyDescent="0.25">
      <c r="A343" s="1">
        <v>4003641</v>
      </c>
      <c r="B343" s="1" t="s">
        <v>596</v>
      </c>
      <c r="C343" s="1" t="s">
        <v>6049</v>
      </c>
      <c r="D343" s="39">
        <v>16400</v>
      </c>
      <c r="E343" s="1" t="s">
        <v>1</v>
      </c>
      <c r="F343" s="3">
        <v>4872.4399999999996</v>
      </c>
    </row>
    <row r="344" spans="1:6" x14ac:dyDescent="0.25">
      <c r="A344" s="1">
        <v>4003642</v>
      </c>
      <c r="B344" s="1" t="s">
        <v>751</v>
      </c>
      <c r="C344" s="1" t="s">
        <v>6049</v>
      </c>
      <c r="D344" s="39">
        <v>100</v>
      </c>
      <c r="E344" s="1" t="s">
        <v>1</v>
      </c>
      <c r="F344" s="3">
        <v>246.17</v>
      </c>
    </row>
    <row r="345" spans="1:6" x14ac:dyDescent="0.25">
      <c r="A345" s="1">
        <v>4003643</v>
      </c>
      <c r="B345" s="1" t="s">
        <v>603</v>
      </c>
      <c r="C345" s="1" t="s">
        <v>6049</v>
      </c>
      <c r="D345" s="39">
        <v>0</v>
      </c>
      <c r="E345" s="1" t="s">
        <v>1</v>
      </c>
      <c r="F345" s="39">
        <v>0</v>
      </c>
    </row>
    <row r="346" spans="1:6" x14ac:dyDescent="0.25">
      <c r="A346" s="1">
        <v>4003644</v>
      </c>
      <c r="B346" s="1" t="s">
        <v>85</v>
      </c>
      <c r="C346" s="1" t="s">
        <v>6049</v>
      </c>
      <c r="D346" s="39">
        <v>11571</v>
      </c>
      <c r="E346" s="1" t="s">
        <v>1</v>
      </c>
      <c r="F346" s="3">
        <v>4314.82</v>
      </c>
    </row>
    <row r="347" spans="1:6" x14ac:dyDescent="0.25">
      <c r="A347" s="1">
        <v>4003647</v>
      </c>
      <c r="B347" s="1" t="s">
        <v>2865</v>
      </c>
      <c r="C347" s="1" t="s">
        <v>6049</v>
      </c>
      <c r="D347" s="39">
        <v>0</v>
      </c>
      <c r="E347" s="1" t="s">
        <v>1</v>
      </c>
      <c r="F347" s="39">
        <v>0</v>
      </c>
    </row>
    <row r="348" spans="1:6" x14ac:dyDescent="0.25">
      <c r="A348" s="1">
        <v>4003648</v>
      </c>
      <c r="B348" s="1" t="s">
        <v>2866</v>
      </c>
      <c r="C348" s="1" t="s">
        <v>6049</v>
      </c>
      <c r="D348" s="39">
        <v>0</v>
      </c>
      <c r="E348" s="1" t="s">
        <v>1</v>
      </c>
      <c r="F348" s="39">
        <v>0</v>
      </c>
    </row>
    <row r="349" spans="1:6" x14ac:dyDescent="0.25">
      <c r="A349" s="1">
        <v>4003765</v>
      </c>
      <c r="B349" s="1" t="s">
        <v>2867</v>
      </c>
      <c r="C349" s="1" t="s">
        <v>6049</v>
      </c>
      <c r="D349" s="39">
        <v>0</v>
      </c>
      <c r="E349" s="1" t="s">
        <v>1</v>
      </c>
      <c r="F349" s="39">
        <v>0</v>
      </c>
    </row>
    <row r="350" spans="1:6" x14ac:dyDescent="0.25">
      <c r="A350" s="1">
        <v>4003771</v>
      </c>
      <c r="B350" s="1" t="s">
        <v>2869</v>
      </c>
      <c r="C350" s="1" t="s">
        <v>6049</v>
      </c>
      <c r="D350" s="39">
        <v>0</v>
      </c>
      <c r="E350" s="1" t="s">
        <v>1</v>
      </c>
      <c r="F350" s="39">
        <v>0</v>
      </c>
    </row>
    <row r="351" spans="1:6" x14ac:dyDescent="0.25">
      <c r="A351" s="1">
        <v>4003870</v>
      </c>
      <c r="B351" s="1" t="s">
        <v>457</v>
      </c>
      <c r="C351" s="1" t="s">
        <v>6049</v>
      </c>
      <c r="D351" s="39">
        <v>253</v>
      </c>
      <c r="E351" s="1" t="s">
        <v>1</v>
      </c>
      <c r="F351" s="3">
        <v>1759.46</v>
      </c>
    </row>
    <row r="352" spans="1:6" x14ac:dyDescent="0.25">
      <c r="A352" s="1">
        <v>4003871</v>
      </c>
      <c r="B352" s="1" t="s">
        <v>1244</v>
      </c>
      <c r="C352" s="1" t="s">
        <v>6049</v>
      </c>
      <c r="D352" s="39">
        <v>731</v>
      </c>
      <c r="E352" s="1" t="s">
        <v>1</v>
      </c>
      <c r="F352" s="3">
        <v>1730.93</v>
      </c>
    </row>
    <row r="353" spans="1:6" x14ac:dyDescent="0.25">
      <c r="A353" s="1">
        <v>4003872</v>
      </c>
      <c r="B353" s="1" t="s">
        <v>2870</v>
      </c>
      <c r="C353" s="1" t="s">
        <v>6049</v>
      </c>
      <c r="D353" s="39">
        <v>0</v>
      </c>
      <c r="E353" s="1" t="s">
        <v>1</v>
      </c>
      <c r="F353" s="39">
        <v>0</v>
      </c>
    </row>
    <row r="354" spans="1:6" x14ac:dyDescent="0.25">
      <c r="A354" s="1">
        <v>4003873</v>
      </c>
      <c r="B354" s="1" t="s">
        <v>326</v>
      </c>
      <c r="C354" s="1" t="s">
        <v>6049</v>
      </c>
      <c r="D354" s="39">
        <v>1585</v>
      </c>
      <c r="E354" s="1" t="s">
        <v>1</v>
      </c>
      <c r="F354" s="3">
        <v>4715.53</v>
      </c>
    </row>
    <row r="355" spans="1:6" x14ac:dyDescent="0.25">
      <c r="A355" s="1">
        <v>4003874</v>
      </c>
      <c r="B355" s="1" t="s">
        <v>563</v>
      </c>
      <c r="C355" s="1" t="s">
        <v>6049</v>
      </c>
      <c r="D355" s="39">
        <v>626</v>
      </c>
      <c r="E355" s="1" t="s">
        <v>1</v>
      </c>
      <c r="F355" s="3">
        <v>2412.92</v>
      </c>
    </row>
    <row r="356" spans="1:6" x14ac:dyDescent="0.25">
      <c r="A356" s="1">
        <v>4003876</v>
      </c>
      <c r="B356" s="1" t="s">
        <v>2872</v>
      </c>
      <c r="C356" s="1" t="s">
        <v>6049</v>
      </c>
      <c r="D356" s="39">
        <v>0</v>
      </c>
      <c r="E356" s="1" t="s">
        <v>1</v>
      </c>
      <c r="F356" s="39">
        <v>0</v>
      </c>
    </row>
    <row r="357" spans="1:6" x14ac:dyDescent="0.25">
      <c r="A357" s="1">
        <v>4003877</v>
      </c>
      <c r="B357" s="1" t="s">
        <v>2873</v>
      </c>
      <c r="C357" s="1" t="s">
        <v>6049</v>
      </c>
      <c r="D357" s="39">
        <v>0</v>
      </c>
      <c r="E357" s="1" t="s">
        <v>1</v>
      </c>
      <c r="F357" s="39">
        <v>0</v>
      </c>
    </row>
    <row r="358" spans="1:6" x14ac:dyDescent="0.25">
      <c r="A358" s="1">
        <v>4003879</v>
      </c>
      <c r="B358" s="1" t="s">
        <v>1149</v>
      </c>
      <c r="C358" s="1" t="s">
        <v>6049</v>
      </c>
      <c r="D358" s="39">
        <v>0</v>
      </c>
      <c r="E358" s="1" t="s">
        <v>1</v>
      </c>
      <c r="F358" s="39">
        <v>0</v>
      </c>
    </row>
    <row r="359" spans="1:6" x14ac:dyDescent="0.25">
      <c r="A359" s="1">
        <v>4003880</v>
      </c>
      <c r="B359" s="1" t="s">
        <v>2875</v>
      </c>
      <c r="C359" s="1" t="s">
        <v>6049</v>
      </c>
      <c r="D359" s="39">
        <v>0</v>
      </c>
      <c r="E359" s="1" t="s">
        <v>1</v>
      </c>
      <c r="F359" s="39">
        <v>0</v>
      </c>
    </row>
    <row r="360" spans="1:6" x14ac:dyDescent="0.25">
      <c r="A360" s="1">
        <v>4003957</v>
      </c>
      <c r="B360" s="1" t="s">
        <v>2877</v>
      </c>
      <c r="C360" s="1" t="s">
        <v>6049</v>
      </c>
      <c r="D360" s="39">
        <v>0</v>
      </c>
      <c r="E360" s="1" t="s">
        <v>1</v>
      </c>
      <c r="F360" s="39">
        <v>0</v>
      </c>
    </row>
    <row r="361" spans="1:6" x14ac:dyDescent="0.25">
      <c r="A361" s="1">
        <v>4003958</v>
      </c>
      <c r="B361" s="1" t="s">
        <v>1245</v>
      </c>
      <c r="C361" s="1" t="s">
        <v>6049</v>
      </c>
      <c r="D361" s="39">
        <v>9009</v>
      </c>
      <c r="E361" s="1" t="s">
        <v>1</v>
      </c>
      <c r="F361" s="3">
        <v>517.12</v>
      </c>
    </row>
    <row r="362" spans="1:6" x14ac:dyDescent="0.25">
      <c r="A362" s="1">
        <v>4003959</v>
      </c>
      <c r="B362" s="1" t="s">
        <v>2878</v>
      </c>
      <c r="C362" s="1" t="s">
        <v>6049</v>
      </c>
      <c r="D362" s="39">
        <v>0</v>
      </c>
      <c r="E362" s="1" t="s">
        <v>1</v>
      </c>
      <c r="F362" s="39">
        <v>0</v>
      </c>
    </row>
    <row r="363" spans="1:6" x14ac:dyDescent="0.25">
      <c r="A363" s="1">
        <v>4004020</v>
      </c>
      <c r="B363" s="1" t="s">
        <v>2879</v>
      </c>
      <c r="C363" s="1" t="s">
        <v>6049</v>
      </c>
      <c r="D363" s="39">
        <v>0</v>
      </c>
      <c r="E363" s="1" t="s">
        <v>1</v>
      </c>
      <c r="F363" s="39">
        <v>0</v>
      </c>
    </row>
    <row r="364" spans="1:6" x14ac:dyDescent="0.25">
      <c r="A364" s="1">
        <v>4004067</v>
      </c>
      <c r="B364" s="1" t="s">
        <v>2888</v>
      </c>
      <c r="C364" s="1" t="s">
        <v>6049</v>
      </c>
      <c r="D364" s="39">
        <v>0</v>
      </c>
      <c r="E364" s="1" t="s">
        <v>1</v>
      </c>
      <c r="F364" s="39">
        <v>0</v>
      </c>
    </row>
    <row r="365" spans="1:6" x14ac:dyDescent="0.25">
      <c r="A365" s="1">
        <v>4004068</v>
      </c>
      <c r="B365" s="1" t="s">
        <v>2889</v>
      </c>
      <c r="C365" s="1" t="s">
        <v>6049</v>
      </c>
      <c r="D365" s="39">
        <v>0</v>
      </c>
      <c r="E365" s="1" t="s">
        <v>1</v>
      </c>
      <c r="F365" s="39">
        <v>0</v>
      </c>
    </row>
    <row r="366" spans="1:6" x14ac:dyDescent="0.25">
      <c r="A366" s="1">
        <v>4004112</v>
      </c>
      <c r="B366" s="1" t="s">
        <v>2890</v>
      </c>
      <c r="C366" s="1" t="s">
        <v>6049</v>
      </c>
      <c r="D366" s="39">
        <v>0</v>
      </c>
      <c r="E366" s="1" t="s">
        <v>1</v>
      </c>
      <c r="F366" s="39">
        <v>0</v>
      </c>
    </row>
    <row r="367" spans="1:6" x14ac:dyDescent="0.25">
      <c r="A367" s="1">
        <v>4004143</v>
      </c>
      <c r="B367" s="1" t="s">
        <v>2891</v>
      </c>
      <c r="C367" s="1" t="s">
        <v>6049</v>
      </c>
      <c r="D367" s="39">
        <v>0</v>
      </c>
      <c r="E367" s="1" t="s">
        <v>1</v>
      </c>
      <c r="F367" s="39">
        <v>0</v>
      </c>
    </row>
    <row r="368" spans="1:6" x14ac:dyDescent="0.25">
      <c r="A368" s="1">
        <v>4004221</v>
      </c>
      <c r="B368" s="1" t="s">
        <v>2893</v>
      </c>
      <c r="C368" s="1" t="s">
        <v>6049</v>
      </c>
      <c r="D368" s="39">
        <v>0</v>
      </c>
      <c r="E368" s="1" t="s">
        <v>1</v>
      </c>
      <c r="F368" s="39">
        <v>0</v>
      </c>
    </row>
    <row r="369" spans="1:6" x14ac:dyDescent="0.25">
      <c r="A369" s="1">
        <v>4004222</v>
      </c>
      <c r="B369" s="1" t="s">
        <v>2894</v>
      </c>
      <c r="C369" s="1" t="s">
        <v>6049</v>
      </c>
      <c r="D369" s="39">
        <v>0</v>
      </c>
      <c r="E369" s="1" t="s">
        <v>1</v>
      </c>
      <c r="F369" s="39">
        <v>0</v>
      </c>
    </row>
    <row r="370" spans="1:6" x14ac:dyDescent="0.25">
      <c r="A370" s="1">
        <v>4004223</v>
      </c>
      <c r="B370" s="1" t="s">
        <v>2895</v>
      </c>
      <c r="C370" s="1" t="s">
        <v>6049</v>
      </c>
      <c r="D370" s="39">
        <v>0</v>
      </c>
      <c r="E370" s="1" t="s">
        <v>1</v>
      </c>
      <c r="F370" s="39">
        <v>0</v>
      </c>
    </row>
    <row r="371" spans="1:6" x14ac:dyDescent="0.25">
      <c r="A371" s="1">
        <v>4004224</v>
      </c>
      <c r="B371" s="1" t="s">
        <v>2896</v>
      </c>
      <c r="C371" s="1" t="s">
        <v>6049</v>
      </c>
      <c r="D371" s="39">
        <v>0</v>
      </c>
      <c r="E371" s="1" t="s">
        <v>1</v>
      </c>
      <c r="F371" s="39">
        <v>0</v>
      </c>
    </row>
    <row r="372" spans="1:6" x14ac:dyDescent="0.25">
      <c r="A372" s="1">
        <v>4004225</v>
      </c>
      <c r="B372" s="1" t="s">
        <v>2897</v>
      </c>
      <c r="C372" s="1" t="s">
        <v>6049</v>
      </c>
      <c r="D372" s="39">
        <v>0</v>
      </c>
      <c r="E372" s="1" t="s">
        <v>1</v>
      </c>
      <c r="F372" s="39">
        <v>0</v>
      </c>
    </row>
    <row r="373" spans="1:6" x14ac:dyDescent="0.25">
      <c r="A373" s="1">
        <v>4004226</v>
      </c>
      <c r="B373" s="1" t="s">
        <v>2898</v>
      </c>
      <c r="C373" s="1" t="s">
        <v>6049</v>
      </c>
      <c r="D373" s="39">
        <v>0</v>
      </c>
      <c r="E373" s="1" t="s">
        <v>1</v>
      </c>
      <c r="F373" s="39">
        <v>0</v>
      </c>
    </row>
    <row r="374" spans="1:6" x14ac:dyDescent="0.25">
      <c r="A374" s="1">
        <v>4004227</v>
      </c>
      <c r="B374" s="1" t="s">
        <v>2899</v>
      </c>
      <c r="C374" s="1" t="s">
        <v>6049</v>
      </c>
      <c r="D374" s="39">
        <v>0</v>
      </c>
      <c r="E374" s="1" t="s">
        <v>1</v>
      </c>
      <c r="F374" s="39">
        <v>0</v>
      </c>
    </row>
    <row r="375" spans="1:6" x14ac:dyDescent="0.25">
      <c r="A375" s="1">
        <v>4004228</v>
      </c>
      <c r="B375" s="1" t="s">
        <v>2900</v>
      </c>
      <c r="C375" s="1" t="s">
        <v>6049</v>
      </c>
      <c r="D375" s="39">
        <v>0</v>
      </c>
      <c r="E375" s="1" t="s">
        <v>1</v>
      </c>
      <c r="F375" s="39">
        <v>0</v>
      </c>
    </row>
    <row r="376" spans="1:6" x14ac:dyDescent="0.25">
      <c r="A376" s="1">
        <v>4004229</v>
      </c>
      <c r="B376" s="1" t="s">
        <v>2901</v>
      </c>
      <c r="C376" s="1" t="s">
        <v>6049</v>
      </c>
      <c r="D376" s="39">
        <v>0</v>
      </c>
      <c r="E376" s="1" t="s">
        <v>1</v>
      </c>
      <c r="F376" s="39">
        <v>0</v>
      </c>
    </row>
    <row r="377" spans="1:6" x14ac:dyDescent="0.25">
      <c r="A377" s="1">
        <v>4004230</v>
      </c>
      <c r="B377" s="1" t="s">
        <v>2902</v>
      </c>
      <c r="C377" s="1" t="s">
        <v>6049</v>
      </c>
      <c r="D377" s="39">
        <v>0</v>
      </c>
      <c r="E377" s="1" t="s">
        <v>1</v>
      </c>
      <c r="F377" s="39">
        <v>0</v>
      </c>
    </row>
    <row r="378" spans="1:6" x14ac:dyDescent="0.25">
      <c r="A378" s="1">
        <v>4004231</v>
      </c>
      <c r="B378" s="1" t="s">
        <v>2903</v>
      </c>
      <c r="C378" s="1" t="s">
        <v>6049</v>
      </c>
      <c r="D378" s="39">
        <v>0</v>
      </c>
      <c r="E378" s="1" t="s">
        <v>1</v>
      </c>
      <c r="F378" s="39">
        <v>0</v>
      </c>
    </row>
    <row r="379" spans="1:6" x14ac:dyDescent="0.25">
      <c r="A379" s="1">
        <v>4004232</v>
      </c>
      <c r="B379" s="1" t="s">
        <v>2904</v>
      </c>
      <c r="C379" s="1" t="s">
        <v>6049</v>
      </c>
      <c r="D379" s="39">
        <v>0</v>
      </c>
      <c r="E379" s="1" t="s">
        <v>1</v>
      </c>
      <c r="F379" s="39">
        <v>0</v>
      </c>
    </row>
    <row r="380" spans="1:6" x14ac:dyDescent="0.25">
      <c r="A380" s="1">
        <v>4004233</v>
      </c>
      <c r="B380" s="1" t="s">
        <v>2905</v>
      </c>
      <c r="C380" s="1" t="s">
        <v>6049</v>
      </c>
      <c r="D380" s="39">
        <v>0</v>
      </c>
      <c r="E380" s="1" t="s">
        <v>1</v>
      </c>
      <c r="F380" s="39">
        <v>0</v>
      </c>
    </row>
    <row r="381" spans="1:6" x14ac:dyDescent="0.25">
      <c r="A381" s="1">
        <v>4004234</v>
      </c>
      <c r="B381" s="1" t="s">
        <v>2906</v>
      </c>
      <c r="C381" s="1" t="s">
        <v>6049</v>
      </c>
      <c r="D381" s="39">
        <v>0</v>
      </c>
      <c r="E381" s="1" t="s">
        <v>1</v>
      </c>
      <c r="F381" s="39">
        <v>0</v>
      </c>
    </row>
    <row r="382" spans="1:6" x14ac:dyDescent="0.25">
      <c r="A382" s="1">
        <v>4004235</v>
      </c>
      <c r="B382" s="1" t="s">
        <v>2907</v>
      </c>
      <c r="C382" s="1" t="s">
        <v>6049</v>
      </c>
      <c r="D382" s="39">
        <v>0</v>
      </c>
      <c r="E382" s="1" t="s">
        <v>1</v>
      </c>
      <c r="F382" s="39">
        <v>0</v>
      </c>
    </row>
    <row r="383" spans="1:6" x14ac:dyDescent="0.25">
      <c r="A383" s="1">
        <v>4004236</v>
      </c>
      <c r="B383" s="1" t="s">
        <v>2908</v>
      </c>
      <c r="C383" s="1" t="s">
        <v>6049</v>
      </c>
      <c r="D383" s="39">
        <v>0</v>
      </c>
      <c r="E383" s="1" t="s">
        <v>1</v>
      </c>
      <c r="F383" s="39">
        <v>0</v>
      </c>
    </row>
    <row r="384" spans="1:6" x14ac:dyDescent="0.25">
      <c r="A384" s="1">
        <v>4004260</v>
      </c>
      <c r="B384" s="1" t="s">
        <v>2909</v>
      </c>
      <c r="C384" s="1" t="s">
        <v>6049</v>
      </c>
      <c r="D384" s="39">
        <v>0</v>
      </c>
      <c r="E384" s="1" t="s">
        <v>1</v>
      </c>
      <c r="F384" s="39">
        <v>0</v>
      </c>
    </row>
    <row r="385" spans="1:6" x14ac:dyDescent="0.25">
      <c r="A385" s="1">
        <v>4004401</v>
      </c>
      <c r="B385" s="1" t="s">
        <v>1664</v>
      </c>
      <c r="C385" s="1" t="s">
        <v>6049</v>
      </c>
      <c r="D385" s="39">
        <v>0</v>
      </c>
      <c r="E385" s="1" t="s">
        <v>1</v>
      </c>
      <c r="F385" s="39">
        <v>0</v>
      </c>
    </row>
    <row r="386" spans="1:6" x14ac:dyDescent="0.25">
      <c r="A386" s="1">
        <v>4004402</v>
      </c>
      <c r="B386" s="1" t="s">
        <v>2915</v>
      </c>
      <c r="C386" s="1" t="s">
        <v>6049</v>
      </c>
      <c r="D386" s="39">
        <v>0</v>
      </c>
      <c r="E386" s="1" t="s">
        <v>1</v>
      </c>
      <c r="F386" s="39">
        <v>0</v>
      </c>
    </row>
    <row r="387" spans="1:6" x14ac:dyDescent="0.25">
      <c r="A387" s="1">
        <v>4004479</v>
      </c>
      <c r="B387" s="1" t="s">
        <v>2921</v>
      </c>
      <c r="C387" s="1" t="s">
        <v>6049</v>
      </c>
      <c r="D387" s="39">
        <v>0</v>
      </c>
      <c r="E387" s="1" t="s">
        <v>1</v>
      </c>
      <c r="F387" s="39">
        <v>0</v>
      </c>
    </row>
    <row r="388" spans="1:6" x14ac:dyDescent="0.25">
      <c r="A388" s="1">
        <v>4004530</v>
      </c>
      <c r="B388" s="1" t="s">
        <v>2922</v>
      </c>
      <c r="C388" s="1" t="s">
        <v>6049</v>
      </c>
      <c r="D388" s="39">
        <v>0</v>
      </c>
      <c r="E388" s="1" t="s">
        <v>1</v>
      </c>
      <c r="F388" s="39">
        <v>0</v>
      </c>
    </row>
    <row r="389" spans="1:6" x14ac:dyDescent="0.25">
      <c r="A389" s="1">
        <v>4004532</v>
      </c>
      <c r="B389" s="1" t="s">
        <v>2923</v>
      </c>
      <c r="C389" s="1" t="s">
        <v>6049</v>
      </c>
      <c r="D389" s="39">
        <v>0</v>
      </c>
      <c r="E389" s="1" t="s">
        <v>1</v>
      </c>
      <c r="F389" s="39">
        <v>0</v>
      </c>
    </row>
    <row r="390" spans="1:6" x14ac:dyDescent="0.25">
      <c r="A390" s="1">
        <v>4004533</v>
      </c>
      <c r="B390" s="1" t="s">
        <v>2924</v>
      </c>
      <c r="C390" s="1" t="s">
        <v>6049</v>
      </c>
      <c r="D390" s="39">
        <v>0</v>
      </c>
      <c r="E390" s="1" t="s">
        <v>1</v>
      </c>
      <c r="F390" s="39">
        <v>0</v>
      </c>
    </row>
    <row r="391" spans="1:6" x14ac:dyDescent="0.25">
      <c r="A391" s="1">
        <v>4004534</v>
      </c>
      <c r="B391" s="1" t="s">
        <v>2925</v>
      </c>
      <c r="C391" s="1" t="s">
        <v>6049</v>
      </c>
      <c r="D391" s="39">
        <v>0</v>
      </c>
      <c r="E391" s="1" t="s">
        <v>1</v>
      </c>
      <c r="F391" s="39">
        <v>0</v>
      </c>
    </row>
    <row r="392" spans="1:6" x14ac:dyDescent="0.25">
      <c r="A392" s="1">
        <v>4004535</v>
      </c>
      <c r="B392" s="1" t="s">
        <v>2926</v>
      </c>
      <c r="C392" s="1" t="s">
        <v>6049</v>
      </c>
      <c r="D392" s="39">
        <v>0</v>
      </c>
      <c r="E392" s="1" t="s">
        <v>1</v>
      </c>
      <c r="F392" s="39">
        <v>0</v>
      </c>
    </row>
    <row r="393" spans="1:6" x14ac:dyDescent="0.25">
      <c r="A393" s="1">
        <v>4004536</v>
      </c>
      <c r="B393" s="1" t="s">
        <v>2927</v>
      </c>
      <c r="C393" s="1" t="s">
        <v>6049</v>
      </c>
      <c r="D393" s="39">
        <v>0</v>
      </c>
      <c r="E393" s="1" t="s">
        <v>1</v>
      </c>
      <c r="F393" s="39">
        <v>0</v>
      </c>
    </row>
    <row r="394" spans="1:6" x14ac:dyDescent="0.25">
      <c r="A394" s="1">
        <v>4004537</v>
      </c>
      <c r="B394" s="1" t="s">
        <v>2928</v>
      </c>
      <c r="C394" s="1" t="s">
        <v>6049</v>
      </c>
      <c r="D394" s="39">
        <v>0</v>
      </c>
      <c r="E394" s="1" t="s">
        <v>1</v>
      </c>
      <c r="F394" s="39">
        <v>0</v>
      </c>
    </row>
    <row r="395" spans="1:6" x14ac:dyDescent="0.25">
      <c r="A395" s="1">
        <v>4004538</v>
      </c>
      <c r="B395" s="1" t="s">
        <v>2929</v>
      </c>
      <c r="C395" s="1" t="s">
        <v>6049</v>
      </c>
      <c r="D395" s="39">
        <v>0</v>
      </c>
      <c r="E395" s="1" t="s">
        <v>1</v>
      </c>
      <c r="F395" s="39">
        <v>0</v>
      </c>
    </row>
    <row r="396" spans="1:6" x14ac:dyDescent="0.25">
      <c r="A396" s="1">
        <v>4004539</v>
      </c>
      <c r="B396" s="1" t="s">
        <v>2930</v>
      </c>
      <c r="C396" s="1" t="s">
        <v>6049</v>
      </c>
      <c r="D396" s="39">
        <v>0</v>
      </c>
      <c r="E396" s="1" t="s">
        <v>1</v>
      </c>
      <c r="F396" s="39">
        <v>0</v>
      </c>
    </row>
    <row r="397" spans="1:6" x14ac:dyDescent="0.25">
      <c r="A397" s="1">
        <v>4004540</v>
      </c>
      <c r="B397" s="1" t="s">
        <v>2931</v>
      </c>
      <c r="C397" s="1" t="s">
        <v>6049</v>
      </c>
      <c r="D397" s="39">
        <v>0</v>
      </c>
      <c r="E397" s="1" t="s">
        <v>1</v>
      </c>
      <c r="F397" s="39">
        <v>0</v>
      </c>
    </row>
    <row r="398" spans="1:6" x14ac:dyDescent="0.25">
      <c r="A398" s="1">
        <v>4004541</v>
      </c>
      <c r="B398" s="1" t="s">
        <v>2932</v>
      </c>
      <c r="C398" s="1" t="s">
        <v>6049</v>
      </c>
      <c r="D398" s="39">
        <v>0</v>
      </c>
      <c r="E398" s="1" t="s">
        <v>1</v>
      </c>
      <c r="F398" s="39">
        <v>0</v>
      </c>
    </row>
    <row r="399" spans="1:6" x14ac:dyDescent="0.25">
      <c r="A399" s="1">
        <v>4004542</v>
      </c>
      <c r="B399" s="1" t="s">
        <v>2933</v>
      </c>
      <c r="C399" s="1" t="s">
        <v>6049</v>
      </c>
      <c r="D399" s="39">
        <v>0</v>
      </c>
      <c r="E399" s="1" t="s">
        <v>1</v>
      </c>
      <c r="F399" s="39">
        <v>0</v>
      </c>
    </row>
    <row r="400" spans="1:6" x14ac:dyDescent="0.25">
      <c r="A400" s="1">
        <v>4004543</v>
      </c>
      <c r="B400" s="1" t="s">
        <v>2934</v>
      </c>
      <c r="C400" s="1" t="s">
        <v>6049</v>
      </c>
      <c r="D400" s="39">
        <v>0</v>
      </c>
      <c r="E400" s="1" t="s">
        <v>1</v>
      </c>
      <c r="F400" s="39">
        <v>0</v>
      </c>
    </row>
    <row r="401" spans="1:6" x14ac:dyDescent="0.25">
      <c r="A401" s="1">
        <v>4004544</v>
      </c>
      <c r="B401" s="1" t="s">
        <v>2935</v>
      </c>
      <c r="C401" s="1" t="s">
        <v>6049</v>
      </c>
      <c r="D401" s="39">
        <v>0</v>
      </c>
      <c r="E401" s="1" t="s">
        <v>1</v>
      </c>
      <c r="F401" s="39">
        <v>0</v>
      </c>
    </row>
    <row r="402" spans="1:6" x14ac:dyDescent="0.25">
      <c r="A402" s="1">
        <v>4004597</v>
      </c>
      <c r="B402" s="1" t="s">
        <v>2936</v>
      </c>
      <c r="C402" s="1" t="s">
        <v>6049</v>
      </c>
      <c r="D402" s="39">
        <v>0</v>
      </c>
      <c r="E402" s="1" t="s">
        <v>1</v>
      </c>
      <c r="F402" s="39">
        <v>0</v>
      </c>
    </row>
    <row r="403" spans="1:6" x14ac:dyDescent="0.25">
      <c r="A403" s="1">
        <v>4004598</v>
      </c>
      <c r="B403" s="1" t="s">
        <v>1136</v>
      </c>
      <c r="C403" s="1" t="s">
        <v>6049</v>
      </c>
      <c r="D403" s="39">
        <v>0</v>
      </c>
      <c r="E403" s="1" t="s">
        <v>1</v>
      </c>
      <c r="F403" s="39">
        <v>0</v>
      </c>
    </row>
    <row r="404" spans="1:6" x14ac:dyDescent="0.25">
      <c r="A404" s="1">
        <v>4004599</v>
      </c>
      <c r="B404" s="1" t="s">
        <v>2937</v>
      </c>
      <c r="C404" s="1" t="s">
        <v>6049</v>
      </c>
      <c r="D404" s="39">
        <v>0</v>
      </c>
      <c r="E404" s="1" t="s">
        <v>1</v>
      </c>
      <c r="F404" s="39">
        <v>0</v>
      </c>
    </row>
    <row r="405" spans="1:6" x14ac:dyDescent="0.25">
      <c r="A405" s="1">
        <v>4004677</v>
      </c>
      <c r="B405" s="1" t="s">
        <v>2938</v>
      </c>
      <c r="C405" s="1" t="s">
        <v>6049</v>
      </c>
      <c r="D405" s="39">
        <v>0</v>
      </c>
      <c r="E405" s="1" t="s">
        <v>1</v>
      </c>
      <c r="F405" s="39">
        <v>0</v>
      </c>
    </row>
    <row r="406" spans="1:6" x14ac:dyDescent="0.25">
      <c r="A406" s="1">
        <v>4004678</v>
      </c>
      <c r="B406" s="1" t="s">
        <v>2939</v>
      </c>
      <c r="C406" s="1" t="s">
        <v>6049</v>
      </c>
      <c r="D406" s="39">
        <v>0</v>
      </c>
      <c r="E406" s="1" t="s">
        <v>1</v>
      </c>
      <c r="F406" s="39">
        <v>0</v>
      </c>
    </row>
    <row r="407" spans="1:6" x14ac:dyDescent="0.25">
      <c r="A407" s="1">
        <v>4004679</v>
      </c>
      <c r="B407" s="1" t="s">
        <v>2940</v>
      </c>
      <c r="C407" s="1" t="s">
        <v>6049</v>
      </c>
      <c r="D407" s="39">
        <v>0</v>
      </c>
      <c r="E407" s="1" t="s">
        <v>1</v>
      </c>
      <c r="F407" s="39">
        <v>0</v>
      </c>
    </row>
    <row r="408" spans="1:6" x14ac:dyDescent="0.25">
      <c r="A408" s="1">
        <v>4004694</v>
      </c>
      <c r="B408" s="1" t="s">
        <v>2941</v>
      </c>
      <c r="C408" s="1" t="s">
        <v>6049</v>
      </c>
      <c r="D408" s="39">
        <v>0</v>
      </c>
      <c r="E408" s="1" t="s">
        <v>1</v>
      </c>
      <c r="F408" s="39">
        <v>0</v>
      </c>
    </row>
    <row r="409" spans="1:6" x14ac:dyDescent="0.25">
      <c r="A409" s="1">
        <v>4004695</v>
      </c>
      <c r="B409" s="1" t="s">
        <v>2942</v>
      </c>
      <c r="C409" s="1" t="s">
        <v>6049</v>
      </c>
      <c r="D409" s="39">
        <v>0</v>
      </c>
      <c r="E409" s="1" t="s">
        <v>1</v>
      </c>
      <c r="F409" s="39">
        <v>0</v>
      </c>
    </row>
    <row r="410" spans="1:6" x14ac:dyDescent="0.25">
      <c r="A410" s="1">
        <v>4004697</v>
      </c>
      <c r="B410" s="1" t="s">
        <v>2944</v>
      </c>
      <c r="C410" s="1" t="s">
        <v>6049</v>
      </c>
      <c r="D410" s="39">
        <v>0</v>
      </c>
      <c r="E410" s="1" t="s">
        <v>1</v>
      </c>
      <c r="F410" s="39">
        <v>0</v>
      </c>
    </row>
    <row r="411" spans="1:6" x14ac:dyDescent="0.25">
      <c r="A411" s="1">
        <v>4004698</v>
      </c>
      <c r="B411" s="1" t="s">
        <v>2945</v>
      </c>
      <c r="C411" s="1" t="s">
        <v>6049</v>
      </c>
      <c r="D411" s="39">
        <v>0</v>
      </c>
      <c r="E411" s="1" t="s">
        <v>1</v>
      </c>
      <c r="F411" s="39">
        <v>0</v>
      </c>
    </row>
    <row r="412" spans="1:6" x14ac:dyDescent="0.25">
      <c r="A412" s="1">
        <v>4004700</v>
      </c>
      <c r="B412" s="1" t="s">
        <v>970</v>
      </c>
      <c r="C412" s="1" t="s">
        <v>6049</v>
      </c>
      <c r="D412" s="39">
        <v>0</v>
      </c>
      <c r="E412" s="1" t="s">
        <v>1</v>
      </c>
      <c r="F412" s="39">
        <v>0</v>
      </c>
    </row>
    <row r="413" spans="1:6" x14ac:dyDescent="0.25">
      <c r="A413" s="1">
        <v>4004701</v>
      </c>
      <c r="B413" s="1" t="s">
        <v>2946</v>
      </c>
      <c r="C413" s="1" t="s">
        <v>6049</v>
      </c>
      <c r="D413" s="39">
        <v>0</v>
      </c>
      <c r="E413" s="1" t="s">
        <v>1</v>
      </c>
      <c r="F413" s="39">
        <v>0</v>
      </c>
    </row>
    <row r="414" spans="1:6" x14ac:dyDescent="0.25">
      <c r="A414" s="1">
        <v>4004710</v>
      </c>
      <c r="B414" s="1" t="s">
        <v>180</v>
      </c>
      <c r="C414" s="1" t="s">
        <v>6049</v>
      </c>
      <c r="D414" s="39">
        <v>0</v>
      </c>
      <c r="E414" s="1" t="s">
        <v>1</v>
      </c>
      <c r="F414" s="39">
        <v>0</v>
      </c>
    </row>
    <row r="415" spans="1:6" x14ac:dyDescent="0.25">
      <c r="A415" s="1">
        <v>4004730</v>
      </c>
      <c r="B415" s="1" t="s">
        <v>2949</v>
      </c>
      <c r="C415" s="1" t="s">
        <v>6049</v>
      </c>
      <c r="D415" s="39">
        <v>0</v>
      </c>
      <c r="E415" s="1" t="s">
        <v>1</v>
      </c>
      <c r="F415" s="39">
        <v>0</v>
      </c>
    </row>
    <row r="416" spans="1:6" x14ac:dyDescent="0.25">
      <c r="A416" s="1">
        <v>4004774</v>
      </c>
      <c r="B416" s="1" t="s">
        <v>2952</v>
      </c>
      <c r="C416" s="1" t="s">
        <v>6049</v>
      </c>
      <c r="D416" s="39">
        <v>0</v>
      </c>
      <c r="E416" s="1" t="s">
        <v>1</v>
      </c>
      <c r="F416" s="39">
        <v>0</v>
      </c>
    </row>
    <row r="417" spans="1:6" x14ac:dyDescent="0.25">
      <c r="A417" s="1">
        <v>4004880</v>
      </c>
      <c r="B417" s="1" t="s">
        <v>2953</v>
      </c>
      <c r="C417" s="1" t="s">
        <v>6049</v>
      </c>
      <c r="D417" s="39">
        <v>0</v>
      </c>
      <c r="E417" s="1" t="s">
        <v>1</v>
      </c>
      <c r="F417" s="39">
        <v>0</v>
      </c>
    </row>
    <row r="418" spans="1:6" x14ac:dyDescent="0.25">
      <c r="A418" s="1">
        <v>4004881</v>
      </c>
      <c r="B418" s="1" t="s">
        <v>1444</v>
      </c>
      <c r="C418" s="1" t="s">
        <v>6049</v>
      </c>
      <c r="D418" s="39">
        <v>0</v>
      </c>
      <c r="E418" s="1" t="s">
        <v>1</v>
      </c>
      <c r="F418" s="39">
        <v>0</v>
      </c>
    </row>
    <row r="419" spans="1:6" x14ac:dyDescent="0.25">
      <c r="A419" s="1">
        <v>4004917</v>
      </c>
      <c r="B419" s="1" t="s">
        <v>706</v>
      </c>
      <c r="C419" s="1" t="s">
        <v>6049</v>
      </c>
      <c r="D419" s="39">
        <v>18600</v>
      </c>
      <c r="E419" s="1" t="s">
        <v>1</v>
      </c>
      <c r="F419" s="3">
        <v>2101.8000000000002</v>
      </c>
    </row>
    <row r="420" spans="1:6" x14ac:dyDescent="0.25">
      <c r="A420" s="1">
        <v>4004920</v>
      </c>
      <c r="B420" s="1" t="s">
        <v>1765</v>
      </c>
      <c r="C420" s="1" t="s">
        <v>6049</v>
      </c>
      <c r="D420" s="39">
        <v>0</v>
      </c>
      <c r="E420" s="1" t="s">
        <v>1</v>
      </c>
      <c r="F420" s="39">
        <v>0</v>
      </c>
    </row>
    <row r="421" spans="1:6" x14ac:dyDescent="0.25">
      <c r="A421" s="1">
        <v>4004927</v>
      </c>
      <c r="B421" s="1" t="s">
        <v>373</v>
      </c>
      <c r="C421" s="1" t="s">
        <v>6049</v>
      </c>
      <c r="D421" s="39">
        <v>0</v>
      </c>
      <c r="E421" s="1" t="s">
        <v>1</v>
      </c>
      <c r="F421" s="39">
        <v>0</v>
      </c>
    </row>
    <row r="422" spans="1:6" x14ac:dyDescent="0.25">
      <c r="A422" s="1">
        <v>4004930</v>
      </c>
      <c r="B422" s="1" t="s">
        <v>2955</v>
      </c>
      <c r="C422" s="1" t="s">
        <v>6049</v>
      </c>
      <c r="D422" s="39">
        <v>0</v>
      </c>
      <c r="E422" s="1" t="s">
        <v>1</v>
      </c>
      <c r="F422" s="39">
        <v>0</v>
      </c>
    </row>
    <row r="423" spans="1:6" x14ac:dyDescent="0.25">
      <c r="A423" s="1">
        <v>4005044</v>
      </c>
      <c r="B423" s="1" t="s">
        <v>2957</v>
      </c>
      <c r="C423" s="1" t="s">
        <v>6049</v>
      </c>
      <c r="D423" s="39">
        <v>0</v>
      </c>
      <c r="E423" s="1" t="s">
        <v>1</v>
      </c>
      <c r="F423" s="39">
        <v>0</v>
      </c>
    </row>
    <row r="424" spans="1:6" x14ac:dyDescent="0.25">
      <c r="A424" s="1">
        <v>4005045</v>
      </c>
      <c r="B424" s="1" t="s">
        <v>2958</v>
      </c>
      <c r="C424" s="1" t="s">
        <v>6049</v>
      </c>
      <c r="D424" s="39">
        <v>0</v>
      </c>
      <c r="E424" s="1" t="s">
        <v>1</v>
      </c>
      <c r="F424" s="39">
        <v>0</v>
      </c>
    </row>
    <row r="425" spans="1:6" x14ac:dyDescent="0.25">
      <c r="A425" s="1">
        <v>4005046</v>
      </c>
      <c r="B425" s="1" t="s">
        <v>2959</v>
      </c>
      <c r="C425" s="1" t="s">
        <v>6049</v>
      </c>
      <c r="D425" s="39">
        <v>0</v>
      </c>
      <c r="E425" s="1" t="s">
        <v>1</v>
      </c>
      <c r="F425" s="39">
        <v>0</v>
      </c>
    </row>
    <row r="426" spans="1:6" x14ac:dyDescent="0.25">
      <c r="A426" s="1">
        <v>4005048</v>
      </c>
      <c r="B426" s="1" t="s">
        <v>2960</v>
      </c>
      <c r="C426" s="1" t="s">
        <v>6049</v>
      </c>
      <c r="D426" s="39">
        <v>0</v>
      </c>
      <c r="E426" s="1" t="s">
        <v>1</v>
      </c>
      <c r="F426" s="39">
        <v>0</v>
      </c>
    </row>
    <row r="427" spans="1:6" x14ac:dyDescent="0.25">
      <c r="A427" s="1">
        <v>4005049</v>
      </c>
      <c r="B427" s="1" t="s">
        <v>2961</v>
      </c>
      <c r="C427" s="1" t="s">
        <v>6049</v>
      </c>
      <c r="D427" s="39">
        <v>0</v>
      </c>
      <c r="E427" s="1" t="s">
        <v>1</v>
      </c>
      <c r="F427" s="39">
        <v>0</v>
      </c>
    </row>
    <row r="428" spans="1:6" x14ac:dyDescent="0.25">
      <c r="A428" s="1">
        <v>4005076</v>
      </c>
      <c r="B428" s="1" t="s">
        <v>2962</v>
      </c>
      <c r="C428" s="1" t="s">
        <v>6049</v>
      </c>
      <c r="D428" s="39">
        <v>0</v>
      </c>
      <c r="E428" s="1" t="s">
        <v>1</v>
      </c>
      <c r="F428" s="39">
        <v>0</v>
      </c>
    </row>
    <row r="429" spans="1:6" x14ac:dyDescent="0.25">
      <c r="A429" s="1">
        <v>4005077</v>
      </c>
      <c r="B429" s="1" t="s">
        <v>2963</v>
      </c>
      <c r="C429" s="1" t="s">
        <v>6049</v>
      </c>
      <c r="D429" s="39">
        <v>0</v>
      </c>
      <c r="E429" s="1" t="s">
        <v>1</v>
      </c>
      <c r="F429" s="39">
        <v>0</v>
      </c>
    </row>
    <row r="430" spans="1:6" x14ac:dyDescent="0.25">
      <c r="A430" s="1">
        <v>4005078</v>
      </c>
      <c r="B430" s="1" t="s">
        <v>2964</v>
      </c>
      <c r="C430" s="1" t="s">
        <v>6049</v>
      </c>
      <c r="D430" s="39">
        <v>0</v>
      </c>
      <c r="E430" s="1" t="s">
        <v>1</v>
      </c>
      <c r="F430" s="39">
        <v>0</v>
      </c>
    </row>
    <row r="431" spans="1:6" x14ac:dyDescent="0.25">
      <c r="A431" s="1">
        <v>4005080</v>
      </c>
      <c r="B431" s="1" t="s">
        <v>2965</v>
      </c>
      <c r="C431" s="1" t="s">
        <v>6049</v>
      </c>
      <c r="D431" s="39">
        <v>0</v>
      </c>
      <c r="E431" s="1" t="s">
        <v>1</v>
      </c>
      <c r="F431" s="39">
        <v>0</v>
      </c>
    </row>
    <row r="432" spans="1:6" x14ac:dyDescent="0.25">
      <c r="A432" s="1">
        <v>4005081</v>
      </c>
      <c r="B432" s="1" t="s">
        <v>2966</v>
      </c>
      <c r="C432" s="1" t="s">
        <v>6049</v>
      </c>
      <c r="D432" s="39">
        <v>0</v>
      </c>
      <c r="E432" s="1" t="s">
        <v>1</v>
      </c>
      <c r="F432" s="39">
        <v>0</v>
      </c>
    </row>
    <row r="433" spans="1:6" x14ac:dyDescent="0.25">
      <c r="A433" s="1">
        <v>4005082</v>
      </c>
      <c r="B433" s="1" t="s">
        <v>2967</v>
      </c>
      <c r="C433" s="1" t="s">
        <v>6049</v>
      </c>
      <c r="D433" s="39">
        <v>0</v>
      </c>
      <c r="E433" s="1" t="s">
        <v>1</v>
      </c>
      <c r="F433" s="39">
        <v>0</v>
      </c>
    </row>
    <row r="434" spans="1:6" x14ac:dyDescent="0.25">
      <c r="A434" s="1">
        <v>4005083</v>
      </c>
      <c r="B434" s="1" t="s">
        <v>2968</v>
      </c>
      <c r="C434" s="1" t="s">
        <v>6049</v>
      </c>
      <c r="D434" s="39">
        <v>0</v>
      </c>
      <c r="E434" s="1" t="s">
        <v>1</v>
      </c>
      <c r="F434" s="39">
        <v>0</v>
      </c>
    </row>
    <row r="435" spans="1:6" x14ac:dyDescent="0.25">
      <c r="A435" s="1">
        <v>4005084</v>
      </c>
      <c r="B435" s="1" t="s">
        <v>2969</v>
      </c>
      <c r="C435" s="1" t="s">
        <v>6049</v>
      </c>
      <c r="D435" s="39">
        <v>0</v>
      </c>
      <c r="E435" s="1" t="s">
        <v>1</v>
      </c>
      <c r="F435" s="39">
        <v>0</v>
      </c>
    </row>
    <row r="436" spans="1:6" x14ac:dyDescent="0.25">
      <c r="A436" s="1">
        <v>4005085</v>
      </c>
      <c r="B436" s="1" t="s">
        <v>2970</v>
      </c>
      <c r="C436" s="1" t="s">
        <v>6049</v>
      </c>
      <c r="D436" s="39">
        <v>0</v>
      </c>
      <c r="E436" s="1" t="s">
        <v>1</v>
      </c>
      <c r="F436" s="39">
        <v>0</v>
      </c>
    </row>
    <row r="437" spans="1:6" x14ac:dyDescent="0.25">
      <c r="A437" s="1">
        <v>4005240</v>
      </c>
      <c r="B437" s="1" t="s">
        <v>367</v>
      </c>
      <c r="C437" s="1" t="s">
        <v>6049</v>
      </c>
      <c r="D437" s="39">
        <v>0</v>
      </c>
      <c r="E437" s="1" t="s">
        <v>1</v>
      </c>
      <c r="F437" s="39">
        <v>0</v>
      </c>
    </row>
    <row r="438" spans="1:6" x14ac:dyDescent="0.25">
      <c r="A438" s="1">
        <v>4005241</v>
      </c>
      <c r="B438" s="1" t="s">
        <v>374</v>
      </c>
      <c r="C438" s="1" t="s">
        <v>6049</v>
      </c>
      <c r="D438" s="39">
        <v>0</v>
      </c>
      <c r="E438" s="1" t="s">
        <v>1</v>
      </c>
      <c r="F438" s="39">
        <v>0</v>
      </c>
    </row>
    <row r="439" spans="1:6" x14ac:dyDescent="0.25">
      <c r="A439" s="1">
        <v>4005244</v>
      </c>
      <c r="B439" s="1" t="s">
        <v>1759</v>
      </c>
      <c r="C439" s="1" t="s">
        <v>6049</v>
      </c>
      <c r="D439" s="39">
        <v>0</v>
      </c>
      <c r="E439" s="1" t="s">
        <v>1</v>
      </c>
      <c r="F439" s="39">
        <v>0</v>
      </c>
    </row>
    <row r="440" spans="1:6" x14ac:dyDescent="0.25">
      <c r="A440" s="1">
        <v>4005245</v>
      </c>
      <c r="B440" s="1" t="s">
        <v>738</v>
      </c>
      <c r="C440" s="1" t="s">
        <v>6049</v>
      </c>
      <c r="D440" s="39">
        <v>0</v>
      </c>
      <c r="E440" s="1" t="s">
        <v>1</v>
      </c>
      <c r="F440" s="39">
        <v>0</v>
      </c>
    </row>
    <row r="441" spans="1:6" x14ac:dyDescent="0.25">
      <c r="A441" s="1">
        <v>4005248</v>
      </c>
      <c r="B441" s="1" t="s">
        <v>2974</v>
      </c>
      <c r="C441" s="1" t="s">
        <v>6049</v>
      </c>
      <c r="D441" s="39">
        <v>0</v>
      </c>
      <c r="E441" s="1" t="s">
        <v>1</v>
      </c>
      <c r="F441" s="39">
        <v>0</v>
      </c>
    </row>
    <row r="442" spans="1:6" x14ac:dyDescent="0.25">
      <c r="A442" s="1">
        <v>4005251</v>
      </c>
      <c r="B442" s="1" t="s">
        <v>6050</v>
      </c>
      <c r="C442" s="1" t="s">
        <v>6049</v>
      </c>
      <c r="D442" s="39">
        <v>0</v>
      </c>
      <c r="E442" s="1" t="s">
        <v>1</v>
      </c>
      <c r="F442" s="39">
        <v>0</v>
      </c>
    </row>
    <row r="443" spans="1:6" x14ac:dyDescent="0.25">
      <c r="A443" s="1">
        <v>4005404</v>
      </c>
      <c r="B443" s="1" t="s">
        <v>214</v>
      </c>
      <c r="C443" s="1" t="s">
        <v>6049</v>
      </c>
      <c r="D443" s="40">
        <v>425.47</v>
      </c>
      <c r="E443" s="1" t="s">
        <v>3</v>
      </c>
      <c r="F443" s="3">
        <v>14495.51</v>
      </c>
    </row>
    <row r="444" spans="1:6" x14ac:dyDescent="0.25">
      <c r="A444" s="1">
        <v>4005405</v>
      </c>
      <c r="B444" s="1" t="s">
        <v>215</v>
      </c>
      <c r="C444" s="1" t="s">
        <v>6049</v>
      </c>
      <c r="D444" s="40">
        <v>273.27999999999997</v>
      </c>
      <c r="E444" s="1" t="s">
        <v>3</v>
      </c>
      <c r="F444" s="3">
        <v>4950.03</v>
      </c>
    </row>
    <row r="445" spans="1:6" x14ac:dyDescent="0.25">
      <c r="A445" s="1">
        <v>4005407</v>
      </c>
      <c r="B445" s="1" t="s">
        <v>1514</v>
      </c>
      <c r="C445" s="1" t="s">
        <v>6049</v>
      </c>
      <c r="D445" s="39">
        <v>294</v>
      </c>
      <c r="E445" s="1" t="s">
        <v>1</v>
      </c>
      <c r="F445" s="3">
        <v>2147.94</v>
      </c>
    </row>
    <row r="446" spans="1:6" x14ac:dyDescent="0.25">
      <c r="A446" s="1">
        <v>4005420</v>
      </c>
      <c r="B446" s="1" t="s">
        <v>2988</v>
      </c>
      <c r="C446" s="1" t="s">
        <v>6049</v>
      </c>
      <c r="D446" s="39">
        <v>0</v>
      </c>
      <c r="E446" s="1" t="s">
        <v>1</v>
      </c>
      <c r="F446" s="39">
        <v>0</v>
      </c>
    </row>
    <row r="447" spans="1:6" x14ac:dyDescent="0.25">
      <c r="A447" s="1">
        <v>4005421</v>
      </c>
      <c r="B447" s="1" t="s">
        <v>6051</v>
      </c>
      <c r="C447" s="1" t="s">
        <v>6049</v>
      </c>
      <c r="D447" s="39">
        <v>0</v>
      </c>
      <c r="E447" s="1" t="s">
        <v>1</v>
      </c>
      <c r="F447" s="39">
        <v>0</v>
      </c>
    </row>
    <row r="448" spans="1:6" x14ac:dyDescent="0.25">
      <c r="A448" s="1">
        <v>4005423</v>
      </c>
      <c r="B448" s="1" t="s">
        <v>2989</v>
      </c>
      <c r="C448" s="1" t="s">
        <v>6049</v>
      </c>
      <c r="D448" s="39">
        <v>0</v>
      </c>
      <c r="E448" s="1" t="s">
        <v>1</v>
      </c>
      <c r="F448" s="39">
        <v>0</v>
      </c>
    </row>
    <row r="449" spans="1:6" x14ac:dyDescent="0.25">
      <c r="A449" s="1">
        <v>4005515</v>
      </c>
      <c r="B449" s="1" t="s">
        <v>2997</v>
      </c>
      <c r="C449" s="1" t="s">
        <v>6049</v>
      </c>
      <c r="D449" s="39">
        <v>0</v>
      </c>
      <c r="E449" s="1" t="s">
        <v>1</v>
      </c>
      <c r="F449" s="39">
        <v>0</v>
      </c>
    </row>
    <row r="450" spans="1:6" x14ac:dyDescent="0.25">
      <c r="A450" s="1">
        <v>4005737</v>
      </c>
      <c r="B450" s="1" t="s">
        <v>1610</v>
      </c>
      <c r="C450" s="1" t="s">
        <v>6049</v>
      </c>
      <c r="D450" s="39">
        <v>188</v>
      </c>
      <c r="E450" s="1" t="s">
        <v>1</v>
      </c>
      <c r="F450" s="3">
        <v>1473.92</v>
      </c>
    </row>
    <row r="451" spans="1:6" x14ac:dyDescent="0.25">
      <c r="A451" s="1">
        <v>4005739</v>
      </c>
      <c r="B451" s="1" t="s">
        <v>1630</v>
      </c>
      <c r="C451" s="1" t="s">
        <v>6049</v>
      </c>
      <c r="D451" s="39">
        <v>763</v>
      </c>
      <c r="E451" s="1" t="s">
        <v>1</v>
      </c>
      <c r="F451" s="3">
        <v>2782.81</v>
      </c>
    </row>
    <row r="452" spans="1:6" x14ac:dyDescent="0.25">
      <c r="A452" s="1">
        <v>4005778</v>
      </c>
      <c r="B452" s="1" t="s">
        <v>1611</v>
      </c>
      <c r="C452" s="1" t="s">
        <v>6049</v>
      </c>
      <c r="D452" s="40">
        <v>282.25</v>
      </c>
      <c r="E452" s="1" t="s">
        <v>3</v>
      </c>
      <c r="F452" s="3">
        <v>9450.6299999999992</v>
      </c>
    </row>
    <row r="453" spans="1:6" x14ac:dyDescent="0.25">
      <c r="A453" s="1">
        <v>4005780</v>
      </c>
      <c r="B453" s="1" t="s">
        <v>1631</v>
      </c>
      <c r="C453" s="1" t="s">
        <v>6049</v>
      </c>
      <c r="D453" s="39">
        <v>7</v>
      </c>
      <c r="E453" s="1" t="s">
        <v>3</v>
      </c>
      <c r="F453" s="3">
        <v>116.56</v>
      </c>
    </row>
    <row r="454" spans="1:6" x14ac:dyDescent="0.25">
      <c r="A454" s="1">
        <v>4005782</v>
      </c>
      <c r="B454" s="1" t="s">
        <v>1581</v>
      </c>
      <c r="C454" s="1" t="s">
        <v>6049</v>
      </c>
      <c r="D454" s="40">
        <v>296.63299999999998</v>
      </c>
      <c r="E454" s="1" t="s">
        <v>3</v>
      </c>
      <c r="F454" s="3">
        <v>9939.2199999999993</v>
      </c>
    </row>
    <row r="455" spans="1:6" x14ac:dyDescent="0.25">
      <c r="A455" s="1">
        <v>4005783</v>
      </c>
      <c r="B455" s="1" t="s">
        <v>1559</v>
      </c>
      <c r="C455" s="1" t="s">
        <v>6049</v>
      </c>
      <c r="D455" s="40">
        <v>215.18</v>
      </c>
      <c r="E455" s="1" t="s">
        <v>3</v>
      </c>
      <c r="F455" s="3">
        <v>6823.87</v>
      </c>
    </row>
    <row r="456" spans="1:6" x14ac:dyDescent="0.25">
      <c r="A456" s="1">
        <v>4005790</v>
      </c>
      <c r="B456" s="1" t="s">
        <v>1560</v>
      </c>
      <c r="C456" s="1" t="s">
        <v>6049</v>
      </c>
      <c r="D456" s="39">
        <v>733</v>
      </c>
      <c r="E456" s="1" t="s">
        <v>1</v>
      </c>
      <c r="F456" s="3">
        <v>2448</v>
      </c>
    </row>
    <row r="457" spans="1:6" x14ac:dyDescent="0.25">
      <c r="A457" s="1">
        <v>4005791</v>
      </c>
      <c r="B457" s="1" t="s">
        <v>1582</v>
      </c>
      <c r="C457" s="1" t="s">
        <v>6049</v>
      </c>
      <c r="D457" s="39">
        <v>320</v>
      </c>
      <c r="E457" s="1" t="s">
        <v>1</v>
      </c>
      <c r="F457" s="3">
        <v>1258.1400000000001</v>
      </c>
    </row>
    <row r="458" spans="1:6" x14ac:dyDescent="0.25">
      <c r="A458" s="1">
        <v>4005792</v>
      </c>
      <c r="B458" s="1" t="s">
        <v>3006</v>
      </c>
      <c r="C458" s="1" t="s">
        <v>6049</v>
      </c>
      <c r="D458" s="39">
        <v>0</v>
      </c>
      <c r="E458" s="1" t="s">
        <v>1</v>
      </c>
      <c r="F458" s="39">
        <v>0</v>
      </c>
    </row>
    <row r="459" spans="1:6" x14ac:dyDescent="0.25">
      <c r="A459" s="1">
        <v>4005812</v>
      </c>
      <c r="B459" s="1" t="s">
        <v>3007</v>
      </c>
      <c r="C459" s="1" t="s">
        <v>6049</v>
      </c>
      <c r="D459" s="39">
        <v>0</v>
      </c>
      <c r="E459" s="1" t="s">
        <v>1</v>
      </c>
      <c r="F459" s="39">
        <v>0</v>
      </c>
    </row>
    <row r="460" spans="1:6" x14ac:dyDescent="0.25">
      <c r="A460" s="1">
        <v>4005843</v>
      </c>
      <c r="B460" s="1" t="s">
        <v>3008</v>
      </c>
      <c r="C460" s="1" t="s">
        <v>6049</v>
      </c>
      <c r="D460" s="39">
        <v>0</v>
      </c>
      <c r="E460" s="1" t="s">
        <v>1</v>
      </c>
      <c r="F460" s="39">
        <v>0</v>
      </c>
    </row>
    <row r="461" spans="1:6" x14ac:dyDescent="0.25">
      <c r="A461" s="1">
        <v>4005912</v>
      </c>
      <c r="B461" s="1" t="s">
        <v>3013</v>
      </c>
      <c r="C461" s="1" t="s">
        <v>6049</v>
      </c>
      <c r="D461" s="39">
        <v>0</v>
      </c>
      <c r="E461" s="1" t="s">
        <v>1</v>
      </c>
      <c r="F461" s="39">
        <v>0</v>
      </c>
    </row>
    <row r="462" spans="1:6" x14ac:dyDescent="0.25">
      <c r="A462" s="1">
        <v>4005945</v>
      </c>
      <c r="B462" s="1" t="s">
        <v>1544</v>
      </c>
      <c r="C462" s="1" t="s">
        <v>6049</v>
      </c>
      <c r="D462" s="39">
        <v>1798</v>
      </c>
      <c r="E462" s="1" t="s">
        <v>1</v>
      </c>
      <c r="F462" s="3">
        <v>5423.12</v>
      </c>
    </row>
    <row r="463" spans="1:6" x14ac:dyDescent="0.25">
      <c r="A463" s="1">
        <v>4005950</v>
      </c>
      <c r="B463" s="1" t="s">
        <v>1265</v>
      </c>
      <c r="C463" s="1" t="s">
        <v>6049</v>
      </c>
      <c r="D463" s="39">
        <v>17382</v>
      </c>
      <c r="E463" s="1" t="s">
        <v>1</v>
      </c>
      <c r="F463" s="3">
        <v>2480.41</v>
      </c>
    </row>
    <row r="464" spans="1:6" x14ac:dyDescent="0.25">
      <c r="A464" s="1">
        <v>4005951</v>
      </c>
      <c r="B464" s="1" t="s">
        <v>1266</v>
      </c>
      <c r="C464" s="1" t="s">
        <v>6049</v>
      </c>
      <c r="D464" s="39">
        <v>773</v>
      </c>
      <c r="E464" s="1" t="s">
        <v>1</v>
      </c>
      <c r="F464" s="3">
        <v>2442.5300000000002</v>
      </c>
    </row>
    <row r="465" spans="1:6" x14ac:dyDescent="0.25">
      <c r="A465" s="1">
        <v>4005953</v>
      </c>
      <c r="B465" s="1" t="s">
        <v>1267</v>
      </c>
      <c r="C465" s="1" t="s">
        <v>6049</v>
      </c>
      <c r="D465" s="39">
        <v>1170</v>
      </c>
      <c r="E465" s="1" t="s">
        <v>1</v>
      </c>
      <c r="F465" s="3">
        <v>766.94</v>
      </c>
    </row>
    <row r="466" spans="1:6" x14ac:dyDescent="0.25">
      <c r="A466" s="1">
        <v>4005967</v>
      </c>
      <c r="B466" s="1" t="s">
        <v>3016</v>
      </c>
      <c r="C466" s="1" t="s">
        <v>6049</v>
      </c>
      <c r="D466" s="39">
        <v>0</v>
      </c>
      <c r="E466" s="1" t="s">
        <v>1</v>
      </c>
      <c r="F466" s="39">
        <v>0</v>
      </c>
    </row>
    <row r="467" spans="1:6" x14ac:dyDescent="0.25">
      <c r="A467" s="1">
        <v>4006002</v>
      </c>
      <c r="B467" s="1" t="s">
        <v>3017</v>
      </c>
      <c r="C467" s="1" t="s">
        <v>6049</v>
      </c>
      <c r="D467" s="39">
        <v>0</v>
      </c>
      <c r="E467" s="1" t="s">
        <v>1</v>
      </c>
      <c r="F467" s="39">
        <v>0</v>
      </c>
    </row>
    <row r="468" spans="1:6" x14ac:dyDescent="0.25">
      <c r="A468" s="1">
        <v>4006003</v>
      </c>
      <c r="B468" s="1" t="s">
        <v>3018</v>
      </c>
      <c r="C468" s="1" t="s">
        <v>6049</v>
      </c>
      <c r="D468" s="39">
        <v>0</v>
      </c>
      <c r="E468" s="1" t="s">
        <v>1</v>
      </c>
      <c r="F468" s="39">
        <v>0</v>
      </c>
    </row>
    <row r="469" spans="1:6" x14ac:dyDescent="0.25">
      <c r="A469" s="1">
        <v>4006004</v>
      </c>
      <c r="B469" s="1" t="s">
        <v>3019</v>
      </c>
      <c r="C469" s="1" t="s">
        <v>6049</v>
      </c>
      <c r="D469" s="39">
        <v>0</v>
      </c>
      <c r="E469" s="1" t="s">
        <v>1</v>
      </c>
      <c r="F469" s="39">
        <v>0</v>
      </c>
    </row>
    <row r="470" spans="1:6" x14ac:dyDescent="0.25">
      <c r="A470" s="1">
        <v>4006110</v>
      </c>
      <c r="B470" s="1" t="s">
        <v>3030</v>
      </c>
      <c r="C470" s="1" t="s">
        <v>6049</v>
      </c>
      <c r="D470" s="39">
        <v>0</v>
      </c>
      <c r="E470" s="1" t="s">
        <v>1</v>
      </c>
      <c r="F470" s="39">
        <v>0</v>
      </c>
    </row>
    <row r="471" spans="1:6" x14ac:dyDescent="0.25">
      <c r="A471" s="1">
        <v>4006128</v>
      </c>
      <c r="B471" s="1" t="s">
        <v>3046</v>
      </c>
      <c r="C471" s="1" t="s">
        <v>6049</v>
      </c>
      <c r="D471" s="39">
        <v>0</v>
      </c>
      <c r="E471" s="1" t="s">
        <v>1</v>
      </c>
      <c r="F471" s="39">
        <v>0</v>
      </c>
    </row>
    <row r="472" spans="1:6" x14ac:dyDescent="0.25">
      <c r="A472" s="1">
        <v>4006129</v>
      </c>
      <c r="B472" s="1" t="s">
        <v>3047</v>
      </c>
      <c r="C472" s="1" t="s">
        <v>6049</v>
      </c>
      <c r="D472" s="39">
        <v>0</v>
      </c>
      <c r="E472" s="1" t="s">
        <v>1</v>
      </c>
      <c r="F472" s="39">
        <v>0</v>
      </c>
    </row>
    <row r="473" spans="1:6" x14ac:dyDescent="0.25">
      <c r="A473" s="1">
        <v>4006189</v>
      </c>
      <c r="B473" s="1" t="s">
        <v>3068</v>
      </c>
      <c r="C473" s="1" t="s">
        <v>6049</v>
      </c>
      <c r="D473" s="39">
        <v>0</v>
      </c>
      <c r="E473" s="1" t="s">
        <v>1</v>
      </c>
      <c r="F473" s="39">
        <v>0</v>
      </c>
    </row>
    <row r="474" spans="1:6" x14ac:dyDescent="0.25">
      <c r="A474" s="1">
        <v>4006340</v>
      </c>
      <c r="B474" s="1" t="s">
        <v>6052</v>
      </c>
      <c r="C474" s="1" t="s">
        <v>6049</v>
      </c>
      <c r="D474" s="39">
        <v>0</v>
      </c>
      <c r="E474" s="1" t="s">
        <v>1</v>
      </c>
      <c r="F474" s="39">
        <v>0</v>
      </c>
    </row>
    <row r="475" spans="1:6" x14ac:dyDescent="0.25">
      <c r="A475" s="1">
        <v>4006395</v>
      </c>
      <c r="B475" s="1" t="s">
        <v>1720</v>
      </c>
      <c r="C475" s="1" t="s">
        <v>6049</v>
      </c>
      <c r="D475" s="39">
        <v>4742</v>
      </c>
      <c r="E475" s="1" t="s">
        <v>1</v>
      </c>
      <c r="F475" s="3">
        <v>334.79</v>
      </c>
    </row>
    <row r="476" spans="1:6" x14ac:dyDescent="0.25">
      <c r="A476" s="1">
        <v>4006396</v>
      </c>
      <c r="B476" s="1" t="s">
        <v>1725</v>
      </c>
      <c r="C476" s="1" t="s">
        <v>6049</v>
      </c>
      <c r="D476" s="39">
        <v>5386</v>
      </c>
      <c r="E476" s="1" t="s">
        <v>1</v>
      </c>
      <c r="F476" s="3">
        <v>352.78</v>
      </c>
    </row>
    <row r="477" spans="1:6" x14ac:dyDescent="0.25">
      <c r="A477" s="1">
        <v>4006397</v>
      </c>
      <c r="B477" s="1" t="s">
        <v>1715</v>
      </c>
      <c r="C477" s="1" t="s">
        <v>6049</v>
      </c>
      <c r="D477" s="39">
        <v>416</v>
      </c>
      <c r="E477" s="1" t="s">
        <v>1</v>
      </c>
      <c r="F477" s="3">
        <v>30.83</v>
      </c>
    </row>
    <row r="478" spans="1:6" x14ac:dyDescent="0.25">
      <c r="A478" s="1">
        <v>4006398</v>
      </c>
      <c r="B478" s="1" t="s">
        <v>3072</v>
      </c>
      <c r="C478" s="1" t="s">
        <v>6049</v>
      </c>
      <c r="D478" s="39">
        <v>0</v>
      </c>
      <c r="E478" s="1" t="s">
        <v>1</v>
      </c>
      <c r="F478" s="39">
        <v>0</v>
      </c>
    </row>
    <row r="479" spans="1:6" x14ac:dyDescent="0.25">
      <c r="A479" s="1">
        <v>4006399</v>
      </c>
      <c r="B479" s="1" t="s">
        <v>1709</v>
      </c>
      <c r="C479" s="1" t="s">
        <v>6049</v>
      </c>
      <c r="D479" s="39">
        <v>266</v>
      </c>
      <c r="E479" s="1" t="s">
        <v>1</v>
      </c>
      <c r="F479" s="3">
        <v>985.56</v>
      </c>
    </row>
    <row r="480" spans="1:6" x14ac:dyDescent="0.25">
      <c r="A480" s="1">
        <v>4006456</v>
      </c>
      <c r="B480" s="1" t="s">
        <v>191</v>
      </c>
      <c r="C480" s="1" t="s">
        <v>6049</v>
      </c>
      <c r="D480" s="39">
        <v>2164</v>
      </c>
      <c r="E480" s="1" t="s">
        <v>1</v>
      </c>
      <c r="F480" s="3">
        <v>4022.22</v>
      </c>
    </row>
    <row r="481" spans="1:6" x14ac:dyDescent="0.25">
      <c r="A481" s="1">
        <v>4006943</v>
      </c>
      <c r="B481" s="1" t="s">
        <v>3077</v>
      </c>
      <c r="C481" s="1" t="s">
        <v>6049</v>
      </c>
      <c r="D481" s="39">
        <v>0</v>
      </c>
      <c r="E481" s="1" t="s">
        <v>1</v>
      </c>
      <c r="F481" s="39">
        <v>0</v>
      </c>
    </row>
    <row r="482" spans="1:6" x14ac:dyDescent="0.25">
      <c r="A482" s="1">
        <v>4006944</v>
      </c>
      <c r="B482" s="1" t="s">
        <v>1676</v>
      </c>
      <c r="C482" s="1" t="s">
        <v>6049</v>
      </c>
      <c r="D482" s="39">
        <v>21076</v>
      </c>
      <c r="E482" s="1" t="s">
        <v>1</v>
      </c>
      <c r="F482" s="3">
        <v>2360.5100000000002</v>
      </c>
    </row>
    <row r="483" spans="1:6" x14ac:dyDescent="0.25">
      <c r="A483" s="1">
        <v>4007020</v>
      </c>
      <c r="B483" s="1" t="s">
        <v>733</v>
      </c>
      <c r="C483" s="1" t="s">
        <v>6049</v>
      </c>
      <c r="D483" s="39">
        <v>2122</v>
      </c>
      <c r="E483" s="1" t="s">
        <v>1</v>
      </c>
      <c r="F483" s="3">
        <v>150.24</v>
      </c>
    </row>
    <row r="484" spans="1:6" x14ac:dyDescent="0.25">
      <c r="A484" s="1">
        <v>4007021</v>
      </c>
      <c r="B484" s="1" t="s">
        <v>717</v>
      </c>
      <c r="C484" s="1" t="s">
        <v>6049</v>
      </c>
      <c r="D484" s="39">
        <v>0</v>
      </c>
      <c r="E484" s="1" t="s">
        <v>1</v>
      </c>
      <c r="F484" s="39">
        <v>0</v>
      </c>
    </row>
    <row r="485" spans="1:6" x14ac:dyDescent="0.25">
      <c r="A485" s="1">
        <v>4007022</v>
      </c>
      <c r="B485" s="1" t="s">
        <v>723</v>
      </c>
      <c r="C485" s="1" t="s">
        <v>6049</v>
      </c>
      <c r="D485" s="39">
        <v>14252</v>
      </c>
      <c r="E485" s="1" t="s">
        <v>1</v>
      </c>
      <c r="F485" s="3">
        <v>933.51</v>
      </c>
    </row>
    <row r="486" spans="1:6" x14ac:dyDescent="0.25">
      <c r="A486" s="1">
        <v>4007023</v>
      </c>
      <c r="B486" s="1" t="s">
        <v>728</v>
      </c>
      <c r="C486" s="1" t="s">
        <v>6049</v>
      </c>
      <c r="D486" s="39">
        <v>13660</v>
      </c>
      <c r="E486" s="1" t="s">
        <v>1</v>
      </c>
      <c r="F486" s="3">
        <v>967.13</v>
      </c>
    </row>
    <row r="487" spans="1:6" x14ac:dyDescent="0.25">
      <c r="A487" s="1">
        <v>4007129</v>
      </c>
      <c r="B487" s="1" t="s">
        <v>3084</v>
      </c>
      <c r="C487" s="1" t="s">
        <v>6049</v>
      </c>
      <c r="D487" s="39">
        <v>0</v>
      </c>
      <c r="E487" s="1" t="s">
        <v>1</v>
      </c>
      <c r="F487" s="39">
        <v>0</v>
      </c>
    </row>
    <row r="488" spans="1:6" x14ac:dyDescent="0.25">
      <c r="A488" s="1">
        <v>4007196</v>
      </c>
      <c r="B488" s="1" t="s">
        <v>52</v>
      </c>
      <c r="C488" s="1" t="s">
        <v>6049</v>
      </c>
      <c r="D488" s="39">
        <v>0</v>
      </c>
      <c r="E488" s="1" t="s">
        <v>1</v>
      </c>
      <c r="F488" s="39">
        <v>0</v>
      </c>
    </row>
    <row r="489" spans="1:6" x14ac:dyDescent="0.25">
      <c r="A489" s="1">
        <v>4007245</v>
      </c>
      <c r="B489" s="1" t="s">
        <v>3108</v>
      </c>
      <c r="C489" s="1" t="s">
        <v>6049</v>
      </c>
      <c r="D489" s="39">
        <v>0</v>
      </c>
      <c r="E489" s="1" t="s">
        <v>1</v>
      </c>
      <c r="F489" s="39">
        <v>0</v>
      </c>
    </row>
    <row r="490" spans="1:6" x14ac:dyDescent="0.25">
      <c r="A490" s="1">
        <v>4007345</v>
      </c>
      <c r="B490" s="1" t="s">
        <v>597</v>
      </c>
      <c r="C490" s="1" t="s">
        <v>6049</v>
      </c>
      <c r="D490" s="39">
        <v>78</v>
      </c>
      <c r="E490" s="1" t="s">
        <v>1</v>
      </c>
      <c r="F490" s="3">
        <v>246.83</v>
      </c>
    </row>
    <row r="491" spans="1:6" x14ac:dyDescent="0.25">
      <c r="A491" s="1">
        <v>4007347</v>
      </c>
      <c r="B491" s="1" t="s">
        <v>192</v>
      </c>
      <c r="C491" s="1" t="s">
        <v>6049</v>
      </c>
      <c r="D491" s="39">
        <v>1880</v>
      </c>
      <c r="E491" s="1" t="s">
        <v>1</v>
      </c>
      <c r="F491" s="3">
        <v>1487.27</v>
      </c>
    </row>
    <row r="492" spans="1:6" x14ac:dyDescent="0.25">
      <c r="A492" s="1">
        <v>4007348</v>
      </c>
      <c r="B492" s="1" t="s">
        <v>193</v>
      </c>
      <c r="C492" s="1" t="s">
        <v>6049</v>
      </c>
      <c r="D492" s="39">
        <v>6253</v>
      </c>
      <c r="E492" s="1" t="s">
        <v>1</v>
      </c>
      <c r="F492" s="3">
        <v>1642.66</v>
      </c>
    </row>
    <row r="493" spans="1:6" x14ac:dyDescent="0.25">
      <c r="A493" s="1">
        <v>4007359</v>
      </c>
      <c r="B493" s="1" t="s">
        <v>3120</v>
      </c>
      <c r="C493" s="1" t="s">
        <v>6049</v>
      </c>
      <c r="D493" s="39">
        <v>0</v>
      </c>
      <c r="E493" s="1" t="s">
        <v>1</v>
      </c>
      <c r="F493" s="39">
        <v>0</v>
      </c>
    </row>
    <row r="494" spans="1:6" x14ac:dyDescent="0.25">
      <c r="A494" s="1">
        <v>4007454</v>
      </c>
      <c r="B494" s="1" t="s">
        <v>3131</v>
      </c>
      <c r="C494" s="1" t="s">
        <v>6049</v>
      </c>
      <c r="D494" s="39">
        <v>0</v>
      </c>
      <c r="E494" s="1" t="s">
        <v>1</v>
      </c>
      <c r="F494" s="39">
        <v>0</v>
      </c>
    </row>
    <row r="495" spans="1:6" x14ac:dyDescent="0.25">
      <c r="A495" s="1">
        <v>4007480</v>
      </c>
      <c r="B495" s="1" t="s">
        <v>868</v>
      </c>
      <c r="C495" s="1" t="s">
        <v>6049</v>
      </c>
      <c r="D495" s="39">
        <v>0</v>
      </c>
      <c r="E495" s="1" t="s">
        <v>1</v>
      </c>
      <c r="F495" s="39">
        <v>0</v>
      </c>
    </row>
    <row r="496" spans="1:6" x14ac:dyDescent="0.25">
      <c r="A496" s="1">
        <v>4007488</v>
      </c>
      <c r="B496" s="1" t="s">
        <v>3135</v>
      </c>
      <c r="C496" s="1" t="s">
        <v>6049</v>
      </c>
      <c r="D496" s="39">
        <v>0</v>
      </c>
      <c r="E496" s="1" t="s">
        <v>1</v>
      </c>
      <c r="F496" s="39">
        <v>0</v>
      </c>
    </row>
    <row r="497" spans="1:6" x14ac:dyDescent="0.25">
      <c r="A497" s="1">
        <v>4007489</v>
      </c>
      <c r="B497" s="1" t="s">
        <v>3136</v>
      </c>
      <c r="C497" s="1" t="s">
        <v>6049</v>
      </c>
      <c r="D497" s="39">
        <v>0</v>
      </c>
      <c r="E497" s="1" t="s">
        <v>1</v>
      </c>
      <c r="F497" s="39">
        <v>0</v>
      </c>
    </row>
    <row r="498" spans="1:6" x14ac:dyDescent="0.25">
      <c r="A498" s="1">
        <v>4007520</v>
      </c>
      <c r="B498" s="1" t="s">
        <v>3137</v>
      </c>
      <c r="C498" s="1" t="s">
        <v>6049</v>
      </c>
      <c r="D498" s="39">
        <v>0</v>
      </c>
      <c r="E498" s="1" t="s">
        <v>1</v>
      </c>
      <c r="F498" s="39">
        <v>0</v>
      </c>
    </row>
    <row r="499" spans="1:6" x14ac:dyDescent="0.25">
      <c r="A499" s="1">
        <v>4007521</v>
      </c>
      <c r="B499" s="1" t="s">
        <v>3138</v>
      </c>
      <c r="C499" s="1" t="s">
        <v>6049</v>
      </c>
      <c r="D499" s="39">
        <v>0</v>
      </c>
      <c r="E499" s="1" t="s">
        <v>1</v>
      </c>
      <c r="F499" s="39">
        <v>0</v>
      </c>
    </row>
    <row r="500" spans="1:6" x14ac:dyDescent="0.25">
      <c r="A500" s="1">
        <v>4007522</v>
      </c>
      <c r="B500" s="1" t="s">
        <v>3139</v>
      </c>
      <c r="C500" s="1" t="s">
        <v>6049</v>
      </c>
      <c r="D500" s="39">
        <v>0</v>
      </c>
      <c r="E500" s="1" t="s">
        <v>1</v>
      </c>
      <c r="F500" s="39">
        <v>0</v>
      </c>
    </row>
    <row r="501" spans="1:6" x14ac:dyDescent="0.25">
      <c r="A501" s="1">
        <v>4008312</v>
      </c>
      <c r="B501" s="1" t="s">
        <v>97</v>
      </c>
      <c r="C501" s="1" t="s">
        <v>6049</v>
      </c>
      <c r="D501" s="39">
        <v>1050</v>
      </c>
      <c r="E501" s="1" t="s">
        <v>1</v>
      </c>
      <c r="F501" s="3">
        <v>1498.46</v>
      </c>
    </row>
    <row r="502" spans="1:6" x14ac:dyDescent="0.25">
      <c r="A502" s="1">
        <v>4008393</v>
      </c>
      <c r="B502" s="1" t="s">
        <v>3150</v>
      </c>
      <c r="C502" s="1" t="s">
        <v>6049</v>
      </c>
      <c r="D502" s="39">
        <v>0</v>
      </c>
      <c r="E502" s="1" t="s">
        <v>1</v>
      </c>
      <c r="F502" s="39">
        <v>0</v>
      </c>
    </row>
    <row r="503" spans="1:6" x14ac:dyDescent="0.25">
      <c r="A503" s="1">
        <v>4008394</v>
      </c>
      <c r="B503" s="1" t="s">
        <v>3151</v>
      </c>
      <c r="C503" s="1" t="s">
        <v>6049</v>
      </c>
      <c r="D503" s="39">
        <v>0</v>
      </c>
      <c r="E503" s="1" t="s">
        <v>1</v>
      </c>
      <c r="F503" s="39">
        <v>0</v>
      </c>
    </row>
    <row r="504" spans="1:6" x14ac:dyDescent="0.25">
      <c r="A504" s="1">
        <v>4008395</v>
      </c>
      <c r="B504" s="1" t="s">
        <v>3152</v>
      </c>
      <c r="C504" s="1" t="s">
        <v>6049</v>
      </c>
      <c r="D504" s="39">
        <v>0</v>
      </c>
      <c r="E504" s="1" t="s">
        <v>1</v>
      </c>
      <c r="F504" s="39">
        <v>0</v>
      </c>
    </row>
    <row r="505" spans="1:6" x14ac:dyDescent="0.25">
      <c r="A505" s="1">
        <v>4008396</v>
      </c>
      <c r="B505" s="1" t="s">
        <v>3153</v>
      </c>
      <c r="C505" s="1" t="s">
        <v>6049</v>
      </c>
      <c r="D505" s="39">
        <v>0</v>
      </c>
      <c r="E505" s="1" t="s">
        <v>1</v>
      </c>
      <c r="F505" s="39">
        <v>0</v>
      </c>
    </row>
    <row r="506" spans="1:6" x14ac:dyDescent="0.25">
      <c r="A506" s="1">
        <v>4008400</v>
      </c>
      <c r="B506" s="1" t="s">
        <v>6053</v>
      </c>
      <c r="C506" s="1" t="s">
        <v>6049</v>
      </c>
      <c r="D506" s="39">
        <v>0</v>
      </c>
      <c r="E506" s="1" t="s">
        <v>1</v>
      </c>
      <c r="F506" s="39">
        <v>0</v>
      </c>
    </row>
    <row r="507" spans="1:6" x14ac:dyDescent="0.25">
      <c r="A507" s="1">
        <v>4008401</v>
      </c>
      <c r="B507" s="1" t="s">
        <v>3154</v>
      </c>
      <c r="C507" s="1" t="s">
        <v>6049</v>
      </c>
      <c r="D507" s="39">
        <v>0</v>
      </c>
      <c r="E507" s="1" t="s">
        <v>1</v>
      </c>
      <c r="F507" s="39">
        <v>0</v>
      </c>
    </row>
    <row r="508" spans="1:6" x14ac:dyDescent="0.25">
      <c r="A508" s="1">
        <v>4008402</v>
      </c>
      <c r="B508" s="1" t="s">
        <v>3155</v>
      </c>
      <c r="C508" s="1" t="s">
        <v>6049</v>
      </c>
      <c r="D508" s="39">
        <v>0</v>
      </c>
      <c r="E508" s="1" t="s">
        <v>1</v>
      </c>
      <c r="F508" s="39">
        <v>0</v>
      </c>
    </row>
    <row r="509" spans="1:6" x14ac:dyDescent="0.25">
      <c r="A509" s="1">
        <v>4008403</v>
      </c>
      <c r="B509" s="1" t="s">
        <v>3156</v>
      </c>
      <c r="C509" s="1" t="s">
        <v>6049</v>
      </c>
      <c r="D509" s="39">
        <v>490</v>
      </c>
      <c r="E509" s="1" t="s">
        <v>1</v>
      </c>
      <c r="F509" s="3">
        <v>2316.5700000000002</v>
      </c>
    </row>
    <row r="510" spans="1:6" x14ac:dyDescent="0.25">
      <c r="A510" s="1">
        <v>4008404</v>
      </c>
      <c r="B510" s="1" t="s">
        <v>1104</v>
      </c>
      <c r="C510" s="1" t="s">
        <v>6049</v>
      </c>
      <c r="D510" s="39">
        <v>6916</v>
      </c>
      <c r="E510" s="1" t="s">
        <v>1</v>
      </c>
      <c r="F510" s="3">
        <v>394.91</v>
      </c>
    </row>
    <row r="511" spans="1:6" x14ac:dyDescent="0.25">
      <c r="A511" s="1">
        <v>4008405</v>
      </c>
      <c r="B511" s="1" t="s">
        <v>3157</v>
      </c>
      <c r="C511" s="1" t="s">
        <v>6049</v>
      </c>
      <c r="D511" s="39">
        <v>0</v>
      </c>
      <c r="E511" s="1" t="s">
        <v>1</v>
      </c>
      <c r="F511" s="39">
        <v>0</v>
      </c>
    </row>
    <row r="512" spans="1:6" x14ac:dyDescent="0.25">
      <c r="A512" s="1">
        <v>4008406</v>
      </c>
      <c r="B512" s="1" t="s">
        <v>1112</v>
      </c>
      <c r="C512" s="1" t="s">
        <v>6049</v>
      </c>
      <c r="D512" s="39">
        <v>11876</v>
      </c>
      <c r="E512" s="1" t="s">
        <v>1</v>
      </c>
      <c r="F512" s="3">
        <v>535.61</v>
      </c>
    </row>
    <row r="513" spans="1:6" x14ac:dyDescent="0.25">
      <c r="A513" s="1">
        <v>4008407</v>
      </c>
      <c r="B513" s="1" t="s">
        <v>1117</v>
      </c>
      <c r="C513" s="1" t="s">
        <v>6049</v>
      </c>
      <c r="D513" s="39">
        <v>628</v>
      </c>
      <c r="E513" s="1" t="s">
        <v>1</v>
      </c>
      <c r="F513" s="3">
        <v>40.69</v>
      </c>
    </row>
    <row r="514" spans="1:6" x14ac:dyDescent="0.25">
      <c r="A514" s="1">
        <v>4008420</v>
      </c>
      <c r="B514" s="1" t="s">
        <v>6054</v>
      </c>
      <c r="C514" s="1" t="s">
        <v>6049</v>
      </c>
      <c r="D514" s="39">
        <v>0</v>
      </c>
      <c r="E514" s="1" t="s">
        <v>1</v>
      </c>
      <c r="F514" s="39">
        <v>0</v>
      </c>
    </row>
    <row r="515" spans="1:6" x14ac:dyDescent="0.25">
      <c r="A515" s="1">
        <v>4008489</v>
      </c>
      <c r="B515" s="1" t="s">
        <v>3167</v>
      </c>
      <c r="C515" s="1" t="s">
        <v>6049</v>
      </c>
      <c r="D515" s="39">
        <v>0</v>
      </c>
      <c r="E515" s="1" t="s">
        <v>1</v>
      </c>
      <c r="F515" s="39">
        <v>0</v>
      </c>
    </row>
    <row r="516" spans="1:6" x14ac:dyDescent="0.25">
      <c r="A516" s="1">
        <v>4008510</v>
      </c>
      <c r="B516" s="1" t="s">
        <v>3168</v>
      </c>
      <c r="C516" s="1" t="s">
        <v>6049</v>
      </c>
      <c r="D516" s="39">
        <v>0</v>
      </c>
      <c r="E516" s="1" t="s">
        <v>1</v>
      </c>
      <c r="F516" s="39">
        <v>0</v>
      </c>
    </row>
    <row r="517" spans="1:6" x14ac:dyDescent="0.25">
      <c r="A517" s="1">
        <v>4008516</v>
      </c>
      <c r="B517" s="1" t="s">
        <v>3169</v>
      </c>
      <c r="C517" s="1" t="s">
        <v>6049</v>
      </c>
      <c r="D517" s="39">
        <v>0</v>
      </c>
      <c r="E517" s="1" t="s">
        <v>1</v>
      </c>
      <c r="F517" s="39">
        <v>0</v>
      </c>
    </row>
    <row r="518" spans="1:6" x14ac:dyDescent="0.25">
      <c r="A518" s="1">
        <v>4008519</v>
      </c>
      <c r="B518" s="1" t="s">
        <v>3170</v>
      </c>
      <c r="C518" s="1" t="s">
        <v>6049</v>
      </c>
      <c r="D518" s="39">
        <v>0</v>
      </c>
      <c r="E518" s="1" t="s">
        <v>1</v>
      </c>
      <c r="F518" s="39">
        <v>0</v>
      </c>
    </row>
    <row r="519" spans="1:6" x14ac:dyDescent="0.25">
      <c r="A519" s="1">
        <v>4008520</v>
      </c>
      <c r="B519" s="1" t="s">
        <v>3171</v>
      </c>
      <c r="C519" s="1" t="s">
        <v>6049</v>
      </c>
      <c r="D519" s="39">
        <v>0</v>
      </c>
      <c r="E519" s="1" t="s">
        <v>1</v>
      </c>
      <c r="F519" s="39">
        <v>0</v>
      </c>
    </row>
    <row r="520" spans="1:6" x14ac:dyDescent="0.25">
      <c r="A520" s="1">
        <v>4008522</v>
      </c>
      <c r="B520" s="1" t="s">
        <v>3172</v>
      </c>
      <c r="C520" s="1" t="s">
        <v>6049</v>
      </c>
      <c r="D520" s="39">
        <v>0</v>
      </c>
      <c r="E520" s="1" t="s">
        <v>1</v>
      </c>
      <c r="F520" s="39">
        <v>0</v>
      </c>
    </row>
    <row r="521" spans="1:6" x14ac:dyDescent="0.25">
      <c r="A521" s="1">
        <v>4008524</v>
      </c>
      <c r="B521" s="1" t="s">
        <v>3173</v>
      </c>
      <c r="C521" s="1" t="s">
        <v>6049</v>
      </c>
      <c r="D521" s="39">
        <v>0</v>
      </c>
      <c r="E521" s="1" t="s">
        <v>1</v>
      </c>
      <c r="F521" s="39">
        <v>0</v>
      </c>
    </row>
    <row r="522" spans="1:6" x14ac:dyDescent="0.25">
      <c r="A522" s="1">
        <v>4008525</v>
      </c>
      <c r="B522" s="1" t="s">
        <v>3174</v>
      </c>
      <c r="C522" s="1" t="s">
        <v>6049</v>
      </c>
      <c r="D522" s="39">
        <v>0</v>
      </c>
      <c r="E522" s="1" t="s">
        <v>1</v>
      </c>
      <c r="F522" s="39">
        <v>0</v>
      </c>
    </row>
    <row r="523" spans="1:6" x14ac:dyDescent="0.25">
      <c r="A523" s="1">
        <v>4008527</v>
      </c>
      <c r="B523" s="1" t="s">
        <v>3175</v>
      </c>
      <c r="C523" s="1" t="s">
        <v>6049</v>
      </c>
      <c r="D523" s="39">
        <v>0</v>
      </c>
      <c r="E523" s="1" t="s">
        <v>1</v>
      </c>
      <c r="F523" s="39">
        <v>0</v>
      </c>
    </row>
    <row r="524" spans="1:6" x14ac:dyDescent="0.25">
      <c r="A524" s="1">
        <v>4008534</v>
      </c>
      <c r="B524" s="1" t="s">
        <v>3176</v>
      </c>
      <c r="C524" s="1" t="s">
        <v>6049</v>
      </c>
      <c r="D524" s="39">
        <v>0</v>
      </c>
      <c r="E524" s="1" t="s">
        <v>1</v>
      </c>
      <c r="F524" s="39">
        <v>0</v>
      </c>
    </row>
    <row r="525" spans="1:6" x14ac:dyDescent="0.25">
      <c r="A525" s="1">
        <v>4008536</v>
      </c>
      <c r="B525" s="1" t="s">
        <v>3177</v>
      </c>
      <c r="C525" s="1" t="s">
        <v>6049</v>
      </c>
      <c r="D525" s="39">
        <v>0</v>
      </c>
      <c r="E525" s="1" t="s">
        <v>1</v>
      </c>
      <c r="F525" s="39">
        <v>0</v>
      </c>
    </row>
    <row r="526" spans="1:6" x14ac:dyDescent="0.25">
      <c r="A526" s="1">
        <v>4008550</v>
      </c>
      <c r="B526" s="1" t="s">
        <v>3178</v>
      </c>
      <c r="C526" s="1" t="s">
        <v>6049</v>
      </c>
      <c r="D526" s="39">
        <v>0</v>
      </c>
      <c r="E526" s="1" t="s">
        <v>1</v>
      </c>
      <c r="F526" s="39">
        <v>0</v>
      </c>
    </row>
    <row r="527" spans="1:6" x14ac:dyDescent="0.25">
      <c r="A527" s="1">
        <v>4008664</v>
      </c>
      <c r="B527" s="1" t="s">
        <v>1440</v>
      </c>
      <c r="C527" s="1" t="s">
        <v>6049</v>
      </c>
      <c r="D527" s="39">
        <v>0</v>
      </c>
      <c r="E527" s="1" t="s">
        <v>1</v>
      </c>
      <c r="F527" s="39">
        <v>0</v>
      </c>
    </row>
    <row r="528" spans="1:6" x14ac:dyDescent="0.25">
      <c r="A528" s="1">
        <v>4008673</v>
      </c>
      <c r="B528" s="1" t="s">
        <v>1420</v>
      </c>
      <c r="C528" s="1" t="s">
        <v>6049</v>
      </c>
      <c r="D528" s="39">
        <v>561</v>
      </c>
      <c r="E528" s="1" t="s">
        <v>1</v>
      </c>
      <c r="F528" s="3">
        <v>4658.1499999999996</v>
      </c>
    </row>
    <row r="529" spans="1:6" x14ac:dyDescent="0.25">
      <c r="A529" s="1">
        <v>4008674</v>
      </c>
      <c r="B529" s="1" t="s">
        <v>1421</v>
      </c>
      <c r="C529" s="1" t="s">
        <v>6049</v>
      </c>
      <c r="D529" s="39">
        <v>659</v>
      </c>
      <c r="E529" s="1" t="s">
        <v>1</v>
      </c>
      <c r="F529" s="3">
        <v>1157.93</v>
      </c>
    </row>
    <row r="530" spans="1:6" x14ac:dyDescent="0.25">
      <c r="A530" s="1">
        <v>4008676</v>
      </c>
      <c r="B530" s="1" t="s">
        <v>1422</v>
      </c>
      <c r="C530" s="1" t="s">
        <v>6049</v>
      </c>
      <c r="D530" s="39">
        <v>300</v>
      </c>
      <c r="E530" s="1" t="s">
        <v>1</v>
      </c>
      <c r="F530" s="3">
        <v>674.61</v>
      </c>
    </row>
    <row r="531" spans="1:6" x14ac:dyDescent="0.25">
      <c r="A531" s="1">
        <v>4008677</v>
      </c>
      <c r="B531" s="1" t="s">
        <v>1423</v>
      </c>
      <c r="C531" s="1" t="s">
        <v>6049</v>
      </c>
      <c r="D531" s="39">
        <v>6496</v>
      </c>
      <c r="E531" s="1" t="s">
        <v>1</v>
      </c>
      <c r="F531" s="3">
        <v>428.09</v>
      </c>
    </row>
    <row r="532" spans="1:6" x14ac:dyDescent="0.25">
      <c r="A532" s="1">
        <v>4008709</v>
      </c>
      <c r="B532" s="1" t="s">
        <v>137</v>
      </c>
      <c r="C532" s="1" t="s">
        <v>6049</v>
      </c>
      <c r="D532" s="39">
        <v>645</v>
      </c>
      <c r="E532" s="1" t="s">
        <v>1</v>
      </c>
      <c r="F532" s="3">
        <v>2400.5</v>
      </c>
    </row>
    <row r="533" spans="1:6" x14ac:dyDescent="0.25">
      <c r="A533" s="1">
        <v>4008730</v>
      </c>
      <c r="B533" s="1" t="s">
        <v>138</v>
      </c>
      <c r="C533" s="1" t="s">
        <v>6049</v>
      </c>
      <c r="D533" s="39">
        <v>1247</v>
      </c>
      <c r="E533" s="1" t="s">
        <v>1</v>
      </c>
      <c r="F533" s="3">
        <v>2865.1</v>
      </c>
    </row>
    <row r="534" spans="1:6" x14ac:dyDescent="0.25">
      <c r="A534" s="1">
        <v>4008731</v>
      </c>
      <c r="B534" s="1" t="s">
        <v>139</v>
      </c>
      <c r="C534" s="1" t="s">
        <v>6049</v>
      </c>
      <c r="D534" s="39">
        <v>1940</v>
      </c>
      <c r="E534" s="1" t="s">
        <v>1</v>
      </c>
      <c r="F534" s="3">
        <v>1185.3399999999999</v>
      </c>
    </row>
    <row r="535" spans="1:6" x14ac:dyDescent="0.25">
      <c r="A535" s="1">
        <v>4008732</v>
      </c>
      <c r="B535" s="1" t="s">
        <v>550</v>
      </c>
      <c r="C535" s="1" t="s">
        <v>6049</v>
      </c>
      <c r="D535" s="39">
        <v>757</v>
      </c>
      <c r="E535" s="1" t="s">
        <v>1</v>
      </c>
      <c r="F535" s="3">
        <v>1131.26</v>
      </c>
    </row>
    <row r="536" spans="1:6" x14ac:dyDescent="0.25">
      <c r="A536" s="1">
        <v>4008733</v>
      </c>
      <c r="B536" s="1" t="s">
        <v>551</v>
      </c>
      <c r="C536" s="1" t="s">
        <v>6049</v>
      </c>
      <c r="D536" s="39">
        <v>600</v>
      </c>
      <c r="E536" s="1" t="s">
        <v>1</v>
      </c>
      <c r="F536" s="3">
        <v>279.42</v>
      </c>
    </row>
    <row r="537" spans="1:6" x14ac:dyDescent="0.25">
      <c r="A537" s="1">
        <v>4008832</v>
      </c>
      <c r="B537" s="1" t="s">
        <v>1302</v>
      </c>
      <c r="C537" s="1" t="s">
        <v>6049</v>
      </c>
      <c r="D537" s="39">
        <v>0</v>
      </c>
      <c r="E537" s="1" t="s">
        <v>1</v>
      </c>
      <c r="F537" s="39">
        <v>0</v>
      </c>
    </row>
    <row r="538" spans="1:6" x14ac:dyDescent="0.25">
      <c r="A538" s="1">
        <v>4008871</v>
      </c>
      <c r="B538" s="1" t="s">
        <v>3182</v>
      </c>
      <c r="C538" s="1" t="s">
        <v>6049</v>
      </c>
      <c r="D538" s="39">
        <v>0</v>
      </c>
      <c r="E538" s="1" t="s">
        <v>1</v>
      </c>
      <c r="F538" s="39">
        <v>0</v>
      </c>
    </row>
    <row r="539" spans="1:6" x14ac:dyDescent="0.25">
      <c r="A539" s="1">
        <v>4008872</v>
      </c>
      <c r="B539" s="1" t="s">
        <v>3183</v>
      </c>
      <c r="C539" s="1" t="s">
        <v>6049</v>
      </c>
      <c r="D539" s="39">
        <v>0</v>
      </c>
      <c r="E539" s="1" t="s">
        <v>1</v>
      </c>
      <c r="F539" s="39">
        <v>0</v>
      </c>
    </row>
    <row r="540" spans="1:6" x14ac:dyDescent="0.25">
      <c r="A540" s="1">
        <v>4009012</v>
      </c>
      <c r="B540" s="1" t="s">
        <v>3184</v>
      </c>
      <c r="C540" s="1" t="s">
        <v>6049</v>
      </c>
      <c r="D540" s="39">
        <v>0</v>
      </c>
      <c r="E540" s="1" t="s">
        <v>1</v>
      </c>
      <c r="F540" s="39">
        <v>0</v>
      </c>
    </row>
    <row r="541" spans="1:6" x14ac:dyDescent="0.25">
      <c r="A541" s="1">
        <v>4009139</v>
      </c>
      <c r="B541" s="1" t="s">
        <v>1686</v>
      </c>
      <c r="C541" s="1" t="s">
        <v>6049</v>
      </c>
      <c r="D541" s="39">
        <v>595</v>
      </c>
      <c r="E541" s="1" t="s">
        <v>1</v>
      </c>
      <c r="F541" s="3">
        <v>1786.67</v>
      </c>
    </row>
    <row r="542" spans="1:6" x14ac:dyDescent="0.25">
      <c r="A542" s="1">
        <v>4009180</v>
      </c>
      <c r="B542" s="1" t="s">
        <v>3192</v>
      </c>
      <c r="C542" s="1" t="s">
        <v>6049</v>
      </c>
      <c r="D542" s="39">
        <v>0</v>
      </c>
      <c r="E542" s="1" t="s">
        <v>1</v>
      </c>
      <c r="F542" s="39">
        <v>0</v>
      </c>
    </row>
    <row r="543" spans="1:6" x14ac:dyDescent="0.25">
      <c r="A543" s="1">
        <v>4009387</v>
      </c>
      <c r="B543" s="1" t="s">
        <v>1687</v>
      </c>
      <c r="C543" s="1" t="s">
        <v>6049</v>
      </c>
      <c r="D543" s="39">
        <v>16773</v>
      </c>
      <c r="E543" s="1" t="s">
        <v>1</v>
      </c>
      <c r="F543" s="3">
        <v>1900.38</v>
      </c>
    </row>
    <row r="544" spans="1:6" x14ac:dyDescent="0.25">
      <c r="A544" s="1">
        <v>4009652</v>
      </c>
      <c r="B544" s="1" t="s">
        <v>3203</v>
      </c>
      <c r="C544" s="1" t="s">
        <v>6049</v>
      </c>
      <c r="D544" s="39">
        <v>0</v>
      </c>
      <c r="E544" s="1" t="s">
        <v>1</v>
      </c>
      <c r="F544" s="39">
        <v>0</v>
      </c>
    </row>
    <row r="545" spans="1:6" x14ac:dyDescent="0.25">
      <c r="A545" s="1">
        <v>4009654</v>
      </c>
      <c r="B545" s="1" t="s">
        <v>3204</v>
      </c>
      <c r="C545" s="1" t="s">
        <v>6049</v>
      </c>
      <c r="D545" s="39">
        <v>0</v>
      </c>
      <c r="E545" s="1" t="s">
        <v>1</v>
      </c>
      <c r="F545" s="39">
        <v>0</v>
      </c>
    </row>
    <row r="546" spans="1:6" x14ac:dyDescent="0.25">
      <c r="A546" s="1">
        <v>4009656</v>
      </c>
      <c r="B546" s="1" t="s">
        <v>3205</v>
      </c>
      <c r="C546" s="1" t="s">
        <v>6049</v>
      </c>
      <c r="D546" s="39">
        <v>0</v>
      </c>
      <c r="E546" s="1" t="s">
        <v>1</v>
      </c>
      <c r="F546" s="39">
        <v>0</v>
      </c>
    </row>
    <row r="547" spans="1:6" x14ac:dyDescent="0.25">
      <c r="A547" s="1">
        <v>4009658</v>
      </c>
      <c r="B547" s="1" t="s">
        <v>3206</v>
      </c>
      <c r="C547" s="1" t="s">
        <v>6049</v>
      </c>
      <c r="D547" s="39">
        <v>0</v>
      </c>
      <c r="E547" s="1" t="s">
        <v>1</v>
      </c>
      <c r="F547" s="39">
        <v>0</v>
      </c>
    </row>
    <row r="548" spans="1:6" x14ac:dyDescent="0.25">
      <c r="A548" s="1">
        <v>4009659</v>
      </c>
      <c r="B548" s="1" t="s">
        <v>3207</v>
      </c>
      <c r="C548" s="1" t="s">
        <v>6049</v>
      </c>
      <c r="D548" s="39">
        <v>0</v>
      </c>
      <c r="E548" s="1" t="s">
        <v>1</v>
      </c>
      <c r="F548" s="39">
        <v>0</v>
      </c>
    </row>
    <row r="549" spans="1:6" x14ac:dyDescent="0.25">
      <c r="A549" s="1">
        <v>4009660</v>
      </c>
      <c r="B549" s="1" t="s">
        <v>3208</v>
      </c>
      <c r="C549" s="1" t="s">
        <v>6049</v>
      </c>
      <c r="D549" s="39">
        <v>0</v>
      </c>
      <c r="E549" s="1" t="s">
        <v>1</v>
      </c>
      <c r="F549" s="39">
        <v>0</v>
      </c>
    </row>
    <row r="550" spans="1:6" x14ac:dyDescent="0.25">
      <c r="A550" s="1">
        <v>4009661</v>
      </c>
      <c r="B550" s="1" t="s">
        <v>3209</v>
      </c>
      <c r="C550" s="1" t="s">
        <v>6049</v>
      </c>
      <c r="D550" s="39">
        <v>0</v>
      </c>
      <c r="E550" s="1" t="s">
        <v>1</v>
      </c>
      <c r="F550" s="39">
        <v>0</v>
      </c>
    </row>
    <row r="551" spans="1:6" x14ac:dyDescent="0.25">
      <c r="A551" s="1">
        <v>4009662</v>
      </c>
      <c r="B551" s="1" t="s">
        <v>3210</v>
      </c>
      <c r="C551" s="1" t="s">
        <v>6049</v>
      </c>
      <c r="D551" s="39">
        <v>0</v>
      </c>
      <c r="E551" s="1" t="s">
        <v>1</v>
      </c>
      <c r="F551" s="39">
        <v>0</v>
      </c>
    </row>
    <row r="552" spans="1:6" x14ac:dyDescent="0.25">
      <c r="A552" s="1">
        <v>4009663</v>
      </c>
      <c r="B552" s="1" t="s">
        <v>3211</v>
      </c>
      <c r="C552" s="1" t="s">
        <v>6049</v>
      </c>
      <c r="D552" s="39">
        <v>0</v>
      </c>
      <c r="E552" s="1" t="s">
        <v>1</v>
      </c>
      <c r="F552" s="39">
        <v>0</v>
      </c>
    </row>
    <row r="553" spans="1:6" x14ac:dyDescent="0.25">
      <c r="A553" s="1">
        <v>4009781</v>
      </c>
      <c r="B553" s="1" t="s">
        <v>368</v>
      </c>
      <c r="C553" s="1" t="s">
        <v>6049</v>
      </c>
      <c r="D553" s="39">
        <v>0</v>
      </c>
      <c r="E553" s="1" t="s">
        <v>1</v>
      </c>
      <c r="F553" s="39">
        <v>0</v>
      </c>
    </row>
    <row r="554" spans="1:6" x14ac:dyDescent="0.25">
      <c r="A554" s="1">
        <v>4009783</v>
      </c>
      <c r="B554" s="1" t="s">
        <v>386</v>
      </c>
      <c r="C554" s="1" t="s">
        <v>6049</v>
      </c>
      <c r="D554" s="39">
        <v>0</v>
      </c>
      <c r="E554" s="1" t="s">
        <v>1</v>
      </c>
      <c r="F554" s="39">
        <v>0</v>
      </c>
    </row>
    <row r="555" spans="1:6" x14ac:dyDescent="0.25">
      <c r="A555" s="1">
        <v>4009946</v>
      </c>
      <c r="B555" s="1" t="s">
        <v>1692</v>
      </c>
      <c r="C555" s="1" t="s">
        <v>6049</v>
      </c>
      <c r="D555" s="39">
        <v>2186</v>
      </c>
      <c r="E555" s="1" t="s">
        <v>1</v>
      </c>
      <c r="F555" s="3">
        <v>239.37</v>
      </c>
    </row>
    <row r="556" spans="1:6" x14ac:dyDescent="0.25">
      <c r="A556" s="1">
        <v>4009947</v>
      </c>
      <c r="B556" s="1" t="s">
        <v>1693</v>
      </c>
      <c r="C556" s="1" t="s">
        <v>6049</v>
      </c>
      <c r="D556" s="39">
        <v>585</v>
      </c>
      <c r="E556" s="1" t="s">
        <v>1</v>
      </c>
      <c r="F556" s="3">
        <v>2393.4699999999998</v>
      </c>
    </row>
    <row r="557" spans="1:6" x14ac:dyDescent="0.25">
      <c r="A557" s="1">
        <v>4010020</v>
      </c>
      <c r="B557" s="1" t="s">
        <v>1622</v>
      </c>
      <c r="C557" s="1" t="s">
        <v>6049</v>
      </c>
      <c r="D557" s="39">
        <v>270</v>
      </c>
      <c r="E557" s="1" t="s">
        <v>1</v>
      </c>
      <c r="F557" s="3">
        <v>816.97</v>
      </c>
    </row>
    <row r="558" spans="1:6" x14ac:dyDescent="0.25">
      <c r="A558" s="1">
        <v>4010021</v>
      </c>
      <c r="B558" s="1" t="s">
        <v>1500</v>
      </c>
      <c r="C558" s="1" t="s">
        <v>6049</v>
      </c>
      <c r="D558" s="39">
        <v>0</v>
      </c>
      <c r="E558" s="1" t="s">
        <v>1</v>
      </c>
      <c r="F558" s="39">
        <v>0</v>
      </c>
    </row>
    <row r="559" spans="1:6" x14ac:dyDescent="0.25">
      <c r="A559" s="1">
        <v>4010022</v>
      </c>
      <c r="B559" s="1" t="s">
        <v>711</v>
      </c>
      <c r="C559" s="1" t="s">
        <v>6049</v>
      </c>
      <c r="D559" s="39">
        <v>304</v>
      </c>
      <c r="E559" s="1" t="s">
        <v>1</v>
      </c>
      <c r="F559" s="3">
        <v>1688.96</v>
      </c>
    </row>
    <row r="560" spans="1:6" x14ac:dyDescent="0.25">
      <c r="A560" s="1">
        <v>4010023</v>
      </c>
      <c r="B560" s="1" t="s">
        <v>1575</v>
      </c>
      <c r="C560" s="1" t="s">
        <v>6049</v>
      </c>
      <c r="D560" s="39">
        <v>12</v>
      </c>
      <c r="E560" s="1" t="s">
        <v>1</v>
      </c>
      <c r="F560" s="3">
        <v>46.46</v>
      </c>
    </row>
    <row r="561" spans="1:6" x14ac:dyDescent="0.25">
      <c r="A561" s="1">
        <v>4010024</v>
      </c>
      <c r="B561" s="1" t="s">
        <v>1565</v>
      </c>
      <c r="C561" s="1" t="s">
        <v>6049</v>
      </c>
      <c r="D561" s="39">
        <v>73</v>
      </c>
      <c r="E561" s="1" t="s">
        <v>1</v>
      </c>
      <c r="F561" s="3">
        <v>339.87</v>
      </c>
    </row>
    <row r="562" spans="1:6" x14ac:dyDescent="0.25">
      <c r="A562" s="1">
        <v>4010025</v>
      </c>
      <c r="B562" s="1" t="s">
        <v>775</v>
      </c>
      <c r="C562" s="1" t="s">
        <v>6049</v>
      </c>
      <c r="D562" s="39">
        <v>127</v>
      </c>
      <c r="E562" s="1" t="s">
        <v>1</v>
      </c>
      <c r="F562" s="3">
        <v>1102.3800000000001</v>
      </c>
    </row>
    <row r="563" spans="1:6" x14ac:dyDescent="0.25">
      <c r="A563" s="1">
        <v>4010026</v>
      </c>
      <c r="B563" s="1" t="s">
        <v>3217</v>
      </c>
      <c r="C563" s="1" t="s">
        <v>6049</v>
      </c>
      <c r="D563" s="39">
        <v>0</v>
      </c>
      <c r="E563" s="1" t="s">
        <v>1</v>
      </c>
      <c r="F563" s="39">
        <v>0</v>
      </c>
    </row>
    <row r="564" spans="1:6" x14ac:dyDescent="0.25">
      <c r="A564" s="1">
        <v>4010040</v>
      </c>
      <c r="B564" s="1" t="s">
        <v>1504</v>
      </c>
      <c r="C564" s="1" t="s">
        <v>6049</v>
      </c>
      <c r="D564" s="39">
        <v>23</v>
      </c>
      <c r="E564" s="1" t="s">
        <v>1</v>
      </c>
      <c r="F564" s="3">
        <v>72.37</v>
      </c>
    </row>
    <row r="565" spans="1:6" x14ac:dyDescent="0.25">
      <c r="A565" s="1">
        <v>4010177</v>
      </c>
      <c r="B565" s="1" t="s">
        <v>3218</v>
      </c>
      <c r="C565" s="1" t="s">
        <v>6049</v>
      </c>
      <c r="D565" s="39">
        <v>0</v>
      </c>
      <c r="E565" s="1" t="s">
        <v>1</v>
      </c>
      <c r="F565" s="39">
        <v>0</v>
      </c>
    </row>
    <row r="566" spans="1:6" x14ac:dyDescent="0.25">
      <c r="A566" s="1">
        <v>4010178</v>
      </c>
      <c r="B566" s="1" t="s">
        <v>3219</v>
      </c>
      <c r="C566" s="1" t="s">
        <v>6049</v>
      </c>
      <c r="D566" s="39">
        <v>0</v>
      </c>
      <c r="E566" s="1" t="s">
        <v>1</v>
      </c>
      <c r="F566" s="39">
        <v>0</v>
      </c>
    </row>
    <row r="567" spans="1:6" x14ac:dyDescent="0.25">
      <c r="A567" s="1">
        <v>4010181</v>
      </c>
      <c r="B567" s="1" t="s">
        <v>3220</v>
      </c>
      <c r="C567" s="1" t="s">
        <v>6049</v>
      </c>
      <c r="D567" s="39">
        <v>0</v>
      </c>
      <c r="E567" s="1" t="s">
        <v>1</v>
      </c>
      <c r="F567" s="39">
        <v>0</v>
      </c>
    </row>
    <row r="568" spans="1:6" x14ac:dyDescent="0.25">
      <c r="A568" s="1">
        <v>4010200</v>
      </c>
      <c r="B568" s="1" t="s">
        <v>1276</v>
      </c>
      <c r="C568" s="1" t="s">
        <v>6049</v>
      </c>
      <c r="D568" s="39">
        <v>0</v>
      </c>
      <c r="E568" s="1" t="s">
        <v>1</v>
      </c>
      <c r="F568" s="39">
        <v>0</v>
      </c>
    </row>
    <row r="569" spans="1:6" x14ac:dyDescent="0.25">
      <c r="A569" s="1">
        <v>4010201</v>
      </c>
      <c r="B569" s="1" t="s">
        <v>1303</v>
      </c>
      <c r="C569" s="1" t="s">
        <v>6049</v>
      </c>
      <c r="D569" s="39">
        <v>0</v>
      </c>
      <c r="E569" s="1" t="s">
        <v>1</v>
      </c>
      <c r="F569" s="39">
        <v>0</v>
      </c>
    </row>
    <row r="570" spans="1:6" x14ac:dyDescent="0.25">
      <c r="A570" s="1">
        <v>4010413</v>
      </c>
      <c r="B570" s="1" t="s">
        <v>1286</v>
      </c>
      <c r="C570" s="1" t="s">
        <v>6049</v>
      </c>
      <c r="D570" s="39">
        <v>0</v>
      </c>
      <c r="E570" s="1" t="s">
        <v>1</v>
      </c>
      <c r="F570" s="39">
        <v>0</v>
      </c>
    </row>
    <row r="571" spans="1:6" x14ac:dyDescent="0.25">
      <c r="A571" s="1">
        <v>4010423</v>
      </c>
      <c r="B571" s="1" t="s">
        <v>1371</v>
      </c>
      <c r="C571" s="1" t="s">
        <v>6049</v>
      </c>
      <c r="D571" s="39">
        <v>0</v>
      </c>
      <c r="E571" s="1" t="s">
        <v>1</v>
      </c>
      <c r="F571" s="39">
        <v>0</v>
      </c>
    </row>
    <row r="572" spans="1:6" x14ac:dyDescent="0.25">
      <c r="A572" s="1">
        <v>4010424</v>
      </c>
      <c r="B572" s="1" t="s">
        <v>1372</v>
      </c>
      <c r="C572" s="1" t="s">
        <v>6049</v>
      </c>
      <c r="D572" s="39">
        <v>0</v>
      </c>
      <c r="E572" s="1" t="s">
        <v>1</v>
      </c>
      <c r="F572" s="39">
        <v>0</v>
      </c>
    </row>
    <row r="573" spans="1:6" x14ac:dyDescent="0.25">
      <c r="A573" s="1">
        <v>4010426</v>
      </c>
      <c r="B573" s="1" t="s">
        <v>1377</v>
      </c>
      <c r="C573" s="1" t="s">
        <v>6049</v>
      </c>
      <c r="D573" s="39">
        <v>0</v>
      </c>
      <c r="E573" s="1" t="s">
        <v>1</v>
      </c>
      <c r="F573" s="39">
        <v>0</v>
      </c>
    </row>
    <row r="574" spans="1:6" x14ac:dyDescent="0.25">
      <c r="A574" s="1">
        <v>4010500</v>
      </c>
      <c r="B574" s="1" t="s">
        <v>3221</v>
      </c>
      <c r="C574" s="1" t="s">
        <v>6049</v>
      </c>
      <c r="D574" s="39">
        <v>0</v>
      </c>
      <c r="E574" s="1" t="s">
        <v>1</v>
      </c>
      <c r="F574" s="39">
        <v>0</v>
      </c>
    </row>
    <row r="575" spans="1:6" x14ac:dyDescent="0.25">
      <c r="A575" s="1">
        <v>4010501</v>
      </c>
      <c r="B575" s="1" t="s">
        <v>3222</v>
      </c>
      <c r="C575" s="1" t="s">
        <v>6049</v>
      </c>
      <c r="D575" s="39">
        <v>0</v>
      </c>
      <c r="E575" s="1" t="s">
        <v>1</v>
      </c>
      <c r="F575" s="39">
        <v>0</v>
      </c>
    </row>
    <row r="576" spans="1:6" x14ac:dyDescent="0.25">
      <c r="A576" s="1">
        <v>4010502</v>
      </c>
      <c r="B576" s="1" t="s">
        <v>3223</v>
      </c>
      <c r="C576" s="1" t="s">
        <v>6049</v>
      </c>
      <c r="D576" s="39">
        <v>0</v>
      </c>
      <c r="E576" s="1" t="s">
        <v>1</v>
      </c>
      <c r="F576" s="39">
        <v>0</v>
      </c>
    </row>
    <row r="577" spans="1:6" x14ac:dyDescent="0.25">
      <c r="A577" s="1">
        <v>4010503</v>
      </c>
      <c r="B577" s="1" t="s">
        <v>3224</v>
      </c>
      <c r="C577" s="1" t="s">
        <v>6049</v>
      </c>
      <c r="D577" s="39">
        <v>0</v>
      </c>
      <c r="E577" s="1" t="s">
        <v>1</v>
      </c>
      <c r="F577" s="39">
        <v>0</v>
      </c>
    </row>
    <row r="578" spans="1:6" x14ac:dyDescent="0.25">
      <c r="A578" s="1">
        <v>4010504</v>
      </c>
      <c r="B578" s="1" t="s">
        <v>3225</v>
      </c>
      <c r="C578" s="1" t="s">
        <v>6049</v>
      </c>
      <c r="D578" s="39">
        <v>0</v>
      </c>
      <c r="E578" s="1" t="s">
        <v>1</v>
      </c>
      <c r="F578" s="39">
        <v>0</v>
      </c>
    </row>
    <row r="579" spans="1:6" x14ac:dyDescent="0.25">
      <c r="A579" s="1">
        <v>4010513</v>
      </c>
      <c r="B579" s="1" t="s">
        <v>3226</v>
      </c>
      <c r="C579" s="1" t="s">
        <v>6049</v>
      </c>
      <c r="D579" s="39">
        <v>0</v>
      </c>
      <c r="E579" s="1" t="s">
        <v>1</v>
      </c>
      <c r="F579" s="39">
        <v>0</v>
      </c>
    </row>
    <row r="580" spans="1:6" x14ac:dyDescent="0.25">
      <c r="A580" s="1">
        <v>4010520</v>
      </c>
      <c r="B580" s="1" t="s">
        <v>1109</v>
      </c>
      <c r="C580" s="1" t="s">
        <v>6049</v>
      </c>
      <c r="D580" s="39">
        <v>1440</v>
      </c>
      <c r="E580" s="1" t="s">
        <v>1</v>
      </c>
      <c r="F580" s="3">
        <v>70.13</v>
      </c>
    </row>
    <row r="581" spans="1:6" x14ac:dyDescent="0.25">
      <c r="A581" s="1">
        <v>4010722</v>
      </c>
      <c r="B581" s="1" t="s">
        <v>764</v>
      </c>
      <c r="C581" s="1" t="s">
        <v>6049</v>
      </c>
      <c r="D581" s="39">
        <v>3644</v>
      </c>
      <c r="E581" s="1" t="s">
        <v>1</v>
      </c>
      <c r="F581" s="3">
        <v>2685.26</v>
      </c>
    </row>
    <row r="582" spans="1:6" x14ac:dyDescent="0.25">
      <c r="A582" s="1">
        <v>4010730</v>
      </c>
      <c r="B582" s="1" t="s">
        <v>1082</v>
      </c>
      <c r="C582" s="1" t="s">
        <v>6049</v>
      </c>
      <c r="D582" s="39">
        <v>13306</v>
      </c>
      <c r="E582" s="1" t="s">
        <v>1</v>
      </c>
      <c r="F582" s="3">
        <v>19621.03</v>
      </c>
    </row>
    <row r="583" spans="1:6" x14ac:dyDescent="0.25">
      <c r="A583" s="1">
        <v>4010764</v>
      </c>
      <c r="B583" s="1" t="s">
        <v>1710</v>
      </c>
      <c r="C583" s="1" t="s">
        <v>6049</v>
      </c>
      <c r="D583" s="39">
        <v>0</v>
      </c>
      <c r="E583" s="1" t="s">
        <v>1</v>
      </c>
      <c r="F583" s="39">
        <v>0</v>
      </c>
    </row>
    <row r="584" spans="1:6" x14ac:dyDescent="0.25">
      <c r="A584" s="1">
        <v>4010765</v>
      </c>
      <c r="B584" s="1" t="s">
        <v>1130</v>
      </c>
      <c r="C584" s="1" t="s">
        <v>6049</v>
      </c>
      <c r="D584" s="39">
        <v>0</v>
      </c>
      <c r="E584" s="1" t="s">
        <v>1</v>
      </c>
      <c r="F584" s="39">
        <v>0</v>
      </c>
    </row>
    <row r="585" spans="1:6" x14ac:dyDescent="0.25">
      <c r="A585" s="1">
        <v>4010766</v>
      </c>
      <c r="B585" s="1" t="s">
        <v>1131</v>
      </c>
      <c r="C585" s="1" t="s">
        <v>6049</v>
      </c>
      <c r="D585" s="39">
        <v>321</v>
      </c>
      <c r="E585" s="1" t="s">
        <v>1</v>
      </c>
      <c r="F585" s="3">
        <v>22.69</v>
      </c>
    </row>
    <row r="586" spans="1:6" x14ac:dyDescent="0.25">
      <c r="A586" s="1">
        <v>4010773</v>
      </c>
      <c r="B586" s="1" t="s">
        <v>779</v>
      </c>
      <c r="C586" s="1" t="s">
        <v>6049</v>
      </c>
      <c r="D586" s="39">
        <v>251</v>
      </c>
      <c r="E586" s="1" t="s">
        <v>1</v>
      </c>
      <c r="F586" s="3">
        <v>1315.84</v>
      </c>
    </row>
    <row r="587" spans="1:6" x14ac:dyDescent="0.25">
      <c r="A587" s="1">
        <v>4010777</v>
      </c>
      <c r="B587" s="1" t="s">
        <v>1099</v>
      </c>
      <c r="C587" s="1" t="s">
        <v>6049</v>
      </c>
      <c r="D587" s="39">
        <v>757</v>
      </c>
      <c r="E587" s="1" t="s">
        <v>1</v>
      </c>
      <c r="F587" s="3">
        <v>34.14</v>
      </c>
    </row>
    <row r="588" spans="1:6" x14ac:dyDescent="0.25">
      <c r="A588" s="1">
        <v>4010848</v>
      </c>
      <c r="B588" s="1" t="s">
        <v>3228</v>
      </c>
      <c r="C588" s="1" t="s">
        <v>6049</v>
      </c>
      <c r="D588" s="39">
        <v>0</v>
      </c>
      <c r="E588" s="1" t="s">
        <v>1</v>
      </c>
      <c r="F588" s="39">
        <v>0</v>
      </c>
    </row>
    <row r="589" spans="1:6" x14ac:dyDescent="0.25">
      <c r="A589" s="1">
        <v>4010849</v>
      </c>
      <c r="B589" s="1" t="s">
        <v>1602</v>
      </c>
      <c r="C589" s="1" t="s">
        <v>6049</v>
      </c>
      <c r="D589" s="39">
        <v>274</v>
      </c>
      <c r="E589" s="1" t="s">
        <v>1</v>
      </c>
      <c r="F589" s="3">
        <v>1422.03</v>
      </c>
    </row>
    <row r="590" spans="1:6" x14ac:dyDescent="0.25">
      <c r="A590" s="1">
        <v>4010860</v>
      </c>
      <c r="B590" s="1" t="s">
        <v>1291</v>
      </c>
      <c r="C590" s="1" t="s">
        <v>6049</v>
      </c>
      <c r="D590" s="39">
        <v>0</v>
      </c>
      <c r="E590" s="1" t="s">
        <v>1</v>
      </c>
      <c r="F590" s="39">
        <v>0</v>
      </c>
    </row>
    <row r="591" spans="1:6" x14ac:dyDescent="0.25">
      <c r="A591" s="1">
        <v>4010861</v>
      </c>
      <c r="B591" s="1" t="s">
        <v>1281</v>
      </c>
      <c r="C591" s="1" t="s">
        <v>6049</v>
      </c>
      <c r="D591" s="39">
        <v>0</v>
      </c>
      <c r="E591" s="1" t="s">
        <v>1</v>
      </c>
      <c r="F591" s="39">
        <v>0</v>
      </c>
    </row>
    <row r="592" spans="1:6" x14ac:dyDescent="0.25">
      <c r="A592" s="1">
        <v>4010862</v>
      </c>
      <c r="B592" s="1" t="s">
        <v>1296</v>
      </c>
      <c r="C592" s="1" t="s">
        <v>6049</v>
      </c>
      <c r="D592" s="39">
        <v>0</v>
      </c>
      <c r="E592" s="1" t="s">
        <v>1</v>
      </c>
      <c r="F592" s="39">
        <v>0</v>
      </c>
    </row>
    <row r="593" spans="1:6" x14ac:dyDescent="0.25">
      <c r="A593" s="1">
        <v>4010863</v>
      </c>
      <c r="B593" s="1" t="s">
        <v>1307</v>
      </c>
      <c r="C593" s="1" t="s">
        <v>6049</v>
      </c>
      <c r="D593" s="39">
        <v>0</v>
      </c>
      <c r="E593" s="1" t="s">
        <v>1</v>
      </c>
      <c r="F593" s="39">
        <v>0</v>
      </c>
    </row>
    <row r="594" spans="1:6" x14ac:dyDescent="0.25">
      <c r="A594" s="1">
        <v>4010864</v>
      </c>
      <c r="B594" s="1" t="s">
        <v>1315</v>
      </c>
      <c r="C594" s="1" t="s">
        <v>6049</v>
      </c>
      <c r="D594" s="39">
        <v>0</v>
      </c>
      <c r="E594" s="1" t="s">
        <v>1</v>
      </c>
      <c r="F594" s="39">
        <v>0</v>
      </c>
    </row>
    <row r="595" spans="1:6" x14ac:dyDescent="0.25">
      <c r="A595" s="1">
        <v>4010865</v>
      </c>
      <c r="B595" s="1" t="s">
        <v>1319</v>
      </c>
      <c r="C595" s="1" t="s">
        <v>6049</v>
      </c>
      <c r="D595" s="39">
        <v>0</v>
      </c>
      <c r="E595" s="1" t="s">
        <v>1</v>
      </c>
      <c r="F595" s="39">
        <v>0</v>
      </c>
    </row>
    <row r="596" spans="1:6" x14ac:dyDescent="0.25">
      <c r="A596" s="1">
        <v>4010866</v>
      </c>
      <c r="B596" s="1" t="s">
        <v>3229</v>
      </c>
      <c r="C596" s="1" t="s">
        <v>6049</v>
      </c>
      <c r="D596" s="39">
        <v>0</v>
      </c>
      <c r="E596" s="1" t="s">
        <v>1</v>
      </c>
      <c r="F596" s="39">
        <v>0</v>
      </c>
    </row>
    <row r="597" spans="1:6" x14ac:dyDescent="0.25">
      <c r="A597" s="1">
        <v>4011454</v>
      </c>
      <c r="B597" s="1" t="s">
        <v>1802</v>
      </c>
      <c r="C597" s="1" t="s">
        <v>6049</v>
      </c>
      <c r="D597" s="39">
        <v>0</v>
      </c>
      <c r="E597" s="1" t="s">
        <v>1</v>
      </c>
      <c r="F597" s="39">
        <v>0</v>
      </c>
    </row>
    <row r="598" spans="1:6" x14ac:dyDescent="0.25">
      <c r="A598" s="1">
        <v>4011639</v>
      </c>
      <c r="B598" s="1" t="s">
        <v>1519</v>
      </c>
      <c r="C598" s="1" t="s">
        <v>6049</v>
      </c>
      <c r="D598" s="39">
        <v>996</v>
      </c>
      <c r="E598" s="1" t="s">
        <v>1</v>
      </c>
      <c r="F598" s="3">
        <v>8849.9599999999991</v>
      </c>
    </row>
    <row r="599" spans="1:6" x14ac:dyDescent="0.25">
      <c r="A599" s="1">
        <v>4011640</v>
      </c>
      <c r="B599" s="1" t="s">
        <v>3232</v>
      </c>
      <c r="C599" s="1" t="s">
        <v>6049</v>
      </c>
      <c r="D599" s="39">
        <v>0</v>
      </c>
      <c r="E599" s="1" t="s">
        <v>1</v>
      </c>
      <c r="F599" s="39">
        <v>0</v>
      </c>
    </row>
    <row r="600" spans="1:6" x14ac:dyDescent="0.25">
      <c r="A600" s="1">
        <v>4011642</v>
      </c>
      <c r="B600" s="1" t="s">
        <v>6055</v>
      </c>
      <c r="C600" s="1" t="s">
        <v>6049</v>
      </c>
      <c r="D600" s="39">
        <v>0</v>
      </c>
      <c r="E600" s="1" t="s">
        <v>1</v>
      </c>
      <c r="F600" s="39">
        <v>0</v>
      </c>
    </row>
    <row r="601" spans="1:6" x14ac:dyDescent="0.25">
      <c r="A601" s="1">
        <v>4011658</v>
      </c>
      <c r="B601" s="1" t="s">
        <v>3234</v>
      </c>
      <c r="C601" s="1" t="s">
        <v>6049</v>
      </c>
      <c r="D601" s="39">
        <v>0</v>
      </c>
      <c r="E601" s="1" t="s">
        <v>1</v>
      </c>
      <c r="F601" s="39">
        <v>0</v>
      </c>
    </row>
    <row r="602" spans="1:6" x14ac:dyDescent="0.25">
      <c r="A602" s="1">
        <v>4011659</v>
      </c>
      <c r="B602" s="1" t="s">
        <v>6056</v>
      </c>
      <c r="C602" s="1" t="s">
        <v>6049</v>
      </c>
      <c r="D602" s="39">
        <v>0</v>
      </c>
      <c r="E602" s="1" t="s">
        <v>1</v>
      </c>
      <c r="F602" s="39">
        <v>0</v>
      </c>
    </row>
    <row r="603" spans="1:6" x14ac:dyDescent="0.25">
      <c r="A603" s="1">
        <v>4011660</v>
      </c>
      <c r="B603" s="1" t="s">
        <v>3235</v>
      </c>
      <c r="C603" s="1" t="s">
        <v>6049</v>
      </c>
      <c r="D603" s="39">
        <v>0</v>
      </c>
      <c r="E603" s="1" t="s">
        <v>1</v>
      </c>
      <c r="F603" s="39">
        <v>0</v>
      </c>
    </row>
    <row r="604" spans="1:6" x14ac:dyDescent="0.25">
      <c r="A604" s="1">
        <v>4011700</v>
      </c>
      <c r="B604" s="1" t="s">
        <v>3236</v>
      </c>
      <c r="C604" s="1" t="s">
        <v>6049</v>
      </c>
      <c r="D604" s="39">
        <v>0</v>
      </c>
      <c r="E604" s="1" t="s">
        <v>1</v>
      </c>
      <c r="F604" s="39">
        <v>0</v>
      </c>
    </row>
    <row r="605" spans="1:6" x14ac:dyDescent="0.25">
      <c r="A605" s="1">
        <v>4011704</v>
      </c>
      <c r="B605" s="1" t="s">
        <v>3238</v>
      </c>
      <c r="C605" s="1" t="s">
        <v>6049</v>
      </c>
      <c r="D605" s="39">
        <v>490</v>
      </c>
      <c r="E605" s="1" t="s">
        <v>1</v>
      </c>
      <c r="F605" s="3">
        <v>81.44</v>
      </c>
    </row>
    <row r="606" spans="1:6" x14ac:dyDescent="0.25">
      <c r="A606" s="1">
        <v>4011718</v>
      </c>
      <c r="B606" s="1" t="s">
        <v>3240</v>
      </c>
      <c r="C606" s="1" t="s">
        <v>6049</v>
      </c>
      <c r="D606" s="39">
        <v>0</v>
      </c>
      <c r="E606" s="1" t="s">
        <v>1</v>
      </c>
      <c r="F606" s="39">
        <v>0</v>
      </c>
    </row>
    <row r="607" spans="1:6" x14ac:dyDescent="0.25">
      <c r="A607" s="1">
        <v>4011760</v>
      </c>
      <c r="B607" s="1" t="s">
        <v>3241</v>
      </c>
      <c r="C607" s="1" t="s">
        <v>6049</v>
      </c>
      <c r="D607" s="39">
        <v>0</v>
      </c>
      <c r="E607" s="1" t="s">
        <v>1</v>
      </c>
      <c r="F607" s="39">
        <v>0</v>
      </c>
    </row>
    <row r="608" spans="1:6" x14ac:dyDescent="0.25">
      <c r="A608" s="1">
        <v>4011811</v>
      </c>
      <c r="B608" s="1" t="s">
        <v>576</v>
      </c>
      <c r="C608" s="1" t="s">
        <v>6049</v>
      </c>
      <c r="D608" s="39">
        <v>238</v>
      </c>
      <c r="E608" s="1" t="s">
        <v>1</v>
      </c>
      <c r="F608" s="3">
        <v>315.14</v>
      </c>
    </row>
    <row r="609" spans="1:6" x14ac:dyDescent="0.25">
      <c r="A609" s="1">
        <v>4011815</v>
      </c>
      <c r="B609" s="1" t="s">
        <v>577</v>
      </c>
      <c r="C609" s="1" t="s">
        <v>6049</v>
      </c>
      <c r="D609" s="39">
        <v>700</v>
      </c>
      <c r="E609" s="1" t="s">
        <v>1</v>
      </c>
      <c r="F609" s="3">
        <v>618.24</v>
      </c>
    </row>
    <row r="610" spans="1:6" x14ac:dyDescent="0.25">
      <c r="A610" s="1">
        <v>4012100</v>
      </c>
      <c r="B610" s="1" t="s">
        <v>1509</v>
      </c>
      <c r="C610" s="1" t="s">
        <v>6049</v>
      </c>
      <c r="D610" s="39">
        <v>950</v>
      </c>
      <c r="E610" s="1" t="s">
        <v>1</v>
      </c>
      <c r="F610" s="3">
        <v>2199.16</v>
      </c>
    </row>
    <row r="611" spans="1:6" x14ac:dyDescent="0.25">
      <c r="A611" s="1">
        <v>4012138</v>
      </c>
      <c r="B611" s="1" t="s">
        <v>27</v>
      </c>
      <c r="C611" s="1" t="s">
        <v>6049</v>
      </c>
      <c r="D611" s="40">
        <v>25.6</v>
      </c>
      <c r="E611" s="1" t="s">
        <v>3</v>
      </c>
      <c r="F611" s="3">
        <v>265.77</v>
      </c>
    </row>
    <row r="612" spans="1:6" x14ac:dyDescent="0.25">
      <c r="A612" s="1">
        <v>4012150</v>
      </c>
      <c r="B612" s="1" t="s">
        <v>220</v>
      </c>
      <c r="C612" s="1" t="s">
        <v>6049</v>
      </c>
      <c r="D612" s="40">
        <v>426.56200000000001</v>
      </c>
      <c r="E612" s="1" t="s">
        <v>3</v>
      </c>
      <c r="F612" s="3">
        <v>12641.16</v>
      </c>
    </row>
    <row r="613" spans="1:6" x14ac:dyDescent="0.25">
      <c r="A613" s="1">
        <v>4012151</v>
      </c>
      <c r="B613" s="1" t="s">
        <v>209</v>
      </c>
      <c r="C613" s="1" t="s">
        <v>6049</v>
      </c>
      <c r="D613" s="40">
        <v>396.38400000000001</v>
      </c>
      <c r="E613" s="1" t="s">
        <v>3</v>
      </c>
      <c r="F613" s="3">
        <v>13701.13</v>
      </c>
    </row>
    <row r="614" spans="1:6" x14ac:dyDescent="0.25">
      <c r="A614" s="1">
        <v>4012152</v>
      </c>
      <c r="B614" s="1" t="s">
        <v>252</v>
      </c>
      <c r="C614" s="1" t="s">
        <v>6049</v>
      </c>
      <c r="D614" s="40">
        <v>487.12599999999998</v>
      </c>
      <c r="E614" s="1" t="s">
        <v>3</v>
      </c>
      <c r="F614" s="3">
        <v>15037.04</v>
      </c>
    </row>
    <row r="615" spans="1:6" x14ac:dyDescent="0.25">
      <c r="A615" s="1">
        <v>4012306</v>
      </c>
      <c r="B615" s="1" t="s">
        <v>1048</v>
      </c>
      <c r="C615" s="1" t="s">
        <v>6049</v>
      </c>
      <c r="D615" s="39">
        <v>260</v>
      </c>
      <c r="E615" s="1" t="s">
        <v>1</v>
      </c>
      <c r="F615" s="3">
        <v>738.76</v>
      </c>
    </row>
    <row r="616" spans="1:6" x14ac:dyDescent="0.25">
      <c r="A616" s="1">
        <v>4012308</v>
      </c>
      <c r="B616" s="1" t="s">
        <v>788</v>
      </c>
      <c r="C616" s="1" t="s">
        <v>6049</v>
      </c>
      <c r="D616" s="39">
        <v>2190</v>
      </c>
      <c r="E616" s="1" t="s">
        <v>1</v>
      </c>
      <c r="F616" s="3">
        <v>3567.95</v>
      </c>
    </row>
    <row r="617" spans="1:6" x14ac:dyDescent="0.25">
      <c r="A617" s="1">
        <v>4012454</v>
      </c>
      <c r="B617" s="1" t="s">
        <v>3260</v>
      </c>
      <c r="C617" s="1" t="s">
        <v>6049</v>
      </c>
      <c r="D617" s="39">
        <v>0</v>
      </c>
      <c r="E617" s="1" t="s">
        <v>1</v>
      </c>
      <c r="F617" s="39">
        <v>0</v>
      </c>
    </row>
    <row r="618" spans="1:6" x14ac:dyDescent="0.25">
      <c r="A618" s="1">
        <v>4012455</v>
      </c>
      <c r="B618" s="1" t="s">
        <v>3261</v>
      </c>
      <c r="C618" s="1" t="s">
        <v>6049</v>
      </c>
      <c r="D618" s="39">
        <v>6311</v>
      </c>
      <c r="E618" s="1" t="s">
        <v>1</v>
      </c>
      <c r="F618" s="3">
        <v>571.15</v>
      </c>
    </row>
    <row r="619" spans="1:6" x14ac:dyDescent="0.25">
      <c r="A619" s="1">
        <v>4012456</v>
      </c>
      <c r="B619" s="1" t="s">
        <v>848</v>
      </c>
      <c r="C619" s="1" t="s">
        <v>6049</v>
      </c>
      <c r="D619" s="39">
        <v>1777</v>
      </c>
      <c r="E619" s="1" t="s">
        <v>1</v>
      </c>
      <c r="F619" s="3">
        <v>199.02</v>
      </c>
    </row>
    <row r="620" spans="1:6" x14ac:dyDescent="0.25">
      <c r="A620" s="1">
        <v>4012457</v>
      </c>
      <c r="B620" s="1" t="s">
        <v>3262</v>
      </c>
      <c r="C620" s="1" t="s">
        <v>6049</v>
      </c>
      <c r="D620" s="39">
        <v>381</v>
      </c>
      <c r="E620" s="1" t="s">
        <v>1</v>
      </c>
      <c r="F620" s="3">
        <v>45.38</v>
      </c>
    </row>
    <row r="621" spans="1:6" x14ac:dyDescent="0.25">
      <c r="A621" s="1">
        <v>4012569</v>
      </c>
      <c r="B621" s="1" t="s">
        <v>806</v>
      </c>
      <c r="C621" s="1" t="s">
        <v>6049</v>
      </c>
      <c r="D621" s="39">
        <v>6000</v>
      </c>
      <c r="E621" s="1" t="s">
        <v>1</v>
      </c>
      <c r="F621" s="3">
        <v>4791.6000000000004</v>
      </c>
    </row>
    <row r="622" spans="1:6" x14ac:dyDescent="0.25">
      <c r="A622" s="1">
        <v>4012600</v>
      </c>
      <c r="B622" s="1" t="s">
        <v>793</v>
      </c>
      <c r="C622" s="1" t="s">
        <v>6049</v>
      </c>
      <c r="D622" s="39">
        <v>4000</v>
      </c>
      <c r="E622" s="1" t="s">
        <v>1</v>
      </c>
      <c r="F622" s="3">
        <v>3194.4</v>
      </c>
    </row>
    <row r="623" spans="1:6" x14ac:dyDescent="0.25">
      <c r="A623" s="1">
        <v>4012601</v>
      </c>
      <c r="B623" s="1" t="s">
        <v>836</v>
      </c>
      <c r="C623" s="1" t="s">
        <v>6049</v>
      </c>
      <c r="D623" s="39">
        <v>700</v>
      </c>
      <c r="E623" s="1" t="s">
        <v>1</v>
      </c>
      <c r="F623" s="3">
        <v>769.58</v>
      </c>
    </row>
    <row r="624" spans="1:6" x14ac:dyDescent="0.25">
      <c r="A624" s="1">
        <v>4012602</v>
      </c>
      <c r="B624" s="1" t="s">
        <v>821</v>
      </c>
      <c r="C624" s="1" t="s">
        <v>6049</v>
      </c>
      <c r="D624" s="39">
        <v>4600</v>
      </c>
      <c r="E624" s="1" t="s">
        <v>1</v>
      </c>
      <c r="F624" s="3">
        <v>734.62</v>
      </c>
    </row>
    <row r="625" spans="1:6" x14ac:dyDescent="0.25">
      <c r="A625" s="1">
        <v>4012603</v>
      </c>
      <c r="B625" s="1" t="s">
        <v>807</v>
      </c>
      <c r="C625" s="1" t="s">
        <v>6049</v>
      </c>
      <c r="D625" s="39">
        <v>950</v>
      </c>
      <c r="E625" s="1" t="s">
        <v>1</v>
      </c>
      <c r="F625" s="3">
        <v>456.19</v>
      </c>
    </row>
    <row r="626" spans="1:6" x14ac:dyDescent="0.25">
      <c r="A626" s="1">
        <v>4012604</v>
      </c>
      <c r="B626" s="1" t="s">
        <v>855</v>
      </c>
      <c r="C626" s="1" t="s">
        <v>6049</v>
      </c>
      <c r="D626" s="39">
        <v>2000</v>
      </c>
      <c r="E626" s="1" t="s">
        <v>1</v>
      </c>
      <c r="F626" s="3">
        <v>319.39999999999998</v>
      </c>
    </row>
    <row r="627" spans="1:6" x14ac:dyDescent="0.25">
      <c r="A627" s="1">
        <v>4012605</v>
      </c>
      <c r="B627" s="1" t="s">
        <v>794</v>
      </c>
      <c r="C627" s="1" t="s">
        <v>6049</v>
      </c>
      <c r="D627" s="39">
        <v>1200</v>
      </c>
      <c r="E627" s="1" t="s">
        <v>1</v>
      </c>
      <c r="F627" s="3">
        <v>958.32</v>
      </c>
    </row>
    <row r="628" spans="1:6" x14ac:dyDescent="0.25">
      <c r="A628" s="1">
        <v>4012606</v>
      </c>
      <c r="B628" s="1" t="s">
        <v>822</v>
      </c>
      <c r="C628" s="1" t="s">
        <v>6049</v>
      </c>
      <c r="D628" s="39">
        <v>1047</v>
      </c>
      <c r="E628" s="1" t="s">
        <v>1</v>
      </c>
      <c r="F628" s="3">
        <v>419.01</v>
      </c>
    </row>
    <row r="629" spans="1:6" x14ac:dyDescent="0.25">
      <c r="A629" s="1">
        <v>4012607</v>
      </c>
      <c r="B629" s="1" t="s">
        <v>856</v>
      </c>
      <c r="C629" s="1" t="s">
        <v>6049</v>
      </c>
      <c r="D629" s="39">
        <v>691</v>
      </c>
      <c r="E629" s="1" t="s">
        <v>1</v>
      </c>
      <c r="F629" s="3">
        <v>1103.67</v>
      </c>
    </row>
    <row r="630" spans="1:6" x14ac:dyDescent="0.25">
      <c r="A630" s="1">
        <v>4012608</v>
      </c>
      <c r="B630" s="1" t="s">
        <v>3263</v>
      </c>
      <c r="C630" s="1" t="s">
        <v>6049</v>
      </c>
      <c r="D630" s="39">
        <v>1650</v>
      </c>
      <c r="E630" s="1" t="s">
        <v>1</v>
      </c>
      <c r="F630" s="3">
        <v>1449.53</v>
      </c>
    </row>
    <row r="631" spans="1:6" x14ac:dyDescent="0.25">
      <c r="A631" s="1">
        <v>4012609</v>
      </c>
      <c r="B631" s="1" t="s">
        <v>800</v>
      </c>
      <c r="C631" s="1" t="s">
        <v>6049</v>
      </c>
      <c r="D631" s="39">
        <v>3400</v>
      </c>
      <c r="E631" s="1" t="s">
        <v>1</v>
      </c>
      <c r="F631" s="3">
        <v>5311.48</v>
      </c>
    </row>
    <row r="632" spans="1:6" x14ac:dyDescent="0.25">
      <c r="A632" s="1">
        <v>4012610</v>
      </c>
      <c r="B632" s="1" t="s">
        <v>814</v>
      </c>
      <c r="C632" s="1" t="s">
        <v>6049</v>
      </c>
      <c r="D632" s="39">
        <v>1600</v>
      </c>
      <c r="E632" s="1" t="s">
        <v>1</v>
      </c>
      <c r="F632" s="3">
        <v>255.52</v>
      </c>
    </row>
    <row r="633" spans="1:6" x14ac:dyDescent="0.25">
      <c r="A633" s="1">
        <v>4012611</v>
      </c>
      <c r="B633" s="1" t="s">
        <v>829</v>
      </c>
      <c r="C633" s="1" t="s">
        <v>6049</v>
      </c>
      <c r="D633" s="39">
        <v>3100</v>
      </c>
      <c r="E633" s="1" t="s">
        <v>1</v>
      </c>
      <c r="F633" s="3">
        <v>749.89</v>
      </c>
    </row>
    <row r="634" spans="1:6" x14ac:dyDescent="0.25">
      <c r="A634" s="1">
        <v>4012612</v>
      </c>
      <c r="B634" s="1" t="s">
        <v>3264</v>
      </c>
      <c r="C634" s="1" t="s">
        <v>6049</v>
      </c>
      <c r="D634" s="39">
        <v>0</v>
      </c>
      <c r="E634" s="1" t="s">
        <v>1</v>
      </c>
      <c r="F634" s="39">
        <v>0</v>
      </c>
    </row>
    <row r="635" spans="1:6" x14ac:dyDescent="0.25">
      <c r="A635" s="1">
        <v>4012613</v>
      </c>
      <c r="B635" s="1" t="s">
        <v>849</v>
      </c>
      <c r="C635" s="1" t="s">
        <v>6049</v>
      </c>
      <c r="D635" s="39">
        <v>7900</v>
      </c>
      <c r="E635" s="1" t="s">
        <v>1</v>
      </c>
      <c r="F635" s="3">
        <v>2548.54</v>
      </c>
    </row>
    <row r="636" spans="1:6" x14ac:dyDescent="0.25">
      <c r="A636" s="1">
        <v>4012614</v>
      </c>
      <c r="B636" s="1" t="s">
        <v>842</v>
      </c>
      <c r="C636" s="1" t="s">
        <v>6049</v>
      </c>
      <c r="D636" s="39">
        <v>2300</v>
      </c>
      <c r="E636" s="1" t="s">
        <v>1</v>
      </c>
      <c r="F636" s="3">
        <v>381.57</v>
      </c>
    </row>
    <row r="637" spans="1:6" x14ac:dyDescent="0.25">
      <c r="A637" s="1">
        <v>4012615</v>
      </c>
      <c r="B637" s="1" t="s">
        <v>6057</v>
      </c>
      <c r="C637" s="1" t="s">
        <v>6049</v>
      </c>
      <c r="D637" s="39">
        <v>2007</v>
      </c>
      <c r="E637" s="1" t="s">
        <v>1</v>
      </c>
      <c r="F637" s="3">
        <v>400.6</v>
      </c>
    </row>
    <row r="638" spans="1:6" x14ac:dyDescent="0.25">
      <c r="A638" s="1">
        <v>4012616</v>
      </c>
      <c r="B638" s="1" t="s">
        <v>795</v>
      </c>
      <c r="C638" s="1" t="s">
        <v>6049</v>
      </c>
      <c r="D638" s="39">
        <v>1900</v>
      </c>
      <c r="E638" s="1" t="s">
        <v>1</v>
      </c>
      <c r="F638" s="3">
        <v>171.95</v>
      </c>
    </row>
    <row r="639" spans="1:6" x14ac:dyDescent="0.25">
      <c r="A639" s="1">
        <v>4012617</v>
      </c>
      <c r="B639" s="1" t="s">
        <v>808</v>
      </c>
      <c r="C639" s="1" t="s">
        <v>6049</v>
      </c>
      <c r="D639" s="39">
        <v>2499</v>
      </c>
      <c r="E639" s="1" t="s">
        <v>1</v>
      </c>
      <c r="F639" s="3">
        <v>240.4</v>
      </c>
    </row>
    <row r="640" spans="1:6" x14ac:dyDescent="0.25">
      <c r="A640" s="1">
        <v>4012618</v>
      </c>
      <c r="B640" s="1" t="s">
        <v>823</v>
      </c>
      <c r="C640" s="1" t="s">
        <v>6049</v>
      </c>
      <c r="D640" s="39">
        <v>2000</v>
      </c>
      <c r="E640" s="1" t="s">
        <v>1</v>
      </c>
      <c r="F640" s="3">
        <v>224</v>
      </c>
    </row>
    <row r="641" spans="1:6" x14ac:dyDescent="0.25">
      <c r="A641" s="1">
        <v>4012619</v>
      </c>
      <c r="B641" s="1" t="s">
        <v>837</v>
      </c>
      <c r="C641" s="1" t="s">
        <v>6049</v>
      </c>
      <c r="D641" s="39">
        <v>13492</v>
      </c>
      <c r="E641" s="1" t="s">
        <v>1</v>
      </c>
      <c r="F641" s="3">
        <v>1605.55</v>
      </c>
    </row>
    <row r="642" spans="1:6" x14ac:dyDescent="0.25">
      <c r="A642" s="1">
        <v>4012620</v>
      </c>
      <c r="B642" s="1" t="s">
        <v>857</v>
      </c>
      <c r="C642" s="1" t="s">
        <v>6049</v>
      </c>
      <c r="D642" s="39">
        <v>16086</v>
      </c>
      <c r="E642" s="1" t="s">
        <v>1</v>
      </c>
      <c r="F642" s="3">
        <v>1455.78</v>
      </c>
    </row>
    <row r="643" spans="1:6" x14ac:dyDescent="0.25">
      <c r="A643" s="1">
        <v>4012622</v>
      </c>
      <c r="B643" s="1" t="s">
        <v>3265</v>
      </c>
      <c r="C643" s="1" t="s">
        <v>6049</v>
      </c>
      <c r="D643" s="39">
        <v>6543</v>
      </c>
      <c r="E643" s="1" t="s">
        <v>1</v>
      </c>
      <c r="F643" s="3">
        <v>592.14</v>
      </c>
    </row>
    <row r="644" spans="1:6" x14ac:dyDescent="0.25">
      <c r="A644" s="1">
        <v>4012623</v>
      </c>
      <c r="B644" s="1" t="s">
        <v>801</v>
      </c>
      <c r="C644" s="1" t="s">
        <v>6049</v>
      </c>
      <c r="D644" s="39">
        <v>2640</v>
      </c>
      <c r="E644" s="1" t="s">
        <v>1</v>
      </c>
      <c r="F644" s="3">
        <v>239.18</v>
      </c>
    </row>
    <row r="645" spans="1:6" x14ac:dyDescent="0.25">
      <c r="A645" s="1">
        <v>4012624</v>
      </c>
      <c r="B645" s="1" t="s">
        <v>830</v>
      </c>
      <c r="C645" s="1" t="s">
        <v>6049</v>
      </c>
      <c r="D645" s="39">
        <v>700</v>
      </c>
      <c r="E645" s="1" t="s">
        <v>1</v>
      </c>
      <c r="F645" s="3">
        <v>83.3</v>
      </c>
    </row>
    <row r="646" spans="1:6" x14ac:dyDescent="0.25">
      <c r="A646" s="1">
        <v>4012625</v>
      </c>
      <c r="B646" s="1" t="s">
        <v>843</v>
      </c>
      <c r="C646" s="1" t="s">
        <v>6049</v>
      </c>
      <c r="D646" s="39">
        <v>1900</v>
      </c>
      <c r="E646" s="1" t="s">
        <v>1</v>
      </c>
      <c r="F646" s="3">
        <v>212.8</v>
      </c>
    </row>
    <row r="647" spans="1:6" x14ac:dyDescent="0.25">
      <c r="A647" s="1">
        <v>4012674</v>
      </c>
      <c r="B647" s="1" t="s">
        <v>815</v>
      </c>
      <c r="C647" s="1" t="s">
        <v>6049</v>
      </c>
      <c r="D647" s="39">
        <v>1230</v>
      </c>
      <c r="E647" s="1" t="s">
        <v>1</v>
      </c>
      <c r="F647" s="3">
        <v>129.03</v>
      </c>
    </row>
    <row r="648" spans="1:6" x14ac:dyDescent="0.25">
      <c r="A648" s="1">
        <v>4012869</v>
      </c>
      <c r="B648" s="1" t="s">
        <v>1232</v>
      </c>
      <c r="C648" s="1" t="s">
        <v>6049</v>
      </c>
      <c r="D648" s="39">
        <v>3280</v>
      </c>
      <c r="E648" s="1" t="s">
        <v>1</v>
      </c>
      <c r="F648" s="3">
        <v>494.96</v>
      </c>
    </row>
    <row r="649" spans="1:6" x14ac:dyDescent="0.25">
      <c r="A649" s="1">
        <v>4012955</v>
      </c>
      <c r="B649" s="1" t="s">
        <v>3271</v>
      </c>
      <c r="C649" s="1" t="s">
        <v>6049</v>
      </c>
      <c r="D649" s="39">
        <v>3700</v>
      </c>
      <c r="E649" s="1" t="s">
        <v>1</v>
      </c>
      <c r="F649" s="3">
        <v>789.95</v>
      </c>
    </row>
    <row r="650" spans="1:6" x14ac:dyDescent="0.25">
      <c r="A650" s="1">
        <v>4012956</v>
      </c>
      <c r="B650" s="1" t="s">
        <v>6058</v>
      </c>
      <c r="C650" s="1" t="s">
        <v>6049</v>
      </c>
      <c r="D650" s="39">
        <v>1600</v>
      </c>
      <c r="E650" s="1" t="s">
        <v>1</v>
      </c>
      <c r="F650" s="3">
        <v>1158.56</v>
      </c>
    </row>
    <row r="651" spans="1:6" x14ac:dyDescent="0.25">
      <c r="A651" s="1">
        <v>4012957</v>
      </c>
      <c r="B651" s="1" t="s">
        <v>3272</v>
      </c>
      <c r="C651" s="1" t="s">
        <v>6049</v>
      </c>
      <c r="D651" s="39">
        <v>0</v>
      </c>
      <c r="E651" s="1" t="s">
        <v>1</v>
      </c>
      <c r="F651" s="39">
        <v>0</v>
      </c>
    </row>
    <row r="652" spans="1:6" x14ac:dyDescent="0.25">
      <c r="A652" s="1">
        <v>4012958</v>
      </c>
      <c r="B652" s="1" t="s">
        <v>3273</v>
      </c>
      <c r="C652" s="1" t="s">
        <v>6049</v>
      </c>
      <c r="D652" s="39">
        <v>0</v>
      </c>
      <c r="E652" s="1" t="s">
        <v>1</v>
      </c>
      <c r="F652" s="39">
        <v>0</v>
      </c>
    </row>
    <row r="653" spans="1:6" x14ac:dyDescent="0.25">
      <c r="A653" s="1">
        <v>4012959</v>
      </c>
      <c r="B653" s="1" t="s">
        <v>3274</v>
      </c>
      <c r="C653" s="1" t="s">
        <v>6049</v>
      </c>
      <c r="D653" s="39">
        <v>0</v>
      </c>
      <c r="E653" s="1" t="s">
        <v>1</v>
      </c>
      <c r="F653" s="39">
        <v>0</v>
      </c>
    </row>
    <row r="654" spans="1:6" x14ac:dyDescent="0.25">
      <c r="A654" s="1">
        <v>4012960</v>
      </c>
      <c r="B654" s="1" t="s">
        <v>3275</v>
      </c>
      <c r="C654" s="1" t="s">
        <v>6049</v>
      </c>
      <c r="D654" s="39">
        <v>2496</v>
      </c>
      <c r="E654" s="1" t="s">
        <v>1</v>
      </c>
      <c r="F654" s="3">
        <v>1144.42</v>
      </c>
    </row>
    <row r="655" spans="1:6" x14ac:dyDescent="0.25">
      <c r="A655" s="1">
        <v>4012961</v>
      </c>
      <c r="B655" s="1" t="s">
        <v>3276</v>
      </c>
      <c r="C655" s="1" t="s">
        <v>6049</v>
      </c>
      <c r="D655" s="39">
        <v>0</v>
      </c>
      <c r="E655" s="1" t="s">
        <v>1</v>
      </c>
      <c r="F655" s="39">
        <v>0</v>
      </c>
    </row>
    <row r="656" spans="1:6" x14ac:dyDescent="0.25">
      <c r="A656" s="1">
        <v>4012962</v>
      </c>
      <c r="B656" s="1" t="s">
        <v>3277</v>
      </c>
      <c r="C656" s="1" t="s">
        <v>6049</v>
      </c>
      <c r="D656" s="39">
        <v>0</v>
      </c>
      <c r="E656" s="1" t="s">
        <v>1</v>
      </c>
      <c r="F656" s="39">
        <v>0</v>
      </c>
    </row>
    <row r="657" spans="1:6" x14ac:dyDescent="0.25">
      <c r="A657" s="1">
        <v>4013164</v>
      </c>
      <c r="B657" s="1" t="s">
        <v>718</v>
      </c>
      <c r="C657" s="1" t="s">
        <v>6049</v>
      </c>
      <c r="D657" s="39">
        <v>5007</v>
      </c>
      <c r="E657" s="1" t="s">
        <v>1</v>
      </c>
      <c r="F657" s="3">
        <v>7952.61</v>
      </c>
    </row>
    <row r="658" spans="1:6" x14ac:dyDescent="0.25">
      <c r="A658" s="1">
        <v>4013206</v>
      </c>
      <c r="B658" s="1" t="s">
        <v>1192</v>
      </c>
      <c r="C658" s="1" t="s">
        <v>6049</v>
      </c>
      <c r="D658" s="39">
        <v>0</v>
      </c>
      <c r="E658" s="1" t="s">
        <v>1</v>
      </c>
      <c r="F658" s="39">
        <v>0</v>
      </c>
    </row>
    <row r="659" spans="1:6" x14ac:dyDescent="0.25">
      <c r="A659" s="1">
        <v>4013310</v>
      </c>
      <c r="B659" s="1" t="s">
        <v>909</v>
      </c>
      <c r="C659" s="1" t="s">
        <v>6049</v>
      </c>
      <c r="D659" s="39">
        <v>3545</v>
      </c>
      <c r="E659" s="1" t="s">
        <v>1</v>
      </c>
      <c r="F659" s="3">
        <v>2690.65</v>
      </c>
    </row>
    <row r="660" spans="1:6" x14ac:dyDescent="0.25">
      <c r="A660" s="1">
        <v>4013371</v>
      </c>
      <c r="B660" s="1" t="s">
        <v>1237</v>
      </c>
      <c r="C660" s="1" t="s">
        <v>6049</v>
      </c>
      <c r="D660" s="39">
        <v>5333</v>
      </c>
      <c r="E660" s="1" t="s">
        <v>1</v>
      </c>
      <c r="F660" s="3">
        <v>527.42999999999995</v>
      </c>
    </row>
    <row r="661" spans="1:6" x14ac:dyDescent="0.25">
      <c r="A661" s="1">
        <v>4013372</v>
      </c>
      <c r="B661" s="1" t="s">
        <v>1238</v>
      </c>
      <c r="C661" s="1" t="s">
        <v>6049</v>
      </c>
      <c r="D661" s="39">
        <v>365</v>
      </c>
      <c r="E661" s="1" t="s">
        <v>1</v>
      </c>
      <c r="F661" s="3">
        <v>937.87</v>
      </c>
    </row>
    <row r="662" spans="1:6" x14ac:dyDescent="0.25">
      <c r="A662" s="1">
        <v>4013544</v>
      </c>
      <c r="B662" s="1" t="s">
        <v>6059</v>
      </c>
      <c r="C662" s="1" t="s">
        <v>6049</v>
      </c>
      <c r="D662" s="39">
        <v>2057</v>
      </c>
      <c r="E662" s="1" t="s">
        <v>1</v>
      </c>
      <c r="F662" s="3">
        <v>280.99</v>
      </c>
    </row>
    <row r="663" spans="1:6" x14ac:dyDescent="0.25">
      <c r="A663" s="1">
        <v>4013770</v>
      </c>
      <c r="B663" s="1" t="s">
        <v>3292</v>
      </c>
      <c r="C663" s="1" t="s">
        <v>6049</v>
      </c>
      <c r="D663" s="39">
        <v>2714</v>
      </c>
      <c r="E663" s="1" t="s">
        <v>1</v>
      </c>
      <c r="F663" s="3">
        <v>7417.36</v>
      </c>
    </row>
    <row r="664" spans="1:6" x14ac:dyDescent="0.25">
      <c r="A664" s="1">
        <v>4013780</v>
      </c>
      <c r="B664" s="1" t="s">
        <v>3293</v>
      </c>
      <c r="C664" s="1" t="s">
        <v>6049</v>
      </c>
      <c r="D664" s="39">
        <v>0</v>
      </c>
      <c r="E664" s="1" t="s">
        <v>1</v>
      </c>
      <c r="F664" s="39">
        <v>0</v>
      </c>
    </row>
    <row r="665" spans="1:6" x14ac:dyDescent="0.25">
      <c r="A665" s="1">
        <v>4013781</v>
      </c>
      <c r="B665" s="1" t="s">
        <v>3294</v>
      </c>
      <c r="C665" s="1" t="s">
        <v>6049</v>
      </c>
      <c r="D665" s="39">
        <v>0</v>
      </c>
      <c r="E665" s="1" t="s">
        <v>1</v>
      </c>
      <c r="F665" s="39">
        <v>0</v>
      </c>
    </row>
    <row r="666" spans="1:6" x14ac:dyDescent="0.25">
      <c r="A666" s="1">
        <v>4013782</v>
      </c>
      <c r="B666" s="1" t="s">
        <v>3295</v>
      </c>
      <c r="C666" s="1" t="s">
        <v>6049</v>
      </c>
      <c r="D666" s="39">
        <v>0</v>
      </c>
      <c r="E666" s="1" t="s">
        <v>1</v>
      </c>
      <c r="F666" s="39">
        <v>0</v>
      </c>
    </row>
    <row r="667" spans="1:6" x14ac:dyDescent="0.25">
      <c r="A667" s="1">
        <v>4013783</v>
      </c>
      <c r="B667" s="1" t="s">
        <v>3296</v>
      </c>
      <c r="C667" s="1" t="s">
        <v>6049</v>
      </c>
      <c r="D667" s="39">
        <v>0</v>
      </c>
      <c r="E667" s="1" t="s">
        <v>1</v>
      </c>
      <c r="F667" s="39">
        <v>0</v>
      </c>
    </row>
    <row r="668" spans="1:6" x14ac:dyDescent="0.25">
      <c r="A668" s="1">
        <v>4013793</v>
      </c>
      <c r="B668" s="1" t="s">
        <v>3297</v>
      </c>
      <c r="C668" s="1" t="s">
        <v>6049</v>
      </c>
      <c r="D668" s="39">
        <v>0</v>
      </c>
      <c r="E668" s="1" t="s">
        <v>1</v>
      </c>
      <c r="F668" s="39">
        <v>0</v>
      </c>
    </row>
    <row r="669" spans="1:6" x14ac:dyDescent="0.25">
      <c r="A669" s="1">
        <v>4013821</v>
      </c>
      <c r="B669" s="1" t="s">
        <v>1204</v>
      </c>
      <c r="C669" s="1" t="s">
        <v>6049</v>
      </c>
      <c r="D669" s="39">
        <v>16790</v>
      </c>
      <c r="E669" s="1" t="s">
        <v>1</v>
      </c>
      <c r="F669" s="3">
        <v>3601.45</v>
      </c>
    </row>
    <row r="670" spans="1:6" x14ac:dyDescent="0.25">
      <c r="A670" s="1">
        <v>4013886</v>
      </c>
      <c r="B670" s="1" t="s">
        <v>3299</v>
      </c>
      <c r="C670" s="1" t="s">
        <v>6049</v>
      </c>
      <c r="D670" s="39">
        <v>0</v>
      </c>
      <c r="E670" s="1" t="s">
        <v>1</v>
      </c>
      <c r="F670" s="39">
        <v>0</v>
      </c>
    </row>
    <row r="671" spans="1:6" x14ac:dyDescent="0.25">
      <c r="A671" s="1">
        <v>4013894</v>
      </c>
      <c r="B671" s="1" t="s">
        <v>3300</v>
      </c>
      <c r="C671" s="1" t="s">
        <v>6049</v>
      </c>
      <c r="D671" s="39">
        <v>0</v>
      </c>
      <c r="E671" s="1" t="s">
        <v>1</v>
      </c>
      <c r="F671" s="39">
        <v>0</v>
      </c>
    </row>
    <row r="672" spans="1:6" x14ac:dyDescent="0.25">
      <c r="A672" s="1">
        <v>4013895</v>
      </c>
      <c r="B672" s="1" t="s">
        <v>3301</v>
      </c>
      <c r="C672" s="1" t="s">
        <v>6049</v>
      </c>
      <c r="D672" s="39">
        <v>0</v>
      </c>
      <c r="E672" s="1" t="s">
        <v>1</v>
      </c>
      <c r="F672" s="39">
        <v>0</v>
      </c>
    </row>
    <row r="673" spans="1:6" x14ac:dyDescent="0.25">
      <c r="A673" s="1">
        <v>4013896</v>
      </c>
      <c r="B673" s="1" t="s">
        <v>3302</v>
      </c>
      <c r="C673" s="1" t="s">
        <v>6049</v>
      </c>
      <c r="D673" s="39">
        <v>0</v>
      </c>
      <c r="E673" s="1" t="s">
        <v>1</v>
      </c>
      <c r="F673" s="39">
        <v>0</v>
      </c>
    </row>
    <row r="674" spans="1:6" x14ac:dyDescent="0.25">
      <c r="A674" s="1">
        <v>4014388</v>
      </c>
      <c r="B674" s="1" t="s">
        <v>1730</v>
      </c>
      <c r="C674" s="1" t="s">
        <v>6049</v>
      </c>
      <c r="D674" s="39">
        <v>1650</v>
      </c>
      <c r="E674" s="1" t="s">
        <v>1</v>
      </c>
      <c r="F674" s="3">
        <v>432.63</v>
      </c>
    </row>
    <row r="675" spans="1:6" x14ac:dyDescent="0.25">
      <c r="A675" s="1">
        <v>4014389</v>
      </c>
      <c r="B675" s="1" t="s">
        <v>1731</v>
      </c>
      <c r="C675" s="1" t="s">
        <v>6049</v>
      </c>
      <c r="D675" s="39">
        <v>650</v>
      </c>
      <c r="E675" s="1" t="s">
        <v>1</v>
      </c>
      <c r="F675" s="3">
        <v>196.24</v>
      </c>
    </row>
    <row r="676" spans="1:6" x14ac:dyDescent="0.25">
      <c r="A676" s="1">
        <v>4014396</v>
      </c>
      <c r="B676" s="1" t="s">
        <v>1681</v>
      </c>
      <c r="C676" s="1" t="s">
        <v>6049</v>
      </c>
      <c r="D676" s="39">
        <v>0</v>
      </c>
      <c r="E676" s="1" t="s">
        <v>1</v>
      </c>
      <c r="F676" s="39">
        <v>0</v>
      </c>
    </row>
    <row r="677" spans="1:6" x14ac:dyDescent="0.25">
      <c r="A677" s="1">
        <v>4014452</v>
      </c>
      <c r="B677" s="1" t="s">
        <v>1732</v>
      </c>
      <c r="C677" s="1" t="s">
        <v>6049</v>
      </c>
      <c r="D677" s="39">
        <v>229</v>
      </c>
      <c r="E677" s="1" t="s">
        <v>1</v>
      </c>
      <c r="F677" s="3">
        <v>1242.67</v>
      </c>
    </row>
    <row r="678" spans="1:6" x14ac:dyDescent="0.25">
      <c r="A678" s="1">
        <v>4014466</v>
      </c>
      <c r="B678" s="1" t="s">
        <v>1743</v>
      </c>
      <c r="C678" s="1" t="s">
        <v>6049</v>
      </c>
      <c r="D678" s="39">
        <v>3207</v>
      </c>
      <c r="E678" s="1" t="s">
        <v>1</v>
      </c>
      <c r="F678" s="3">
        <v>152.97</v>
      </c>
    </row>
    <row r="679" spans="1:6" x14ac:dyDescent="0.25">
      <c r="A679" s="1">
        <v>4014467</v>
      </c>
      <c r="B679" s="1" t="s">
        <v>1738</v>
      </c>
      <c r="C679" s="1" t="s">
        <v>6049</v>
      </c>
      <c r="D679" s="39">
        <v>4987</v>
      </c>
      <c r="E679" s="1" t="s">
        <v>1</v>
      </c>
      <c r="F679" s="3">
        <v>237.88</v>
      </c>
    </row>
    <row r="680" spans="1:6" x14ac:dyDescent="0.25">
      <c r="A680" s="1">
        <v>4014468</v>
      </c>
      <c r="B680" s="1" t="s">
        <v>1748</v>
      </c>
      <c r="C680" s="1" t="s">
        <v>6049</v>
      </c>
      <c r="D680" s="39">
        <v>1004</v>
      </c>
      <c r="E680" s="1" t="s">
        <v>1</v>
      </c>
      <c r="F680" s="3">
        <v>47.89</v>
      </c>
    </row>
    <row r="681" spans="1:6" x14ac:dyDescent="0.25">
      <c r="A681" s="1">
        <v>4014469</v>
      </c>
      <c r="B681" s="1" t="s">
        <v>1733</v>
      </c>
      <c r="C681" s="1" t="s">
        <v>6049</v>
      </c>
      <c r="D681" s="39">
        <v>4370</v>
      </c>
      <c r="E681" s="1" t="s">
        <v>1</v>
      </c>
      <c r="F681" s="3">
        <v>208.45</v>
      </c>
    </row>
    <row r="682" spans="1:6" x14ac:dyDescent="0.25">
      <c r="A682" s="1">
        <v>4014651</v>
      </c>
      <c r="B682" s="1" t="s">
        <v>3303</v>
      </c>
      <c r="C682" s="1" t="s">
        <v>6049</v>
      </c>
      <c r="D682" s="39">
        <v>0</v>
      </c>
      <c r="E682" s="1" t="s">
        <v>1</v>
      </c>
      <c r="F682" s="39">
        <v>0</v>
      </c>
    </row>
    <row r="683" spans="1:6" x14ac:dyDescent="0.25">
      <c r="A683" s="1">
        <v>4014652</v>
      </c>
      <c r="B683" s="1" t="s">
        <v>3304</v>
      </c>
      <c r="C683" s="1" t="s">
        <v>6049</v>
      </c>
      <c r="D683" s="39">
        <v>0</v>
      </c>
      <c r="E683" s="1" t="s">
        <v>1</v>
      </c>
      <c r="F683" s="39">
        <v>0</v>
      </c>
    </row>
    <row r="684" spans="1:6" x14ac:dyDescent="0.25">
      <c r="A684" s="1">
        <v>4014653</v>
      </c>
      <c r="B684" s="1" t="s">
        <v>3305</v>
      </c>
      <c r="C684" s="1" t="s">
        <v>6049</v>
      </c>
      <c r="D684" s="39">
        <v>0</v>
      </c>
      <c r="E684" s="1" t="s">
        <v>1</v>
      </c>
      <c r="F684" s="39">
        <v>0</v>
      </c>
    </row>
    <row r="685" spans="1:6" x14ac:dyDescent="0.25">
      <c r="A685" s="1">
        <v>4014654</v>
      </c>
      <c r="B685" s="1" t="s">
        <v>3306</v>
      </c>
      <c r="C685" s="1" t="s">
        <v>6049</v>
      </c>
      <c r="D685" s="39">
        <v>0</v>
      </c>
      <c r="E685" s="1" t="s">
        <v>1</v>
      </c>
      <c r="F685" s="39">
        <v>0</v>
      </c>
    </row>
    <row r="686" spans="1:6" x14ac:dyDescent="0.25">
      <c r="A686" s="1">
        <v>4014655</v>
      </c>
      <c r="B686" s="1" t="s">
        <v>3307</v>
      </c>
      <c r="C686" s="1" t="s">
        <v>6049</v>
      </c>
      <c r="D686" s="39">
        <v>0</v>
      </c>
      <c r="E686" s="1" t="s">
        <v>1</v>
      </c>
      <c r="F686" s="39">
        <v>0</v>
      </c>
    </row>
    <row r="687" spans="1:6" x14ac:dyDescent="0.25">
      <c r="A687" s="1">
        <v>4014845</v>
      </c>
      <c r="B687" s="1" t="s">
        <v>109</v>
      </c>
      <c r="C687" s="1" t="s">
        <v>6049</v>
      </c>
      <c r="D687" s="39">
        <v>700</v>
      </c>
      <c r="E687" s="1" t="s">
        <v>1</v>
      </c>
      <c r="F687" s="3">
        <v>460.95</v>
      </c>
    </row>
    <row r="688" spans="1:6" x14ac:dyDescent="0.25">
      <c r="A688" s="1">
        <v>4014880</v>
      </c>
      <c r="B688" s="1" t="s">
        <v>1385</v>
      </c>
      <c r="C688" s="1" t="s">
        <v>6049</v>
      </c>
      <c r="D688" s="39">
        <v>12679</v>
      </c>
      <c r="E688" s="1" t="s">
        <v>1</v>
      </c>
      <c r="F688" s="3">
        <v>992.77</v>
      </c>
    </row>
    <row r="689" spans="1:6" x14ac:dyDescent="0.25">
      <c r="A689" s="1">
        <v>4014892</v>
      </c>
      <c r="B689" s="1" t="s">
        <v>1380</v>
      </c>
      <c r="C689" s="1" t="s">
        <v>6049</v>
      </c>
      <c r="D689" s="39">
        <v>14288</v>
      </c>
      <c r="E689" s="1" t="s">
        <v>1</v>
      </c>
      <c r="F689" s="3">
        <v>1118.75</v>
      </c>
    </row>
    <row r="690" spans="1:6" x14ac:dyDescent="0.25">
      <c r="A690" s="1">
        <v>4014893</v>
      </c>
      <c r="B690" s="1" t="s">
        <v>1395</v>
      </c>
      <c r="C690" s="1" t="s">
        <v>6049</v>
      </c>
      <c r="D690" s="39">
        <v>11754</v>
      </c>
      <c r="E690" s="1" t="s">
        <v>1</v>
      </c>
      <c r="F690" s="3">
        <v>949.72</v>
      </c>
    </row>
    <row r="691" spans="1:6" x14ac:dyDescent="0.25">
      <c r="A691" s="1">
        <v>4014894</v>
      </c>
      <c r="B691" s="1" t="s">
        <v>1390</v>
      </c>
      <c r="C691" s="1" t="s">
        <v>6049</v>
      </c>
      <c r="D691" s="39">
        <v>21599</v>
      </c>
      <c r="E691" s="1" t="s">
        <v>1</v>
      </c>
      <c r="F691" s="3">
        <v>1710.64</v>
      </c>
    </row>
    <row r="692" spans="1:6" x14ac:dyDescent="0.25">
      <c r="A692" s="1">
        <v>4014895</v>
      </c>
      <c r="B692" s="1" t="s">
        <v>1405</v>
      </c>
      <c r="C692" s="1" t="s">
        <v>6049</v>
      </c>
      <c r="D692" s="39">
        <v>3436</v>
      </c>
      <c r="E692" s="1" t="s">
        <v>1</v>
      </c>
      <c r="F692" s="3">
        <v>269.04000000000002</v>
      </c>
    </row>
    <row r="693" spans="1:6" x14ac:dyDescent="0.25">
      <c r="A693" s="1">
        <v>4014896</v>
      </c>
      <c r="B693" s="1" t="s">
        <v>1400</v>
      </c>
      <c r="C693" s="1" t="s">
        <v>6049</v>
      </c>
      <c r="D693" s="39">
        <v>0</v>
      </c>
      <c r="E693" s="1" t="s">
        <v>1</v>
      </c>
      <c r="F693" s="39">
        <v>0</v>
      </c>
    </row>
    <row r="694" spans="1:6" x14ac:dyDescent="0.25">
      <c r="A694" s="1">
        <v>4014897</v>
      </c>
      <c r="B694" s="1" t="s">
        <v>1415</v>
      </c>
      <c r="C694" s="1" t="s">
        <v>6049</v>
      </c>
      <c r="D694" s="39">
        <v>6774</v>
      </c>
      <c r="E694" s="1" t="s">
        <v>1</v>
      </c>
      <c r="F694" s="3">
        <v>530.4</v>
      </c>
    </row>
    <row r="695" spans="1:6" x14ac:dyDescent="0.25">
      <c r="A695" s="1">
        <v>4014898</v>
      </c>
      <c r="B695" s="1" t="s">
        <v>1410</v>
      </c>
      <c r="C695" s="1" t="s">
        <v>6049</v>
      </c>
      <c r="D695" s="39">
        <v>4904</v>
      </c>
      <c r="E695" s="1" t="s">
        <v>1</v>
      </c>
      <c r="F695" s="3">
        <v>383.98</v>
      </c>
    </row>
    <row r="696" spans="1:6" x14ac:dyDescent="0.25">
      <c r="A696" s="1">
        <v>4014899</v>
      </c>
      <c r="B696" s="1" t="s">
        <v>1359</v>
      </c>
      <c r="C696" s="1" t="s">
        <v>6049</v>
      </c>
      <c r="D696" s="39">
        <v>0</v>
      </c>
      <c r="E696" s="1" t="s">
        <v>1</v>
      </c>
      <c r="F696" s="39">
        <v>0</v>
      </c>
    </row>
    <row r="697" spans="1:6" x14ac:dyDescent="0.25">
      <c r="A697" s="1">
        <v>4014900</v>
      </c>
      <c r="B697" s="1" t="s">
        <v>1355</v>
      </c>
      <c r="C697" s="1" t="s">
        <v>6049</v>
      </c>
      <c r="D697" s="39">
        <v>0</v>
      </c>
      <c r="E697" s="1" t="s">
        <v>1</v>
      </c>
      <c r="F697" s="39">
        <v>0</v>
      </c>
    </row>
    <row r="698" spans="1:6" x14ac:dyDescent="0.25">
      <c r="A698" s="1">
        <v>4014901</v>
      </c>
      <c r="B698" s="1" t="s">
        <v>1367</v>
      </c>
      <c r="C698" s="1" t="s">
        <v>6049</v>
      </c>
      <c r="D698" s="39">
        <v>0</v>
      </c>
      <c r="E698" s="1" t="s">
        <v>1</v>
      </c>
      <c r="F698" s="39">
        <v>0</v>
      </c>
    </row>
    <row r="699" spans="1:6" x14ac:dyDescent="0.25">
      <c r="A699" s="1">
        <v>4014902</v>
      </c>
      <c r="B699" s="1" t="s">
        <v>1363</v>
      </c>
      <c r="C699" s="1" t="s">
        <v>6049</v>
      </c>
      <c r="D699" s="39">
        <v>0</v>
      </c>
      <c r="E699" s="1" t="s">
        <v>1</v>
      </c>
      <c r="F699" s="39">
        <v>0</v>
      </c>
    </row>
    <row r="700" spans="1:6" x14ac:dyDescent="0.25">
      <c r="A700" s="1">
        <v>4014903</v>
      </c>
      <c r="B700" s="1" t="s">
        <v>1649</v>
      </c>
      <c r="C700" s="1" t="s">
        <v>6049</v>
      </c>
      <c r="D700" s="39">
        <v>5389</v>
      </c>
      <c r="E700" s="1" t="s">
        <v>1</v>
      </c>
      <c r="F700" s="3">
        <v>421.96</v>
      </c>
    </row>
    <row r="701" spans="1:6" x14ac:dyDescent="0.25">
      <c r="A701" s="1">
        <v>4014904</v>
      </c>
      <c r="B701" s="1" t="s">
        <v>1644</v>
      </c>
      <c r="C701" s="1" t="s">
        <v>6049</v>
      </c>
      <c r="D701" s="39">
        <v>0</v>
      </c>
      <c r="E701" s="1" t="s">
        <v>1</v>
      </c>
      <c r="F701" s="39">
        <v>0</v>
      </c>
    </row>
    <row r="702" spans="1:6" x14ac:dyDescent="0.25">
      <c r="A702" s="1">
        <v>4014905</v>
      </c>
      <c r="B702" s="1" t="s">
        <v>1659</v>
      </c>
      <c r="C702" s="1" t="s">
        <v>6049</v>
      </c>
      <c r="D702" s="39">
        <v>0</v>
      </c>
      <c r="E702" s="1" t="s">
        <v>1</v>
      </c>
      <c r="F702" s="39">
        <v>0</v>
      </c>
    </row>
    <row r="703" spans="1:6" x14ac:dyDescent="0.25">
      <c r="A703" s="1">
        <v>4014906</v>
      </c>
      <c r="B703" s="1" t="s">
        <v>1654</v>
      </c>
      <c r="C703" s="1" t="s">
        <v>6049</v>
      </c>
      <c r="D703" s="39">
        <v>5401</v>
      </c>
      <c r="E703" s="1" t="s">
        <v>1</v>
      </c>
      <c r="F703" s="3">
        <v>422.9</v>
      </c>
    </row>
    <row r="704" spans="1:6" x14ac:dyDescent="0.25">
      <c r="A704" s="1">
        <v>4014907</v>
      </c>
      <c r="B704" s="1" t="s">
        <v>1255</v>
      </c>
      <c r="C704" s="1" t="s">
        <v>6049</v>
      </c>
      <c r="D704" s="39">
        <v>946</v>
      </c>
      <c r="E704" s="1" t="s">
        <v>1</v>
      </c>
      <c r="F704" s="3">
        <v>70.290000000000006</v>
      </c>
    </row>
    <row r="705" spans="1:6" x14ac:dyDescent="0.25">
      <c r="A705" s="1">
        <v>4014908</v>
      </c>
      <c r="B705" s="1" t="s">
        <v>1250</v>
      </c>
      <c r="C705" s="1" t="s">
        <v>6049</v>
      </c>
      <c r="D705" s="39">
        <v>1497</v>
      </c>
      <c r="E705" s="1" t="s">
        <v>1</v>
      </c>
      <c r="F705" s="3">
        <v>111.23</v>
      </c>
    </row>
    <row r="706" spans="1:6" x14ac:dyDescent="0.25">
      <c r="A706" s="1">
        <v>4014909</v>
      </c>
      <c r="B706" s="1" t="s">
        <v>1260</v>
      </c>
      <c r="C706" s="1" t="s">
        <v>6049</v>
      </c>
      <c r="D706" s="39">
        <v>1636</v>
      </c>
      <c r="E706" s="1" t="s">
        <v>1</v>
      </c>
      <c r="F706" s="3">
        <v>121.55</v>
      </c>
    </row>
    <row r="707" spans="1:6" x14ac:dyDescent="0.25">
      <c r="A707" s="1">
        <v>4014910</v>
      </c>
      <c r="B707" s="1" t="s">
        <v>1214</v>
      </c>
      <c r="C707" s="1" t="s">
        <v>6049</v>
      </c>
      <c r="D707" s="39">
        <v>0</v>
      </c>
      <c r="E707" s="1" t="s">
        <v>1</v>
      </c>
      <c r="F707" s="39">
        <v>0</v>
      </c>
    </row>
    <row r="708" spans="1:6" x14ac:dyDescent="0.25">
      <c r="A708" s="1">
        <v>4014911</v>
      </c>
      <c r="B708" s="1" t="s">
        <v>1209</v>
      </c>
      <c r="C708" s="1" t="s">
        <v>6049</v>
      </c>
      <c r="D708" s="39">
        <v>1500</v>
      </c>
      <c r="E708" s="1" t="s">
        <v>1</v>
      </c>
      <c r="F708" s="3">
        <v>97.05</v>
      </c>
    </row>
    <row r="709" spans="1:6" x14ac:dyDescent="0.25">
      <c r="A709" s="1">
        <v>4014912</v>
      </c>
      <c r="B709" s="1" t="s">
        <v>1224</v>
      </c>
      <c r="C709" s="1" t="s">
        <v>6049</v>
      </c>
      <c r="D709" s="39">
        <v>3300</v>
      </c>
      <c r="E709" s="1" t="s">
        <v>1</v>
      </c>
      <c r="F709" s="3">
        <v>213.51</v>
      </c>
    </row>
    <row r="710" spans="1:6" x14ac:dyDescent="0.25">
      <c r="A710" s="1">
        <v>4014913</v>
      </c>
      <c r="B710" s="1" t="s">
        <v>1219</v>
      </c>
      <c r="C710" s="1" t="s">
        <v>6049</v>
      </c>
      <c r="D710" s="39">
        <v>2588</v>
      </c>
      <c r="E710" s="1" t="s">
        <v>1</v>
      </c>
      <c r="F710" s="3">
        <v>167.44</v>
      </c>
    </row>
    <row r="711" spans="1:6" x14ac:dyDescent="0.25">
      <c r="A711" s="1">
        <v>4014919</v>
      </c>
      <c r="B711" s="1" t="s">
        <v>1549</v>
      </c>
      <c r="C711" s="1" t="s">
        <v>6049</v>
      </c>
      <c r="D711" s="39">
        <v>2385</v>
      </c>
      <c r="E711" s="1" t="s">
        <v>1</v>
      </c>
      <c r="F711" s="3">
        <v>3026.57</v>
      </c>
    </row>
    <row r="712" spans="1:6" x14ac:dyDescent="0.25">
      <c r="A712" s="1">
        <v>4015024</v>
      </c>
      <c r="B712" s="1" t="s">
        <v>933</v>
      </c>
      <c r="C712" s="1" t="s">
        <v>6049</v>
      </c>
      <c r="D712" s="39">
        <v>0</v>
      </c>
      <c r="E712" s="1" t="s">
        <v>1</v>
      </c>
      <c r="F712" s="39">
        <v>0</v>
      </c>
    </row>
    <row r="713" spans="1:6" x14ac:dyDescent="0.25">
      <c r="A713" s="1">
        <v>4015036</v>
      </c>
      <c r="B713" s="1" t="s">
        <v>936</v>
      </c>
      <c r="C713" s="1" t="s">
        <v>6049</v>
      </c>
      <c r="D713" s="39">
        <v>0</v>
      </c>
      <c r="E713" s="1" t="s">
        <v>1</v>
      </c>
      <c r="F713" s="39">
        <v>0</v>
      </c>
    </row>
    <row r="714" spans="1:6" x14ac:dyDescent="0.25">
      <c r="A714" s="1">
        <v>4015037</v>
      </c>
      <c r="B714" s="1" t="s">
        <v>939</v>
      </c>
      <c r="C714" s="1" t="s">
        <v>6049</v>
      </c>
      <c r="D714" s="39">
        <v>0</v>
      </c>
      <c r="E714" s="1" t="s">
        <v>1</v>
      </c>
      <c r="F714" s="39">
        <v>0</v>
      </c>
    </row>
    <row r="715" spans="1:6" x14ac:dyDescent="0.25">
      <c r="A715" s="1">
        <v>4015038</v>
      </c>
      <c r="B715" s="1" t="s">
        <v>942</v>
      </c>
      <c r="C715" s="1" t="s">
        <v>6049</v>
      </c>
      <c r="D715" s="39">
        <v>0</v>
      </c>
      <c r="E715" s="1" t="s">
        <v>1</v>
      </c>
      <c r="F715" s="39">
        <v>0</v>
      </c>
    </row>
    <row r="716" spans="1:6" x14ac:dyDescent="0.25">
      <c r="A716" s="1">
        <v>4015039</v>
      </c>
      <c r="B716" s="1" t="s">
        <v>921</v>
      </c>
      <c r="C716" s="1" t="s">
        <v>6049</v>
      </c>
      <c r="D716" s="39">
        <v>0</v>
      </c>
      <c r="E716" s="1" t="s">
        <v>1</v>
      </c>
      <c r="F716" s="39">
        <v>0</v>
      </c>
    </row>
    <row r="717" spans="1:6" x14ac:dyDescent="0.25">
      <c r="A717" s="1">
        <v>4015040</v>
      </c>
      <c r="B717" s="1" t="s">
        <v>924</v>
      </c>
      <c r="C717" s="1" t="s">
        <v>6049</v>
      </c>
      <c r="D717" s="39">
        <v>0</v>
      </c>
      <c r="E717" s="1" t="s">
        <v>1</v>
      </c>
      <c r="F717" s="39">
        <v>0</v>
      </c>
    </row>
    <row r="718" spans="1:6" x14ac:dyDescent="0.25">
      <c r="A718" s="1">
        <v>4015041</v>
      </c>
      <c r="B718" s="1" t="s">
        <v>927</v>
      </c>
      <c r="C718" s="1" t="s">
        <v>6049</v>
      </c>
      <c r="D718" s="39">
        <v>0</v>
      </c>
      <c r="E718" s="1" t="s">
        <v>1</v>
      </c>
      <c r="F718" s="39">
        <v>0</v>
      </c>
    </row>
    <row r="719" spans="1:6" x14ac:dyDescent="0.25">
      <c r="A719" s="1">
        <v>4015042</v>
      </c>
      <c r="B719" s="1" t="s">
        <v>930</v>
      </c>
      <c r="C719" s="1" t="s">
        <v>6049</v>
      </c>
      <c r="D719" s="39">
        <v>0</v>
      </c>
      <c r="E719" s="1" t="s">
        <v>1</v>
      </c>
      <c r="F719" s="39">
        <v>0</v>
      </c>
    </row>
    <row r="720" spans="1:6" x14ac:dyDescent="0.25">
      <c r="A720" s="1">
        <v>4015222</v>
      </c>
      <c r="B720" s="1" t="s">
        <v>1550</v>
      </c>
      <c r="C720" s="1" t="s">
        <v>6049</v>
      </c>
      <c r="D720" s="40">
        <v>1063.5</v>
      </c>
      <c r="E720" s="1" t="s">
        <v>3</v>
      </c>
      <c r="F720" s="3">
        <v>48266.31</v>
      </c>
    </row>
    <row r="721" spans="1:6" x14ac:dyDescent="0.25">
      <c r="A721" s="1">
        <v>4016290</v>
      </c>
      <c r="B721" s="1" t="s">
        <v>1448</v>
      </c>
      <c r="C721" s="1" t="s">
        <v>6049</v>
      </c>
      <c r="D721" s="39">
        <v>0</v>
      </c>
      <c r="E721" s="1" t="s">
        <v>1</v>
      </c>
      <c r="F721" s="39">
        <v>0</v>
      </c>
    </row>
    <row r="722" spans="1:6" x14ac:dyDescent="0.25">
      <c r="A722" s="1">
        <v>4016390</v>
      </c>
      <c r="B722" s="1" t="s">
        <v>1122</v>
      </c>
      <c r="C722" s="1" t="s">
        <v>6049</v>
      </c>
      <c r="D722" s="39">
        <v>0</v>
      </c>
      <c r="E722" s="1" t="s">
        <v>1</v>
      </c>
      <c r="F722" s="39">
        <v>0</v>
      </c>
    </row>
    <row r="723" spans="1:6" x14ac:dyDescent="0.25">
      <c r="A723" s="1">
        <v>4016568</v>
      </c>
      <c r="B723" s="1" t="s">
        <v>1094</v>
      </c>
      <c r="C723" s="1" t="s">
        <v>6049</v>
      </c>
      <c r="D723" s="39">
        <v>1477</v>
      </c>
      <c r="E723" s="1" t="s">
        <v>1</v>
      </c>
      <c r="F723" s="3">
        <v>209.88</v>
      </c>
    </row>
    <row r="724" spans="1:6" x14ac:dyDescent="0.25">
      <c r="A724" s="1">
        <v>4016700</v>
      </c>
      <c r="B724" s="1" t="s">
        <v>850</v>
      </c>
      <c r="C724" s="1" t="s">
        <v>6049</v>
      </c>
      <c r="D724" s="39">
        <v>2750</v>
      </c>
      <c r="E724" s="1" t="s">
        <v>1</v>
      </c>
      <c r="F724" s="3">
        <v>317.08</v>
      </c>
    </row>
    <row r="725" spans="1:6" x14ac:dyDescent="0.25">
      <c r="A725" s="1">
        <v>4016701</v>
      </c>
      <c r="B725" s="1" t="s">
        <v>831</v>
      </c>
      <c r="C725" s="1" t="s">
        <v>6049</v>
      </c>
      <c r="D725" s="39">
        <v>0</v>
      </c>
      <c r="E725" s="1" t="s">
        <v>1</v>
      </c>
      <c r="F725" s="39">
        <v>0</v>
      </c>
    </row>
    <row r="726" spans="1:6" x14ac:dyDescent="0.25">
      <c r="A726" s="1">
        <v>4016811</v>
      </c>
      <c r="B726" s="1" t="s">
        <v>3321</v>
      </c>
      <c r="C726" s="1" t="s">
        <v>6049</v>
      </c>
      <c r="D726" s="39">
        <v>0</v>
      </c>
      <c r="E726" s="1" t="s">
        <v>1</v>
      </c>
      <c r="F726" s="39">
        <v>0</v>
      </c>
    </row>
    <row r="727" spans="1:6" x14ac:dyDescent="0.25">
      <c r="A727" s="1">
        <v>4016880</v>
      </c>
      <c r="B727" s="1" t="s">
        <v>495</v>
      </c>
      <c r="C727" s="1" t="s">
        <v>6049</v>
      </c>
      <c r="D727" s="39">
        <v>0</v>
      </c>
      <c r="E727" s="1" t="s">
        <v>1</v>
      </c>
      <c r="F727" s="39">
        <v>0</v>
      </c>
    </row>
    <row r="728" spans="1:6" x14ac:dyDescent="0.25">
      <c r="A728" s="1">
        <v>4016890</v>
      </c>
      <c r="B728" s="1" t="s">
        <v>496</v>
      </c>
      <c r="C728" s="1" t="s">
        <v>6049</v>
      </c>
      <c r="D728" s="39">
        <v>261</v>
      </c>
      <c r="E728" s="1" t="s">
        <v>1</v>
      </c>
      <c r="F728" s="3">
        <v>65.040000000000006</v>
      </c>
    </row>
    <row r="729" spans="1:6" x14ac:dyDescent="0.25">
      <c r="A729" s="1">
        <v>4016901</v>
      </c>
      <c r="B729" s="1" t="s">
        <v>809</v>
      </c>
      <c r="C729" s="1" t="s">
        <v>6049</v>
      </c>
      <c r="D729" s="39">
        <v>1500</v>
      </c>
      <c r="E729" s="1" t="s">
        <v>1</v>
      </c>
      <c r="F729" s="3">
        <v>168</v>
      </c>
    </row>
    <row r="730" spans="1:6" x14ac:dyDescent="0.25">
      <c r="A730" s="1">
        <v>4016902</v>
      </c>
      <c r="B730" s="1" t="s">
        <v>816</v>
      </c>
      <c r="C730" s="1" t="s">
        <v>6049</v>
      </c>
      <c r="D730" s="39">
        <v>2300</v>
      </c>
      <c r="E730" s="1" t="s">
        <v>1</v>
      </c>
      <c r="F730" s="3">
        <v>257.60000000000002</v>
      </c>
    </row>
    <row r="731" spans="1:6" x14ac:dyDescent="0.25">
      <c r="A731" s="1">
        <v>4016903</v>
      </c>
      <c r="B731" s="1" t="s">
        <v>824</v>
      </c>
      <c r="C731" s="1" t="s">
        <v>6049</v>
      </c>
      <c r="D731" s="39">
        <v>5000</v>
      </c>
      <c r="E731" s="1" t="s">
        <v>1</v>
      </c>
      <c r="F731" s="3">
        <v>560</v>
      </c>
    </row>
    <row r="732" spans="1:6" x14ac:dyDescent="0.25">
      <c r="A732" s="1">
        <v>4016904</v>
      </c>
      <c r="B732" s="1" t="s">
        <v>6060</v>
      </c>
      <c r="C732" s="1" t="s">
        <v>6049</v>
      </c>
      <c r="D732" s="39">
        <v>3000</v>
      </c>
      <c r="E732" s="1" t="s">
        <v>1</v>
      </c>
      <c r="F732" s="3">
        <v>336</v>
      </c>
    </row>
    <row r="733" spans="1:6" x14ac:dyDescent="0.25">
      <c r="A733" s="1">
        <v>4016905</v>
      </c>
      <c r="B733" s="1" t="s">
        <v>6061</v>
      </c>
      <c r="C733" s="1" t="s">
        <v>6049</v>
      </c>
      <c r="D733" s="39">
        <v>2000</v>
      </c>
      <c r="E733" s="1" t="s">
        <v>1</v>
      </c>
      <c r="F733" s="3">
        <v>224</v>
      </c>
    </row>
    <row r="734" spans="1:6" x14ac:dyDescent="0.25">
      <c r="A734" s="1">
        <v>4016923</v>
      </c>
      <c r="B734" s="1" t="s">
        <v>783</v>
      </c>
      <c r="C734" s="1" t="s">
        <v>6049</v>
      </c>
      <c r="D734" s="39">
        <v>0</v>
      </c>
      <c r="E734" s="1" t="s">
        <v>1</v>
      </c>
      <c r="F734" s="39">
        <v>0</v>
      </c>
    </row>
    <row r="735" spans="1:6" x14ac:dyDescent="0.25">
      <c r="A735" s="1">
        <v>4016983</v>
      </c>
      <c r="B735" s="1" t="s">
        <v>6062</v>
      </c>
      <c r="C735" s="1" t="s">
        <v>6049</v>
      </c>
      <c r="D735" s="39">
        <v>1870</v>
      </c>
      <c r="E735" s="1" t="s">
        <v>1</v>
      </c>
      <c r="F735" s="3">
        <v>334.54</v>
      </c>
    </row>
    <row r="736" spans="1:6" x14ac:dyDescent="0.25">
      <c r="A736" s="1">
        <v>4016984</v>
      </c>
      <c r="B736" s="1" t="s">
        <v>784</v>
      </c>
      <c r="C736" s="1" t="s">
        <v>6049</v>
      </c>
      <c r="D736" s="39">
        <v>248</v>
      </c>
      <c r="E736" s="1" t="s">
        <v>1</v>
      </c>
      <c r="F736" s="3">
        <v>6507.05</v>
      </c>
    </row>
    <row r="737" spans="1:6" x14ac:dyDescent="0.25">
      <c r="A737" s="1">
        <v>5001011</v>
      </c>
      <c r="B737" s="1" t="s">
        <v>3332</v>
      </c>
      <c r="C737" s="1" t="s">
        <v>6049</v>
      </c>
      <c r="D737" s="39">
        <v>0</v>
      </c>
      <c r="E737" s="1" t="s">
        <v>1</v>
      </c>
      <c r="F737" s="39">
        <v>0</v>
      </c>
    </row>
    <row r="738" spans="1:6" x14ac:dyDescent="0.25">
      <c r="A738" s="1">
        <v>5001014</v>
      </c>
      <c r="B738" s="1" t="s">
        <v>3333</v>
      </c>
      <c r="C738" s="1" t="s">
        <v>6049</v>
      </c>
      <c r="D738" s="39">
        <v>0</v>
      </c>
      <c r="E738" s="1" t="s">
        <v>1</v>
      </c>
      <c r="F738" s="39">
        <v>0</v>
      </c>
    </row>
    <row r="739" spans="1:6" x14ac:dyDescent="0.25">
      <c r="A739" s="1">
        <v>6007401</v>
      </c>
      <c r="B739" s="1" t="s">
        <v>3364</v>
      </c>
      <c r="C739" s="1" t="s">
        <v>6049</v>
      </c>
      <c r="D739" s="39">
        <v>0</v>
      </c>
      <c r="E739" s="1" t="s">
        <v>1</v>
      </c>
      <c r="F739" s="39">
        <v>0</v>
      </c>
    </row>
    <row r="740" spans="1:6" x14ac:dyDescent="0.25">
      <c r="A740" s="1">
        <v>6007640</v>
      </c>
      <c r="B740" s="1" t="s">
        <v>3368</v>
      </c>
      <c r="C740" s="1" t="s">
        <v>6049</v>
      </c>
      <c r="D740" s="39">
        <v>0</v>
      </c>
      <c r="E740" s="1" t="s">
        <v>1</v>
      </c>
      <c r="F740" s="39">
        <v>0</v>
      </c>
    </row>
    <row r="741" spans="1:6" x14ac:dyDescent="0.25">
      <c r="A741" s="1">
        <v>9000836</v>
      </c>
      <c r="B741" s="1" t="s">
        <v>3415</v>
      </c>
      <c r="C741" s="1" t="s">
        <v>6049</v>
      </c>
      <c r="D741" s="39">
        <v>0</v>
      </c>
      <c r="E741" s="1" t="s">
        <v>1</v>
      </c>
      <c r="F741" s="39">
        <v>0</v>
      </c>
    </row>
    <row r="742" spans="1:6" x14ac:dyDescent="0.25">
      <c r="A742" s="1">
        <v>9000848</v>
      </c>
      <c r="B742" s="1" t="s">
        <v>3416</v>
      </c>
      <c r="C742" s="1" t="s">
        <v>6049</v>
      </c>
      <c r="D742" s="39">
        <v>0</v>
      </c>
      <c r="E742" s="1" t="s">
        <v>1</v>
      </c>
      <c r="F742" s="39">
        <v>0</v>
      </c>
    </row>
    <row r="743" spans="1:6" x14ac:dyDescent="0.25">
      <c r="A743" s="1">
        <v>9002542</v>
      </c>
      <c r="B743" s="1" t="s">
        <v>3432</v>
      </c>
      <c r="C743" s="1" t="s">
        <v>6049</v>
      </c>
      <c r="D743" s="39">
        <v>0</v>
      </c>
      <c r="E743" s="1" t="s">
        <v>1</v>
      </c>
      <c r="F743" s="39">
        <v>0</v>
      </c>
    </row>
    <row r="744" spans="1:6" x14ac:dyDescent="0.25">
      <c r="A744" s="1">
        <v>12000099</v>
      </c>
      <c r="B744" s="1" t="s">
        <v>3445</v>
      </c>
      <c r="C744" s="1" t="s">
        <v>6049</v>
      </c>
      <c r="D744" s="39">
        <v>0</v>
      </c>
      <c r="E744" s="1" t="s">
        <v>1</v>
      </c>
      <c r="F744" s="39">
        <v>0</v>
      </c>
    </row>
    <row r="745" spans="1:6" x14ac:dyDescent="0.25">
      <c r="A745" s="1">
        <v>12000231</v>
      </c>
      <c r="B745" s="1" t="s">
        <v>3448</v>
      </c>
      <c r="C745" s="1" t="s">
        <v>6049</v>
      </c>
      <c r="D745" s="39">
        <v>0</v>
      </c>
      <c r="E745" s="1" t="s">
        <v>1</v>
      </c>
      <c r="F745" s="39">
        <v>0</v>
      </c>
    </row>
    <row r="746" spans="1:6" x14ac:dyDescent="0.25">
      <c r="A746" s="1">
        <v>12000364</v>
      </c>
      <c r="B746" s="1" t="s">
        <v>3449</v>
      </c>
      <c r="C746" s="1" t="s">
        <v>6049</v>
      </c>
      <c r="D746" s="39">
        <v>0</v>
      </c>
      <c r="E746" s="1" t="s">
        <v>1</v>
      </c>
      <c r="F746" s="39">
        <v>0</v>
      </c>
    </row>
    <row r="747" spans="1:6" x14ac:dyDescent="0.25">
      <c r="A747" s="1">
        <v>12000445</v>
      </c>
      <c r="B747" s="1" t="s">
        <v>3450</v>
      </c>
      <c r="C747" s="1" t="s">
        <v>6049</v>
      </c>
      <c r="D747" s="39">
        <v>0</v>
      </c>
      <c r="E747" s="1" t="s">
        <v>1</v>
      </c>
      <c r="F747" s="39">
        <v>0</v>
      </c>
    </row>
    <row r="748" spans="1:6" x14ac:dyDescent="0.25">
      <c r="A748" s="1">
        <v>12000921</v>
      </c>
      <c r="B748" s="1" t="s">
        <v>3452</v>
      </c>
      <c r="C748" s="1" t="s">
        <v>6049</v>
      </c>
      <c r="D748" s="39">
        <v>0</v>
      </c>
      <c r="E748" s="1" t="s">
        <v>1</v>
      </c>
      <c r="F748" s="39">
        <v>0</v>
      </c>
    </row>
    <row r="749" spans="1:6" x14ac:dyDescent="0.25">
      <c r="A749" s="1" t="s">
        <v>3491</v>
      </c>
      <c r="B749" s="1" t="s">
        <v>3492</v>
      </c>
      <c r="C749" s="1" t="s">
        <v>6049</v>
      </c>
      <c r="D749" s="39">
        <v>0</v>
      </c>
      <c r="E749" s="1" t="s">
        <v>1</v>
      </c>
      <c r="F749" s="39">
        <v>0</v>
      </c>
    </row>
    <row r="750" spans="1:6" x14ac:dyDescent="0.25">
      <c r="A750" s="1" t="s">
        <v>3516</v>
      </c>
      <c r="B750" s="1" t="s">
        <v>3517</v>
      </c>
      <c r="C750" s="1" t="s">
        <v>6049</v>
      </c>
      <c r="D750" s="39">
        <v>0</v>
      </c>
      <c r="E750" s="1" t="s">
        <v>1</v>
      </c>
      <c r="F750" s="39">
        <v>0</v>
      </c>
    </row>
    <row r="751" spans="1:6" x14ac:dyDescent="0.25">
      <c r="A751" s="1" t="s">
        <v>3752</v>
      </c>
      <c r="B751" s="1" t="s">
        <v>3753</v>
      </c>
      <c r="C751" s="1" t="s">
        <v>6049</v>
      </c>
      <c r="D751" s="39">
        <v>0</v>
      </c>
      <c r="E751" s="1" t="s">
        <v>1</v>
      </c>
      <c r="F751" s="39">
        <v>0</v>
      </c>
    </row>
    <row r="752" spans="1:6" x14ac:dyDescent="0.25">
      <c r="A752" s="1" t="s">
        <v>647</v>
      </c>
      <c r="B752" s="1" t="s">
        <v>648</v>
      </c>
      <c r="C752" s="1" t="s">
        <v>6049</v>
      </c>
      <c r="D752" s="39">
        <v>0</v>
      </c>
      <c r="E752" s="1" t="s">
        <v>1</v>
      </c>
      <c r="F752" s="39">
        <v>0</v>
      </c>
    </row>
    <row r="753" spans="1:6" x14ac:dyDescent="0.25">
      <c r="A753" s="1" t="s">
        <v>650</v>
      </c>
      <c r="B753" s="1" t="s">
        <v>651</v>
      </c>
      <c r="C753" s="1" t="s">
        <v>6049</v>
      </c>
      <c r="D753" s="39">
        <v>0</v>
      </c>
      <c r="E753" s="1" t="s">
        <v>1</v>
      </c>
      <c r="F753" s="39">
        <v>0</v>
      </c>
    </row>
    <row r="754" spans="1:6" x14ac:dyDescent="0.25">
      <c r="A754" s="1" t="s">
        <v>3857</v>
      </c>
      <c r="B754" s="1" t="s">
        <v>3858</v>
      </c>
      <c r="C754" s="1" t="s">
        <v>6049</v>
      </c>
      <c r="D754" s="39">
        <v>0</v>
      </c>
      <c r="E754" s="1" t="s">
        <v>1</v>
      </c>
      <c r="F754" s="39">
        <v>0</v>
      </c>
    </row>
    <row r="755" spans="1:6" x14ac:dyDescent="0.25">
      <c r="A755" s="1" t="s">
        <v>4157</v>
      </c>
      <c r="B755" s="1" t="s">
        <v>4158</v>
      </c>
      <c r="C755" s="1" t="s">
        <v>6049</v>
      </c>
      <c r="D755" s="39">
        <v>0</v>
      </c>
      <c r="E755" s="1" t="s">
        <v>1</v>
      </c>
      <c r="F755" s="39">
        <v>0</v>
      </c>
    </row>
    <row r="756" spans="1:6" x14ac:dyDescent="0.25">
      <c r="A756" s="1" t="s">
        <v>4258</v>
      </c>
      <c r="B756" s="1" t="s">
        <v>3587</v>
      </c>
      <c r="C756" s="1" t="s">
        <v>6049</v>
      </c>
      <c r="D756" s="39">
        <v>0</v>
      </c>
      <c r="E756" s="1" t="s">
        <v>1</v>
      </c>
      <c r="F756" s="39">
        <v>0</v>
      </c>
    </row>
    <row r="757" spans="1:6" x14ac:dyDescent="0.25">
      <c r="A757" s="1" t="s">
        <v>4259</v>
      </c>
      <c r="B757" s="1" t="s">
        <v>4260</v>
      </c>
      <c r="C757" s="1" t="s">
        <v>6049</v>
      </c>
      <c r="D757" s="39">
        <v>0</v>
      </c>
      <c r="E757" s="1" t="s">
        <v>1</v>
      </c>
      <c r="F757" s="39">
        <v>0</v>
      </c>
    </row>
    <row r="758" spans="1:6" x14ac:dyDescent="0.25">
      <c r="A758" s="1" t="s">
        <v>4298</v>
      </c>
      <c r="B758" s="1" t="s">
        <v>533</v>
      </c>
      <c r="C758" s="1" t="s">
        <v>6049</v>
      </c>
      <c r="D758" s="39">
        <v>0</v>
      </c>
      <c r="E758" s="1" t="s">
        <v>1</v>
      </c>
      <c r="F758" s="39">
        <v>0</v>
      </c>
    </row>
    <row r="759" spans="1:6" x14ac:dyDescent="0.25">
      <c r="A759" s="1" t="s">
        <v>4308</v>
      </c>
      <c r="B759" s="1" t="s">
        <v>4309</v>
      </c>
      <c r="C759" s="1" t="s">
        <v>6049</v>
      </c>
      <c r="D759" s="39">
        <v>0</v>
      </c>
      <c r="E759" s="1" t="s">
        <v>1</v>
      </c>
      <c r="F759" s="39">
        <v>0</v>
      </c>
    </row>
    <row r="760" spans="1:6" x14ac:dyDescent="0.25">
      <c r="A760" s="1" t="s">
        <v>1205</v>
      </c>
      <c r="B760" s="1" t="s">
        <v>4420</v>
      </c>
      <c r="C760" s="1" t="s">
        <v>6049</v>
      </c>
      <c r="D760" s="39">
        <v>0</v>
      </c>
      <c r="E760" s="1" t="s">
        <v>1</v>
      </c>
      <c r="F760" s="39">
        <v>0</v>
      </c>
    </row>
    <row r="761" spans="1:6" x14ac:dyDescent="0.25">
      <c r="A761" s="1" t="s">
        <v>1665</v>
      </c>
      <c r="B761" s="1" t="s">
        <v>1666</v>
      </c>
      <c r="C761" s="1" t="s">
        <v>6049</v>
      </c>
      <c r="D761" s="39">
        <v>0</v>
      </c>
      <c r="E761" s="1" t="s">
        <v>1</v>
      </c>
      <c r="F761" s="39">
        <v>0</v>
      </c>
    </row>
    <row r="762" spans="1:6" x14ac:dyDescent="0.25">
      <c r="A762" s="1" t="s">
        <v>4754</v>
      </c>
      <c r="B762" s="1" t="s">
        <v>4755</v>
      </c>
      <c r="C762" s="1" t="s">
        <v>6049</v>
      </c>
      <c r="D762" s="39">
        <v>0</v>
      </c>
      <c r="E762" s="1" t="s">
        <v>1</v>
      </c>
      <c r="F762" s="39">
        <v>0</v>
      </c>
    </row>
    <row r="763" spans="1:6" x14ac:dyDescent="0.25">
      <c r="A763" s="1" t="s">
        <v>4758</v>
      </c>
      <c r="B763" s="1" t="s">
        <v>3960</v>
      </c>
      <c r="C763" s="1" t="s">
        <v>6049</v>
      </c>
      <c r="D763" s="39">
        <v>0</v>
      </c>
      <c r="E763" s="1" t="s">
        <v>1</v>
      </c>
      <c r="F763" s="39">
        <v>0</v>
      </c>
    </row>
    <row r="764" spans="1:6" x14ac:dyDescent="0.25">
      <c r="A764" s="1" t="s">
        <v>4779</v>
      </c>
      <c r="B764" s="1" t="s">
        <v>404</v>
      </c>
      <c r="C764" s="1" t="s">
        <v>6049</v>
      </c>
      <c r="D764" s="39">
        <v>0</v>
      </c>
      <c r="E764" s="1" t="s">
        <v>1</v>
      </c>
      <c r="F764" s="39">
        <v>0</v>
      </c>
    </row>
    <row r="765" spans="1:6" x14ac:dyDescent="0.25">
      <c r="A765" s="1" t="s">
        <v>4788</v>
      </c>
      <c r="B765" s="1" t="s">
        <v>4789</v>
      </c>
      <c r="C765" s="1" t="s">
        <v>6049</v>
      </c>
      <c r="D765" s="39">
        <v>0</v>
      </c>
      <c r="E765" s="1" t="s">
        <v>1</v>
      </c>
      <c r="F765" s="39">
        <v>0</v>
      </c>
    </row>
    <row r="766" spans="1:6" x14ac:dyDescent="0.25">
      <c r="A766" s="1" t="s">
        <v>4790</v>
      </c>
      <c r="B766" s="1" t="s">
        <v>4791</v>
      </c>
      <c r="C766" s="1" t="s">
        <v>6049</v>
      </c>
      <c r="D766" s="39">
        <v>0</v>
      </c>
      <c r="E766" s="1" t="s">
        <v>1</v>
      </c>
      <c r="F766" s="39">
        <v>0</v>
      </c>
    </row>
    <row r="767" spans="1:6" x14ac:dyDescent="0.25">
      <c r="A767" s="1" t="s">
        <v>4930</v>
      </c>
      <c r="B767" s="1" t="s">
        <v>2271</v>
      </c>
      <c r="C767" s="1" t="s">
        <v>6049</v>
      </c>
      <c r="D767" s="39">
        <v>0</v>
      </c>
      <c r="E767" s="1" t="s">
        <v>2401</v>
      </c>
      <c r="F767" s="39">
        <v>0</v>
      </c>
    </row>
    <row r="768" spans="1:6" x14ac:dyDescent="0.25">
      <c r="A768" s="1" t="s">
        <v>4932</v>
      </c>
      <c r="B768" s="1" t="s">
        <v>2272</v>
      </c>
      <c r="C768" s="1" t="s">
        <v>6049</v>
      </c>
      <c r="D768" s="39">
        <v>0</v>
      </c>
      <c r="E768" s="1" t="s">
        <v>2401</v>
      </c>
      <c r="F768" s="39">
        <v>0</v>
      </c>
    </row>
    <row r="769" spans="1:6" x14ac:dyDescent="0.25">
      <c r="A769" s="1" t="s">
        <v>4934</v>
      </c>
      <c r="B769" s="1" t="s">
        <v>4935</v>
      </c>
      <c r="C769" s="1" t="s">
        <v>6049</v>
      </c>
      <c r="D769" s="39">
        <v>0</v>
      </c>
      <c r="E769" s="1" t="s">
        <v>2401</v>
      </c>
      <c r="F769" s="39">
        <v>0</v>
      </c>
    </row>
    <row r="770" spans="1:6" x14ac:dyDescent="0.25">
      <c r="A770" s="1" t="s">
        <v>4937</v>
      </c>
      <c r="B770" s="1" t="s">
        <v>4938</v>
      </c>
      <c r="C770" s="1" t="s">
        <v>6049</v>
      </c>
      <c r="D770" s="39">
        <v>0</v>
      </c>
      <c r="E770" s="1" t="s">
        <v>2401</v>
      </c>
      <c r="F770" s="39">
        <v>0</v>
      </c>
    </row>
    <row r="771" spans="1:6" x14ac:dyDescent="0.25">
      <c r="A771" s="1" t="s">
        <v>4940</v>
      </c>
      <c r="B771" s="1" t="s">
        <v>4941</v>
      </c>
      <c r="C771" s="1" t="s">
        <v>6049</v>
      </c>
      <c r="D771" s="39">
        <v>0</v>
      </c>
      <c r="E771" s="1" t="s">
        <v>2401</v>
      </c>
      <c r="F771" s="39">
        <v>0</v>
      </c>
    </row>
    <row r="772" spans="1:6" x14ac:dyDescent="0.25">
      <c r="A772" s="1" t="s">
        <v>4946</v>
      </c>
      <c r="B772" s="1" t="s">
        <v>4947</v>
      </c>
      <c r="C772" s="1" t="s">
        <v>6049</v>
      </c>
      <c r="D772" s="39">
        <v>0</v>
      </c>
      <c r="E772" s="1" t="s">
        <v>2401</v>
      </c>
      <c r="F772" s="39">
        <v>0</v>
      </c>
    </row>
    <row r="773" spans="1:6" x14ac:dyDescent="0.25">
      <c r="A773" s="1" t="s">
        <v>4950</v>
      </c>
      <c r="B773" s="1" t="s">
        <v>2273</v>
      </c>
      <c r="C773" s="1" t="s">
        <v>6049</v>
      </c>
      <c r="D773" s="39">
        <v>0</v>
      </c>
      <c r="E773" s="1" t="s">
        <v>2401</v>
      </c>
      <c r="F773" s="39">
        <v>0</v>
      </c>
    </row>
    <row r="774" spans="1:6" x14ac:dyDescent="0.25">
      <c r="A774" s="1" t="s">
        <v>4952</v>
      </c>
      <c r="B774" s="1" t="s">
        <v>4953</v>
      </c>
      <c r="C774" s="1" t="s">
        <v>6049</v>
      </c>
      <c r="D774" s="39">
        <v>0</v>
      </c>
      <c r="E774" s="1" t="s">
        <v>2401</v>
      </c>
      <c r="F774" s="39">
        <v>0</v>
      </c>
    </row>
    <row r="775" spans="1:6" x14ac:dyDescent="0.25">
      <c r="A775" s="1" t="s">
        <v>4955</v>
      </c>
      <c r="B775" s="1" t="s">
        <v>4956</v>
      </c>
      <c r="C775" s="1" t="s">
        <v>6049</v>
      </c>
      <c r="D775" s="39">
        <v>0</v>
      </c>
      <c r="E775" s="1" t="s">
        <v>2401</v>
      </c>
      <c r="F775" s="39">
        <v>0</v>
      </c>
    </row>
    <row r="776" spans="1:6" x14ac:dyDescent="0.25">
      <c r="A776" s="1" t="s">
        <v>4957</v>
      </c>
      <c r="B776" s="1" t="s">
        <v>4958</v>
      </c>
      <c r="C776" s="1" t="s">
        <v>6049</v>
      </c>
      <c r="D776" s="39">
        <v>0</v>
      </c>
      <c r="E776" s="1" t="s">
        <v>1</v>
      </c>
      <c r="F776" s="39">
        <v>0</v>
      </c>
    </row>
    <row r="777" spans="1:6" x14ac:dyDescent="0.25">
      <c r="A777" s="1" t="s">
        <v>4964</v>
      </c>
      <c r="B777" s="1" t="s">
        <v>4965</v>
      </c>
      <c r="C777" s="1" t="s">
        <v>6049</v>
      </c>
      <c r="D777" s="39">
        <v>0</v>
      </c>
      <c r="E777" s="1" t="s">
        <v>1</v>
      </c>
      <c r="F777" s="39">
        <v>0</v>
      </c>
    </row>
    <row r="778" spans="1:6" x14ac:dyDescent="0.25">
      <c r="A778" s="1" t="s">
        <v>913</v>
      </c>
      <c r="B778" s="1" t="s">
        <v>914</v>
      </c>
      <c r="C778" s="1" t="s">
        <v>6049</v>
      </c>
      <c r="D778" s="39">
        <v>0</v>
      </c>
      <c r="E778" s="1" t="s">
        <v>1</v>
      </c>
      <c r="F778" s="39">
        <v>0</v>
      </c>
    </row>
    <row r="779" spans="1:6" x14ac:dyDescent="0.25">
      <c r="A779" s="1" t="s">
        <v>916</v>
      </c>
      <c r="B779" s="1" t="s">
        <v>917</v>
      </c>
      <c r="C779" s="1" t="s">
        <v>6049</v>
      </c>
      <c r="D779" s="39">
        <v>0</v>
      </c>
      <c r="E779" s="1" t="s">
        <v>1</v>
      </c>
      <c r="F779" s="39">
        <v>0</v>
      </c>
    </row>
    <row r="780" spans="1:6" x14ac:dyDescent="0.25">
      <c r="A780" s="1" t="s">
        <v>961</v>
      </c>
      <c r="B780" s="1" t="s">
        <v>962</v>
      </c>
      <c r="C780" s="1" t="s">
        <v>6049</v>
      </c>
      <c r="D780" s="39">
        <v>0</v>
      </c>
      <c r="E780" s="1" t="s">
        <v>1</v>
      </c>
      <c r="F780" s="39">
        <v>0</v>
      </c>
    </row>
    <row r="781" spans="1:6" x14ac:dyDescent="0.25">
      <c r="A781" s="1" t="s">
        <v>964</v>
      </c>
      <c r="B781" s="1" t="s">
        <v>965</v>
      </c>
      <c r="C781" s="1" t="s">
        <v>6049</v>
      </c>
      <c r="D781" s="39">
        <v>0</v>
      </c>
      <c r="E781" s="1" t="s">
        <v>1</v>
      </c>
      <c r="F781" s="39">
        <v>0</v>
      </c>
    </row>
    <row r="782" spans="1:6" x14ac:dyDescent="0.25">
      <c r="A782" s="1" t="s">
        <v>5253</v>
      </c>
      <c r="B782" s="1" t="s">
        <v>5254</v>
      </c>
      <c r="C782" s="1" t="s">
        <v>6049</v>
      </c>
      <c r="D782" s="39">
        <v>0</v>
      </c>
      <c r="E782" s="1" t="s">
        <v>1</v>
      </c>
      <c r="F782" s="39">
        <v>0</v>
      </c>
    </row>
    <row r="783" spans="1:6" x14ac:dyDescent="0.25">
      <c r="A783" s="1" t="s">
        <v>5255</v>
      </c>
      <c r="B783" s="1" t="s">
        <v>5256</v>
      </c>
      <c r="C783" s="1" t="s">
        <v>6049</v>
      </c>
      <c r="D783" s="39">
        <v>0</v>
      </c>
      <c r="E783" s="1" t="s">
        <v>1</v>
      </c>
      <c r="F783" s="39">
        <v>0</v>
      </c>
    </row>
    <row r="784" spans="1:6" x14ac:dyDescent="0.25">
      <c r="A784" s="1" t="s">
        <v>5397</v>
      </c>
      <c r="B784" s="1" t="s">
        <v>5398</v>
      </c>
      <c r="C784" s="1" t="s">
        <v>6049</v>
      </c>
      <c r="D784" s="39">
        <v>0</v>
      </c>
      <c r="E784" s="1" t="s">
        <v>1</v>
      </c>
      <c r="F784" s="39">
        <v>0</v>
      </c>
    </row>
    <row r="785" spans="1:6" x14ac:dyDescent="0.25">
      <c r="A785" s="1" t="s">
        <v>5399</v>
      </c>
      <c r="B785" s="1" t="s">
        <v>5400</v>
      </c>
      <c r="C785" s="1" t="s">
        <v>6049</v>
      </c>
      <c r="D785" s="39">
        <v>0</v>
      </c>
      <c r="E785" s="1" t="s">
        <v>1</v>
      </c>
      <c r="F785" s="39">
        <v>0</v>
      </c>
    </row>
    <row r="786" spans="1:6" x14ac:dyDescent="0.25">
      <c r="A786" s="1" t="s">
        <v>5423</v>
      </c>
      <c r="B786" s="1" t="s">
        <v>5424</v>
      </c>
      <c r="C786" s="1" t="s">
        <v>6049</v>
      </c>
      <c r="D786" s="39">
        <v>0</v>
      </c>
      <c r="E786" s="1" t="s">
        <v>1</v>
      </c>
      <c r="F786" s="39">
        <v>0</v>
      </c>
    </row>
    <row r="787" spans="1:6" x14ac:dyDescent="0.25">
      <c r="A787" s="1" t="s">
        <v>1901</v>
      </c>
      <c r="B787" s="1" t="s">
        <v>5445</v>
      </c>
      <c r="C787" s="1" t="s">
        <v>6049</v>
      </c>
      <c r="D787" s="39">
        <v>0</v>
      </c>
      <c r="E787" s="1" t="s">
        <v>1</v>
      </c>
      <c r="F787" s="39">
        <v>0</v>
      </c>
    </row>
    <row r="788" spans="1:6" x14ac:dyDescent="0.25">
      <c r="A788" s="1" t="s">
        <v>1902</v>
      </c>
      <c r="B788" s="1" t="s">
        <v>5446</v>
      </c>
      <c r="C788" s="1" t="s">
        <v>6049</v>
      </c>
      <c r="D788" s="39">
        <v>0</v>
      </c>
      <c r="E788" s="1" t="s">
        <v>1</v>
      </c>
      <c r="F788" s="39">
        <v>0</v>
      </c>
    </row>
    <row r="789" spans="1:6" x14ac:dyDescent="0.25">
      <c r="A789" s="1" t="s">
        <v>1903</v>
      </c>
      <c r="B789" s="1" t="s">
        <v>5447</v>
      </c>
      <c r="C789" s="1" t="s">
        <v>6049</v>
      </c>
      <c r="D789" s="39">
        <v>0</v>
      </c>
      <c r="E789" s="1" t="s">
        <v>1</v>
      </c>
      <c r="F789" s="39">
        <v>0</v>
      </c>
    </row>
    <row r="790" spans="1:6" x14ac:dyDescent="0.25">
      <c r="A790" s="1" t="s">
        <v>1914</v>
      </c>
      <c r="B790" s="1" t="s">
        <v>5488</v>
      </c>
      <c r="C790" s="1" t="s">
        <v>6049</v>
      </c>
      <c r="D790" s="39">
        <v>0</v>
      </c>
      <c r="E790" s="1" t="s">
        <v>1</v>
      </c>
      <c r="F790" s="39">
        <v>0</v>
      </c>
    </row>
    <row r="791" spans="1:6" x14ac:dyDescent="0.25">
      <c r="A791" s="1" t="s">
        <v>1916</v>
      </c>
      <c r="B791" s="1" t="s">
        <v>5489</v>
      </c>
      <c r="C791" s="1" t="s">
        <v>6049</v>
      </c>
      <c r="D791" s="39">
        <v>0</v>
      </c>
      <c r="E791" s="1" t="s">
        <v>1</v>
      </c>
      <c r="F791" s="39">
        <v>0</v>
      </c>
    </row>
    <row r="792" spans="1:6" x14ac:dyDescent="0.25">
      <c r="A792" s="1" t="s">
        <v>5490</v>
      </c>
      <c r="B792" s="1" t="s">
        <v>5491</v>
      </c>
      <c r="C792" s="1" t="s">
        <v>6049</v>
      </c>
      <c r="D792" s="39">
        <v>0</v>
      </c>
      <c r="E792" s="1" t="s">
        <v>1</v>
      </c>
      <c r="F792" s="39">
        <v>0</v>
      </c>
    </row>
    <row r="793" spans="1:6" x14ac:dyDescent="0.25">
      <c r="A793" s="1" t="s">
        <v>1917</v>
      </c>
      <c r="B793" s="1" t="s">
        <v>5492</v>
      </c>
      <c r="C793" s="1" t="s">
        <v>6049</v>
      </c>
      <c r="D793" s="39">
        <v>0</v>
      </c>
      <c r="E793" s="1" t="s">
        <v>1</v>
      </c>
      <c r="F793" s="39">
        <v>0</v>
      </c>
    </row>
    <row r="794" spans="1:6" x14ac:dyDescent="0.25">
      <c r="A794" s="1" t="s">
        <v>1915</v>
      </c>
      <c r="B794" s="1" t="s">
        <v>5493</v>
      </c>
      <c r="C794" s="1" t="s">
        <v>6049</v>
      </c>
      <c r="D794" s="39">
        <v>0</v>
      </c>
      <c r="E794" s="1" t="s">
        <v>1</v>
      </c>
      <c r="F794" s="39">
        <v>0</v>
      </c>
    </row>
    <row r="795" spans="1:6" x14ac:dyDescent="0.25">
      <c r="A795" s="1" t="s">
        <v>5500</v>
      </c>
      <c r="B795" s="1" t="s">
        <v>5501</v>
      </c>
      <c r="C795" s="1" t="s">
        <v>6049</v>
      </c>
      <c r="D795" s="39">
        <v>0</v>
      </c>
      <c r="E795" s="1" t="s">
        <v>1</v>
      </c>
      <c r="F795" s="39">
        <v>0</v>
      </c>
    </row>
    <row r="796" spans="1:6" x14ac:dyDescent="0.25">
      <c r="A796" s="1" t="s">
        <v>5517</v>
      </c>
      <c r="B796" s="1" t="s">
        <v>5518</v>
      </c>
      <c r="C796" s="1" t="s">
        <v>6049</v>
      </c>
      <c r="D796" s="39">
        <v>0</v>
      </c>
      <c r="E796" s="1" t="s">
        <v>1</v>
      </c>
      <c r="F796" s="39">
        <v>0</v>
      </c>
    </row>
    <row r="797" spans="1:6" x14ac:dyDescent="0.25">
      <c r="A797" s="1" t="s">
        <v>5519</v>
      </c>
      <c r="B797" s="1" t="s">
        <v>5520</v>
      </c>
      <c r="C797" s="1" t="s">
        <v>6049</v>
      </c>
      <c r="D797" s="39">
        <v>0</v>
      </c>
      <c r="E797" s="1" t="s">
        <v>1</v>
      </c>
      <c r="F797" s="39">
        <v>0</v>
      </c>
    </row>
    <row r="798" spans="1:6" x14ac:dyDescent="0.25">
      <c r="A798" s="1" t="s">
        <v>5521</v>
      </c>
      <c r="B798" s="1" t="s">
        <v>5522</v>
      </c>
      <c r="C798" s="1" t="s">
        <v>6049</v>
      </c>
      <c r="D798" s="39">
        <v>0</v>
      </c>
      <c r="E798" s="1" t="s">
        <v>1</v>
      </c>
      <c r="F798" s="39">
        <v>0</v>
      </c>
    </row>
    <row r="799" spans="1:6" x14ac:dyDescent="0.25">
      <c r="A799" s="1" t="s">
        <v>1133</v>
      </c>
      <c r="B799" s="1" t="s">
        <v>1134</v>
      </c>
      <c r="C799" s="1" t="s">
        <v>6049</v>
      </c>
      <c r="D799" s="39">
        <v>0</v>
      </c>
      <c r="E799" s="1" t="s">
        <v>1</v>
      </c>
      <c r="F799" s="39">
        <v>0</v>
      </c>
    </row>
    <row r="800" spans="1:6" x14ac:dyDescent="0.25">
      <c r="A800" s="1" t="s">
        <v>5525</v>
      </c>
      <c r="B800" s="1" t="s">
        <v>5526</v>
      </c>
      <c r="C800" s="1" t="s">
        <v>6049</v>
      </c>
      <c r="D800" s="39">
        <v>0</v>
      </c>
      <c r="E800" s="1" t="s">
        <v>1</v>
      </c>
      <c r="F800" s="39">
        <v>0</v>
      </c>
    </row>
    <row r="801" spans="1:6" x14ac:dyDescent="0.25">
      <c r="A801" s="1" t="s">
        <v>5529</v>
      </c>
      <c r="B801" s="1" t="s">
        <v>5530</v>
      </c>
      <c r="C801" s="1" t="s">
        <v>6049</v>
      </c>
      <c r="D801" s="39">
        <v>0</v>
      </c>
      <c r="E801" s="1" t="s">
        <v>1</v>
      </c>
      <c r="F801" s="39">
        <v>0</v>
      </c>
    </row>
    <row r="802" spans="1:6" x14ac:dyDescent="0.25">
      <c r="A802" s="1" t="s">
        <v>5531</v>
      </c>
      <c r="B802" s="1" t="s">
        <v>5532</v>
      </c>
      <c r="C802" s="1" t="s">
        <v>6049</v>
      </c>
      <c r="D802" s="39">
        <v>0</v>
      </c>
      <c r="E802" s="1" t="s">
        <v>1</v>
      </c>
      <c r="F802" s="39">
        <v>0</v>
      </c>
    </row>
    <row r="803" spans="1:6" x14ac:dyDescent="0.25">
      <c r="A803" s="1" t="s">
        <v>5533</v>
      </c>
      <c r="B803" s="1" t="s">
        <v>5534</v>
      </c>
      <c r="C803" s="1" t="s">
        <v>6049</v>
      </c>
      <c r="D803" s="39">
        <v>0</v>
      </c>
      <c r="E803" s="1" t="s">
        <v>1</v>
      </c>
      <c r="F803" s="39">
        <v>0</v>
      </c>
    </row>
    <row r="804" spans="1:6" x14ac:dyDescent="0.25">
      <c r="A804" s="1" t="s">
        <v>5535</v>
      </c>
      <c r="B804" s="1" t="s">
        <v>5536</v>
      </c>
      <c r="C804" s="1" t="s">
        <v>6049</v>
      </c>
      <c r="D804" s="39">
        <v>0</v>
      </c>
      <c r="E804" s="1" t="s">
        <v>1</v>
      </c>
      <c r="F804" s="39">
        <v>0</v>
      </c>
    </row>
    <row r="805" spans="1:6" x14ac:dyDescent="0.25">
      <c r="A805" s="1" t="s">
        <v>5537</v>
      </c>
      <c r="B805" s="1" t="s">
        <v>5538</v>
      </c>
      <c r="C805" s="1" t="s">
        <v>6049</v>
      </c>
      <c r="D805" s="39">
        <v>0</v>
      </c>
      <c r="E805" s="1" t="s">
        <v>1</v>
      </c>
      <c r="F805" s="39">
        <v>0</v>
      </c>
    </row>
    <row r="806" spans="1:6" x14ac:dyDescent="0.25">
      <c r="A806" s="1" t="s">
        <v>1871</v>
      </c>
      <c r="B806" s="1" t="s">
        <v>5549</v>
      </c>
      <c r="C806" s="1" t="s">
        <v>6049</v>
      </c>
      <c r="D806" s="39">
        <v>0</v>
      </c>
      <c r="E806" s="1" t="s">
        <v>1</v>
      </c>
      <c r="F806" s="39">
        <v>0</v>
      </c>
    </row>
    <row r="807" spans="1:6" x14ac:dyDescent="0.25">
      <c r="A807" s="1" t="s">
        <v>1872</v>
      </c>
      <c r="B807" s="1" t="s">
        <v>5550</v>
      </c>
      <c r="C807" s="1" t="s">
        <v>6049</v>
      </c>
      <c r="D807" s="39">
        <v>0</v>
      </c>
      <c r="E807" s="1" t="s">
        <v>1</v>
      </c>
      <c r="F807" s="39">
        <v>0</v>
      </c>
    </row>
    <row r="808" spans="1:6" x14ac:dyDescent="0.25">
      <c r="A808" s="1" t="s">
        <v>5551</v>
      </c>
      <c r="B808" s="1" t="s">
        <v>5552</v>
      </c>
      <c r="C808" s="1" t="s">
        <v>6049</v>
      </c>
      <c r="D808" s="39">
        <v>0</v>
      </c>
      <c r="E808" s="1" t="s">
        <v>1</v>
      </c>
      <c r="F808" s="39">
        <v>0</v>
      </c>
    </row>
    <row r="809" spans="1:6" x14ac:dyDescent="0.25">
      <c r="A809" s="1" t="s">
        <v>1899</v>
      </c>
      <c r="B809" s="1" t="s">
        <v>5553</v>
      </c>
      <c r="C809" s="1" t="s">
        <v>6049</v>
      </c>
      <c r="D809" s="39">
        <v>0</v>
      </c>
      <c r="E809" s="1" t="s">
        <v>1</v>
      </c>
      <c r="F809" s="39">
        <v>0</v>
      </c>
    </row>
    <row r="810" spans="1:6" x14ac:dyDescent="0.25">
      <c r="A810" s="1" t="s">
        <v>1873</v>
      </c>
      <c r="B810" s="1" t="s">
        <v>5563</v>
      </c>
      <c r="C810" s="1" t="s">
        <v>6049</v>
      </c>
      <c r="D810" s="39">
        <v>0</v>
      </c>
      <c r="E810" s="1" t="s">
        <v>1</v>
      </c>
      <c r="F810" s="39">
        <v>0</v>
      </c>
    </row>
    <row r="811" spans="1:6" x14ac:dyDescent="0.25">
      <c r="A811" s="1" t="s">
        <v>5575</v>
      </c>
      <c r="B811" s="1" t="s">
        <v>5576</v>
      </c>
      <c r="C811" s="1" t="s">
        <v>6049</v>
      </c>
      <c r="D811" s="39">
        <v>0</v>
      </c>
      <c r="E811" s="1" t="s">
        <v>1</v>
      </c>
      <c r="F811" s="39">
        <v>0</v>
      </c>
    </row>
    <row r="812" spans="1:6" x14ac:dyDescent="0.25">
      <c r="A812" s="1" t="s">
        <v>5586</v>
      </c>
      <c r="B812" s="1" t="s">
        <v>5587</v>
      </c>
      <c r="C812" s="1" t="s">
        <v>6049</v>
      </c>
      <c r="D812" s="39">
        <v>0</v>
      </c>
      <c r="E812" s="1" t="s">
        <v>1</v>
      </c>
      <c r="F812" s="39">
        <v>0</v>
      </c>
    </row>
    <row r="813" spans="1:6" x14ac:dyDescent="0.25">
      <c r="A813" s="1" t="s">
        <v>5588</v>
      </c>
      <c r="B813" s="1" t="s">
        <v>5589</v>
      </c>
      <c r="C813" s="1" t="s">
        <v>6049</v>
      </c>
      <c r="D813" s="39">
        <v>0</v>
      </c>
      <c r="E813" s="1" t="s">
        <v>1</v>
      </c>
      <c r="F813" s="39">
        <v>0</v>
      </c>
    </row>
    <row r="814" spans="1:6" x14ac:dyDescent="0.25">
      <c r="A814" s="1" t="s">
        <v>5590</v>
      </c>
      <c r="B814" s="1" t="s">
        <v>5591</v>
      </c>
      <c r="C814" s="1" t="s">
        <v>6049</v>
      </c>
      <c r="D814" s="39">
        <v>0</v>
      </c>
      <c r="E814" s="1" t="s">
        <v>1</v>
      </c>
      <c r="F814" s="39">
        <v>0</v>
      </c>
    </row>
    <row r="815" spans="1:6" x14ac:dyDescent="0.25">
      <c r="A815" s="1" t="s">
        <v>1876</v>
      </c>
      <c r="B815" s="1" t="s">
        <v>5606</v>
      </c>
      <c r="C815" s="1" t="s">
        <v>6049</v>
      </c>
      <c r="D815" s="39">
        <v>0</v>
      </c>
      <c r="E815" s="1" t="s">
        <v>1</v>
      </c>
      <c r="F815" s="39">
        <v>0</v>
      </c>
    </row>
    <row r="816" spans="1:6" x14ac:dyDescent="0.25">
      <c r="A816" s="1" t="s">
        <v>5699</v>
      </c>
      <c r="B816" s="1" t="s">
        <v>5700</v>
      </c>
      <c r="C816" s="1" t="s">
        <v>6049</v>
      </c>
      <c r="D816" s="39">
        <v>0</v>
      </c>
      <c r="E816" s="1" t="s">
        <v>1</v>
      </c>
      <c r="F816" s="39">
        <v>0</v>
      </c>
    </row>
    <row r="817" spans="1:6" x14ac:dyDescent="0.25">
      <c r="A817" s="1" t="s">
        <v>5701</v>
      </c>
      <c r="B817" s="1" t="s">
        <v>5702</v>
      </c>
      <c r="C817" s="1" t="s">
        <v>6049</v>
      </c>
      <c r="D817" s="39">
        <v>0</v>
      </c>
      <c r="E817" s="1" t="s">
        <v>1</v>
      </c>
      <c r="F817" s="39">
        <v>0</v>
      </c>
    </row>
    <row r="818" spans="1:6" x14ac:dyDescent="0.25">
      <c r="A818" s="1" t="s">
        <v>5703</v>
      </c>
      <c r="B818" s="1" t="s">
        <v>5704</v>
      </c>
      <c r="C818" s="1" t="s">
        <v>6049</v>
      </c>
      <c r="D818" s="39">
        <v>0</v>
      </c>
      <c r="E818" s="1" t="s">
        <v>1</v>
      </c>
      <c r="F818" s="39">
        <v>0</v>
      </c>
    </row>
    <row r="819" spans="1:6" x14ac:dyDescent="0.25">
      <c r="A819" s="1" t="s">
        <v>5705</v>
      </c>
      <c r="B819" s="1" t="s">
        <v>5706</v>
      </c>
      <c r="C819" s="1" t="s">
        <v>6049</v>
      </c>
      <c r="D819" s="39">
        <v>0</v>
      </c>
      <c r="E819" s="1" t="s">
        <v>1</v>
      </c>
      <c r="F819" s="39">
        <v>0</v>
      </c>
    </row>
    <row r="820" spans="1:6" x14ac:dyDescent="0.25">
      <c r="A820" s="1" t="s">
        <v>5708</v>
      </c>
      <c r="B820" s="1" t="s">
        <v>5709</v>
      </c>
      <c r="C820" s="1" t="s">
        <v>6049</v>
      </c>
      <c r="D820" s="39">
        <v>0</v>
      </c>
      <c r="E820" s="1" t="s">
        <v>1</v>
      </c>
      <c r="F820" s="39">
        <v>0</v>
      </c>
    </row>
    <row r="821" spans="1:6" x14ac:dyDescent="0.25">
      <c r="A821" s="1" t="s">
        <v>5715</v>
      </c>
      <c r="B821" s="1" t="s">
        <v>5716</v>
      </c>
      <c r="C821" s="1" t="s">
        <v>6049</v>
      </c>
      <c r="D821" s="39">
        <v>0</v>
      </c>
      <c r="E821" s="1" t="s">
        <v>1</v>
      </c>
      <c r="F821" s="39">
        <v>0</v>
      </c>
    </row>
    <row r="822" spans="1:6" x14ac:dyDescent="0.25">
      <c r="A822" s="1" t="s">
        <v>5743</v>
      </c>
      <c r="B822" s="1" t="s">
        <v>5744</v>
      </c>
      <c r="C822" s="1" t="s">
        <v>6049</v>
      </c>
      <c r="D822" s="39">
        <v>0</v>
      </c>
      <c r="E822" s="1" t="s">
        <v>1</v>
      </c>
      <c r="F822" s="39">
        <v>0</v>
      </c>
    </row>
    <row r="823" spans="1:6" x14ac:dyDescent="0.25">
      <c r="A823" s="1" t="s">
        <v>5757</v>
      </c>
      <c r="B823" s="1" t="s">
        <v>5758</v>
      </c>
      <c r="C823" s="1" t="s">
        <v>6049</v>
      </c>
      <c r="D823" s="39">
        <v>0</v>
      </c>
      <c r="E823" s="1" t="s">
        <v>1</v>
      </c>
      <c r="F823" s="39">
        <v>0</v>
      </c>
    </row>
    <row r="824" spans="1:6" x14ac:dyDescent="0.25">
      <c r="A824" s="1" t="s">
        <v>5766</v>
      </c>
      <c r="B824" s="1" t="s">
        <v>5767</v>
      </c>
      <c r="C824" s="1" t="s">
        <v>6049</v>
      </c>
      <c r="D824" s="39">
        <v>0</v>
      </c>
      <c r="E824" s="1" t="s">
        <v>1</v>
      </c>
      <c r="F824" s="39">
        <v>0</v>
      </c>
    </row>
    <row r="825" spans="1:6" x14ac:dyDescent="0.25">
      <c r="A825" s="1" t="s">
        <v>5768</v>
      </c>
      <c r="B825" s="1" t="s">
        <v>5769</v>
      </c>
      <c r="C825" s="1" t="s">
        <v>6049</v>
      </c>
      <c r="D825" s="39">
        <v>0</v>
      </c>
      <c r="E825" s="1" t="s">
        <v>1</v>
      </c>
      <c r="F825" s="39">
        <v>0</v>
      </c>
    </row>
    <row r="826" spans="1:6" x14ac:dyDescent="0.25">
      <c r="A826" s="1" t="s">
        <v>5771</v>
      </c>
      <c r="B826" s="1" t="s">
        <v>5772</v>
      </c>
      <c r="C826" s="1" t="s">
        <v>6049</v>
      </c>
      <c r="D826" s="39">
        <v>0</v>
      </c>
      <c r="E826" s="1" t="s">
        <v>1</v>
      </c>
      <c r="F826" s="39">
        <v>0</v>
      </c>
    </row>
    <row r="827" spans="1:6" x14ac:dyDescent="0.25">
      <c r="A827" s="1" t="s">
        <v>5773</v>
      </c>
      <c r="B827" s="1" t="s">
        <v>5774</v>
      </c>
      <c r="C827" s="1" t="s">
        <v>6049</v>
      </c>
      <c r="D827" s="39">
        <v>0</v>
      </c>
      <c r="E827" s="1" t="s">
        <v>1</v>
      </c>
      <c r="F827" s="39">
        <v>0</v>
      </c>
    </row>
    <row r="828" spans="1:6" x14ac:dyDescent="0.25">
      <c r="A828" s="1" t="s">
        <v>1432</v>
      </c>
      <c r="B828" s="1" t="s">
        <v>1433</v>
      </c>
      <c r="C828" s="1" t="s">
        <v>6049</v>
      </c>
      <c r="D828" s="39">
        <v>0</v>
      </c>
      <c r="E828" s="1" t="s">
        <v>1</v>
      </c>
      <c r="F828" s="39">
        <v>0</v>
      </c>
    </row>
    <row r="829" spans="1:6" x14ac:dyDescent="0.25">
      <c r="A829" s="1" t="s">
        <v>1888</v>
      </c>
      <c r="B829" s="1" t="s">
        <v>5801</v>
      </c>
      <c r="C829" s="1" t="s">
        <v>6049</v>
      </c>
      <c r="D829" s="39">
        <v>0</v>
      </c>
      <c r="E829" s="1" t="s">
        <v>1</v>
      </c>
      <c r="F829" s="39">
        <v>0</v>
      </c>
    </row>
    <row r="830" spans="1:6" x14ac:dyDescent="0.25">
      <c r="A830" s="1" t="s">
        <v>5802</v>
      </c>
      <c r="B830" s="1" t="s">
        <v>5803</v>
      </c>
      <c r="C830" s="1" t="s">
        <v>6049</v>
      </c>
      <c r="D830" s="39">
        <v>0</v>
      </c>
      <c r="E830" s="1" t="s">
        <v>1</v>
      </c>
      <c r="F830" s="39">
        <v>0</v>
      </c>
    </row>
    <row r="831" spans="1:6" x14ac:dyDescent="0.25">
      <c r="A831" s="1" t="s">
        <v>5832</v>
      </c>
      <c r="B831" s="1" t="s">
        <v>5833</v>
      </c>
      <c r="C831" s="1" t="s">
        <v>6049</v>
      </c>
      <c r="D831" s="39">
        <v>0</v>
      </c>
      <c r="E831" s="1" t="s">
        <v>1</v>
      </c>
      <c r="F831" s="39">
        <v>0</v>
      </c>
    </row>
    <row r="832" spans="1:6" x14ac:dyDescent="0.25">
      <c r="A832" s="1" t="s">
        <v>5834</v>
      </c>
      <c r="B832" s="1" t="s">
        <v>5835</v>
      </c>
      <c r="C832" s="1" t="s">
        <v>6049</v>
      </c>
      <c r="D832" s="39">
        <v>0</v>
      </c>
      <c r="E832" s="1" t="s">
        <v>1</v>
      </c>
      <c r="F832" s="39">
        <v>0</v>
      </c>
    </row>
    <row r="833" spans="1:6" x14ac:dyDescent="0.25">
      <c r="A833" s="1" t="s">
        <v>5836</v>
      </c>
      <c r="B833" s="1" t="s">
        <v>5837</v>
      </c>
      <c r="C833" s="1" t="s">
        <v>6049</v>
      </c>
      <c r="D833" s="39">
        <v>0</v>
      </c>
      <c r="E833" s="1" t="s">
        <v>1</v>
      </c>
      <c r="F833" s="39">
        <v>0</v>
      </c>
    </row>
    <row r="834" spans="1:6" x14ac:dyDescent="0.25">
      <c r="A834" s="1" t="s">
        <v>5838</v>
      </c>
      <c r="B834" s="1" t="s">
        <v>5839</v>
      </c>
      <c r="C834" s="1" t="s">
        <v>6049</v>
      </c>
      <c r="D834" s="39">
        <v>0</v>
      </c>
      <c r="E834" s="1" t="s">
        <v>1</v>
      </c>
      <c r="F834" s="39">
        <v>0</v>
      </c>
    </row>
    <row r="835" spans="1:6" x14ac:dyDescent="0.25">
      <c r="A835" s="1" t="s">
        <v>5846</v>
      </c>
      <c r="B835" s="1" t="s">
        <v>5847</v>
      </c>
      <c r="C835" s="1" t="s">
        <v>6049</v>
      </c>
      <c r="D835" s="39">
        <v>0</v>
      </c>
      <c r="E835" s="1" t="s">
        <v>1</v>
      </c>
      <c r="F835" s="39">
        <v>0</v>
      </c>
    </row>
    <row r="836" spans="1:6" x14ac:dyDescent="0.25">
      <c r="A836" s="1" t="s">
        <v>5848</v>
      </c>
      <c r="B836" s="1" t="s">
        <v>5849</v>
      </c>
      <c r="C836" s="1" t="s">
        <v>6049</v>
      </c>
      <c r="D836" s="39">
        <v>0</v>
      </c>
      <c r="E836" s="1" t="s">
        <v>1</v>
      </c>
      <c r="F836" s="39">
        <v>0</v>
      </c>
    </row>
    <row r="837" spans="1:6" x14ac:dyDescent="0.25">
      <c r="A837" s="1" t="s">
        <v>5850</v>
      </c>
      <c r="B837" s="1" t="s">
        <v>5851</v>
      </c>
      <c r="C837" s="1" t="s">
        <v>6049</v>
      </c>
      <c r="D837" s="39">
        <v>0</v>
      </c>
      <c r="E837" s="1" t="s">
        <v>1</v>
      </c>
      <c r="F837" s="39">
        <v>0</v>
      </c>
    </row>
    <row r="838" spans="1:6" x14ac:dyDescent="0.25">
      <c r="A838" s="1" t="s">
        <v>5852</v>
      </c>
      <c r="B838" s="1" t="s">
        <v>5853</v>
      </c>
      <c r="C838" s="1" t="s">
        <v>6049</v>
      </c>
      <c r="D838" s="39">
        <v>0</v>
      </c>
      <c r="E838" s="1" t="s">
        <v>1</v>
      </c>
      <c r="F838" s="39">
        <v>0</v>
      </c>
    </row>
    <row r="839" spans="1:6" x14ac:dyDescent="0.25">
      <c r="A839" s="1" t="s">
        <v>5854</v>
      </c>
      <c r="B839" s="1" t="s">
        <v>5855</v>
      </c>
      <c r="C839" s="1" t="s">
        <v>6049</v>
      </c>
      <c r="D839" s="39">
        <v>0</v>
      </c>
      <c r="E839" s="1" t="s">
        <v>1</v>
      </c>
      <c r="F839" s="39">
        <v>0</v>
      </c>
    </row>
    <row r="840" spans="1:6" x14ac:dyDescent="0.25">
      <c r="A840" s="1" t="s">
        <v>5856</v>
      </c>
      <c r="B840" s="1" t="s">
        <v>5857</v>
      </c>
      <c r="C840" s="1" t="s">
        <v>6049</v>
      </c>
      <c r="D840" s="39">
        <v>0</v>
      </c>
      <c r="E840" s="1" t="s">
        <v>1</v>
      </c>
      <c r="F840" s="39">
        <v>0</v>
      </c>
    </row>
    <row r="841" spans="1:6" x14ac:dyDescent="0.25">
      <c r="A841" s="1" t="s">
        <v>5864</v>
      </c>
      <c r="B841" s="1" t="s">
        <v>5865</v>
      </c>
      <c r="C841" s="1" t="s">
        <v>6049</v>
      </c>
      <c r="D841" s="39">
        <v>0</v>
      </c>
      <c r="E841" s="1" t="s">
        <v>1</v>
      </c>
      <c r="F841" s="39">
        <v>0</v>
      </c>
    </row>
    <row r="842" spans="1:6" x14ac:dyDescent="0.25">
      <c r="A842" s="1" t="s">
        <v>5866</v>
      </c>
      <c r="B842" s="1" t="s">
        <v>5867</v>
      </c>
      <c r="C842" s="1" t="s">
        <v>6049</v>
      </c>
      <c r="D842" s="39">
        <v>0</v>
      </c>
      <c r="E842" s="1" t="s">
        <v>1</v>
      </c>
      <c r="F842" s="39">
        <v>0</v>
      </c>
    </row>
    <row r="843" spans="1:6" x14ac:dyDescent="0.25">
      <c r="A843" s="1" t="s">
        <v>5914</v>
      </c>
      <c r="B843" s="1" t="s">
        <v>2211</v>
      </c>
      <c r="C843" s="1" t="s">
        <v>6049</v>
      </c>
      <c r="D843" s="39">
        <v>0</v>
      </c>
      <c r="E843" s="1" t="s">
        <v>1</v>
      </c>
      <c r="F843" s="39">
        <v>0</v>
      </c>
    </row>
    <row r="844" spans="1:6" x14ac:dyDescent="0.25">
      <c r="A844" s="1" t="s">
        <v>1557</v>
      </c>
      <c r="B844" s="1" t="s">
        <v>1558</v>
      </c>
      <c r="C844" s="1" t="s">
        <v>6049</v>
      </c>
      <c r="D844" s="39">
        <v>0</v>
      </c>
      <c r="E844" s="1" t="s">
        <v>1</v>
      </c>
      <c r="F844" s="39">
        <v>0</v>
      </c>
    </row>
    <row r="845" spans="1:6" x14ac:dyDescent="0.25">
      <c r="A845" s="1" t="s">
        <v>1579</v>
      </c>
      <c r="B845" s="1" t="s">
        <v>1580</v>
      </c>
      <c r="C845" s="1" t="s">
        <v>6049</v>
      </c>
      <c r="D845" s="39">
        <v>0</v>
      </c>
      <c r="E845" s="1" t="s">
        <v>1</v>
      </c>
      <c r="F845" s="39">
        <v>0</v>
      </c>
    </row>
    <row r="846" spans="1:6" x14ac:dyDescent="0.25">
      <c r="A846" s="1" t="s">
        <v>5917</v>
      </c>
      <c r="B846" s="1" t="s">
        <v>4732</v>
      </c>
      <c r="C846" s="1" t="s">
        <v>6049</v>
      </c>
      <c r="D846" s="39">
        <v>0</v>
      </c>
      <c r="E846" s="1" t="s">
        <v>1</v>
      </c>
      <c r="F846" s="39">
        <v>0</v>
      </c>
    </row>
    <row r="847" spans="1:6" x14ac:dyDescent="0.25">
      <c r="A847" s="1" t="s">
        <v>1608</v>
      </c>
      <c r="B847" s="1" t="s">
        <v>5920</v>
      </c>
      <c r="C847" s="1" t="s">
        <v>6049</v>
      </c>
      <c r="D847" s="39">
        <v>0</v>
      </c>
      <c r="E847" s="1" t="s">
        <v>1</v>
      </c>
      <c r="F847" s="39">
        <v>0</v>
      </c>
    </row>
    <row r="848" spans="1:6" x14ac:dyDescent="0.25">
      <c r="A848" s="1" t="s">
        <v>1628</v>
      </c>
      <c r="B848" s="1" t="s">
        <v>1629</v>
      </c>
      <c r="C848" s="1" t="s">
        <v>6049</v>
      </c>
      <c r="D848" s="39">
        <v>0</v>
      </c>
      <c r="E848" s="1" t="s">
        <v>1</v>
      </c>
      <c r="F848" s="39">
        <v>0</v>
      </c>
    </row>
    <row r="849" spans="1:6" x14ac:dyDescent="0.25">
      <c r="A849" s="1" t="s">
        <v>1684</v>
      </c>
      <c r="B849" s="1" t="s">
        <v>1685</v>
      </c>
      <c r="C849" s="1" t="s">
        <v>6049</v>
      </c>
      <c r="D849" s="39">
        <v>0</v>
      </c>
      <c r="E849" s="1" t="s">
        <v>1</v>
      </c>
      <c r="F849" s="39">
        <v>0</v>
      </c>
    </row>
    <row r="850" spans="1:6" x14ac:dyDescent="0.25">
      <c r="A850" s="1" t="s">
        <v>6003</v>
      </c>
      <c r="B850" s="1" t="s">
        <v>6004</v>
      </c>
      <c r="C850" s="1" t="s">
        <v>6049</v>
      </c>
      <c r="D850" s="39">
        <v>0</v>
      </c>
      <c r="E850" s="1" t="s">
        <v>1</v>
      </c>
      <c r="F850" s="39">
        <v>0</v>
      </c>
    </row>
    <row r="851" spans="1:6" x14ac:dyDescent="0.25">
      <c r="A851" s="1" t="s">
        <v>6005</v>
      </c>
      <c r="B851" s="1" t="s">
        <v>6006</v>
      </c>
      <c r="C851" s="1" t="s">
        <v>6049</v>
      </c>
      <c r="D851" s="39">
        <v>0</v>
      </c>
      <c r="E851" s="1" t="s">
        <v>1</v>
      </c>
      <c r="F851" s="39">
        <v>0</v>
      </c>
    </row>
    <row r="852" spans="1:6" x14ac:dyDescent="0.25">
      <c r="A852" s="41" t="s">
        <v>185</v>
      </c>
      <c r="B852" s="41" t="s">
        <v>185</v>
      </c>
      <c r="C852" s="41" t="s">
        <v>185</v>
      </c>
      <c r="D852" s="42">
        <v>6810.0010000000002</v>
      </c>
      <c r="E852" s="41" t="s">
        <v>3</v>
      </c>
      <c r="F852" s="43">
        <v>843905.7</v>
      </c>
    </row>
    <row r="853" spans="1:6" x14ac:dyDescent="0.25">
      <c r="A853" s="41" t="s">
        <v>185</v>
      </c>
      <c r="B853" s="41" t="s">
        <v>185</v>
      </c>
      <c r="C853" s="41" t="s">
        <v>185</v>
      </c>
      <c r="D853" s="44">
        <v>0</v>
      </c>
      <c r="E853" s="41" t="s">
        <v>2401</v>
      </c>
      <c r="F853" s="41" t="s">
        <v>185</v>
      </c>
    </row>
    <row r="854" spans="1:6" x14ac:dyDescent="0.25">
      <c r="A854" s="41" t="s">
        <v>185</v>
      </c>
      <c r="B854" s="41" t="s">
        <v>185</v>
      </c>
      <c r="C854" s="41" t="s">
        <v>185</v>
      </c>
      <c r="D854" s="44">
        <v>8</v>
      </c>
      <c r="E854" s="41" t="s">
        <v>2</v>
      </c>
      <c r="F854" s="41" t="s">
        <v>185</v>
      </c>
    </row>
    <row r="855" spans="1:6" x14ac:dyDescent="0.25">
      <c r="A855" s="41" t="s">
        <v>185</v>
      </c>
      <c r="B855" s="41" t="s">
        <v>185</v>
      </c>
      <c r="C855" s="41" t="s">
        <v>185</v>
      </c>
      <c r="D855" s="44">
        <v>1641175</v>
      </c>
      <c r="E855" s="41" t="s">
        <v>1</v>
      </c>
      <c r="F855" s="41" t="s">
        <v>185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875D-C121-43F4-8F25-2BF1C88A25C5}">
  <dimension ref="A1:F526"/>
  <sheetViews>
    <sheetView zoomScale="85" zoomScaleNormal="85" workbookViewId="0">
      <selection activeCell="B12" sqref="B12"/>
    </sheetView>
  </sheetViews>
  <sheetFormatPr defaultRowHeight="15" x14ac:dyDescent="0.25"/>
  <cols>
    <col min="1" max="1" width="12.28515625" style="5" bestFit="1" customWidth="1"/>
    <col min="2" max="2" width="44.85546875" style="5" bestFit="1" customWidth="1"/>
    <col min="3" max="3" width="8.85546875" style="5" bestFit="1" customWidth="1"/>
    <col min="4" max="4" width="14.140625" style="5" bestFit="1" customWidth="1"/>
    <col min="5" max="5" width="5" style="5" bestFit="1" customWidth="1"/>
    <col min="6" max="6" width="13.140625" style="5" bestFit="1" customWidth="1"/>
    <col min="7" max="16384" width="9.140625" style="5"/>
  </cols>
  <sheetData>
    <row r="1" spans="1:6" x14ac:dyDescent="0.25">
      <c r="A1" s="38" t="s">
        <v>5</v>
      </c>
      <c r="B1" s="38" t="s">
        <v>6</v>
      </c>
      <c r="C1" s="38" t="s">
        <v>2054</v>
      </c>
      <c r="D1" s="38" t="s">
        <v>2055</v>
      </c>
      <c r="E1" s="38" t="s">
        <v>14</v>
      </c>
      <c r="F1" s="38" t="s">
        <v>2056</v>
      </c>
    </row>
    <row r="2" spans="1:6" x14ac:dyDescent="0.25">
      <c r="A2" s="1">
        <v>3000400</v>
      </c>
      <c r="B2" s="1" t="s">
        <v>655</v>
      </c>
      <c r="C2" s="1" t="s">
        <v>6063</v>
      </c>
      <c r="D2" s="39">
        <v>0</v>
      </c>
      <c r="E2" s="1" t="s">
        <v>1</v>
      </c>
      <c r="F2" s="39">
        <v>0</v>
      </c>
    </row>
    <row r="3" spans="1:6" x14ac:dyDescent="0.25">
      <c r="A3" s="1">
        <v>3000401</v>
      </c>
      <c r="B3" s="1" t="s">
        <v>674</v>
      </c>
      <c r="C3" s="1" t="s">
        <v>6063</v>
      </c>
      <c r="D3" s="39">
        <v>0</v>
      </c>
      <c r="E3" s="1" t="s">
        <v>1</v>
      </c>
      <c r="F3" s="39">
        <v>0</v>
      </c>
    </row>
    <row r="4" spans="1:6" x14ac:dyDescent="0.25">
      <c r="A4" s="1">
        <v>3000402</v>
      </c>
      <c r="B4" s="1" t="s">
        <v>659</v>
      </c>
      <c r="C4" s="1" t="s">
        <v>6063</v>
      </c>
      <c r="D4" s="39">
        <v>0</v>
      </c>
      <c r="E4" s="1" t="s">
        <v>1</v>
      </c>
      <c r="F4" s="39">
        <v>0</v>
      </c>
    </row>
    <row r="5" spans="1:6" x14ac:dyDescent="0.25">
      <c r="A5" s="1">
        <v>3000403</v>
      </c>
      <c r="B5" s="1" t="s">
        <v>677</v>
      </c>
      <c r="C5" s="1" t="s">
        <v>6063</v>
      </c>
      <c r="D5" s="39">
        <v>0</v>
      </c>
      <c r="E5" s="1" t="s">
        <v>1</v>
      </c>
      <c r="F5" s="39">
        <v>0</v>
      </c>
    </row>
    <row r="6" spans="1:6" x14ac:dyDescent="0.25">
      <c r="A6" s="1">
        <v>3000404</v>
      </c>
      <c r="B6" s="1" t="s">
        <v>665</v>
      </c>
      <c r="C6" s="1" t="s">
        <v>6063</v>
      </c>
      <c r="D6" s="39">
        <v>0</v>
      </c>
      <c r="E6" s="1" t="s">
        <v>1</v>
      </c>
      <c r="F6" s="39">
        <v>0</v>
      </c>
    </row>
    <row r="7" spans="1:6" x14ac:dyDescent="0.25">
      <c r="A7" s="1">
        <v>3000405</v>
      </c>
      <c r="B7" s="1" t="s">
        <v>683</v>
      </c>
      <c r="C7" s="1" t="s">
        <v>6063</v>
      </c>
      <c r="D7" s="39">
        <v>0</v>
      </c>
      <c r="E7" s="1" t="s">
        <v>1</v>
      </c>
      <c r="F7" s="39">
        <v>0</v>
      </c>
    </row>
    <row r="8" spans="1:6" x14ac:dyDescent="0.25">
      <c r="A8" s="1">
        <v>3000406</v>
      </c>
      <c r="B8" s="1" t="s">
        <v>668</v>
      </c>
      <c r="C8" s="1" t="s">
        <v>6063</v>
      </c>
      <c r="D8" s="39">
        <v>0</v>
      </c>
      <c r="E8" s="1" t="s">
        <v>1</v>
      </c>
      <c r="F8" s="39">
        <v>0</v>
      </c>
    </row>
    <row r="9" spans="1:6" x14ac:dyDescent="0.25">
      <c r="A9" s="1">
        <v>3000408</v>
      </c>
      <c r="B9" s="1" t="s">
        <v>671</v>
      </c>
      <c r="C9" s="1" t="s">
        <v>6063</v>
      </c>
      <c r="D9" s="39">
        <v>0</v>
      </c>
      <c r="E9" s="1" t="s">
        <v>1</v>
      </c>
      <c r="F9" s="39">
        <v>0</v>
      </c>
    </row>
    <row r="10" spans="1:6" x14ac:dyDescent="0.25">
      <c r="A10" s="1">
        <v>3000409</v>
      </c>
      <c r="B10" s="1" t="s">
        <v>689</v>
      </c>
      <c r="C10" s="1" t="s">
        <v>6063</v>
      </c>
      <c r="D10" s="39">
        <v>0</v>
      </c>
      <c r="E10" s="1" t="s">
        <v>1</v>
      </c>
      <c r="F10" s="39">
        <v>0</v>
      </c>
    </row>
    <row r="11" spans="1:6" x14ac:dyDescent="0.25">
      <c r="A11" s="1">
        <v>3000411</v>
      </c>
      <c r="B11" s="1" t="s">
        <v>662</v>
      </c>
      <c r="C11" s="1" t="s">
        <v>6063</v>
      </c>
      <c r="D11" s="39">
        <v>0</v>
      </c>
      <c r="E11" s="1" t="s">
        <v>1</v>
      </c>
      <c r="F11" s="39">
        <v>0</v>
      </c>
    </row>
    <row r="12" spans="1:6" x14ac:dyDescent="0.25">
      <c r="A12" s="1">
        <v>3002721</v>
      </c>
      <c r="B12" s="1" t="s">
        <v>2587</v>
      </c>
      <c r="C12" s="1" t="s">
        <v>6063</v>
      </c>
      <c r="D12" s="39">
        <v>0</v>
      </c>
      <c r="E12" s="1" t="s">
        <v>3</v>
      </c>
      <c r="F12" s="39">
        <v>0</v>
      </c>
    </row>
    <row r="13" spans="1:6" x14ac:dyDescent="0.25">
      <c r="A13" s="1">
        <v>3002730</v>
      </c>
      <c r="B13" s="1" t="s">
        <v>2588</v>
      </c>
      <c r="C13" s="1" t="s">
        <v>6063</v>
      </c>
      <c r="D13" s="39">
        <v>0</v>
      </c>
      <c r="E13" s="1" t="s">
        <v>3</v>
      </c>
      <c r="F13" s="39">
        <v>0</v>
      </c>
    </row>
    <row r="14" spans="1:6" x14ac:dyDescent="0.25">
      <c r="A14" s="1">
        <v>3003683</v>
      </c>
      <c r="B14" s="1" t="s">
        <v>2648</v>
      </c>
      <c r="C14" s="1" t="s">
        <v>6063</v>
      </c>
      <c r="D14" s="39">
        <v>0</v>
      </c>
      <c r="E14" s="1" t="s">
        <v>1</v>
      </c>
      <c r="F14" s="39">
        <v>0</v>
      </c>
    </row>
    <row r="15" spans="1:6" x14ac:dyDescent="0.25">
      <c r="A15" s="1">
        <v>3003869</v>
      </c>
      <c r="B15" s="1" t="s">
        <v>1273</v>
      </c>
      <c r="C15" s="1" t="s">
        <v>6063</v>
      </c>
      <c r="D15" s="39">
        <v>0</v>
      </c>
      <c r="E15" s="1" t="s">
        <v>1</v>
      </c>
      <c r="F15" s="39">
        <v>0</v>
      </c>
    </row>
    <row r="16" spans="1:6" x14ac:dyDescent="0.25">
      <c r="A16" s="1">
        <v>3003894</v>
      </c>
      <c r="B16" s="1" t="s">
        <v>1274</v>
      </c>
      <c r="C16" s="1" t="s">
        <v>6063</v>
      </c>
      <c r="D16" s="39">
        <v>0</v>
      </c>
      <c r="E16" s="1" t="s">
        <v>1</v>
      </c>
      <c r="F16" s="39">
        <v>0</v>
      </c>
    </row>
    <row r="17" spans="1:6" x14ac:dyDescent="0.25">
      <c r="A17" s="1">
        <v>3003937</v>
      </c>
      <c r="B17" s="1" t="s">
        <v>1285</v>
      </c>
      <c r="C17" s="1" t="s">
        <v>6063</v>
      </c>
      <c r="D17" s="39">
        <v>0</v>
      </c>
      <c r="E17" s="1" t="s">
        <v>1</v>
      </c>
      <c r="F17" s="39">
        <v>0</v>
      </c>
    </row>
    <row r="18" spans="1:6" x14ac:dyDescent="0.25">
      <c r="A18" s="1">
        <v>3005114</v>
      </c>
      <c r="B18" s="1" t="s">
        <v>1203</v>
      </c>
      <c r="C18" s="1" t="s">
        <v>6063</v>
      </c>
      <c r="D18" s="39">
        <v>0</v>
      </c>
      <c r="E18" s="1" t="s">
        <v>3</v>
      </c>
      <c r="F18" s="39">
        <v>0</v>
      </c>
    </row>
    <row r="19" spans="1:6" x14ac:dyDescent="0.25">
      <c r="A19" s="1">
        <v>3005132</v>
      </c>
      <c r="B19" s="1" t="s">
        <v>1197</v>
      </c>
      <c r="C19" s="1" t="s">
        <v>6063</v>
      </c>
      <c r="D19" s="39">
        <v>0</v>
      </c>
      <c r="E19" s="1" t="s">
        <v>3</v>
      </c>
      <c r="F19" s="39">
        <v>0</v>
      </c>
    </row>
    <row r="20" spans="1:6" x14ac:dyDescent="0.25">
      <c r="A20" s="1">
        <v>4000009</v>
      </c>
      <c r="B20" s="1" t="s">
        <v>2675</v>
      </c>
      <c r="C20" s="1" t="s">
        <v>6063</v>
      </c>
      <c r="D20" s="39">
        <v>0</v>
      </c>
      <c r="E20" s="1" t="s">
        <v>1</v>
      </c>
      <c r="F20" s="39">
        <v>0</v>
      </c>
    </row>
    <row r="21" spans="1:6" x14ac:dyDescent="0.25">
      <c r="A21" s="1">
        <v>4000012</v>
      </c>
      <c r="B21" s="1" t="s">
        <v>2676</v>
      </c>
      <c r="C21" s="1" t="s">
        <v>6063</v>
      </c>
      <c r="D21" s="39">
        <v>0</v>
      </c>
      <c r="E21" s="1" t="s">
        <v>1</v>
      </c>
      <c r="F21" s="39">
        <v>0</v>
      </c>
    </row>
    <row r="22" spans="1:6" x14ac:dyDescent="0.25">
      <c r="A22" s="1">
        <v>4000013</v>
      </c>
      <c r="B22" s="1" t="s">
        <v>522</v>
      </c>
      <c r="C22" s="1" t="s">
        <v>6063</v>
      </c>
      <c r="D22" s="39">
        <v>0</v>
      </c>
      <c r="E22" s="1" t="s">
        <v>1</v>
      </c>
      <c r="F22" s="39">
        <v>0</v>
      </c>
    </row>
    <row r="23" spans="1:6" x14ac:dyDescent="0.25">
      <c r="A23" s="1">
        <v>4000017</v>
      </c>
      <c r="B23" s="1" t="s">
        <v>485</v>
      </c>
      <c r="C23" s="1" t="s">
        <v>6063</v>
      </c>
      <c r="D23" s="39">
        <v>2354</v>
      </c>
      <c r="E23" s="1" t="s">
        <v>1</v>
      </c>
      <c r="F23" s="3">
        <v>524.47</v>
      </c>
    </row>
    <row r="24" spans="1:6" x14ac:dyDescent="0.25">
      <c r="A24" s="1">
        <v>4000018</v>
      </c>
      <c r="B24" s="1" t="s">
        <v>486</v>
      </c>
      <c r="C24" s="1" t="s">
        <v>6063</v>
      </c>
      <c r="D24" s="39">
        <v>596</v>
      </c>
      <c r="E24" s="1" t="s">
        <v>1</v>
      </c>
      <c r="F24" s="3">
        <v>1444.76</v>
      </c>
    </row>
    <row r="25" spans="1:6" x14ac:dyDescent="0.25">
      <c r="A25" s="1">
        <v>4000022</v>
      </c>
      <c r="B25" s="1" t="s">
        <v>2677</v>
      </c>
      <c r="C25" s="1" t="s">
        <v>6063</v>
      </c>
      <c r="D25" s="39">
        <v>0</v>
      </c>
      <c r="E25" s="1" t="s">
        <v>1</v>
      </c>
      <c r="F25" s="39">
        <v>0</v>
      </c>
    </row>
    <row r="26" spans="1:6" x14ac:dyDescent="0.25">
      <c r="A26" s="1">
        <v>4000023</v>
      </c>
      <c r="B26" s="1" t="s">
        <v>2678</v>
      </c>
      <c r="C26" s="1" t="s">
        <v>6063</v>
      </c>
      <c r="D26" s="39">
        <v>0</v>
      </c>
      <c r="E26" s="1" t="s">
        <v>1</v>
      </c>
      <c r="F26" s="39">
        <v>0</v>
      </c>
    </row>
    <row r="27" spans="1:6" x14ac:dyDescent="0.25">
      <c r="A27" s="1">
        <v>4000046</v>
      </c>
      <c r="B27" s="1" t="s">
        <v>2679</v>
      </c>
      <c r="C27" s="1" t="s">
        <v>6063</v>
      </c>
      <c r="D27" s="39">
        <v>0</v>
      </c>
      <c r="E27" s="1" t="s">
        <v>1</v>
      </c>
      <c r="F27" s="39">
        <v>0</v>
      </c>
    </row>
    <row r="28" spans="1:6" x14ac:dyDescent="0.25">
      <c r="A28" s="1">
        <v>4000056</v>
      </c>
      <c r="B28" s="1" t="s">
        <v>1243</v>
      </c>
      <c r="C28" s="1" t="s">
        <v>6063</v>
      </c>
      <c r="D28" s="39">
        <v>13</v>
      </c>
      <c r="E28" s="1" t="s">
        <v>1</v>
      </c>
      <c r="F28" s="3">
        <v>12.14</v>
      </c>
    </row>
    <row r="29" spans="1:6" x14ac:dyDescent="0.25">
      <c r="A29" s="1">
        <v>4000070</v>
      </c>
      <c r="B29" s="1" t="s">
        <v>632</v>
      </c>
      <c r="C29" s="1" t="s">
        <v>6063</v>
      </c>
      <c r="D29" s="39">
        <v>0</v>
      </c>
      <c r="E29" s="1" t="s">
        <v>1</v>
      </c>
      <c r="F29" s="39">
        <v>0</v>
      </c>
    </row>
    <row r="30" spans="1:6" x14ac:dyDescent="0.25">
      <c r="A30" s="1">
        <v>4000071</v>
      </c>
      <c r="B30" s="1" t="s">
        <v>633</v>
      </c>
      <c r="C30" s="1" t="s">
        <v>6063</v>
      </c>
      <c r="D30" s="39">
        <v>0</v>
      </c>
      <c r="E30" s="1" t="s">
        <v>1</v>
      </c>
      <c r="F30" s="39">
        <v>0</v>
      </c>
    </row>
    <row r="31" spans="1:6" x14ac:dyDescent="0.25">
      <c r="A31" s="1">
        <v>4000080</v>
      </c>
      <c r="B31" s="1" t="s">
        <v>2680</v>
      </c>
      <c r="C31" s="1" t="s">
        <v>6063</v>
      </c>
      <c r="D31" s="39">
        <v>0</v>
      </c>
      <c r="E31" s="1" t="s">
        <v>1</v>
      </c>
      <c r="F31" s="39">
        <v>0</v>
      </c>
    </row>
    <row r="32" spans="1:6" x14ac:dyDescent="0.25">
      <c r="A32" s="1">
        <v>4000082</v>
      </c>
      <c r="B32" s="1" t="s">
        <v>2681</v>
      </c>
      <c r="C32" s="1" t="s">
        <v>6063</v>
      </c>
      <c r="D32" s="39">
        <v>0</v>
      </c>
      <c r="E32" s="1" t="s">
        <v>1</v>
      </c>
      <c r="F32" s="39">
        <v>0</v>
      </c>
    </row>
    <row r="33" spans="1:6" x14ac:dyDescent="0.25">
      <c r="A33" s="1">
        <v>4000083</v>
      </c>
      <c r="B33" s="1" t="s">
        <v>2682</v>
      </c>
      <c r="C33" s="1" t="s">
        <v>6063</v>
      </c>
      <c r="D33" s="39">
        <v>0</v>
      </c>
      <c r="E33" s="1" t="s">
        <v>1</v>
      </c>
      <c r="F33" s="39">
        <v>0</v>
      </c>
    </row>
    <row r="34" spans="1:6" x14ac:dyDescent="0.25">
      <c r="A34" s="1">
        <v>4000086</v>
      </c>
      <c r="B34" s="1" t="s">
        <v>2683</v>
      </c>
      <c r="C34" s="1" t="s">
        <v>6063</v>
      </c>
      <c r="D34" s="39">
        <v>0</v>
      </c>
      <c r="E34" s="1" t="s">
        <v>1</v>
      </c>
      <c r="F34" s="39">
        <v>0</v>
      </c>
    </row>
    <row r="35" spans="1:6" x14ac:dyDescent="0.25">
      <c r="A35" s="1">
        <v>4000087</v>
      </c>
      <c r="B35" s="1" t="s">
        <v>2684</v>
      </c>
      <c r="C35" s="1" t="s">
        <v>6063</v>
      </c>
      <c r="D35" s="39">
        <v>0</v>
      </c>
      <c r="E35" s="1" t="s">
        <v>1</v>
      </c>
      <c r="F35" s="39">
        <v>0</v>
      </c>
    </row>
    <row r="36" spans="1:6" x14ac:dyDescent="0.25">
      <c r="A36" s="1">
        <v>4000098</v>
      </c>
      <c r="B36" s="1" t="s">
        <v>2687</v>
      </c>
      <c r="C36" s="1" t="s">
        <v>6063</v>
      </c>
      <c r="D36" s="39">
        <v>0</v>
      </c>
      <c r="E36" s="1" t="s">
        <v>1</v>
      </c>
      <c r="F36" s="39">
        <v>0</v>
      </c>
    </row>
    <row r="37" spans="1:6" x14ac:dyDescent="0.25">
      <c r="A37" s="1">
        <v>4000117</v>
      </c>
      <c r="B37" s="1" t="s">
        <v>123</v>
      </c>
      <c r="C37" s="1" t="s">
        <v>6063</v>
      </c>
      <c r="D37" s="39">
        <v>0</v>
      </c>
      <c r="E37" s="1" t="s">
        <v>1</v>
      </c>
      <c r="F37" s="39">
        <v>0</v>
      </c>
    </row>
    <row r="38" spans="1:6" x14ac:dyDescent="0.25">
      <c r="A38" s="1">
        <v>4000120</v>
      </c>
      <c r="B38" s="1" t="s">
        <v>129</v>
      </c>
      <c r="C38" s="1" t="s">
        <v>6063</v>
      </c>
      <c r="D38" s="39">
        <v>118</v>
      </c>
      <c r="E38" s="1" t="s">
        <v>1</v>
      </c>
      <c r="F38" s="3">
        <v>51.55</v>
      </c>
    </row>
    <row r="39" spans="1:6" x14ac:dyDescent="0.25">
      <c r="A39" s="1">
        <v>4000121</v>
      </c>
      <c r="B39" s="1" t="s">
        <v>561</v>
      </c>
      <c r="C39" s="1" t="s">
        <v>6063</v>
      </c>
      <c r="D39" s="39">
        <v>27</v>
      </c>
      <c r="E39" s="1" t="s">
        <v>1</v>
      </c>
      <c r="F39" s="3">
        <v>25.07</v>
      </c>
    </row>
    <row r="40" spans="1:6" x14ac:dyDescent="0.25">
      <c r="A40" s="1">
        <v>4000122</v>
      </c>
      <c r="B40" s="1" t="s">
        <v>2688</v>
      </c>
      <c r="C40" s="1" t="s">
        <v>6063</v>
      </c>
      <c r="D40" s="39">
        <v>0</v>
      </c>
      <c r="E40" s="1" t="s">
        <v>1</v>
      </c>
      <c r="F40" s="39">
        <v>0</v>
      </c>
    </row>
    <row r="41" spans="1:6" x14ac:dyDescent="0.25">
      <c r="A41" s="1">
        <v>4000124</v>
      </c>
      <c r="B41" s="1" t="s">
        <v>514</v>
      </c>
      <c r="C41" s="1" t="s">
        <v>6063</v>
      </c>
      <c r="D41" s="39">
        <v>0</v>
      </c>
      <c r="E41" s="1" t="s">
        <v>1</v>
      </c>
      <c r="F41" s="39">
        <v>0</v>
      </c>
    </row>
    <row r="42" spans="1:6" x14ac:dyDescent="0.25">
      <c r="A42" s="1">
        <v>4000125</v>
      </c>
      <c r="B42" s="1" t="s">
        <v>515</v>
      </c>
      <c r="C42" s="1" t="s">
        <v>6063</v>
      </c>
      <c r="D42" s="39">
        <v>401</v>
      </c>
      <c r="E42" s="1" t="s">
        <v>1</v>
      </c>
      <c r="F42" s="3">
        <v>287.39999999999998</v>
      </c>
    </row>
    <row r="43" spans="1:6" x14ac:dyDescent="0.25">
      <c r="A43" s="1">
        <v>4000126</v>
      </c>
      <c r="B43" s="1" t="s">
        <v>529</v>
      </c>
      <c r="C43" s="1" t="s">
        <v>6063</v>
      </c>
      <c r="D43" s="39">
        <v>0</v>
      </c>
      <c r="E43" s="1" t="s">
        <v>1</v>
      </c>
      <c r="F43" s="39">
        <v>0</v>
      </c>
    </row>
    <row r="44" spans="1:6" x14ac:dyDescent="0.25">
      <c r="A44" s="1">
        <v>4000129</v>
      </c>
      <c r="B44" s="1" t="s">
        <v>501</v>
      </c>
      <c r="C44" s="1" t="s">
        <v>6063</v>
      </c>
      <c r="D44" s="39">
        <v>612</v>
      </c>
      <c r="E44" s="1" t="s">
        <v>1</v>
      </c>
      <c r="F44" s="3">
        <v>566.59</v>
      </c>
    </row>
    <row r="45" spans="1:6" x14ac:dyDescent="0.25">
      <c r="A45" s="1">
        <v>4000133</v>
      </c>
      <c r="B45" s="1" t="s">
        <v>1229</v>
      </c>
      <c r="C45" s="1" t="s">
        <v>6063</v>
      </c>
      <c r="D45" s="39">
        <v>6</v>
      </c>
      <c r="E45" s="1" t="s">
        <v>1</v>
      </c>
      <c r="F45" s="3">
        <v>11.4</v>
      </c>
    </row>
    <row r="46" spans="1:6" x14ac:dyDescent="0.25">
      <c r="A46" s="1">
        <v>4000136</v>
      </c>
      <c r="B46" s="1" t="s">
        <v>353</v>
      </c>
      <c r="C46" s="1" t="s">
        <v>6063</v>
      </c>
      <c r="D46" s="39">
        <v>0</v>
      </c>
      <c r="E46" s="1" t="s">
        <v>1</v>
      </c>
      <c r="F46" s="39">
        <v>0</v>
      </c>
    </row>
    <row r="47" spans="1:6" x14ac:dyDescent="0.25">
      <c r="A47" s="1">
        <v>4000137</v>
      </c>
      <c r="B47" s="1" t="s">
        <v>354</v>
      </c>
      <c r="C47" s="1" t="s">
        <v>6063</v>
      </c>
      <c r="D47" s="39">
        <v>0</v>
      </c>
      <c r="E47" s="1" t="s">
        <v>1</v>
      </c>
      <c r="F47" s="39">
        <v>0</v>
      </c>
    </row>
    <row r="48" spans="1:6" x14ac:dyDescent="0.25">
      <c r="A48" s="1">
        <v>4000138</v>
      </c>
      <c r="B48" s="1" t="s">
        <v>18</v>
      </c>
      <c r="C48" s="1" t="s">
        <v>6063</v>
      </c>
      <c r="D48" s="39">
        <v>0</v>
      </c>
      <c r="E48" s="1" t="s">
        <v>1</v>
      </c>
      <c r="F48" s="39">
        <v>0</v>
      </c>
    </row>
    <row r="49" spans="1:6" x14ac:dyDescent="0.25">
      <c r="A49" s="1">
        <v>4000139</v>
      </c>
      <c r="B49" s="1" t="s">
        <v>2689</v>
      </c>
      <c r="C49" s="1" t="s">
        <v>6063</v>
      </c>
      <c r="D49" s="39">
        <v>0</v>
      </c>
      <c r="E49" s="1" t="s">
        <v>1</v>
      </c>
      <c r="F49" s="39">
        <v>0</v>
      </c>
    </row>
    <row r="50" spans="1:6" x14ac:dyDescent="0.25">
      <c r="A50" s="1">
        <v>4000140</v>
      </c>
      <c r="B50" s="1" t="s">
        <v>2690</v>
      </c>
      <c r="C50" s="1" t="s">
        <v>6063</v>
      </c>
      <c r="D50" s="39">
        <v>138</v>
      </c>
      <c r="E50" s="1" t="s">
        <v>1</v>
      </c>
      <c r="F50" s="3">
        <v>88.29</v>
      </c>
    </row>
    <row r="51" spans="1:6" x14ac:dyDescent="0.25">
      <c r="A51" s="1">
        <v>4000141</v>
      </c>
      <c r="B51" s="1" t="s">
        <v>89</v>
      </c>
      <c r="C51" s="1" t="s">
        <v>6063</v>
      </c>
      <c r="D51" s="39">
        <v>117</v>
      </c>
      <c r="E51" s="1" t="s">
        <v>1</v>
      </c>
      <c r="F51" s="3">
        <v>47.23</v>
      </c>
    </row>
    <row r="52" spans="1:6" x14ac:dyDescent="0.25">
      <c r="A52" s="1">
        <v>4000180</v>
      </c>
      <c r="B52" s="1" t="s">
        <v>2691</v>
      </c>
      <c r="C52" s="1" t="s">
        <v>6063</v>
      </c>
      <c r="D52" s="39">
        <v>0</v>
      </c>
      <c r="E52" s="1" t="s">
        <v>3</v>
      </c>
      <c r="F52" s="39">
        <v>0</v>
      </c>
    </row>
    <row r="53" spans="1:6" x14ac:dyDescent="0.25">
      <c r="A53" s="1">
        <v>4000332</v>
      </c>
      <c r="B53" s="1" t="s">
        <v>2693</v>
      </c>
      <c r="C53" s="1" t="s">
        <v>6063</v>
      </c>
      <c r="D53" s="39">
        <v>0</v>
      </c>
      <c r="E53" s="1" t="s">
        <v>1</v>
      </c>
      <c r="F53" s="39">
        <v>0</v>
      </c>
    </row>
    <row r="54" spans="1:6" x14ac:dyDescent="0.25">
      <c r="A54" s="1">
        <v>4000333</v>
      </c>
      <c r="B54" s="1" t="s">
        <v>2694</v>
      </c>
      <c r="C54" s="1" t="s">
        <v>6063</v>
      </c>
      <c r="D54" s="39">
        <v>0</v>
      </c>
      <c r="E54" s="1" t="s">
        <v>1</v>
      </c>
      <c r="F54" s="39">
        <v>0</v>
      </c>
    </row>
    <row r="55" spans="1:6" x14ac:dyDescent="0.25">
      <c r="A55" s="1">
        <v>4001138</v>
      </c>
      <c r="B55" s="1" t="s">
        <v>461</v>
      </c>
      <c r="C55" s="1" t="s">
        <v>6063</v>
      </c>
      <c r="D55" s="39">
        <v>20</v>
      </c>
      <c r="E55" s="1" t="s">
        <v>1</v>
      </c>
      <c r="F55" s="3">
        <v>222.08</v>
      </c>
    </row>
    <row r="56" spans="1:6" x14ac:dyDescent="0.25">
      <c r="A56" s="1">
        <v>4001140</v>
      </c>
      <c r="B56" s="1" t="s">
        <v>256</v>
      </c>
      <c r="C56" s="1" t="s">
        <v>6063</v>
      </c>
      <c r="D56" s="39">
        <v>0</v>
      </c>
      <c r="E56" s="1" t="s">
        <v>1</v>
      </c>
      <c r="F56" s="39">
        <v>0</v>
      </c>
    </row>
    <row r="57" spans="1:6" x14ac:dyDescent="0.25">
      <c r="A57" s="1">
        <v>4001141</v>
      </c>
      <c r="B57" s="1" t="s">
        <v>270</v>
      </c>
      <c r="C57" s="1" t="s">
        <v>6063</v>
      </c>
      <c r="D57" s="39">
        <v>22</v>
      </c>
      <c r="E57" s="1" t="s">
        <v>1</v>
      </c>
      <c r="F57" s="3">
        <v>61.82</v>
      </c>
    </row>
    <row r="58" spans="1:6" x14ac:dyDescent="0.25">
      <c r="A58" s="1">
        <v>4001142</v>
      </c>
      <c r="B58" s="1" t="s">
        <v>261</v>
      </c>
      <c r="C58" s="1" t="s">
        <v>6063</v>
      </c>
      <c r="D58" s="39">
        <v>0</v>
      </c>
      <c r="E58" s="1" t="s">
        <v>1</v>
      </c>
      <c r="F58" s="39">
        <v>0</v>
      </c>
    </row>
    <row r="59" spans="1:6" x14ac:dyDescent="0.25">
      <c r="A59" s="1">
        <v>4001144</v>
      </c>
      <c r="B59" s="1" t="s">
        <v>574</v>
      </c>
      <c r="C59" s="1" t="s">
        <v>6063</v>
      </c>
      <c r="D59" s="39">
        <v>0</v>
      </c>
      <c r="E59" s="1" t="s">
        <v>1</v>
      </c>
      <c r="F59" s="39">
        <v>0</v>
      </c>
    </row>
    <row r="60" spans="1:6" x14ac:dyDescent="0.25">
      <c r="A60" s="1">
        <v>4001146</v>
      </c>
      <c r="B60" s="1" t="s">
        <v>568</v>
      </c>
      <c r="C60" s="1" t="s">
        <v>6063</v>
      </c>
      <c r="D60" s="39">
        <v>55</v>
      </c>
      <c r="E60" s="1" t="s">
        <v>1</v>
      </c>
      <c r="F60" s="3">
        <v>288.56</v>
      </c>
    </row>
    <row r="61" spans="1:6" x14ac:dyDescent="0.25">
      <c r="A61" s="1">
        <v>4001149</v>
      </c>
      <c r="B61" s="1" t="s">
        <v>2703</v>
      </c>
      <c r="C61" s="1" t="s">
        <v>6063</v>
      </c>
      <c r="D61" s="39">
        <v>0</v>
      </c>
      <c r="E61" s="1" t="s">
        <v>1</v>
      </c>
      <c r="F61" s="39">
        <v>0</v>
      </c>
    </row>
    <row r="62" spans="1:6" x14ac:dyDescent="0.25">
      <c r="A62" s="1">
        <v>4001151</v>
      </c>
      <c r="B62" s="1" t="s">
        <v>584</v>
      </c>
      <c r="C62" s="1" t="s">
        <v>6063</v>
      </c>
      <c r="D62" s="39">
        <v>0</v>
      </c>
      <c r="E62" s="1" t="s">
        <v>1</v>
      </c>
      <c r="F62" s="39">
        <v>0</v>
      </c>
    </row>
    <row r="63" spans="1:6" x14ac:dyDescent="0.25">
      <c r="A63" s="1">
        <v>4001153</v>
      </c>
      <c r="B63" s="1" t="s">
        <v>124</v>
      </c>
      <c r="C63" s="1" t="s">
        <v>6063</v>
      </c>
      <c r="D63" s="39">
        <v>0</v>
      </c>
      <c r="E63" s="1" t="s">
        <v>1</v>
      </c>
      <c r="F63" s="39">
        <v>0</v>
      </c>
    </row>
    <row r="64" spans="1:6" x14ac:dyDescent="0.25">
      <c r="A64" s="1">
        <v>4001156</v>
      </c>
      <c r="B64" s="1" t="s">
        <v>2705</v>
      </c>
      <c r="C64" s="1" t="s">
        <v>6063</v>
      </c>
      <c r="D64" s="39">
        <v>0</v>
      </c>
      <c r="E64" s="1" t="s">
        <v>1</v>
      </c>
      <c r="F64" s="39">
        <v>0</v>
      </c>
    </row>
    <row r="65" spans="1:6" x14ac:dyDescent="0.25">
      <c r="A65" s="1">
        <v>4001157</v>
      </c>
      <c r="B65" s="1" t="s">
        <v>2706</v>
      </c>
      <c r="C65" s="1" t="s">
        <v>6063</v>
      </c>
      <c r="D65" s="39">
        <v>0</v>
      </c>
      <c r="E65" s="1" t="s">
        <v>1</v>
      </c>
      <c r="F65" s="39">
        <v>0</v>
      </c>
    </row>
    <row r="66" spans="1:6" x14ac:dyDescent="0.25">
      <c r="A66" s="1">
        <v>4001159</v>
      </c>
      <c r="B66" s="1" t="s">
        <v>251</v>
      </c>
      <c r="C66" s="1" t="s">
        <v>6063</v>
      </c>
      <c r="D66" s="39">
        <v>236</v>
      </c>
      <c r="E66" s="1" t="s">
        <v>1</v>
      </c>
      <c r="F66" s="3">
        <v>766.98</v>
      </c>
    </row>
    <row r="67" spans="1:6" x14ac:dyDescent="0.25">
      <c r="A67" s="1">
        <v>4001161</v>
      </c>
      <c r="B67" s="1" t="s">
        <v>700</v>
      </c>
      <c r="C67" s="1" t="s">
        <v>6063</v>
      </c>
      <c r="D67" s="39">
        <v>502</v>
      </c>
      <c r="E67" s="1" t="s">
        <v>1</v>
      </c>
      <c r="F67" s="3">
        <v>3217.62</v>
      </c>
    </row>
    <row r="68" spans="1:6" x14ac:dyDescent="0.25">
      <c r="A68" s="1">
        <v>4001165</v>
      </c>
      <c r="B68" s="1" t="s">
        <v>169</v>
      </c>
      <c r="C68" s="1" t="s">
        <v>6063</v>
      </c>
      <c r="D68" s="39">
        <v>0</v>
      </c>
      <c r="E68" s="1" t="s">
        <v>1</v>
      </c>
      <c r="F68" s="39">
        <v>0</v>
      </c>
    </row>
    <row r="69" spans="1:6" x14ac:dyDescent="0.25">
      <c r="A69" s="1">
        <v>4001168</v>
      </c>
      <c r="B69" s="1" t="s">
        <v>2711</v>
      </c>
      <c r="C69" s="1" t="s">
        <v>6063</v>
      </c>
      <c r="D69" s="39">
        <v>0</v>
      </c>
      <c r="E69" s="1" t="s">
        <v>1</v>
      </c>
      <c r="F69" s="39">
        <v>0</v>
      </c>
    </row>
    <row r="70" spans="1:6" x14ac:dyDescent="0.25">
      <c r="A70" s="1">
        <v>4001169</v>
      </c>
      <c r="B70" s="1" t="s">
        <v>131</v>
      </c>
      <c r="C70" s="1" t="s">
        <v>6063</v>
      </c>
      <c r="D70" s="39">
        <v>0</v>
      </c>
      <c r="E70" s="1" t="s">
        <v>1</v>
      </c>
      <c r="F70" s="39">
        <v>0</v>
      </c>
    </row>
    <row r="71" spans="1:6" x14ac:dyDescent="0.25">
      <c r="A71" s="1">
        <v>4001170</v>
      </c>
      <c r="B71" s="1" t="s">
        <v>705</v>
      </c>
      <c r="C71" s="1" t="s">
        <v>6063</v>
      </c>
      <c r="D71" s="39">
        <v>77</v>
      </c>
      <c r="E71" s="1" t="s">
        <v>1</v>
      </c>
      <c r="F71" s="3">
        <v>165.66</v>
      </c>
    </row>
    <row r="72" spans="1:6" x14ac:dyDescent="0.25">
      <c r="A72" s="1">
        <v>4001175</v>
      </c>
      <c r="B72" s="1" t="s">
        <v>247</v>
      </c>
      <c r="C72" s="1" t="s">
        <v>6063</v>
      </c>
      <c r="D72" s="39">
        <v>0</v>
      </c>
      <c r="E72" s="1" t="s">
        <v>1</v>
      </c>
      <c r="F72" s="39">
        <v>0</v>
      </c>
    </row>
    <row r="73" spans="1:6" x14ac:dyDescent="0.25">
      <c r="A73" s="1">
        <v>4001178</v>
      </c>
      <c r="B73" s="1" t="s">
        <v>476</v>
      </c>
      <c r="C73" s="1" t="s">
        <v>6063</v>
      </c>
      <c r="D73" s="39">
        <v>0</v>
      </c>
      <c r="E73" s="1" t="s">
        <v>1</v>
      </c>
      <c r="F73" s="39">
        <v>0</v>
      </c>
    </row>
    <row r="74" spans="1:6" x14ac:dyDescent="0.25">
      <c r="A74" s="1">
        <v>4001183</v>
      </c>
      <c r="B74" s="1" t="s">
        <v>95</v>
      </c>
      <c r="C74" s="1" t="s">
        <v>6063</v>
      </c>
      <c r="D74" s="39">
        <v>0</v>
      </c>
      <c r="E74" s="1" t="s">
        <v>1</v>
      </c>
      <c r="F74" s="39">
        <v>0</v>
      </c>
    </row>
    <row r="75" spans="1:6" x14ac:dyDescent="0.25">
      <c r="A75" s="1">
        <v>4001186</v>
      </c>
      <c r="B75" s="1" t="s">
        <v>471</v>
      </c>
      <c r="C75" s="1" t="s">
        <v>6063</v>
      </c>
      <c r="D75" s="39">
        <v>0</v>
      </c>
      <c r="E75" s="1" t="s">
        <v>1</v>
      </c>
      <c r="F75" s="39">
        <v>0</v>
      </c>
    </row>
    <row r="76" spans="1:6" x14ac:dyDescent="0.25">
      <c r="A76" s="1">
        <v>4001187</v>
      </c>
      <c r="B76" s="1" t="s">
        <v>474</v>
      </c>
      <c r="C76" s="1" t="s">
        <v>6063</v>
      </c>
      <c r="D76" s="39">
        <v>0</v>
      </c>
      <c r="E76" s="1" t="s">
        <v>1</v>
      </c>
      <c r="F76" s="39">
        <v>0</v>
      </c>
    </row>
    <row r="77" spans="1:6" x14ac:dyDescent="0.25">
      <c r="A77" s="1">
        <v>4001196</v>
      </c>
      <c r="B77" s="1" t="s">
        <v>197</v>
      </c>
      <c r="C77" s="1" t="s">
        <v>6063</v>
      </c>
      <c r="D77" s="39">
        <v>0</v>
      </c>
      <c r="E77" s="1" t="s">
        <v>1</v>
      </c>
      <c r="F77" s="39">
        <v>0</v>
      </c>
    </row>
    <row r="78" spans="1:6" x14ac:dyDescent="0.25">
      <c r="A78" s="1">
        <v>4001200</v>
      </c>
      <c r="B78" s="1" t="s">
        <v>640</v>
      </c>
      <c r="C78" s="1" t="s">
        <v>6063</v>
      </c>
      <c r="D78" s="39">
        <v>0</v>
      </c>
      <c r="E78" s="1" t="s">
        <v>1</v>
      </c>
      <c r="F78" s="39">
        <v>0</v>
      </c>
    </row>
    <row r="79" spans="1:6" x14ac:dyDescent="0.25">
      <c r="A79" s="1">
        <v>4001201</v>
      </c>
      <c r="B79" s="1" t="s">
        <v>608</v>
      </c>
      <c r="C79" s="1" t="s">
        <v>6063</v>
      </c>
      <c r="D79" s="39">
        <v>0</v>
      </c>
      <c r="E79" s="1" t="s">
        <v>1</v>
      </c>
      <c r="F79" s="39">
        <v>0</v>
      </c>
    </row>
    <row r="80" spans="1:6" x14ac:dyDescent="0.25">
      <c r="A80" s="1">
        <v>4001203</v>
      </c>
      <c r="B80" s="1" t="s">
        <v>208</v>
      </c>
      <c r="C80" s="1" t="s">
        <v>6063</v>
      </c>
      <c r="D80" s="39">
        <v>4</v>
      </c>
      <c r="E80" s="1" t="s">
        <v>1</v>
      </c>
      <c r="F80" s="3">
        <v>28.68</v>
      </c>
    </row>
    <row r="81" spans="1:6" x14ac:dyDescent="0.25">
      <c r="A81" s="1">
        <v>4001206</v>
      </c>
      <c r="B81" s="1" t="s">
        <v>189</v>
      </c>
      <c r="C81" s="1" t="s">
        <v>6063</v>
      </c>
      <c r="D81" s="39">
        <v>0</v>
      </c>
      <c r="E81" s="1" t="s">
        <v>1</v>
      </c>
      <c r="F81" s="39">
        <v>0</v>
      </c>
    </row>
    <row r="82" spans="1:6" x14ac:dyDescent="0.25">
      <c r="A82" s="1">
        <v>4001209</v>
      </c>
      <c r="B82" s="1" t="s">
        <v>266</v>
      </c>
      <c r="C82" s="1" t="s">
        <v>6063</v>
      </c>
      <c r="D82" s="39">
        <v>0</v>
      </c>
      <c r="E82" s="1" t="s">
        <v>1</v>
      </c>
      <c r="F82" s="39">
        <v>0</v>
      </c>
    </row>
    <row r="83" spans="1:6" x14ac:dyDescent="0.25">
      <c r="A83" s="1">
        <v>4001210</v>
      </c>
      <c r="B83" s="1" t="s">
        <v>2730</v>
      </c>
      <c r="C83" s="1" t="s">
        <v>6063</v>
      </c>
      <c r="D83" s="39">
        <v>0</v>
      </c>
      <c r="E83" s="1" t="s">
        <v>1</v>
      </c>
      <c r="F83" s="39">
        <v>0</v>
      </c>
    </row>
    <row r="84" spans="1:6" x14ac:dyDescent="0.25">
      <c r="A84" s="1">
        <v>4001212</v>
      </c>
      <c r="B84" s="1" t="s">
        <v>238</v>
      </c>
      <c r="C84" s="1" t="s">
        <v>6063</v>
      </c>
      <c r="D84" s="39">
        <v>2</v>
      </c>
      <c r="E84" s="1" t="s">
        <v>1</v>
      </c>
      <c r="F84" s="3">
        <v>7.33</v>
      </c>
    </row>
    <row r="85" spans="1:6" x14ac:dyDescent="0.25">
      <c r="A85" s="1">
        <v>4001213</v>
      </c>
      <c r="B85" s="1" t="s">
        <v>516</v>
      </c>
      <c r="C85" s="1" t="s">
        <v>6063</v>
      </c>
      <c r="D85" s="39">
        <v>49</v>
      </c>
      <c r="E85" s="1" t="s">
        <v>1</v>
      </c>
      <c r="F85" s="3">
        <v>212.27</v>
      </c>
    </row>
    <row r="86" spans="1:6" x14ac:dyDescent="0.25">
      <c r="A86" s="1">
        <v>4001215</v>
      </c>
      <c r="B86" s="1" t="s">
        <v>493</v>
      </c>
      <c r="C86" s="1" t="s">
        <v>6063</v>
      </c>
      <c r="D86" s="39">
        <v>0</v>
      </c>
      <c r="E86" s="1" t="s">
        <v>1</v>
      </c>
      <c r="F86" s="39">
        <v>0</v>
      </c>
    </row>
    <row r="87" spans="1:6" x14ac:dyDescent="0.25">
      <c r="A87" s="1">
        <v>4001216</v>
      </c>
      <c r="B87" s="1" t="s">
        <v>487</v>
      </c>
      <c r="C87" s="1" t="s">
        <v>6063</v>
      </c>
      <c r="D87" s="39">
        <v>348</v>
      </c>
      <c r="E87" s="1" t="s">
        <v>1</v>
      </c>
      <c r="F87" s="3">
        <v>2064.89</v>
      </c>
    </row>
    <row r="88" spans="1:6" x14ac:dyDescent="0.25">
      <c r="A88" s="1">
        <v>4001217</v>
      </c>
      <c r="B88" s="1" t="s">
        <v>2732</v>
      </c>
      <c r="C88" s="1" t="s">
        <v>6063</v>
      </c>
      <c r="D88" s="39">
        <v>0</v>
      </c>
      <c r="E88" s="1" t="s">
        <v>1</v>
      </c>
      <c r="F88" s="39">
        <v>0</v>
      </c>
    </row>
    <row r="89" spans="1:6" x14ac:dyDescent="0.25">
      <c r="A89" s="1">
        <v>4001218</v>
      </c>
      <c r="B89" s="1" t="s">
        <v>2733</v>
      </c>
      <c r="C89" s="1" t="s">
        <v>6063</v>
      </c>
      <c r="D89" s="39">
        <v>0</v>
      </c>
      <c r="E89" s="1" t="s">
        <v>1</v>
      </c>
      <c r="F89" s="39">
        <v>0</v>
      </c>
    </row>
    <row r="90" spans="1:6" x14ac:dyDescent="0.25">
      <c r="A90" s="1">
        <v>4001219</v>
      </c>
      <c r="B90" s="1" t="s">
        <v>614</v>
      </c>
      <c r="C90" s="1" t="s">
        <v>6063</v>
      </c>
      <c r="D90" s="39">
        <v>0</v>
      </c>
      <c r="E90" s="1" t="s">
        <v>1</v>
      </c>
      <c r="F90" s="39">
        <v>0</v>
      </c>
    </row>
    <row r="91" spans="1:6" x14ac:dyDescent="0.25">
      <c r="A91" s="1">
        <v>4001220</v>
      </c>
      <c r="B91" s="1" t="s">
        <v>523</v>
      </c>
      <c r="C91" s="1" t="s">
        <v>6063</v>
      </c>
      <c r="D91" s="39">
        <v>0</v>
      </c>
      <c r="E91" s="1" t="s">
        <v>1</v>
      </c>
      <c r="F91" s="39">
        <v>0</v>
      </c>
    </row>
    <row r="92" spans="1:6" x14ac:dyDescent="0.25">
      <c r="A92" s="1">
        <v>4001221</v>
      </c>
      <c r="B92" s="1" t="s">
        <v>716</v>
      </c>
      <c r="C92" s="1" t="s">
        <v>6063</v>
      </c>
      <c r="D92" s="39">
        <v>509</v>
      </c>
      <c r="E92" s="1" t="s">
        <v>1</v>
      </c>
      <c r="F92" s="3">
        <v>3013.28</v>
      </c>
    </row>
    <row r="93" spans="1:6" x14ac:dyDescent="0.25">
      <c r="A93" s="1">
        <v>4001222</v>
      </c>
      <c r="B93" s="1" t="s">
        <v>2734</v>
      </c>
      <c r="C93" s="1" t="s">
        <v>6063</v>
      </c>
      <c r="D93" s="39">
        <v>0</v>
      </c>
      <c r="E93" s="1" t="s">
        <v>1</v>
      </c>
      <c r="F93" s="39">
        <v>0</v>
      </c>
    </row>
    <row r="94" spans="1:6" x14ac:dyDescent="0.25">
      <c r="A94" s="1">
        <v>4001223</v>
      </c>
      <c r="B94" s="1" t="s">
        <v>530</v>
      </c>
      <c r="C94" s="1" t="s">
        <v>6063</v>
      </c>
      <c r="D94" s="39">
        <v>0</v>
      </c>
      <c r="E94" s="1" t="s">
        <v>1</v>
      </c>
      <c r="F94" s="39">
        <v>0</v>
      </c>
    </row>
    <row r="95" spans="1:6" x14ac:dyDescent="0.25">
      <c r="A95" s="1">
        <v>4001226</v>
      </c>
      <c r="B95" s="1" t="s">
        <v>502</v>
      </c>
      <c r="C95" s="1" t="s">
        <v>6063</v>
      </c>
      <c r="D95" s="39">
        <v>785</v>
      </c>
      <c r="E95" s="1" t="s">
        <v>1</v>
      </c>
      <c r="F95" s="3">
        <v>2919.18</v>
      </c>
    </row>
    <row r="96" spans="1:6" x14ac:dyDescent="0.25">
      <c r="A96" s="1">
        <v>4001227</v>
      </c>
      <c r="B96" s="1" t="s">
        <v>508</v>
      </c>
      <c r="C96" s="1" t="s">
        <v>6063</v>
      </c>
      <c r="D96" s="39">
        <v>21</v>
      </c>
      <c r="E96" s="1" t="s">
        <v>1</v>
      </c>
      <c r="F96" s="3">
        <v>69.430000000000007</v>
      </c>
    </row>
    <row r="97" spans="1:6" x14ac:dyDescent="0.25">
      <c r="A97" s="1">
        <v>4001228</v>
      </c>
      <c r="B97" s="1" t="s">
        <v>536</v>
      </c>
      <c r="C97" s="1" t="s">
        <v>6063</v>
      </c>
      <c r="D97" s="39">
        <v>0</v>
      </c>
      <c r="E97" s="1" t="s">
        <v>1</v>
      </c>
      <c r="F97" s="39">
        <v>0</v>
      </c>
    </row>
    <row r="98" spans="1:6" x14ac:dyDescent="0.25">
      <c r="A98" s="1">
        <v>4001229</v>
      </c>
      <c r="B98" s="1" t="s">
        <v>542</v>
      </c>
      <c r="C98" s="1" t="s">
        <v>6063</v>
      </c>
      <c r="D98" s="39">
        <v>59</v>
      </c>
      <c r="E98" s="1" t="s">
        <v>1</v>
      </c>
      <c r="F98" s="3">
        <v>224.7</v>
      </c>
    </row>
    <row r="99" spans="1:6" x14ac:dyDescent="0.25">
      <c r="A99" s="1">
        <v>4001230</v>
      </c>
      <c r="B99" s="1" t="s">
        <v>548</v>
      </c>
      <c r="C99" s="1" t="s">
        <v>6063</v>
      </c>
      <c r="D99" s="39">
        <v>0</v>
      </c>
      <c r="E99" s="1" t="s">
        <v>1</v>
      </c>
      <c r="F99" s="39">
        <v>0</v>
      </c>
    </row>
    <row r="100" spans="1:6" x14ac:dyDescent="0.25">
      <c r="A100" s="1">
        <v>4001231</v>
      </c>
      <c r="B100" s="1" t="s">
        <v>2735</v>
      </c>
      <c r="C100" s="1" t="s">
        <v>6063</v>
      </c>
      <c r="D100" s="39">
        <v>0</v>
      </c>
      <c r="E100" s="1" t="s">
        <v>1</v>
      </c>
      <c r="F100" s="39">
        <v>0</v>
      </c>
    </row>
    <row r="101" spans="1:6" x14ac:dyDescent="0.25">
      <c r="A101" s="1">
        <v>4001232</v>
      </c>
      <c r="B101" s="1" t="s">
        <v>634</v>
      </c>
      <c r="C101" s="1" t="s">
        <v>6063</v>
      </c>
      <c r="D101" s="39">
        <v>5</v>
      </c>
      <c r="E101" s="1" t="s">
        <v>1</v>
      </c>
      <c r="F101" s="3">
        <v>26.8</v>
      </c>
    </row>
    <row r="102" spans="1:6" x14ac:dyDescent="0.25">
      <c r="A102" s="1">
        <v>4001233</v>
      </c>
      <c r="B102" s="1" t="s">
        <v>692</v>
      </c>
      <c r="C102" s="1" t="s">
        <v>6063</v>
      </c>
      <c r="D102" s="39">
        <v>0</v>
      </c>
      <c r="E102" s="1" t="s">
        <v>1</v>
      </c>
      <c r="F102" s="39">
        <v>0</v>
      </c>
    </row>
    <row r="103" spans="1:6" x14ac:dyDescent="0.25">
      <c r="A103" s="1">
        <v>4001244</v>
      </c>
      <c r="B103" s="1" t="s">
        <v>310</v>
      </c>
      <c r="C103" s="1" t="s">
        <v>6063</v>
      </c>
      <c r="D103" s="39">
        <v>0</v>
      </c>
      <c r="E103" s="1" t="s">
        <v>1</v>
      </c>
      <c r="F103" s="39">
        <v>0</v>
      </c>
    </row>
    <row r="104" spans="1:6" x14ac:dyDescent="0.25">
      <c r="A104" s="1">
        <v>4001249</v>
      </c>
      <c r="B104" s="1" t="s">
        <v>155</v>
      </c>
      <c r="C104" s="1" t="s">
        <v>6063</v>
      </c>
      <c r="D104" s="39">
        <v>0</v>
      </c>
      <c r="E104" s="1" t="s">
        <v>1</v>
      </c>
      <c r="F104" s="39">
        <v>0</v>
      </c>
    </row>
    <row r="105" spans="1:6" x14ac:dyDescent="0.25">
      <c r="A105" s="1">
        <v>4001251</v>
      </c>
      <c r="B105" s="1" t="s">
        <v>2741</v>
      </c>
      <c r="C105" s="1" t="s">
        <v>6063</v>
      </c>
      <c r="D105" s="39">
        <v>0</v>
      </c>
      <c r="E105" s="1" t="s">
        <v>1</v>
      </c>
      <c r="F105" s="39">
        <v>0</v>
      </c>
    </row>
    <row r="106" spans="1:6" x14ac:dyDescent="0.25">
      <c r="A106" s="1">
        <v>4001254</v>
      </c>
      <c r="B106" s="1" t="s">
        <v>2743</v>
      </c>
      <c r="C106" s="1" t="s">
        <v>6063</v>
      </c>
      <c r="D106" s="39">
        <v>0</v>
      </c>
      <c r="E106" s="1" t="s">
        <v>1</v>
      </c>
      <c r="F106" s="39">
        <v>0</v>
      </c>
    </row>
    <row r="107" spans="1:6" x14ac:dyDescent="0.25">
      <c r="A107" s="1">
        <v>4001269</v>
      </c>
      <c r="B107" s="1" t="s">
        <v>1230</v>
      </c>
      <c r="C107" s="1" t="s">
        <v>6063</v>
      </c>
      <c r="D107" s="39">
        <v>7</v>
      </c>
      <c r="E107" s="1" t="s">
        <v>1</v>
      </c>
      <c r="F107" s="3">
        <v>22.76</v>
      </c>
    </row>
    <row r="108" spans="1:6" x14ac:dyDescent="0.25">
      <c r="A108" s="1">
        <v>4001271</v>
      </c>
      <c r="B108" s="1" t="s">
        <v>118</v>
      </c>
      <c r="C108" s="1" t="s">
        <v>6063</v>
      </c>
      <c r="D108" s="39">
        <v>0</v>
      </c>
      <c r="E108" s="1" t="s">
        <v>1</v>
      </c>
      <c r="F108" s="39">
        <v>0</v>
      </c>
    </row>
    <row r="109" spans="1:6" x14ac:dyDescent="0.25">
      <c r="A109" s="1">
        <v>4001273</v>
      </c>
      <c r="B109" s="1" t="s">
        <v>590</v>
      </c>
      <c r="C109" s="1" t="s">
        <v>6063</v>
      </c>
      <c r="D109" s="39">
        <v>0</v>
      </c>
      <c r="E109" s="1" t="s">
        <v>1</v>
      </c>
      <c r="F109" s="39">
        <v>0</v>
      </c>
    </row>
    <row r="110" spans="1:6" x14ac:dyDescent="0.25">
      <c r="A110" s="1">
        <v>4001281</v>
      </c>
      <c r="B110" s="1" t="s">
        <v>159</v>
      </c>
      <c r="C110" s="1" t="s">
        <v>6063</v>
      </c>
      <c r="D110" s="39">
        <v>0</v>
      </c>
      <c r="E110" s="1" t="s">
        <v>1</v>
      </c>
      <c r="F110" s="39">
        <v>0</v>
      </c>
    </row>
    <row r="111" spans="1:6" x14ac:dyDescent="0.25">
      <c r="A111" s="1">
        <v>4001283</v>
      </c>
      <c r="B111" s="1" t="s">
        <v>602</v>
      </c>
      <c r="C111" s="1" t="s">
        <v>6063</v>
      </c>
      <c r="D111" s="39">
        <v>1096</v>
      </c>
      <c r="E111" s="1" t="s">
        <v>1</v>
      </c>
      <c r="F111" s="3">
        <v>2648.7</v>
      </c>
    </row>
    <row r="112" spans="1:6" x14ac:dyDescent="0.25">
      <c r="A112" s="1">
        <v>4001285</v>
      </c>
      <c r="B112" s="1" t="s">
        <v>84</v>
      </c>
      <c r="C112" s="1" t="s">
        <v>6063</v>
      </c>
      <c r="D112" s="39">
        <v>2</v>
      </c>
      <c r="E112" s="1" t="s">
        <v>1</v>
      </c>
      <c r="F112" s="3">
        <v>7.69</v>
      </c>
    </row>
    <row r="113" spans="1:6" x14ac:dyDescent="0.25">
      <c r="A113" s="1">
        <v>4001291</v>
      </c>
      <c r="B113" s="1" t="s">
        <v>173</v>
      </c>
      <c r="C113" s="1" t="s">
        <v>6063</v>
      </c>
      <c r="D113" s="39">
        <v>206</v>
      </c>
      <c r="E113" s="1" t="s">
        <v>1</v>
      </c>
      <c r="F113" s="3">
        <v>1137.47</v>
      </c>
    </row>
    <row r="114" spans="1:6" x14ac:dyDescent="0.25">
      <c r="A114" s="1">
        <v>4001292</v>
      </c>
      <c r="B114" s="1" t="s">
        <v>2748</v>
      </c>
      <c r="C114" s="1" t="s">
        <v>6063</v>
      </c>
      <c r="D114" s="39">
        <v>0</v>
      </c>
      <c r="E114" s="1" t="s">
        <v>1</v>
      </c>
      <c r="F114" s="39">
        <v>0</v>
      </c>
    </row>
    <row r="115" spans="1:6" x14ac:dyDescent="0.25">
      <c r="A115" s="1">
        <v>4001294</v>
      </c>
      <c r="B115" s="1" t="s">
        <v>300</v>
      </c>
      <c r="C115" s="1" t="s">
        <v>6063</v>
      </c>
      <c r="D115" s="39">
        <v>33</v>
      </c>
      <c r="E115" s="1" t="s">
        <v>1</v>
      </c>
      <c r="F115" s="3">
        <v>212.94</v>
      </c>
    </row>
    <row r="116" spans="1:6" x14ac:dyDescent="0.25">
      <c r="A116" s="1">
        <v>4001296</v>
      </c>
      <c r="B116" s="1" t="s">
        <v>305</v>
      </c>
      <c r="C116" s="1" t="s">
        <v>6063</v>
      </c>
      <c r="D116" s="39">
        <v>0</v>
      </c>
      <c r="E116" s="1" t="s">
        <v>1</v>
      </c>
      <c r="F116" s="39">
        <v>0</v>
      </c>
    </row>
    <row r="117" spans="1:6" x14ac:dyDescent="0.25">
      <c r="A117" s="1">
        <v>4001304</v>
      </c>
      <c r="B117" s="1" t="s">
        <v>102</v>
      </c>
      <c r="C117" s="1" t="s">
        <v>6063</v>
      </c>
      <c r="D117" s="39">
        <v>0</v>
      </c>
      <c r="E117" s="1" t="s">
        <v>1</v>
      </c>
      <c r="F117" s="39">
        <v>0</v>
      </c>
    </row>
    <row r="118" spans="1:6" x14ac:dyDescent="0.25">
      <c r="A118" s="1">
        <v>4001306</v>
      </c>
      <c r="B118" s="1" t="s">
        <v>107</v>
      </c>
      <c r="C118" s="1" t="s">
        <v>6063</v>
      </c>
      <c r="D118" s="39">
        <v>0</v>
      </c>
      <c r="E118" s="1" t="s">
        <v>1</v>
      </c>
      <c r="F118" s="39">
        <v>0</v>
      </c>
    </row>
    <row r="119" spans="1:6" x14ac:dyDescent="0.25">
      <c r="A119" s="1">
        <v>4001313</v>
      </c>
      <c r="B119" s="1" t="s">
        <v>213</v>
      </c>
      <c r="C119" s="1" t="s">
        <v>6063</v>
      </c>
      <c r="D119" s="39">
        <v>47</v>
      </c>
      <c r="E119" s="1" t="s">
        <v>1</v>
      </c>
      <c r="F119" s="3">
        <v>170.23</v>
      </c>
    </row>
    <row r="120" spans="1:6" x14ac:dyDescent="0.25">
      <c r="A120" s="1">
        <v>4001315</v>
      </c>
      <c r="B120" s="1" t="s">
        <v>219</v>
      </c>
      <c r="C120" s="1" t="s">
        <v>6063</v>
      </c>
      <c r="D120" s="39">
        <v>118</v>
      </c>
      <c r="E120" s="1" t="s">
        <v>1</v>
      </c>
      <c r="F120" s="3">
        <v>439.97</v>
      </c>
    </row>
    <row r="121" spans="1:6" x14ac:dyDescent="0.25">
      <c r="A121" s="1">
        <v>4001317</v>
      </c>
      <c r="B121" s="1" t="s">
        <v>224</v>
      </c>
      <c r="C121" s="1" t="s">
        <v>6063</v>
      </c>
      <c r="D121" s="39">
        <v>84</v>
      </c>
      <c r="E121" s="1" t="s">
        <v>1</v>
      </c>
      <c r="F121" s="3">
        <v>434.39</v>
      </c>
    </row>
    <row r="122" spans="1:6" x14ac:dyDescent="0.25">
      <c r="A122" s="1">
        <v>4001320</v>
      </c>
      <c r="B122" s="1" t="s">
        <v>229</v>
      </c>
      <c r="C122" s="1" t="s">
        <v>6063</v>
      </c>
      <c r="D122" s="39">
        <v>22</v>
      </c>
      <c r="E122" s="1" t="s">
        <v>1</v>
      </c>
      <c r="F122" s="3">
        <v>110.39</v>
      </c>
    </row>
    <row r="123" spans="1:6" x14ac:dyDescent="0.25">
      <c r="A123" s="1">
        <v>4001325</v>
      </c>
      <c r="B123" s="1" t="s">
        <v>242</v>
      </c>
      <c r="C123" s="1" t="s">
        <v>6063</v>
      </c>
      <c r="D123" s="39">
        <v>22</v>
      </c>
      <c r="E123" s="1" t="s">
        <v>1</v>
      </c>
      <c r="F123" s="3">
        <v>77.13</v>
      </c>
    </row>
    <row r="124" spans="1:6" x14ac:dyDescent="0.25">
      <c r="A124" s="1">
        <v>4001329</v>
      </c>
      <c r="B124" s="1" t="s">
        <v>285</v>
      </c>
      <c r="C124" s="1" t="s">
        <v>6063</v>
      </c>
      <c r="D124" s="39">
        <v>25</v>
      </c>
      <c r="E124" s="1" t="s">
        <v>1</v>
      </c>
      <c r="F124" s="3">
        <v>59.23</v>
      </c>
    </row>
    <row r="125" spans="1:6" x14ac:dyDescent="0.25">
      <c r="A125" s="1">
        <v>4001340</v>
      </c>
      <c r="B125" s="1" t="s">
        <v>19</v>
      </c>
      <c r="C125" s="1" t="s">
        <v>6063</v>
      </c>
      <c r="D125" s="39">
        <v>0</v>
      </c>
      <c r="E125" s="1" t="s">
        <v>1</v>
      </c>
      <c r="F125" s="39">
        <v>0</v>
      </c>
    </row>
    <row r="126" spans="1:6" x14ac:dyDescent="0.25">
      <c r="A126" s="1">
        <v>4001356</v>
      </c>
      <c r="B126" s="1" t="s">
        <v>76</v>
      </c>
      <c r="C126" s="1" t="s">
        <v>6063</v>
      </c>
      <c r="D126" s="39">
        <v>0</v>
      </c>
      <c r="E126" s="1" t="s">
        <v>1</v>
      </c>
      <c r="F126" s="39">
        <v>0</v>
      </c>
    </row>
    <row r="127" spans="1:6" x14ac:dyDescent="0.25">
      <c r="A127" s="1">
        <v>4001358</v>
      </c>
      <c r="B127" s="1" t="s">
        <v>320</v>
      </c>
      <c r="C127" s="1" t="s">
        <v>6063</v>
      </c>
      <c r="D127" s="39">
        <v>291</v>
      </c>
      <c r="E127" s="1" t="s">
        <v>1</v>
      </c>
      <c r="F127" s="3">
        <v>436.01</v>
      </c>
    </row>
    <row r="128" spans="1:6" x14ac:dyDescent="0.25">
      <c r="A128" s="1">
        <v>4001360</v>
      </c>
      <c r="B128" s="1" t="s">
        <v>79</v>
      </c>
      <c r="C128" s="1" t="s">
        <v>6063</v>
      </c>
      <c r="D128" s="39">
        <v>0</v>
      </c>
      <c r="E128" s="1" t="s">
        <v>1</v>
      </c>
      <c r="F128" s="39">
        <v>0</v>
      </c>
    </row>
    <row r="129" spans="1:6" x14ac:dyDescent="0.25">
      <c r="A129" s="1">
        <v>4001362</v>
      </c>
      <c r="B129" s="1" t="s">
        <v>90</v>
      </c>
      <c r="C129" s="1" t="s">
        <v>6063</v>
      </c>
      <c r="D129" s="39">
        <v>93</v>
      </c>
      <c r="E129" s="1" t="s">
        <v>1</v>
      </c>
      <c r="F129" s="3">
        <v>105.19</v>
      </c>
    </row>
    <row r="130" spans="1:6" x14ac:dyDescent="0.25">
      <c r="A130" s="1">
        <v>4001367</v>
      </c>
      <c r="B130" s="1" t="s">
        <v>290</v>
      </c>
      <c r="C130" s="1" t="s">
        <v>6063</v>
      </c>
      <c r="D130" s="39">
        <v>2</v>
      </c>
      <c r="E130" s="1" t="s">
        <v>1</v>
      </c>
      <c r="F130" s="3">
        <v>7.54</v>
      </c>
    </row>
    <row r="131" spans="1:6" x14ac:dyDescent="0.25">
      <c r="A131" s="1">
        <v>4001368</v>
      </c>
      <c r="B131" s="1" t="s">
        <v>295</v>
      </c>
      <c r="C131" s="1" t="s">
        <v>6063</v>
      </c>
      <c r="D131" s="39">
        <v>34</v>
      </c>
      <c r="E131" s="1" t="s">
        <v>1</v>
      </c>
      <c r="F131" s="3">
        <v>99.41</v>
      </c>
    </row>
    <row r="132" spans="1:6" x14ac:dyDescent="0.25">
      <c r="A132" s="1">
        <v>4001369</v>
      </c>
      <c r="B132" s="1" t="s">
        <v>113</v>
      </c>
      <c r="C132" s="1" t="s">
        <v>6063</v>
      </c>
      <c r="D132" s="39">
        <v>5</v>
      </c>
      <c r="E132" s="1" t="s">
        <v>1</v>
      </c>
      <c r="F132" s="3">
        <v>18.32</v>
      </c>
    </row>
    <row r="133" spans="1:6" x14ac:dyDescent="0.25">
      <c r="A133" s="1">
        <v>4001379</v>
      </c>
      <c r="B133" s="1" t="s">
        <v>280</v>
      </c>
      <c r="C133" s="1" t="s">
        <v>6063</v>
      </c>
      <c r="D133" s="39">
        <v>875</v>
      </c>
      <c r="E133" s="1" t="s">
        <v>1</v>
      </c>
      <c r="F133" s="3">
        <v>2146.37</v>
      </c>
    </row>
    <row r="134" spans="1:6" x14ac:dyDescent="0.25">
      <c r="A134" s="1">
        <v>4001382</v>
      </c>
      <c r="B134" s="1" t="s">
        <v>330</v>
      </c>
      <c r="C134" s="1" t="s">
        <v>6063</v>
      </c>
      <c r="D134" s="39">
        <v>35</v>
      </c>
      <c r="E134" s="1" t="s">
        <v>1</v>
      </c>
      <c r="F134" s="3">
        <v>151.9</v>
      </c>
    </row>
    <row r="135" spans="1:6" x14ac:dyDescent="0.25">
      <c r="A135" s="1">
        <v>4001383</v>
      </c>
      <c r="B135" s="1" t="s">
        <v>334</v>
      </c>
      <c r="C135" s="1" t="s">
        <v>6063</v>
      </c>
      <c r="D135" s="39">
        <v>25</v>
      </c>
      <c r="E135" s="1" t="s">
        <v>1</v>
      </c>
      <c r="F135" s="3">
        <v>116.81</v>
      </c>
    </row>
    <row r="136" spans="1:6" x14ac:dyDescent="0.25">
      <c r="A136" s="1">
        <v>4001384</v>
      </c>
      <c r="B136" s="1" t="s">
        <v>338</v>
      </c>
      <c r="C136" s="1" t="s">
        <v>6063</v>
      </c>
      <c r="D136" s="39">
        <v>82</v>
      </c>
      <c r="E136" s="1" t="s">
        <v>1</v>
      </c>
      <c r="F136" s="3">
        <v>380.09</v>
      </c>
    </row>
    <row r="137" spans="1:6" x14ac:dyDescent="0.25">
      <c r="A137" s="1">
        <v>4001385</v>
      </c>
      <c r="B137" s="1" t="s">
        <v>345</v>
      </c>
      <c r="C137" s="1" t="s">
        <v>6063</v>
      </c>
      <c r="D137" s="39">
        <v>18</v>
      </c>
      <c r="E137" s="1" t="s">
        <v>1</v>
      </c>
      <c r="F137" s="3">
        <v>177.49</v>
      </c>
    </row>
    <row r="138" spans="1:6" x14ac:dyDescent="0.25">
      <c r="A138" s="1">
        <v>4001386</v>
      </c>
      <c r="B138" s="1" t="s">
        <v>349</v>
      </c>
      <c r="C138" s="1" t="s">
        <v>6063</v>
      </c>
      <c r="D138" s="39">
        <v>9</v>
      </c>
      <c r="E138" s="1" t="s">
        <v>1</v>
      </c>
      <c r="F138" s="3">
        <v>76.27</v>
      </c>
    </row>
    <row r="139" spans="1:6" x14ac:dyDescent="0.25">
      <c r="A139" s="1">
        <v>4001389</v>
      </c>
      <c r="B139" s="1" t="s">
        <v>275</v>
      </c>
      <c r="C139" s="1" t="s">
        <v>6063</v>
      </c>
      <c r="D139" s="39">
        <v>66</v>
      </c>
      <c r="E139" s="1" t="s">
        <v>1</v>
      </c>
      <c r="F139" s="3">
        <v>248.06</v>
      </c>
    </row>
    <row r="140" spans="1:6" x14ac:dyDescent="0.25">
      <c r="A140" s="1">
        <v>4001391</v>
      </c>
      <c r="B140" s="1" t="s">
        <v>315</v>
      </c>
      <c r="C140" s="1" t="s">
        <v>6063</v>
      </c>
      <c r="D140" s="39">
        <v>6</v>
      </c>
      <c r="E140" s="1" t="s">
        <v>1</v>
      </c>
      <c r="F140" s="3">
        <v>12.54</v>
      </c>
    </row>
    <row r="141" spans="1:6" x14ac:dyDescent="0.25">
      <c r="A141" s="1">
        <v>4001392</v>
      </c>
      <c r="B141" s="1" t="s">
        <v>355</v>
      </c>
      <c r="C141" s="1" t="s">
        <v>6063</v>
      </c>
      <c r="D141" s="39">
        <v>0</v>
      </c>
      <c r="E141" s="1" t="s">
        <v>1</v>
      </c>
      <c r="F141" s="39">
        <v>0</v>
      </c>
    </row>
    <row r="142" spans="1:6" x14ac:dyDescent="0.25">
      <c r="A142" s="1">
        <v>4001400</v>
      </c>
      <c r="B142" s="1" t="s">
        <v>234</v>
      </c>
      <c r="C142" s="1" t="s">
        <v>6063</v>
      </c>
      <c r="D142" s="39">
        <v>204</v>
      </c>
      <c r="E142" s="1" t="s">
        <v>1</v>
      </c>
      <c r="F142" s="3">
        <v>993.57</v>
      </c>
    </row>
    <row r="143" spans="1:6" x14ac:dyDescent="0.25">
      <c r="A143" s="1">
        <v>4001403</v>
      </c>
      <c r="B143" s="1" t="s">
        <v>67</v>
      </c>
      <c r="C143" s="1" t="s">
        <v>6063</v>
      </c>
      <c r="D143" s="39">
        <v>0</v>
      </c>
      <c r="E143" s="1" t="s">
        <v>1</v>
      </c>
      <c r="F143" s="39">
        <v>0</v>
      </c>
    </row>
    <row r="144" spans="1:6" x14ac:dyDescent="0.25">
      <c r="A144" s="1">
        <v>4001404</v>
      </c>
      <c r="B144" s="1" t="s">
        <v>72</v>
      </c>
      <c r="C144" s="1" t="s">
        <v>6063</v>
      </c>
      <c r="D144" s="39">
        <v>0</v>
      </c>
      <c r="E144" s="1" t="s">
        <v>1</v>
      </c>
      <c r="F144" s="39">
        <v>0</v>
      </c>
    </row>
    <row r="145" spans="1:6" x14ac:dyDescent="0.25">
      <c r="A145" s="1">
        <v>4002347</v>
      </c>
      <c r="B145" s="1" t="s">
        <v>488</v>
      </c>
      <c r="C145" s="1" t="s">
        <v>6063</v>
      </c>
      <c r="D145" s="39">
        <v>6460</v>
      </c>
      <c r="E145" s="1" t="s">
        <v>1</v>
      </c>
      <c r="F145" s="3">
        <v>562.02</v>
      </c>
    </row>
    <row r="146" spans="1:6" x14ac:dyDescent="0.25">
      <c r="A146" s="1">
        <v>4002348</v>
      </c>
      <c r="B146" s="1" t="s">
        <v>494</v>
      </c>
      <c r="C146" s="1" t="s">
        <v>6063</v>
      </c>
      <c r="D146" s="39">
        <v>8602</v>
      </c>
      <c r="E146" s="1" t="s">
        <v>1</v>
      </c>
      <c r="F146" s="3">
        <v>301.93</v>
      </c>
    </row>
    <row r="147" spans="1:6" x14ac:dyDescent="0.25">
      <c r="A147" s="1">
        <v>4002349</v>
      </c>
      <c r="B147" s="1" t="s">
        <v>503</v>
      </c>
      <c r="C147" s="1" t="s">
        <v>6063</v>
      </c>
      <c r="D147" s="39">
        <v>14477</v>
      </c>
      <c r="E147" s="1" t="s">
        <v>1</v>
      </c>
      <c r="F147" s="3">
        <v>731.09</v>
      </c>
    </row>
    <row r="148" spans="1:6" x14ac:dyDescent="0.25">
      <c r="A148" s="1">
        <v>4002353</v>
      </c>
      <c r="B148" s="1" t="s">
        <v>509</v>
      </c>
      <c r="C148" s="1" t="s">
        <v>6063</v>
      </c>
      <c r="D148" s="39">
        <v>4692</v>
      </c>
      <c r="E148" s="1" t="s">
        <v>1</v>
      </c>
      <c r="F148" s="3">
        <v>227.09</v>
      </c>
    </row>
    <row r="149" spans="1:6" x14ac:dyDescent="0.25">
      <c r="A149" s="1">
        <v>4002358</v>
      </c>
      <c r="B149" s="1" t="s">
        <v>517</v>
      </c>
      <c r="C149" s="1" t="s">
        <v>6063</v>
      </c>
      <c r="D149" s="39">
        <v>0</v>
      </c>
      <c r="E149" s="1" t="s">
        <v>1</v>
      </c>
      <c r="F149" s="39">
        <v>0</v>
      </c>
    </row>
    <row r="150" spans="1:6" x14ac:dyDescent="0.25">
      <c r="A150" s="1">
        <v>4002360</v>
      </c>
      <c r="B150" s="1" t="s">
        <v>20</v>
      </c>
      <c r="C150" s="1" t="s">
        <v>6063</v>
      </c>
      <c r="D150" s="39">
        <v>1648</v>
      </c>
      <c r="E150" s="1" t="s">
        <v>1</v>
      </c>
      <c r="F150" s="3">
        <v>116.02</v>
      </c>
    </row>
    <row r="151" spans="1:6" x14ac:dyDescent="0.25">
      <c r="A151" s="1">
        <v>4002364</v>
      </c>
      <c r="B151" s="1" t="s">
        <v>524</v>
      </c>
      <c r="C151" s="1" t="s">
        <v>6063</v>
      </c>
      <c r="D151" s="39">
        <v>2910</v>
      </c>
      <c r="E151" s="1" t="s">
        <v>1</v>
      </c>
      <c r="F151" s="3">
        <v>223.49</v>
      </c>
    </row>
    <row r="152" spans="1:6" x14ac:dyDescent="0.25">
      <c r="A152" s="1">
        <v>4002365</v>
      </c>
      <c r="B152" s="1" t="s">
        <v>2809</v>
      </c>
      <c r="C152" s="1" t="s">
        <v>6063</v>
      </c>
      <c r="D152" s="39">
        <v>0</v>
      </c>
      <c r="E152" s="1" t="s">
        <v>1</v>
      </c>
      <c r="F152" s="39">
        <v>0</v>
      </c>
    </row>
    <row r="153" spans="1:6" x14ac:dyDescent="0.25">
      <c r="A153" s="1">
        <v>4002366</v>
      </c>
      <c r="B153" s="1" t="s">
        <v>26</v>
      </c>
      <c r="C153" s="1" t="s">
        <v>6063</v>
      </c>
      <c r="D153" s="39">
        <v>7121</v>
      </c>
      <c r="E153" s="1" t="s">
        <v>1</v>
      </c>
      <c r="F153" s="3">
        <v>346.79</v>
      </c>
    </row>
    <row r="154" spans="1:6" x14ac:dyDescent="0.25">
      <c r="A154" s="1">
        <v>4002368</v>
      </c>
      <c r="B154" s="1" t="s">
        <v>31</v>
      </c>
      <c r="C154" s="1" t="s">
        <v>6063</v>
      </c>
      <c r="D154" s="39">
        <v>11299</v>
      </c>
      <c r="E154" s="1" t="s">
        <v>1</v>
      </c>
      <c r="F154" s="3">
        <v>509.58</v>
      </c>
    </row>
    <row r="155" spans="1:6" x14ac:dyDescent="0.25">
      <c r="A155" s="1">
        <v>4002370</v>
      </c>
      <c r="B155" s="1" t="s">
        <v>38</v>
      </c>
      <c r="C155" s="1" t="s">
        <v>6063</v>
      </c>
      <c r="D155" s="39">
        <v>0</v>
      </c>
      <c r="E155" s="1" t="s">
        <v>1</v>
      </c>
      <c r="F155" s="39">
        <v>0</v>
      </c>
    </row>
    <row r="156" spans="1:6" x14ac:dyDescent="0.25">
      <c r="A156" s="1">
        <v>4002371</v>
      </c>
      <c r="B156" s="1" t="s">
        <v>42</v>
      </c>
      <c r="C156" s="1" t="s">
        <v>6063</v>
      </c>
      <c r="D156" s="39">
        <v>5005</v>
      </c>
      <c r="E156" s="1" t="s">
        <v>1</v>
      </c>
      <c r="F156" s="3">
        <v>225.72</v>
      </c>
    </row>
    <row r="157" spans="1:6" x14ac:dyDescent="0.25">
      <c r="A157" s="1">
        <v>4002373</v>
      </c>
      <c r="B157" s="1" t="s">
        <v>49</v>
      </c>
      <c r="C157" s="1" t="s">
        <v>6063</v>
      </c>
      <c r="D157" s="39">
        <v>0</v>
      </c>
      <c r="E157" s="1" t="s">
        <v>1</v>
      </c>
      <c r="F157" s="39">
        <v>0</v>
      </c>
    </row>
    <row r="158" spans="1:6" x14ac:dyDescent="0.25">
      <c r="A158" s="1">
        <v>4002374</v>
      </c>
      <c r="B158" s="1" t="s">
        <v>531</v>
      </c>
      <c r="C158" s="1" t="s">
        <v>6063</v>
      </c>
      <c r="D158" s="39">
        <v>0</v>
      </c>
      <c r="E158" s="1" t="s">
        <v>1</v>
      </c>
      <c r="F158" s="39">
        <v>0</v>
      </c>
    </row>
    <row r="159" spans="1:6" x14ac:dyDescent="0.25">
      <c r="A159" s="1">
        <v>4002378</v>
      </c>
      <c r="B159" s="1" t="s">
        <v>51</v>
      </c>
      <c r="C159" s="1" t="s">
        <v>6063</v>
      </c>
      <c r="D159" s="39">
        <v>2491</v>
      </c>
      <c r="E159" s="1" t="s">
        <v>1</v>
      </c>
      <c r="F159" s="3">
        <v>121.31</v>
      </c>
    </row>
    <row r="160" spans="1:6" x14ac:dyDescent="0.25">
      <c r="A160" s="1">
        <v>4002379</v>
      </c>
      <c r="B160" s="1" t="s">
        <v>56</v>
      </c>
      <c r="C160" s="1" t="s">
        <v>6063</v>
      </c>
      <c r="D160" s="39">
        <v>6587</v>
      </c>
      <c r="E160" s="1" t="s">
        <v>1</v>
      </c>
      <c r="F160" s="3">
        <v>297.07</v>
      </c>
    </row>
    <row r="161" spans="1:6" x14ac:dyDescent="0.25">
      <c r="A161" s="1">
        <v>4002380</v>
      </c>
      <c r="B161" s="1" t="s">
        <v>68</v>
      </c>
      <c r="C161" s="1" t="s">
        <v>6063</v>
      </c>
      <c r="D161" s="39">
        <v>0</v>
      </c>
      <c r="E161" s="1" t="s">
        <v>1</v>
      </c>
      <c r="F161" s="39">
        <v>0</v>
      </c>
    </row>
    <row r="162" spans="1:6" x14ac:dyDescent="0.25">
      <c r="A162" s="1">
        <v>4002381</v>
      </c>
      <c r="B162" s="1" t="s">
        <v>537</v>
      </c>
      <c r="C162" s="1" t="s">
        <v>6063</v>
      </c>
      <c r="D162" s="39">
        <v>8273</v>
      </c>
      <c r="E162" s="1" t="s">
        <v>1</v>
      </c>
      <c r="F162" s="3">
        <v>552.64</v>
      </c>
    </row>
    <row r="163" spans="1:6" x14ac:dyDescent="0.25">
      <c r="A163" s="1">
        <v>4002382</v>
      </c>
      <c r="B163" s="1" t="s">
        <v>543</v>
      </c>
      <c r="C163" s="1" t="s">
        <v>6063</v>
      </c>
      <c r="D163" s="39">
        <v>4836</v>
      </c>
      <c r="E163" s="1" t="s">
        <v>1</v>
      </c>
      <c r="F163" s="3">
        <v>238.41</v>
      </c>
    </row>
    <row r="164" spans="1:6" x14ac:dyDescent="0.25">
      <c r="A164" s="1">
        <v>4002383</v>
      </c>
      <c r="B164" s="1" t="s">
        <v>549</v>
      </c>
      <c r="C164" s="1" t="s">
        <v>6063</v>
      </c>
      <c r="D164" s="39">
        <v>2114</v>
      </c>
      <c r="E164" s="1" t="s">
        <v>1</v>
      </c>
      <c r="F164" s="3">
        <v>184.34</v>
      </c>
    </row>
    <row r="165" spans="1:6" x14ac:dyDescent="0.25">
      <c r="A165" s="1">
        <v>4002384</v>
      </c>
      <c r="B165" s="1" t="s">
        <v>556</v>
      </c>
      <c r="C165" s="1" t="s">
        <v>6063</v>
      </c>
      <c r="D165" s="39">
        <v>1620</v>
      </c>
      <c r="E165" s="1" t="s">
        <v>1</v>
      </c>
      <c r="F165" s="3">
        <v>96.22</v>
      </c>
    </row>
    <row r="166" spans="1:6" x14ac:dyDescent="0.25">
      <c r="A166" s="1">
        <v>4002385</v>
      </c>
      <c r="B166" s="1" t="s">
        <v>73</v>
      </c>
      <c r="C166" s="1" t="s">
        <v>6063</v>
      </c>
      <c r="D166" s="39">
        <v>0</v>
      </c>
      <c r="E166" s="1" t="s">
        <v>1</v>
      </c>
      <c r="F166" s="39">
        <v>0</v>
      </c>
    </row>
    <row r="167" spans="1:6" x14ac:dyDescent="0.25">
      <c r="A167" s="1">
        <v>4002386</v>
      </c>
      <c r="B167" s="1" t="s">
        <v>77</v>
      </c>
      <c r="C167" s="1" t="s">
        <v>6063</v>
      </c>
      <c r="D167" s="39">
        <v>0</v>
      </c>
      <c r="E167" s="1" t="s">
        <v>1</v>
      </c>
      <c r="F167" s="39">
        <v>0</v>
      </c>
    </row>
    <row r="168" spans="1:6" x14ac:dyDescent="0.25">
      <c r="A168" s="1">
        <v>4002387</v>
      </c>
      <c r="B168" s="1" t="s">
        <v>80</v>
      </c>
      <c r="C168" s="1" t="s">
        <v>6063</v>
      </c>
      <c r="D168" s="39">
        <v>0</v>
      </c>
      <c r="E168" s="1" t="s">
        <v>1</v>
      </c>
      <c r="F168" s="39">
        <v>0</v>
      </c>
    </row>
    <row r="169" spans="1:6" x14ac:dyDescent="0.25">
      <c r="A169" s="1">
        <v>4002388</v>
      </c>
      <c r="B169" s="1" t="s">
        <v>562</v>
      </c>
      <c r="C169" s="1" t="s">
        <v>6063</v>
      </c>
      <c r="D169" s="39">
        <v>9686</v>
      </c>
      <c r="E169" s="1" t="s">
        <v>1</v>
      </c>
      <c r="F169" s="3">
        <v>469.77</v>
      </c>
    </row>
    <row r="170" spans="1:6" x14ac:dyDescent="0.25">
      <c r="A170" s="1">
        <v>4002389</v>
      </c>
      <c r="B170" s="1" t="s">
        <v>569</v>
      </c>
      <c r="C170" s="1" t="s">
        <v>6063</v>
      </c>
      <c r="D170" s="39">
        <v>3562</v>
      </c>
      <c r="E170" s="1" t="s">
        <v>1</v>
      </c>
      <c r="F170" s="3">
        <v>172.76</v>
      </c>
    </row>
    <row r="171" spans="1:6" x14ac:dyDescent="0.25">
      <c r="A171" s="1">
        <v>4002391</v>
      </c>
      <c r="B171" s="1" t="s">
        <v>575</v>
      </c>
      <c r="C171" s="1" t="s">
        <v>6063</v>
      </c>
      <c r="D171" s="39">
        <v>0</v>
      </c>
      <c r="E171" s="1" t="s">
        <v>1</v>
      </c>
      <c r="F171" s="39">
        <v>0</v>
      </c>
    </row>
    <row r="172" spans="1:6" x14ac:dyDescent="0.25">
      <c r="A172" s="1">
        <v>4002405</v>
      </c>
      <c r="B172" s="1" t="s">
        <v>609</v>
      </c>
      <c r="C172" s="1" t="s">
        <v>6063</v>
      </c>
      <c r="D172" s="39">
        <v>7006</v>
      </c>
      <c r="E172" s="1" t="s">
        <v>1</v>
      </c>
      <c r="F172" s="3">
        <v>342.59</v>
      </c>
    </row>
    <row r="173" spans="1:6" x14ac:dyDescent="0.25">
      <c r="A173" s="1">
        <v>4002406</v>
      </c>
      <c r="B173" s="1" t="s">
        <v>615</v>
      </c>
      <c r="C173" s="1" t="s">
        <v>6063</v>
      </c>
      <c r="D173" s="39">
        <v>2800</v>
      </c>
      <c r="E173" s="1" t="s">
        <v>1</v>
      </c>
      <c r="F173" s="3">
        <v>75.88</v>
      </c>
    </row>
    <row r="174" spans="1:6" x14ac:dyDescent="0.25">
      <c r="A174" s="1">
        <v>4002407</v>
      </c>
      <c r="B174" s="1" t="s">
        <v>91</v>
      </c>
      <c r="C174" s="1" t="s">
        <v>6063</v>
      </c>
      <c r="D174" s="39">
        <v>12304</v>
      </c>
      <c r="E174" s="1" t="s">
        <v>1</v>
      </c>
      <c r="F174" s="3">
        <v>626.27</v>
      </c>
    </row>
    <row r="175" spans="1:6" x14ac:dyDescent="0.25">
      <c r="A175" s="1">
        <v>4002408</v>
      </c>
      <c r="B175" s="1" t="s">
        <v>96</v>
      </c>
      <c r="C175" s="1" t="s">
        <v>6063</v>
      </c>
      <c r="D175" s="39">
        <v>4210</v>
      </c>
      <c r="E175" s="1" t="s">
        <v>1</v>
      </c>
      <c r="F175" s="3">
        <v>212.61</v>
      </c>
    </row>
    <row r="176" spans="1:6" x14ac:dyDescent="0.25">
      <c r="A176" s="1">
        <v>4002409</v>
      </c>
      <c r="B176" s="1" t="s">
        <v>103</v>
      </c>
      <c r="C176" s="1" t="s">
        <v>6063</v>
      </c>
      <c r="D176" s="39">
        <v>3000</v>
      </c>
      <c r="E176" s="1" t="s">
        <v>1</v>
      </c>
      <c r="F176" s="3">
        <v>168.9</v>
      </c>
    </row>
    <row r="177" spans="1:6" x14ac:dyDescent="0.25">
      <c r="A177" s="1">
        <v>4002410</v>
      </c>
      <c r="B177" s="1" t="s">
        <v>108</v>
      </c>
      <c r="C177" s="1" t="s">
        <v>6063</v>
      </c>
      <c r="D177" s="39">
        <v>0</v>
      </c>
      <c r="E177" s="1" t="s">
        <v>1</v>
      </c>
      <c r="F177" s="39">
        <v>0</v>
      </c>
    </row>
    <row r="178" spans="1:6" x14ac:dyDescent="0.25">
      <c r="A178" s="1">
        <v>4002411</v>
      </c>
      <c r="B178" s="1" t="s">
        <v>114</v>
      </c>
      <c r="C178" s="1" t="s">
        <v>6063</v>
      </c>
      <c r="D178" s="39">
        <v>7364</v>
      </c>
      <c r="E178" s="1" t="s">
        <v>1</v>
      </c>
      <c r="F178" s="3">
        <v>447.73</v>
      </c>
    </row>
    <row r="179" spans="1:6" x14ac:dyDescent="0.25">
      <c r="A179" s="1">
        <v>4002412</v>
      </c>
      <c r="B179" s="1" t="s">
        <v>119</v>
      </c>
      <c r="C179" s="1" t="s">
        <v>6063</v>
      </c>
      <c r="D179" s="39">
        <v>8400</v>
      </c>
      <c r="E179" s="1" t="s">
        <v>1</v>
      </c>
      <c r="F179" s="3">
        <v>435.96</v>
      </c>
    </row>
    <row r="180" spans="1:6" x14ac:dyDescent="0.25">
      <c r="A180" s="1">
        <v>4002413</v>
      </c>
      <c r="B180" s="1" t="s">
        <v>1231</v>
      </c>
      <c r="C180" s="1" t="s">
        <v>6063</v>
      </c>
      <c r="D180" s="39">
        <v>772</v>
      </c>
      <c r="E180" s="1" t="s">
        <v>1</v>
      </c>
      <c r="F180" s="3">
        <v>49.33</v>
      </c>
    </row>
    <row r="181" spans="1:6" x14ac:dyDescent="0.25">
      <c r="A181" s="1">
        <v>4002414</v>
      </c>
      <c r="B181" s="1" t="s">
        <v>125</v>
      </c>
      <c r="C181" s="1" t="s">
        <v>6063</v>
      </c>
      <c r="D181" s="39">
        <v>0</v>
      </c>
      <c r="E181" s="1" t="s">
        <v>1</v>
      </c>
      <c r="F181" s="39">
        <v>0</v>
      </c>
    </row>
    <row r="182" spans="1:6" x14ac:dyDescent="0.25">
      <c r="A182" s="1">
        <v>4002416</v>
      </c>
      <c r="B182" s="1" t="s">
        <v>2817</v>
      </c>
      <c r="C182" s="1" t="s">
        <v>6063</v>
      </c>
      <c r="D182" s="39">
        <v>0</v>
      </c>
      <c r="E182" s="1" t="s">
        <v>1</v>
      </c>
      <c r="F182" s="39">
        <v>0</v>
      </c>
    </row>
    <row r="183" spans="1:6" x14ac:dyDescent="0.25">
      <c r="A183" s="1">
        <v>4002417</v>
      </c>
      <c r="B183" s="1" t="s">
        <v>132</v>
      </c>
      <c r="C183" s="1" t="s">
        <v>6063</v>
      </c>
      <c r="D183" s="39">
        <v>1618</v>
      </c>
      <c r="E183" s="1" t="s">
        <v>1</v>
      </c>
      <c r="F183" s="3">
        <v>79.77</v>
      </c>
    </row>
    <row r="184" spans="1:6" x14ac:dyDescent="0.25">
      <c r="A184" s="1">
        <v>4002418</v>
      </c>
      <c r="B184" s="1" t="s">
        <v>136</v>
      </c>
      <c r="C184" s="1" t="s">
        <v>6063</v>
      </c>
      <c r="D184" s="39">
        <v>3980</v>
      </c>
      <c r="E184" s="1" t="s">
        <v>1</v>
      </c>
      <c r="F184" s="3">
        <v>204.57</v>
      </c>
    </row>
    <row r="185" spans="1:6" x14ac:dyDescent="0.25">
      <c r="A185" s="1">
        <v>4002431</v>
      </c>
      <c r="B185" s="1" t="s">
        <v>2822</v>
      </c>
      <c r="C185" s="1" t="s">
        <v>6063</v>
      </c>
      <c r="D185" s="39">
        <v>0</v>
      </c>
      <c r="E185" s="1" t="s">
        <v>1</v>
      </c>
      <c r="F185" s="39">
        <v>0</v>
      </c>
    </row>
    <row r="186" spans="1:6" x14ac:dyDescent="0.25">
      <c r="A186" s="1">
        <v>4002432</v>
      </c>
      <c r="B186" s="1" t="s">
        <v>2823</v>
      </c>
      <c r="C186" s="1" t="s">
        <v>6063</v>
      </c>
      <c r="D186" s="39">
        <v>0</v>
      </c>
      <c r="E186" s="1" t="s">
        <v>1</v>
      </c>
      <c r="F186" s="39">
        <v>0</v>
      </c>
    </row>
    <row r="187" spans="1:6" x14ac:dyDescent="0.25">
      <c r="A187" s="1">
        <v>4002433</v>
      </c>
      <c r="B187" s="1" t="s">
        <v>160</v>
      </c>
      <c r="C187" s="1" t="s">
        <v>6063</v>
      </c>
      <c r="D187" s="39">
        <v>257</v>
      </c>
      <c r="E187" s="1" t="s">
        <v>1</v>
      </c>
      <c r="F187" s="3">
        <v>26.29</v>
      </c>
    </row>
    <row r="188" spans="1:6" x14ac:dyDescent="0.25">
      <c r="A188" s="1">
        <v>4002435</v>
      </c>
      <c r="B188" s="1" t="s">
        <v>170</v>
      </c>
      <c r="C188" s="1" t="s">
        <v>6063</v>
      </c>
      <c r="D188" s="39">
        <v>0</v>
      </c>
      <c r="E188" s="1" t="s">
        <v>1</v>
      </c>
      <c r="F188" s="39">
        <v>0</v>
      </c>
    </row>
    <row r="189" spans="1:6" x14ac:dyDescent="0.25">
      <c r="A189" s="1">
        <v>4002436</v>
      </c>
      <c r="B189" s="1" t="s">
        <v>174</v>
      </c>
      <c r="C189" s="1" t="s">
        <v>6063</v>
      </c>
      <c r="D189" s="39">
        <v>4841</v>
      </c>
      <c r="E189" s="1" t="s">
        <v>1</v>
      </c>
      <c r="F189" s="3">
        <v>822.97</v>
      </c>
    </row>
    <row r="190" spans="1:6" x14ac:dyDescent="0.25">
      <c r="A190" s="1">
        <v>4002439</v>
      </c>
      <c r="B190" s="1" t="s">
        <v>178</v>
      </c>
      <c r="C190" s="1" t="s">
        <v>6063</v>
      </c>
      <c r="D190" s="39">
        <v>0</v>
      </c>
      <c r="E190" s="1" t="s">
        <v>1</v>
      </c>
      <c r="F190" s="39">
        <v>0</v>
      </c>
    </row>
    <row r="191" spans="1:6" x14ac:dyDescent="0.25">
      <c r="A191" s="1">
        <v>4002441</v>
      </c>
      <c r="B191" s="1" t="s">
        <v>635</v>
      </c>
      <c r="C191" s="1" t="s">
        <v>6063</v>
      </c>
      <c r="D191" s="39">
        <v>24953</v>
      </c>
      <c r="E191" s="1" t="s">
        <v>1</v>
      </c>
      <c r="F191" s="3">
        <v>1230.18</v>
      </c>
    </row>
    <row r="192" spans="1:6" x14ac:dyDescent="0.25">
      <c r="A192" s="1">
        <v>4002442</v>
      </c>
      <c r="B192" s="1" t="s">
        <v>2824</v>
      </c>
      <c r="C192" s="1" t="s">
        <v>6063</v>
      </c>
      <c r="D192" s="39">
        <v>0</v>
      </c>
      <c r="E192" s="1" t="s">
        <v>1</v>
      </c>
      <c r="F192" s="39">
        <v>0</v>
      </c>
    </row>
    <row r="193" spans="1:6" x14ac:dyDescent="0.25">
      <c r="A193" s="1">
        <v>4002443</v>
      </c>
      <c r="B193" s="1" t="s">
        <v>641</v>
      </c>
      <c r="C193" s="1" t="s">
        <v>6063</v>
      </c>
      <c r="D193" s="39">
        <v>2178</v>
      </c>
      <c r="E193" s="1" t="s">
        <v>1</v>
      </c>
      <c r="F193" s="3">
        <v>107.16</v>
      </c>
    </row>
    <row r="194" spans="1:6" x14ac:dyDescent="0.25">
      <c r="A194" s="1">
        <v>4002449</v>
      </c>
      <c r="B194" s="1" t="s">
        <v>190</v>
      </c>
      <c r="C194" s="1" t="s">
        <v>6063</v>
      </c>
      <c r="D194" s="39">
        <v>14447</v>
      </c>
      <c r="E194" s="1" t="s">
        <v>1</v>
      </c>
      <c r="F194" s="3">
        <v>703.57</v>
      </c>
    </row>
    <row r="195" spans="1:6" x14ac:dyDescent="0.25">
      <c r="A195" s="1">
        <v>4002450</v>
      </c>
      <c r="B195" s="1" t="s">
        <v>198</v>
      </c>
      <c r="C195" s="1" t="s">
        <v>6063</v>
      </c>
      <c r="D195" s="39">
        <v>1276</v>
      </c>
      <c r="E195" s="1" t="s">
        <v>1</v>
      </c>
      <c r="F195" s="3">
        <v>314.41000000000003</v>
      </c>
    </row>
    <row r="196" spans="1:6" x14ac:dyDescent="0.25">
      <c r="A196" s="1">
        <v>4002463</v>
      </c>
      <c r="B196" s="1" t="s">
        <v>693</v>
      </c>
      <c r="C196" s="1" t="s">
        <v>6063</v>
      </c>
      <c r="D196" s="39">
        <v>10455</v>
      </c>
      <c r="E196" s="1" t="s">
        <v>1</v>
      </c>
      <c r="F196" s="3">
        <v>317.83</v>
      </c>
    </row>
    <row r="197" spans="1:6" x14ac:dyDescent="0.25">
      <c r="A197" s="1">
        <v>4002467</v>
      </c>
      <c r="B197" s="1" t="s">
        <v>316</v>
      </c>
      <c r="C197" s="1" t="s">
        <v>6063</v>
      </c>
      <c r="D197" s="39">
        <v>2060</v>
      </c>
      <c r="E197" s="1" t="s">
        <v>1</v>
      </c>
      <c r="F197" s="3">
        <v>170.16</v>
      </c>
    </row>
    <row r="198" spans="1:6" x14ac:dyDescent="0.25">
      <c r="A198" s="1">
        <v>4002468</v>
      </c>
      <c r="B198" s="1" t="s">
        <v>321</v>
      </c>
      <c r="C198" s="1" t="s">
        <v>6063</v>
      </c>
      <c r="D198" s="39">
        <v>5572</v>
      </c>
      <c r="E198" s="1" t="s">
        <v>1</v>
      </c>
      <c r="F198" s="3">
        <v>167.72</v>
      </c>
    </row>
    <row r="199" spans="1:6" x14ac:dyDescent="0.25">
      <c r="A199" s="1">
        <v>4002472</v>
      </c>
      <c r="B199" s="1" t="s">
        <v>356</v>
      </c>
      <c r="C199" s="1" t="s">
        <v>6063</v>
      </c>
      <c r="D199" s="39">
        <v>0</v>
      </c>
      <c r="E199" s="1" t="s">
        <v>1</v>
      </c>
      <c r="F199" s="39">
        <v>0</v>
      </c>
    </row>
    <row r="200" spans="1:6" x14ac:dyDescent="0.25">
      <c r="A200" s="1">
        <v>4002546</v>
      </c>
      <c r="B200" s="1" t="s">
        <v>179</v>
      </c>
      <c r="C200" s="1" t="s">
        <v>6063</v>
      </c>
      <c r="D200" s="39">
        <v>0</v>
      </c>
      <c r="E200" s="1" t="s">
        <v>1</v>
      </c>
      <c r="F200" s="39">
        <v>0</v>
      </c>
    </row>
    <row r="201" spans="1:6" x14ac:dyDescent="0.25">
      <c r="A201" s="1">
        <v>4002731</v>
      </c>
      <c r="B201" s="1" t="s">
        <v>694</v>
      </c>
      <c r="C201" s="1" t="s">
        <v>6063</v>
      </c>
      <c r="D201" s="39">
        <v>0</v>
      </c>
      <c r="E201" s="1" t="s">
        <v>3</v>
      </c>
      <c r="F201" s="39">
        <v>0</v>
      </c>
    </row>
    <row r="202" spans="1:6" x14ac:dyDescent="0.25">
      <c r="A202" s="1">
        <v>4002733</v>
      </c>
      <c r="B202" s="1" t="s">
        <v>243</v>
      </c>
      <c r="C202" s="1" t="s">
        <v>6063</v>
      </c>
      <c r="D202" s="40">
        <v>57.889000000000003</v>
      </c>
      <c r="E202" s="1" t="s">
        <v>3</v>
      </c>
      <c r="F202" s="3">
        <v>1921.57</v>
      </c>
    </row>
    <row r="203" spans="1:6" x14ac:dyDescent="0.25">
      <c r="A203" s="1">
        <v>4002734</v>
      </c>
      <c r="B203" s="1" t="s">
        <v>257</v>
      </c>
      <c r="C203" s="1" t="s">
        <v>6063</v>
      </c>
      <c r="D203" s="40">
        <v>131.04400000000001</v>
      </c>
      <c r="E203" s="1" t="s">
        <v>3</v>
      </c>
      <c r="F203" s="3">
        <v>3860.73</v>
      </c>
    </row>
    <row r="204" spans="1:6" x14ac:dyDescent="0.25">
      <c r="A204" s="1">
        <v>4002735</v>
      </c>
      <c r="B204" s="1" t="s">
        <v>262</v>
      </c>
      <c r="C204" s="1" t="s">
        <v>6063</v>
      </c>
      <c r="D204" s="39">
        <v>34</v>
      </c>
      <c r="E204" s="1" t="s">
        <v>3</v>
      </c>
      <c r="F204" s="3">
        <v>1268.77</v>
      </c>
    </row>
    <row r="205" spans="1:6" x14ac:dyDescent="0.25">
      <c r="A205" s="1">
        <v>4002736</v>
      </c>
      <c r="B205" s="1" t="s">
        <v>271</v>
      </c>
      <c r="C205" s="1" t="s">
        <v>6063</v>
      </c>
      <c r="D205" s="39">
        <v>0</v>
      </c>
      <c r="E205" s="1" t="s">
        <v>3</v>
      </c>
      <c r="F205" s="39">
        <v>0</v>
      </c>
    </row>
    <row r="206" spans="1:6" x14ac:dyDescent="0.25">
      <c r="A206" s="1">
        <v>4002748</v>
      </c>
      <c r="B206" s="1" t="s">
        <v>695</v>
      </c>
      <c r="C206" s="1" t="s">
        <v>6063</v>
      </c>
      <c r="D206" s="40">
        <v>10.593999999999999</v>
      </c>
      <c r="E206" s="1" t="s">
        <v>3</v>
      </c>
      <c r="F206" s="3">
        <v>281.64999999999998</v>
      </c>
    </row>
    <row r="207" spans="1:6" x14ac:dyDescent="0.25">
      <c r="A207" s="1">
        <v>4002826</v>
      </c>
      <c r="B207" s="1" t="s">
        <v>4</v>
      </c>
      <c r="C207" s="1" t="s">
        <v>6063</v>
      </c>
      <c r="D207" s="39">
        <v>0</v>
      </c>
      <c r="E207" s="1" t="s">
        <v>1</v>
      </c>
      <c r="F207" s="39">
        <v>0</v>
      </c>
    </row>
    <row r="208" spans="1:6" x14ac:dyDescent="0.25">
      <c r="A208" s="1">
        <v>4002827</v>
      </c>
      <c r="B208" s="1" t="s">
        <v>0</v>
      </c>
      <c r="C208" s="1" t="s">
        <v>6063</v>
      </c>
      <c r="D208" s="39">
        <v>0</v>
      </c>
      <c r="E208" s="1" t="s">
        <v>2</v>
      </c>
      <c r="F208" s="39">
        <v>0</v>
      </c>
    </row>
    <row r="209" spans="1:6" x14ac:dyDescent="0.25">
      <c r="A209" s="1">
        <v>4003059</v>
      </c>
      <c r="B209" s="1" t="s">
        <v>225</v>
      </c>
      <c r="C209" s="1" t="s">
        <v>6063</v>
      </c>
      <c r="D209" s="39">
        <v>2697</v>
      </c>
      <c r="E209" s="1" t="s">
        <v>1</v>
      </c>
      <c r="F209" s="3">
        <v>236.26</v>
      </c>
    </row>
    <row r="210" spans="1:6" x14ac:dyDescent="0.25">
      <c r="A210" s="1">
        <v>4003060</v>
      </c>
      <c r="B210" s="1" t="s">
        <v>230</v>
      </c>
      <c r="C210" s="1" t="s">
        <v>6063</v>
      </c>
      <c r="D210" s="39">
        <v>130</v>
      </c>
      <c r="E210" s="1" t="s">
        <v>1</v>
      </c>
      <c r="F210" s="3">
        <v>14.53</v>
      </c>
    </row>
    <row r="211" spans="1:6" x14ac:dyDescent="0.25">
      <c r="A211" s="1">
        <v>4003061</v>
      </c>
      <c r="B211" s="1" t="s">
        <v>2844</v>
      </c>
      <c r="C211" s="1" t="s">
        <v>6063</v>
      </c>
      <c r="D211" s="39">
        <v>0</v>
      </c>
      <c r="E211" s="1" t="s">
        <v>1</v>
      </c>
      <c r="F211" s="39">
        <v>0</v>
      </c>
    </row>
    <row r="212" spans="1:6" x14ac:dyDescent="0.25">
      <c r="A212" s="1">
        <v>4003064</v>
      </c>
      <c r="B212" s="1" t="s">
        <v>2847</v>
      </c>
      <c r="C212" s="1" t="s">
        <v>6063</v>
      </c>
      <c r="D212" s="39">
        <v>0</v>
      </c>
      <c r="E212" s="1" t="s">
        <v>1</v>
      </c>
      <c r="F212" s="39">
        <v>0</v>
      </c>
    </row>
    <row r="213" spans="1:6" x14ac:dyDescent="0.25">
      <c r="A213" s="1">
        <v>4003065</v>
      </c>
      <c r="B213" s="1" t="s">
        <v>276</v>
      </c>
      <c r="C213" s="1" t="s">
        <v>6063</v>
      </c>
      <c r="D213" s="39">
        <v>1320</v>
      </c>
      <c r="E213" s="1" t="s">
        <v>1</v>
      </c>
      <c r="F213" s="3">
        <v>147.84</v>
      </c>
    </row>
    <row r="214" spans="1:6" x14ac:dyDescent="0.25">
      <c r="A214" s="1">
        <v>4003066</v>
      </c>
      <c r="B214" s="1" t="s">
        <v>2848</v>
      </c>
      <c r="C214" s="1" t="s">
        <v>6063</v>
      </c>
      <c r="D214" s="39">
        <v>0</v>
      </c>
      <c r="E214" s="1" t="s">
        <v>1</v>
      </c>
      <c r="F214" s="39">
        <v>0</v>
      </c>
    </row>
    <row r="215" spans="1:6" x14ac:dyDescent="0.25">
      <c r="A215" s="1">
        <v>4003068</v>
      </c>
      <c r="B215" s="1" t="s">
        <v>281</v>
      </c>
      <c r="C215" s="1" t="s">
        <v>6063</v>
      </c>
      <c r="D215" s="39">
        <v>12540</v>
      </c>
      <c r="E215" s="1" t="s">
        <v>1</v>
      </c>
      <c r="F215" s="3">
        <v>1429.56</v>
      </c>
    </row>
    <row r="216" spans="1:6" x14ac:dyDescent="0.25">
      <c r="A216" s="1">
        <v>4003069</v>
      </c>
      <c r="B216" s="1" t="s">
        <v>2849</v>
      </c>
      <c r="C216" s="1" t="s">
        <v>6063</v>
      </c>
      <c r="D216" s="39">
        <v>0</v>
      </c>
      <c r="E216" s="1" t="s">
        <v>1</v>
      </c>
      <c r="F216" s="39">
        <v>0</v>
      </c>
    </row>
    <row r="217" spans="1:6" x14ac:dyDescent="0.25">
      <c r="A217" s="1">
        <v>4003070</v>
      </c>
      <c r="B217" s="1" t="s">
        <v>286</v>
      </c>
      <c r="C217" s="1" t="s">
        <v>6063</v>
      </c>
      <c r="D217" s="39">
        <v>3803</v>
      </c>
      <c r="E217" s="1" t="s">
        <v>1</v>
      </c>
      <c r="F217" s="3">
        <v>431.26</v>
      </c>
    </row>
    <row r="218" spans="1:6" x14ac:dyDescent="0.25">
      <c r="A218" s="1">
        <v>4003071</v>
      </c>
      <c r="B218" s="1" t="s">
        <v>291</v>
      </c>
      <c r="C218" s="1" t="s">
        <v>6063</v>
      </c>
      <c r="D218" s="39">
        <v>950</v>
      </c>
      <c r="E218" s="1" t="s">
        <v>1</v>
      </c>
      <c r="F218" s="3">
        <v>103.93</v>
      </c>
    </row>
    <row r="219" spans="1:6" x14ac:dyDescent="0.25">
      <c r="A219" s="1">
        <v>4003073</v>
      </c>
      <c r="B219" s="1" t="s">
        <v>296</v>
      </c>
      <c r="C219" s="1" t="s">
        <v>6063</v>
      </c>
      <c r="D219" s="39">
        <v>3733</v>
      </c>
      <c r="E219" s="1" t="s">
        <v>1</v>
      </c>
      <c r="F219" s="3">
        <v>423.7</v>
      </c>
    </row>
    <row r="220" spans="1:6" x14ac:dyDescent="0.25">
      <c r="A220" s="1">
        <v>4003074</v>
      </c>
      <c r="B220" s="1" t="s">
        <v>301</v>
      </c>
      <c r="C220" s="1" t="s">
        <v>6063</v>
      </c>
      <c r="D220" s="39">
        <v>3490</v>
      </c>
      <c r="E220" s="1" t="s">
        <v>1</v>
      </c>
      <c r="F220" s="3">
        <v>390.18</v>
      </c>
    </row>
    <row r="221" spans="1:6" x14ac:dyDescent="0.25">
      <c r="A221" s="1">
        <v>4003075</v>
      </c>
      <c r="B221" s="1" t="s">
        <v>306</v>
      </c>
      <c r="C221" s="1" t="s">
        <v>6063</v>
      </c>
      <c r="D221" s="39">
        <v>46</v>
      </c>
      <c r="E221" s="1" t="s">
        <v>1</v>
      </c>
      <c r="F221" s="3">
        <v>5.13</v>
      </c>
    </row>
    <row r="222" spans="1:6" x14ac:dyDescent="0.25">
      <c r="A222" s="1">
        <v>4003076</v>
      </c>
      <c r="B222" s="1" t="s">
        <v>311</v>
      </c>
      <c r="C222" s="1" t="s">
        <v>6063</v>
      </c>
      <c r="D222" s="39">
        <v>0</v>
      </c>
      <c r="E222" s="1" t="s">
        <v>1</v>
      </c>
      <c r="F222" s="39">
        <v>0</v>
      </c>
    </row>
    <row r="223" spans="1:6" x14ac:dyDescent="0.25">
      <c r="A223" s="1">
        <v>4003077</v>
      </c>
      <c r="B223" s="1" t="s">
        <v>325</v>
      </c>
      <c r="C223" s="1" t="s">
        <v>6063</v>
      </c>
      <c r="D223" s="39">
        <v>3600</v>
      </c>
      <c r="E223" s="1" t="s">
        <v>1</v>
      </c>
      <c r="F223" s="3">
        <v>408.24</v>
      </c>
    </row>
    <row r="224" spans="1:6" x14ac:dyDescent="0.25">
      <c r="A224" s="1">
        <v>4003563</v>
      </c>
      <c r="B224" s="1" t="s">
        <v>2852</v>
      </c>
      <c r="C224" s="1" t="s">
        <v>6063</v>
      </c>
      <c r="D224" s="39">
        <v>0</v>
      </c>
      <c r="E224" s="1" t="s">
        <v>1</v>
      </c>
      <c r="F224" s="39">
        <v>0</v>
      </c>
    </row>
    <row r="225" spans="1:6" x14ac:dyDescent="0.25">
      <c r="A225" s="1">
        <v>4003568</v>
      </c>
      <c r="B225" s="1" t="s">
        <v>656</v>
      </c>
      <c r="C225" s="1" t="s">
        <v>6063</v>
      </c>
      <c r="D225" s="39">
        <v>0</v>
      </c>
      <c r="E225" s="1" t="s">
        <v>1</v>
      </c>
      <c r="F225" s="39">
        <v>0</v>
      </c>
    </row>
    <row r="226" spans="1:6" x14ac:dyDescent="0.25">
      <c r="A226" s="1">
        <v>4003583</v>
      </c>
      <c r="B226" s="1" t="s">
        <v>39</v>
      </c>
      <c r="C226" s="1" t="s">
        <v>6063</v>
      </c>
      <c r="D226" s="39">
        <v>0</v>
      </c>
      <c r="E226" s="1" t="s">
        <v>1</v>
      </c>
      <c r="F226" s="39">
        <v>0</v>
      </c>
    </row>
    <row r="227" spans="1:6" x14ac:dyDescent="0.25">
      <c r="A227" s="1">
        <v>4003592</v>
      </c>
      <c r="B227" s="1" t="s">
        <v>2855</v>
      </c>
      <c r="C227" s="1" t="s">
        <v>6063</v>
      </c>
      <c r="D227" s="39">
        <v>0</v>
      </c>
      <c r="E227" s="1" t="s">
        <v>1</v>
      </c>
      <c r="F227" s="39">
        <v>0</v>
      </c>
    </row>
    <row r="228" spans="1:6" x14ac:dyDescent="0.25">
      <c r="A228" s="1">
        <v>4003593</v>
      </c>
      <c r="B228" s="1" t="s">
        <v>40</v>
      </c>
      <c r="C228" s="1" t="s">
        <v>6063</v>
      </c>
      <c r="D228" s="39">
        <v>799</v>
      </c>
      <c r="E228" s="1" t="s">
        <v>1</v>
      </c>
      <c r="F228" s="3">
        <v>974.54</v>
      </c>
    </row>
    <row r="229" spans="1:6" x14ac:dyDescent="0.25">
      <c r="A229" s="1">
        <v>4003594</v>
      </c>
      <c r="B229" s="1" t="s">
        <v>472</v>
      </c>
      <c r="C229" s="1" t="s">
        <v>6063</v>
      </c>
      <c r="D229" s="39">
        <v>0</v>
      </c>
      <c r="E229" s="1" t="s">
        <v>1</v>
      </c>
      <c r="F229" s="39">
        <v>0</v>
      </c>
    </row>
    <row r="230" spans="1:6" x14ac:dyDescent="0.25">
      <c r="A230" s="1">
        <v>4003639</v>
      </c>
      <c r="B230" s="1" t="s">
        <v>585</v>
      </c>
      <c r="C230" s="1" t="s">
        <v>6063</v>
      </c>
      <c r="D230" s="39">
        <v>214</v>
      </c>
      <c r="E230" s="1" t="s">
        <v>1</v>
      </c>
      <c r="F230" s="3">
        <v>64.540000000000006</v>
      </c>
    </row>
    <row r="231" spans="1:6" x14ac:dyDescent="0.25">
      <c r="A231" s="1">
        <v>4003640</v>
      </c>
      <c r="B231" s="1" t="s">
        <v>591</v>
      </c>
      <c r="C231" s="1" t="s">
        <v>6063</v>
      </c>
      <c r="D231" s="39">
        <v>16</v>
      </c>
      <c r="E231" s="1" t="s">
        <v>1</v>
      </c>
      <c r="F231" s="3">
        <v>11.98</v>
      </c>
    </row>
    <row r="232" spans="1:6" x14ac:dyDescent="0.25">
      <c r="A232" s="1">
        <v>4003641</v>
      </c>
      <c r="B232" s="1" t="s">
        <v>596</v>
      </c>
      <c r="C232" s="1" t="s">
        <v>6063</v>
      </c>
      <c r="D232" s="39">
        <v>400</v>
      </c>
      <c r="E232" s="1" t="s">
        <v>1</v>
      </c>
      <c r="F232" s="3">
        <v>118.84</v>
      </c>
    </row>
    <row r="233" spans="1:6" x14ac:dyDescent="0.25">
      <c r="A233" s="1">
        <v>4003642</v>
      </c>
      <c r="B233" s="1" t="s">
        <v>751</v>
      </c>
      <c r="C233" s="1" t="s">
        <v>6063</v>
      </c>
      <c r="D233" s="39">
        <v>0</v>
      </c>
      <c r="E233" s="1" t="s">
        <v>1</v>
      </c>
      <c r="F233" s="39">
        <v>0</v>
      </c>
    </row>
    <row r="234" spans="1:6" x14ac:dyDescent="0.25">
      <c r="A234" s="1">
        <v>4003643</v>
      </c>
      <c r="B234" s="1" t="s">
        <v>603</v>
      </c>
      <c r="C234" s="1" t="s">
        <v>6063</v>
      </c>
      <c r="D234" s="39">
        <v>25646</v>
      </c>
      <c r="E234" s="1" t="s">
        <v>1</v>
      </c>
      <c r="F234" s="3">
        <v>9406.9599999999991</v>
      </c>
    </row>
    <row r="235" spans="1:6" x14ac:dyDescent="0.25">
      <c r="A235" s="1">
        <v>4003644</v>
      </c>
      <c r="B235" s="1" t="s">
        <v>85</v>
      </c>
      <c r="C235" s="1" t="s">
        <v>6063</v>
      </c>
      <c r="D235" s="39">
        <v>664</v>
      </c>
      <c r="E235" s="1" t="s">
        <v>1</v>
      </c>
      <c r="F235" s="3">
        <v>247.61</v>
      </c>
    </row>
    <row r="236" spans="1:6" x14ac:dyDescent="0.25">
      <c r="A236" s="1">
        <v>4003870</v>
      </c>
      <c r="B236" s="1" t="s">
        <v>457</v>
      </c>
      <c r="C236" s="1" t="s">
        <v>6063</v>
      </c>
      <c r="D236" s="39">
        <v>0</v>
      </c>
      <c r="E236" s="1" t="s">
        <v>1</v>
      </c>
      <c r="F236" s="39">
        <v>0</v>
      </c>
    </row>
    <row r="237" spans="1:6" x14ac:dyDescent="0.25">
      <c r="A237" s="1">
        <v>4003871</v>
      </c>
      <c r="B237" s="1" t="s">
        <v>1244</v>
      </c>
      <c r="C237" s="1" t="s">
        <v>6063</v>
      </c>
      <c r="D237" s="39">
        <v>0</v>
      </c>
      <c r="E237" s="1" t="s">
        <v>1</v>
      </c>
      <c r="F237" s="39">
        <v>0</v>
      </c>
    </row>
    <row r="238" spans="1:6" x14ac:dyDescent="0.25">
      <c r="A238" s="1">
        <v>4003873</v>
      </c>
      <c r="B238" s="1" t="s">
        <v>326</v>
      </c>
      <c r="C238" s="1" t="s">
        <v>6063</v>
      </c>
      <c r="D238" s="39">
        <v>0</v>
      </c>
      <c r="E238" s="1" t="s">
        <v>1</v>
      </c>
      <c r="F238" s="39">
        <v>0</v>
      </c>
    </row>
    <row r="239" spans="1:6" x14ac:dyDescent="0.25">
      <c r="A239" s="1">
        <v>4003874</v>
      </c>
      <c r="B239" s="1" t="s">
        <v>563</v>
      </c>
      <c r="C239" s="1" t="s">
        <v>6063</v>
      </c>
      <c r="D239" s="39">
        <v>11</v>
      </c>
      <c r="E239" s="1" t="s">
        <v>1</v>
      </c>
      <c r="F239" s="3">
        <v>42.4</v>
      </c>
    </row>
    <row r="240" spans="1:6" x14ac:dyDescent="0.25">
      <c r="A240" s="1">
        <v>4003958</v>
      </c>
      <c r="B240" s="1" t="s">
        <v>1245</v>
      </c>
      <c r="C240" s="1" t="s">
        <v>6063</v>
      </c>
      <c r="D240" s="39">
        <v>0</v>
      </c>
      <c r="E240" s="1" t="s">
        <v>1</v>
      </c>
      <c r="F240" s="39">
        <v>0</v>
      </c>
    </row>
    <row r="241" spans="1:6" x14ac:dyDescent="0.25">
      <c r="A241" s="1">
        <v>4004228</v>
      </c>
      <c r="B241" s="1" t="s">
        <v>2900</v>
      </c>
      <c r="C241" s="1" t="s">
        <v>6063</v>
      </c>
      <c r="D241" s="39">
        <v>0</v>
      </c>
      <c r="E241" s="1" t="s">
        <v>1</v>
      </c>
      <c r="F241" s="39">
        <v>0</v>
      </c>
    </row>
    <row r="242" spans="1:6" x14ac:dyDescent="0.25">
      <c r="A242" s="1">
        <v>4004401</v>
      </c>
      <c r="B242" s="1" t="s">
        <v>1664</v>
      </c>
      <c r="C242" s="1" t="s">
        <v>6063</v>
      </c>
      <c r="D242" s="39">
        <v>1150</v>
      </c>
      <c r="E242" s="1" t="s">
        <v>1</v>
      </c>
      <c r="F242" s="3">
        <v>55.55</v>
      </c>
    </row>
    <row r="243" spans="1:6" x14ac:dyDescent="0.25">
      <c r="A243" s="1">
        <v>4004697</v>
      </c>
      <c r="B243" s="1" t="s">
        <v>2944</v>
      </c>
      <c r="C243" s="1" t="s">
        <v>6063</v>
      </c>
      <c r="D243" s="39">
        <v>0</v>
      </c>
      <c r="E243" s="1" t="s">
        <v>1</v>
      </c>
      <c r="F243" s="39">
        <v>0</v>
      </c>
    </row>
    <row r="244" spans="1:6" x14ac:dyDescent="0.25">
      <c r="A244" s="1">
        <v>4004698</v>
      </c>
      <c r="B244" s="1" t="s">
        <v>2945</v>
      </c>
      <c r="C244" s="1" t="s">
        <v>6063</v>
      </c>
      <c r="D244" s="39">
        <v>0</v>
      </c>
      <c r="E244" s="1" t="s">
        <v>1</v>
      </c>
      <c r="F244" s="39">
        <v>0</v>
      </c>
    </row>
    <row r="245" spans="1:6" x14ac:dyDescent="0.25">
      <c r="A245" s="1">
        <v>4004820</v>
      </c>
      <c r="B245" s="1" t="s">
        <v>867</v>
      </c>
      <c r="C245" s="1" t="s">
        <v>6063</v>
      </c>
      <c r="D245" s="39">
        <v>0</v>
      </c>
      <c r="E245" s="1" t="s">
        <v>1</v>
      </c>
      <c r="F245" s="39">
        <v>0</v>
      </c>
    </row>
    <row r="246" spans="1:6" x14ac:dyDescent="0.25">
      <c r="A246" s="1">
        <v>4004917</v>
      </c>
      <c r="B246" s="1" t="s">
        <v>706</v>
      </c>
      <c r="C246" s="1" t="s">
        <v>6063</v>
      </c>
      <c r="D246" s="39">
        <v>2356</v>
      </c>
      <c r="E246" s="1" t="s">
        <v>1</v>
      </c>
      <c r="F246" s="3">
        <v>266.23</v>
      </c>
    </row>
    <row r="247" spans="1:6" x14ac:dyDescent="0.25">
      <c r="A247" s="1">
        <v>4005404</v>
      </c>
      <c r="B247" s="1" t="s">
        <v>214</v>
      </c>
      <c r="C247" s="1" t="s">
        <v>6063</v>
      </c>
      <c r="D247" s="39">
        <v>0</v>
      </c>
      <c r="E247" s="1" t="s">
        <v>3</v>
      </c>
      <c r="F247" s="39">
        <v>0</v>
      </c>
    </row>
    <row r="248" spans="1:6" x14ac:dyDescent="0.25">
      <c r="A248" s="1">
        <v>4005405</v>
      </c>
      <c r="B248" s="1" t="s">
        <v>215</v>
      </c>
      <c r="C248" s="1" t="s">
        <v>6063</v>
      </c>
      <c r="D248" s="40">
        <v>10.63</v>
      </c>
      <c r="E248" s="1" t="s">
        <v>3</v>
      </c>
      <c r="F248" s="3">
        <v>192.55</v>
      </c>
    </row>
    <row r="249" spans="1:6" x14ac:dyDescent="0.25">
      <c r="A249" s="1">
        <v>4005407</v>
      </c>
      <c r="B249" s="1" t="s">
        <v>1514</v>
      </c>
      <c r="C249" s="1" t="s">
        <v>6063</v>
      </c>
      <c r="D249" s="39">
        <v>53</v>
      </c>
      <c r="E249" s="1" t="s">
        <v>1</v>
      </c>
      <c r="F249" s="3">
        <v>387.21</v>
      </c>
    </row>
    <row r="250" spans="1:6" x14ac:dyDescent="0.25">
      <c r="A250" s="1">
        <v>4005420</v>
      </c>
      <c r="B250" s="1" t="s">
        <v>2988</v>
      </c>
      <c r="C250" s="1" t="s">
        <v>6063</v>
      </c>
      <c r="D250" s="39">
        <v>0</v>
      </c>
      <c r="E250" s="1" t="s">
        <v>1</v>
      </c>
      <c r="F250" s="39">
        <v>0</v>
      </c>
    </row>
    <row r="251" spans="1:6" x14ac:dyDescent="0.25">
      <c r="A251" s="1">
        <v>4005421</v>
      </c>
      <c r="B251" s="1" t="s">
        <v>6051</v>
      </c>
      <c r="C251" s="1" t="s">
        <v>6063</v>
      </c>
      <c r="D251" s="39">
        <v>0</v>
      </c>
      <c r="E251" s="1" t="s">
        <v>1</v>
      </c>
      <c r="F251" s="39">
        <v>0</v>
      </c>
    </row>
    <row r="252" spans="1:6" x14ac:dyDescent="0.25">
      <c r="A252" s="1">
        <v>4005423</v>
      </c>
      <c r="B252" s="1" t="s">
        <v>2989</v>
      </c>
      <c r="C252" s="1" t="s">
        <v>6063</v>
      </c>
      <c r="D252" s="39">
        <v>0</v>
      </c>
      <c r="E252" s="1" t="s">
        <v>1</v>
      </c>
      <c r="F252" s="39">
        <v>0</v>
      </c>
    </row>
    <row r="253" spans="1:6" x14ac:dyDescent="0.25">
      <c r="A253" s="1">
        <v>4005433</v>
      </c>
      <c r="B253" s="1" t="s">
        <v>2990</v>
      </c>
      <c r="C253" s="1" t="s">
        <v>6063</v>
      </c>
      <c r="D253" s="39">
        <v>0</v>
      </c>
      <c r="E253" s="1" t="s">
        <v>1</v>
      </c>
      <c r="F253" s="39">
        <v>0</v>
      </c>
    </row>
    <row r="254" spans="1:6" x14ac:dyDescent="0.25">
      <c r="A254" s="1">
        <v>4005434</v>
      </c>
      <c r="B254" s="1" t="s">
        <v>2991</v>
      </c>
      <c r="C254" s="1" t="s">
        <v>6063</v>
      </c>
      <c r="D254" s="39">
        <v>0</v>
      </c>
      <c r="E254" s="1" t="s">
        <v>1</v>
      </c>
      <c r="F254" s="39">
        <v>0</v>
      </c>
    </row>
    <row r="255" spans="1:6" x14ac:dyDescent="0.25">
      <c r="A255" s="1">
        <v>4005435</v>
      </c>
      <c r="B255" s="1" t="s">
        <v>2992</v>
      </c>
      <c r="C255" s="1" t="s">
        <v>6063</v>
      </c>
      <c r="D255" s="39">
        <v>0</v>
      </c>
      <c r="E255" s="1" t="s">
        <v>1</v>
      </c>
      <c r="F255" s="39">
        <v>0</v>
      </c>
    </row>
    <row r="256" spans="1:6" x14ac:dyDescent="0.25">
      <c r="A256" s="1">
        <v>4005443</v>
      </c>
      <c r="B256" s="1" t="s">
        <v>2996</v>
      </c>
      <c r="C256" s="1" t="s">
        <v>6063</v>
      </c>
      <c r="D256" s="39">
        <v>0</v>
      </c>
      <c r="E256" s="1" t="s">
        <v>1</v>
      </c>
      <c r="F256" s="39">
        <v>0</v>
      </c>
    </row>
    <row r="257" spans="1:6" x14ac:dyDescent="0.25">
      <c r="A257" s="1">
        <v>4005515</v>
      </c>
      <c r="B257" s="1" t="s">
        <v>2997</v>
      </c>
      <c r="C257" s="1" t="s">
        <v>6063</v>
      </c>
      <c r="D257" s="39">
        <v>0</v>
      </c>
      <c r="E257" s="1" t="s">
        <v>1</v>
      </c>
      <c r="F257" s="39">
        <v>0</v>
      </c>
    </row>
    <row r="258" spans="1:6" x14ac:dyDescent="0.25">
      <c r="A258" s="1">
        <v>4005737</v>
      </c>
      <c r="B258" s="1" t="s">
        <v>1610</v>
      </c>
      <c r="C258" s="1" t="s">
        <v>6063</v>
      </c>
      <c r="D258" s="39">
        <v>0</v>
      </c>
      <c r="E258" s="1" t="s">
        <v>1</v>
      </c>
      <c r="F258" s="39">
        <v>0</v>
      </c>
    </row>
    <row r="259" spans="1:6" x14ac:dyDescent="0.25">
      <c r="A259" s="1">
        <v>4005739</v>
      </c>
      <c r="B259" s="1" t="s">
        <v>1630</v>
      </c>
      <c r="C259" s="1" t="s">
        <v>6063</v>
      </c>
      <c r="D259" s="39">
        <v>8</v>
      </c>
      <c r="E259" s="1" t="s">
        <v>1</v>
      </c>
      <c r="F259" s="3">
        <v>29.18</v>
      </c>
    </row>
    <row r="260" spans="1:6" x14ac:dyDescent="0.25">
      <c r="A260" s="1">
        <v>4005778</v>
      </c>
      <c r="B260" s="1" t="s">
        <v>1611</v>
      </c>
      <c r="C260" s="1" t="s">
        <v>6063</v>
      </c>
      <c r="D260" s="39">
        <v>0</v>
      </c>
      <c r="E260" s="1" t="s">
        <v>3</v>
      </c>
      <c r="F260" s="39">
        <v>0</v>
      </c>
    </row>
    <row r="261" spans="1:6" x14ac:dyDescent="0.25">
      <c r="A261" s="1">
        <v>4005780</v>
      </c>
      <c r="B261" s="1" t="s">
        <v>1631</v>
      </c>
      <c r="C261" s="1" t="s">
        <v>6063</v>
      </c>
      <c r="D261" s="40">
        <v>71.355999999999995</v>
      </c>
      <c r="E261" s="1" t="s">
        <v>3</v>
      </c>
      <c r="F261" s="3">
        <v>1188.1300000000001</v>
      </c>
    </row>
    <row r="262" spans="1:6" x14ac:dyDescent="0.25">
      <c r="A262" s="1">
        <v>4005782</v>
      </c>
      <c r="B262" s="1" t="s">
        <v>1581</v>
      </c>
      <c r="C262" s="1" t="s">
        <v>6063</v>
      </c>
      <c r="D262" s="39">
        <v>10</v>
      </c>
      <c r="E262" s="1" t="s">
        <v>3</v>
      </c>
      <c r="F262" s="3">
        <v>335.07</v>
      </c>
    </row>
    <row r="263" spans="1:6" x14ac:dyDescent="0.25">
      <c r="A263" s="1">
        <v>4005783</v>
      </c>
      <c r="B263" s="1" t="s">
        <v>1559</v>
      </c>
      <c r="C263" s="1" t="s">
        <v>6063</v>
      </c>
      <c r="D263" s="39">
        <v>0</v>
      </c>
      <c r="E263" s="1" t="s">
        <v>3</v>
      </c>
      <c r="F263" s="39">
        <v>0</v>
      </c>
    </row>
    <row r="264" spans="1:6" x14ac:dyDescent="0.25">
      <c r="A264" s="1">
        <v>4005790</v>
      </c>
      <c r="B264" s="1" t="s">
        <v>1560</v>
      </c>
      <c r="C264" s="1" t="s">
        <v>6063</v>
      </c>
      <c r="D264" s="39">
        <v>0</v>
      </c>
      <c r="E264" s="1" t="s">
        <v>1</v>
      </c>
      <c r="F264" s="39">
        <v>0</v>
      </c>
    </row>
    <row r="265" spans="1:6" x14ac:dyDescent="0.25">
      <c r="A265" s="1">
        <v>4005791</v>
      </c>
      <c r="B265" s="1" t="s">
        <v>1582</v>
      </c>
      <c r="C265" s="1" t="s">
        <v>6063</v>
      </c>
      <c r="D265" s="39">
        <v>115</v>
      </c>
      <c r="E265" s="1" t="s">
        <v>1</v>
      </c>
      <c r="F265" s="3">
        <v>452.15</v>
      </c>
    </row>
    <row r="266" spans="1:6" x14ac:dyDescent="0.25">
      <c r="A266" s="1">
        <v>4005792</v>
      </c>
      <c r="B266" s="1" t="s">
        <v>3006</v>
      </c>
      <c r="C266" s="1" t="s">
        <v>6063</v>
      </c>
      <c r="D266" s="39">
        <v>0</v>
      </c>
      <c r="E266" s="1" t="s">
        <v>1</v>
      </c>
      <c r="F266" s="39">
        <v>0</v>
      </c>
    </row>
    <row r="267" spans="1:6" x14ac:dyDescent="0.25">
      <c r="A267" s="1">
        <v>4005843</v>
      </c>
      <c r="B267" s="1" t="s">
        <v>3008</v>
      </c>
      <c r="C267" s="1" t="s">
        <v>6063</v>
      </c>
      <c r="D267" s="39">
        <v>0</v>
      </c>
      <c r="E267" s="1" t="s">
        <v>1</v>
      </c>
      <c r="F267" s="39">
        <v>0</v>
      </c>
    </row>
    <row r="268" spans="1:6" x14ac:dyDescent="0.25">
      <c r="A268" s="1">
        <v>4005945</v>
      </c>
      <c r="B268" s="1" t="s">
        <v>1544</v>
      </c>
      <c r="C268" s="1" t="s">
        <v>6063</v>
      </c>
      <c r="D268" s="39">
        <v>0</v>
      </c>
      <c r="E268" s="1" t="s">
        <v>1</v>
      </c>
      <c r="F268" s="39">
        <v>0</v>
      </c>
    </row>
    <row r="269" spans="1:6" x14ac:dyDescent="0.25">
      <c r="A269" s="1">
        <v>4005950</v>
      </c>
      <c r="B269" s="1" t="s">
        <v>1265</v>
      </c>
      <c r="C269" s="1" t="s">
        <v>6063</v>
      </c>
      <c r="D269" s="39">
        <v>0</v>
      </c>
      <c r="E269" s="1" t="s">
        <v>1</v>
      </c>
      <c r="F269" s="39">
        <v>0</v>
      </c>
    </row>
    <row r="270" spans="1:6" x14ac:dyDescent="0.25">
      <c r="A270" s="1">
        <v>4005951</v>
      </c>
      <c r="B270" s="1" t="s">
        <v>1266</v>
      </c>
      <c r="C270" s="1" t="s">
        <v>6063</v>
      </c>
      <c r="D270" s="39">
        <v>0</v>
      </c>
      <c r="E270" s="1" t="s">
        <v>1</v>
      </c>
      <c r="F270" s="39">
        <v>0</v>
      </c>
    </row>
    <row r="271" spans="1:6" x14ac:dyDescent="0.25">
      <c r="A271" s="1">
        <v>4005953</v>
      </c>
      <c r="B271" s="1" t="s">
        <v>1267</v>
      </c>
      <c r="C271" s="1" t="s">
        <v>6063</v>
      </c>
      <c r="D271" s="39">
        <v>0</v>
      </c>
      <c r="E271" s="1" t="s">
        <v>1</v>
      </c>
      <c r="F271" s="39">
        <v>0</v>
      </c>
    </row>
    <row r="272" spans="1:6" x14ac:dyDescent="0.25">
      <c r="A272" s="1">
        <v>4005967</v>
      </c>
      <c r="B272" s="1" t="s">
        <v>3016</v>
      </c>
      <c r="C272" s="1" t="s">
        <v>6063</v>
      </c>
      <c r="D272" s="39">
        <v>0</v>
      </c>
      <c r="E272" s="1" t="s">
        <v>1</v>
      </c>
      <c r="F272" s="39">
        <v>0</v>
      </c>
    </row>
    <row r="273" spans="1:6" x14ac:dyDescent="0.25">
      <c r="A273" s="1">
        <v>4006002</v>
      </c>
      <c r="B273" s="1" t="s">
        <v>3017</v>
      </c>
      <c r="C273" s="1" t="s">
        <v>6063</v>
      </c>
      <c r="D273" s="39">
        <v>0</v>
      </c>
      <c r="E273" s="1" t="s">
        <v>1</v>
      </c>
      <c r="F273" s="39">
        <v>0</v>
      </c>
    </row>
    <row r="274" spans="1:6" x14ac:dyDescent="0.25">
      <c r="A274" s="1">
        <v>4006003</v>
      </c>
      <c r="B274" s="1" t="s">
        <v>3018</v>
      </c>
      <c r="C274" s="1" t="s">
        <v>6063</v>
      </c>
      <c r="D274" s="39">
        <v>0</v>
      </c>
      <c r="E274" s="1" t="s">
        <v>1</v>
      </c>
      <c r="F274" s="39">
        <v>0</v>
      </c>
    </row>
    <row r="275" spans="1:6" x14ac:dyDescent="0.25">
      <c r="A275" s="1">
        <v>4006004</v>
      </c>
      <c r="B275" s="1" t="s">
        <v>3019</v>
      </c>
      <c r="C275" s="1" t="s">
        <v>6063</v>
      </c>
      <c r="D275" s="39">
        <v>0</v>
      </c>
      <c r="E275" s="1" t="s">
        <v>1</v>
      </c>
      <c r="F275" s="39">
        <v>0</v>
      </c>
    </row>
    <row r="276" spans="1:6" x14ac:dyDescent="0.25">
      <c r="A276" s="1">
        <v>4006110</v>
      </c>
      <c r="B276" s="1" t="s">
        <v>3030</v>
      </c>
      <c r="C276" s="1" t="s">
        <v>6063</v>
      </c>
      <c r="D276" s="39">
        <v>0</v>
      </c>
      <c r="E276" s="1" t="s">
        <v>1</v>
      </c>
      <c r="F276" s="39">
        <v>0</v>
      </c>
    </row>
    <row r="277" spans="1:6" x14ac:dyDescent="0.25">
      <c r="A277" s="1">
        <v>4006129</v>
      </c>
      <c r="B277" s="1" t="s">
        <v>3047</v>
      </c>
      <c r="C277" s="1" t="s">
        <v>6063</v>
      </c>
      <c r="D277" s="39">
        <v>0</v>
      </c>
      <c r="E277" s="1" t="s">
        <v>1</v>
      </c>
      <c r="F277" s="39">
        <v>0</v>
      </c>
    </row>
    <row r="278" spans="1:6" x14ac:dyDescent="0.25">
      <c r="A278" s="1">
        <v>4006189</v>
      </c>
      <c r="B278" s="1" t="s">
        <v>3068</v>
      </c>
      <c r="C278" s="1" t="s">
        <v>6063</v>
      </c>
      <c r="D278" s="39">
        <v>0</v>
      </c>
      <c r="E278" s="1" t="s">
        <v>1</v>
      </c>
      <c r="F278" s="39">
        <v>0</v>
      </c>
    </row>
    <row r="279" spans="1:6" x14ac:dyDescent="0.25">
      <c r="A279" s="1">
        <v>4006340</v>
      </c>
      <c r="B279" s="1" t="s">
        <v>6052</v>
      </c>
      <c r="C279" s="1" t="s">
        <v>6063</v>
      </c>
      <c r="D279" s="39">
        <v>0</v>
      </c>
      <c r="E279" s="1" t="s">
        <v>1</v>
      </c>
      <c r="F279" s="39">
        <v>0</v>
      </c>
    </row>
    <row r="280" spans="1:6" x14ac:dyDescent="0.25">
      <c r="A280" s="1">
        <v>4006395</v>
      </c>
      <c r="B280" s="1" t="s">
        <v>1720</v>
      </c>
      <c r="C280" s="1" t="s">
        <v>6063</v>
      </c>
      <c r="D280" s="39">
        <v>3152</v>
      </c>
      <c r="E280" s="1" t="s">
        <v>1</v>
      </c>
      <c r="F280" s="3">
        <v>222.53</v>
      </c>
    </row>
    <row r="281" spans="1:6" x14ac:dyDescent="0.25">
      <c r="A281" s="1">
        <v>4006396</v>
      </c>
      <c r="B281" s="1" t="s">
        <v>1725</v>
      </c>
      <c r="C281" s="1" t="s">
        <v>6063</v>
      </c>
      <c r="D281" s="39">
        <v>905</v>
      </c>
      <c r="E281" s="1" t="s">
        <v>1</v>
      </c>
      <c r="F281" s="3">
        <v>59.28</v>
      </c>
    </row>
    <row r="282" spans="1:6" x14ac:dyDescent="0.25">
      <c r="A282" s="1">
        <v>4006397</v>
      </c>
      <c r="B282" s="1" t="s">
        <v>1715</v>
      </c>
      <c r="C282" s="1" t="s">
        <v>6063</v>
      </c>
      <c r="D282" s="39">
        <v>13116</v>
      </c>
      <c r="E282" s="1" t="s">
        <v>1</v>
      </c>
      <c r="F282" s="3">
        <v>971.89</v>
      </c>
    </row>
    <row r="283" spans="1:6" x14ac:dyDescent="0.25">
      <c r="A283" s="1">
        <v>4006398</v>
      </c>
      <c r="B283" s="1" t="s">
        <v>3072</v>
      </c>
      <c r="C283" s="1" t="s">
        <v>6063</v>
      </c>
      <c r="D283" s="39">
        <v>0</v>
      </c>
      <c r="E283" s="1" t="s">
        <v>1</v>
      </c>
      <c r="F283" s="39">
        <v>0</v>
      </c>
    </row>
    <row r="284" spans="1:6" x14ac:dyDescent="0.25">
      <c r="A284" s="1">
        <v>4006399</v>
      </c>
      <c r="B284" s="1" t="s">
        <v>1709</v>
      </c>
      <c r="C284" s="1" t="s">
        <v>6063</v>
      </c>
      <c r="D284" s="39">
        <v>106</v>
      </c>
      <c r="E284" s="1" t="s">
        <v>1</v>
      </c>
      <c r="F284" s="3">
        <v>392.74</v>
      </c>
    </row>
    <row r="285" spans="1:6" x14ac:dyDescent="0.25">
      <c r="A285" s="1">
        <v>4006456</v>
      </c>
      <c r="B285" s="1" t="s">
        <v>191</v>
      </c>
      <c r="C285" s="1" t="s">
        <v>6063</v>
      </c>
      <c r="D285" s="39">
        <v>172</v>
      </c>
      <c r="E285" s="1" t="s">
        <v>1</v>
      </c>
      <c r="F285" s="3">
        <v>319.7</v>
      </c>
    </row>
    <row r="286" spans="1:6" x14ac:dyDescent="0.25">
      <c r="A286" s="1">
        <v>4006696</v>
      </c>
      <c r="B286" s="1" t="s">
        <v>3074</v>
      </c>
      <c r="C286" s="1" t="s">
        <v>6063</v>
      </c>
      <c r="D286" s="39">
        <v>0</v>
      </c>
      <c r="E286" s="1" t="s">
        <v>1</v>
      </c>
      <c r="F286" s="39">
        <v>0</v>
      </c>
    </row>
    <row r="287" spans="1:6" x14ac:dyDescent="0.25">
      <c r="A287" s="1">
        <v>4006943</v>
      </c>
      <c r="B287" s="1" t="s">
        <v>3077</v>
      </c>
      <c r="C287" s="1" t="s">
        <v>6063</v>
      </c>
      <c r="D287" s="39">
        <v>0</v>
      </c>
      <c r="E287" s="1" t="s">
        <v>1</v>
      </c>
      <c r="F287" s="39">
        <v>0</v>
      </c>
    </row>
    <row r="288" spans="1:6" x14ac:dyDescent="0.25">
      <c r="A288" s="1">
        <v>4006944</v>
      </c>
      <c r="B288" s="1" t="s">
        <v>1676</v>
      </c>
      <c r="C288" s="1" t="s">
        <v>6063</v>
      </c>
      <c r="D288" s="39">
        <v>808</v>
      </c>
      <c r="E288" s="1" t="s">
        <v>1</v>
      </c>
      <c r="F288" s="3">
        <v>90.5</v>
      </c>
    </row>
    <row r="289" spans="1:6" x14ac:dyDescent="0.25">
      <c r="A289" s="1">
        <v>4007020</v>
      </c>
      <c r="B289" s="1" t="s">
        <v>733</v>
      </c>
      <c r="C289" s="1" t="s">
        <v>6063</v>
      </c>
      <c r="D289" s="39">
        <v>11794</v>
      </c>
      <c r="E289" s="1" t="s">
        <v>1</v>
      </c>
      <c r="F289" s="3">
        <v>835.01</v>
      </c>
    </row>
    <row r="290" spans="1:6" x14ac:dyDescent="0.25">
      <c r="A290" s="1">
        <v>4007021</v>
      </c>
      <c r="B290" s="1" t="s">
        <v>717</v>
      </c>
      <c r="C290" s="1" t="s">
        <v>6063</v>
      </c>
      <c r="D290" s="39">
        <v>8477</v>
      </c>
      <c r="E290" s="1" t="s">
        <v>1</v>
      </c>
      <c r="F290" s="3">
        <v>611.19000000000005</v>
      </c>
    </row>
    <row r="291" spans="1:6" x14ac:dyDescent="0.25">
      <c r="A291" s="1">
        <v>4007022</v>
      </c>
      <c r="B291" s="1" t="s">
        <v>723</v>
      </c>
      <c r="C291" s="1" t="s">
        <v>6063</v>
      </c>
      <c r="D291" s="39">
        <v>20640</v>
      </c>
      <c r="E291" s="1" t="s">
        <v>1</v>
      </c>
      <c r="F291" s="3">
        <v>1351.92</v>
      </c>
    </row>
    <row r="292" spans="1:6" x14ac:dyDescent="0.25">
      <c r="A292" s="1">
        <v>4007023</v>
      </c>
      <c r="B292" s="1" t="s">
        <v>728</v>
      </c>
      <c r="C292" s="1" t="s">
        <v>6063</v>
      </c>
      <c r="D292" s="39">
        <v>7399</v>
      </c>
      <c r="E292" s="1" t="s">
        <v>1</v>
      </c>
      <c r="F292" s="3">
        <v>523.85</v>
      </c>
    </row>
    <row r="293" spans="1:6" x14ac:dyDescent="0.25">
      <c r="A293" s="1">
        <v>4007196</v>
      </c>
      <c r="B293" s="1" t="s">
        <v>52</v>
      </c>
      <c r="C293" s="1" t="s">
        <v>6063</v>
      </c>
      <c r="D293" s="39">
        <v>0</v>
      </c>
      <c r="E293" s="1" t="s">
        <v>1</v>
      </c>
      <c r="F293" s="39">
        <v>0</v>
      </c>
    </row>
    <row r="294" spans="1:6" x14ac:dyDescent="0.25">
      <c r="A294" s="1">
        <v>4007345</v>
      </c>
      <c r="B294" s="1" t="s">
        <v>597</v>
      </c>
      <c r="C294" s="1" t="s">
        <v>6063</v>
      </c>
      <c r="D294" s="39">
        <v>34</v>
      </c>
      <c r="E294" s="1" t="s">
        <v>1</v>
      </c>
      <c r="F294" s="3">
        <v>107.59</v>
      </c>
    </row>
    <row r="295" spans="1:6" x14ac:dyDescent="0.25">
      <c r="A295" s="1">
        <v>4007347</v>
      </c>
      <c r="B295" s="1" t="s">
        <v>192</v>
      </c>
      <c r="C295" s="1" t="s">
        <v>6063</v>
      </c>
      <c r="D295" s="39">
        <v>0</v>
      </c>
      <c r="E295" s="1" t="s">
        <v>1</v>
      </c>
      <c r="F295" s="39">
        <v>0</v>
      </c>
    </row>
    <row r="296" spans="1:6" x14ac:dyDescent="0.25">
      <c r="A296" s="1">
        <v>4007348</v>
      </c>
      <c r="B296" s="1" t="s">
        <v>193</v>
      </c>
      <c r="C296" s="1" t="s">
        <v>6063</v>
      </c>
      <c r="D296" s="39">
        <v>0</v>
      </c>
      <c r="E296" s="1" t="s">
        <v>1</v>
      </c>
      <c r="F296" s="39">
        <v>0</v>
      </c>
    </row>
    <row r="297" spans="1:6" x14ac:dyDescent="0.25">
      <c r="A297" s="1">
        <v>4007454</v>
      </c>
      <c r="B297" s="1" t="s">
        <v>3131</v>
      </c>
      <c r="C297" s="1" t="s">
        <v>6063</v>
      </c>
      <c r="D297" s="39">
        <v>0</v>
      </c>
      <c r="E297" s="1" t="s">
        <v>1</v>
      </c>
      <c r="F297" s="39">
        <v>0</v>
      </c>
    </row>
    <row r="298" spans="1:6" x14ac:dyDescent="0.25">
      <c r="A298" s="1">
        <v>4007480</v>
      </c>
      <c r="B298" s="1" t="s">
        <v>868</v>
      </c>
      <c r="C298" s="1" t="s">
        <v>6063</v>
      </c>
      <c r="D298" s="39">
        <v>0</v>
      </c>
      <c r="E298" s="1" t="s">
        <v>1</v>
      </c>
      <c r="F298" s="39">
        <v>0</v>
      </c>
    </row>
    <row r="299" spans="1:6" x14ac:dyDescent="0.25">
      <c r="A299" s="1">
        <v>4007488</v>
      </c>
      <c r="B299" s="1" t="s">
        <v>3135</v>
      </c>
      <c r="C299" s="1" t="s">
        <v>6063</v>
      </c>
      <c r="D299" s="39">
        <v>0</v>
      </c>
      <c r="E299" s="1" t="s">
        <v>1</v>
      </c>
      <c r="F299" s="39">
        <v>0</v>
      </c>
    </row>
    <row r="300" spans="1:6" x14ac:dyDescent="0.25">
      <c r="A300" s="1">
        <v>4007489</v>
      </c>
      <c r="B300" s="1" t="s">
        <v>3136</v>
      </c>
      <c r="C300" s="1" t="s">
        <v>6063</v>
      </c>
      <c r="D300" s="39">
        <v>0</v>
      </c>
      <c r="E300" s="1" t="s">
        <v>1</v>
      </c>
      <c r="F300" s="39">
        <v>0</v>
      </c>
    </row>
    <row r="301" spans="1:6" x14ac:dyDescent="0.25">
      <c r="A301" s="1">
        <v>4007520</v>
      </c>
      <c r="B301" s="1" t="s">
        <v>3137</v>
      </c>
      <c r="C301" s="1" t="s">
        <v>6063</v>
      </c>
      <c r="D301" s="39">
        <v>0</v>
      </c>
      <c r="E301" s="1" t="s">
        <v>1</v>
      </c>
      <c r="F301" s="39">
        <v>0</v>
      </c>
    </row>
    <row r="302" spans="1:6" x14ac:dyDescent="0.25">
      <c r="A302" s="1">
        <v>4007521</v>
      </c>
      <c r="B302" s="1" t="s">
        <v>3138</v>
      </c>
      <c r="C302" s="1" t="s">
        <v>6063</v>
      </c>
      <c r="D302" s="39">
        <v>0</v>
      </c>
      <c r="E302" s="1" t="s">
        <v>1</v>
      </c>
      <c r="F302" s="39">
        <v>0</v>
      </c>
    </row>
    <row r="303" spans="1:6" x14ac:dyDescent="0.25">
      <c r="A303" s="1">
        <v>4007522</v>
      </c>
      <c r="B303" s="1" t="s">
        <v>3139</v>
      </c>
      <c r="C303" s="1" t="s">
        <v>6063</v>
      </c>
      <c r="D303" s="39">
        <v>0</v>
      </c>
      <c r="E303" s="1" t="s">
        <v>1</v>
      </c>
      <c r="F303" s="39">
        <v>0</v>
      </c>
    </row>
    <row r="304" spans="1:6" x14ac:dyDescent="0.25">
      <c r="A304" s="1">
        <v>4008312</v>
      </c>
      <c r="B304" s="1" t="s">
        <v>97</v>
      </c>
      <c r="C304" s="1" t="s">
        <v>6063</v>
      </c>
      <c r="D304" s="39">
        <v>0</v>
      </c>
      <c r="E304" s="1" t="s">
        <v>1</v>
      </c>
      <c r="F304" s="39">
        <v>0</v>
      </c>
    </row>
    <row r="305" spans="1:6" x14ac:dyDescent="0.25">
      <c r="A305" s="1">
        <v>4008393</v>
      </c>
      <c r="B305" s="1" t="s">
        <v>3150</v>
      </c>
      <c r="C305" s="1" t="s">
        <v>6063</v>
      </c>
      <c r="D305" s="39">
        <v>0</v>
      </c>
      <c r="E305" s="1" t="s">
        <v>1</v>
      </c>
      <c r="F305" s="39">
        <v>0</v>
      </c>
    </row>
    <row r="306" spans="1:6" x14ac:dyDescent="0.25">
      <c r="A306" s="1">
        <v>4008394</v>
      </c>
      <c r="B306" s="1" t="s">
        <v>3151</v>
      </c>
      <c r="C306" s="1" t="s">
        <v>6063</v>
      </c>
      <c r="D306" s="39">
        <v>0</v>
      </c>
      <c r="E306" s="1" t="s">
        <v>1</v>
      </c>
      <c r="F306" s="39">
        <v>0</v>
      </c>
    </row>
    <row r="307" spans="1:6" x14ac:dyDescent="0.25">
      <c r="A307" s="1">
        <v>4008395</v>
      </c>
      <c r="B307" s="1" t="s">
        <v>3152</v>
      </c>
      <c r="C307" s="1" t="s">
        <v>6063</v>
      </c>
      <c r="D307" s="39">
        <v>0</v>
      </c>
      <c r="E307" s="1" t="s">
        <v>1</v>
      </c>
      <c r="F307" s="39">
        <v>0</v>
      </c>
    </row>
    <row r="308" spans="1:6" x14ac:dyDescent="0.25">
      <c r="A308" s="1">
        <v>4008396</v>
      </c>
      <c r="B308" s="1" t="s">
        <v>3153</v>
      </c>
      <c r="C308" s="1" t="s">
        <v>6063</v>
      </c>
      <c r="D308" s="39">
        <v>0</v>
      </c>
      <c r="E308" s="1" t="s">
        <v>1</v>
      </c>
      <c r="F308" s="39">
        <v>0</v>
      </c>
    </row>
    <row r="309" spans="1:6" x14ac:dyDescent="0.25">
      <c r="A309" s="1">
        <v>4008400</v>
      </c>
      <c r="B309" s="1" t="s">
        <v>6053</v>
      </c>
      <c r="C309" s="1" t="s">
        <v>6063</v>
      </c>
      <c r="D309" s="39">
        <v>0</v>
      </c>
      <c r="E309" s="1" t="s">
        <v>1</v>
      </c>
      <c r="F309" s="39">
        <v>0</v>
      </c>
    </row>
    <row r="310" spans="1:6" x14ac:dyDescent="0.25">
      <c r="A310" s="1">
        <v>4008401</v>
      </c>
      <c r="B310" s="1" t="s">
        <v>3154</v>
      </c>
      <c r="C310" s="1" t="s">
        <v>6063</v>
      </c>
      <c r="D310" s="39">
        <v>0</v>
      </c>
      <c r="E310" s="1" t="s">
        <v>1</v>
      </c>
      <c r="F310" s="39">
        <v>0</v>
      </c>
    </row>
    <row r="311" spans="1:6" x14ac:dyDescent="0.25">
      <c r="A311" s="1">
        <v>4008402</v>
      </c>
      <c r="B311" s="1" t="s">
        <v>3155</v>
      </c>
      <c r="C311" s="1" t="s">
        <v>6063</v>
      </c>
      <c r="D311" s="39">
        <v>0</v>
      </c>
      <c r="E311" s="1" t="s">
        <v>1</v>
      </c>
      <c r="F311" s="39">
        <v>0</v>
      </c>
    </row>
    <row r="312" spans="1:6" x14ac:dyDescent="0.25">
      <c r="A312" s="1">
        <v>4008403</v>
      </c>
      <c r="B312" s="1" t="s">
        <v>3156</v>
      </c>
      <c r="C312" s="1" t="s">
        <v>6063</v>
      </c>
      <c r="D312" s="39">
        <v>0</v>
      </c>
      <c r="E312" s="1" t="s">
        <v>1</v>
      </c>
      <c r="F312" s="39">
        <v>0</v>
      </c>
    </row>
    <row r="313" spans="1:6" x14ac:dyDescent="0.25">
      <c r="A313" s="1">
        <v>4008404</v>
      </c>
      <c r="B313" s="1" t="s">
        <v>1104</v>
      </c>
      <c r="C313" s="1" t="s">
        <v>6063</v>
      </c>
      <c r="D313" s="39">
        <v>3802</v>
      </c>
      <c r="E313" s="1" t="s">
        <v>1</v>
      </c>
      <c r="F313" s="3">
        <v>217.09</v>
      </c>
    </row>
    <row r="314" spans="1:6" x14ac:dyDescent="0.25">
      <c r="A314" s="1">
        <v>4008405</v>
      </c>
      <c r="B314" s="1" t="s">
        <v>3157</v>
      </c>
      <c r="C314" s="1" t="s">
        <v>6063</v>
      </c>
      <c r="D314" s="39">
        <v>0</v>
      </c>
      <c r="E314" s="1" t="s">
        <v>1</v>
      </c>
      <c r="F314" s="39">
        <v>0</v>
      </c>
    </row>
    <row r="315" spans="1:6" x14ac:dyDescent="0.25">
      <c r="A315" s="1">
        <v>4008406</v>
      </c>
      <c r="B315" s="1" t="s">
        <v>1112</v>
      </c>
      <c r="C315" s="1" t="s">
        <v>6063</v>
      </c>
      <c r="D315" s="39">
        <v>0</v>
      </c>
      <c r="E315" s="1" t="s">
        <v>1</v>
      </c>
      <c r="F315" s="39">
        <v>0</v>
      </c>
    </row>
    <row r="316" spans="1:6" x14ac:dyDescent="0.25">
      <c r="A316" s="1">
        <v>4008407</v>
      </c>
      <c r="B316" s="1" t="s">
        <v>1117</v>
      </c>
      <c r="C316" s="1" t="s">
        <v>6063</v>
      </c>
      <c r="D316" s="39">
        <v>7995</v>
      </c>
      <c r="E316" s="1" t="s">
        <v>1</v>
      </c>
      <c r="F316" s="3">
        <v>518.08000000000004</v>
      </c>
    </row>
    <row r="317" spans="1:6" x14ac:dyDescent="0.25">
      <c r="A317" s="1">
        <v>4008420</v>
      </c>
      <c r="B317" s="1" t="s">
        <v>6054</v>
      </c>
      <c r="C317" s="1" t="s">
        <v>6063</v>
      </c>
      <c r="D317" s="39">
        <v>0</v>
      </c>
      <c r="E317" s="1" t="s">
        <v>1</v>
      </c>
      <c r="F317" s="39">
        <v>0</v>
      </c>
    </row>
    <row r="318" spans="1:6" x14ac:dyDescent="0.25">
      <c r="A318" s="1">
        <v>4008489</v>
      </c>
      <c r="B318" s="1" t="s">
        <v>3167</v>
      </c>
      <c r="C318" s="1" t="s">
        <v>6063</v>
      </c>
      <c r="D318" s="39">
        <v>0</v>
      </c>
      <c r="E318" s="1" t="s">
        <v>1</v>
      </c>
      <c r="F318" s="39">
        <v>0</v>
      </c>
    </row>
    <row r="319" spans="1:6" x14ac:dyDescent="0.25">
      <c r="A319" s="1">
        <v>4008510</v>
      </c>
      <c r="B319" s="1" t="s">
        <v>3168</v>
      </c>
      <c r="C319" s="1" t="s">
        <v>6063</v>
      </c>
      <c r="D319" s="39">
        <v>0</v>
      </c>
      <c r="E319" s="1" t="s">
        <v>1</v>
      </c>
      <c r="F319" s="39">
        <v>0</v>
      </c>
    </row>
    <row r="320" spans="1:6" x14ac:dyDescent="0.25">
      <c r="A320" s="1">
        <v>4008516</v>
      </c>
      <c r="B320" s="1" t="s">
        <v>3169</v>
      </c>
      <c r="C320" s="1" t="s">
        <v>6063</v>
      </c>
      <c r="D320" s="39">
        <v>0</v>
      </c>
      <c r="E320" s="1" t="s">
        <v>1</v>
      </c>
      <c r="F320" s="39">
        <v>0</v>
      </c>
    </row>
    <row r="321" spans="1:6" x14ac:dyDescent="0.25">
      <c r="A321" s="1">
        <v>4008519</v>
      </c>
      <c r="B321" s="1" t="s">
        <v>3170</v>
      </c>
      <c r="C321" s="1" t="s">
        <v>6063</v>
      </c>
      <c r="D321" s="39">
        <v>0</v>
      </c>
      <c r="E321" s="1" t="s">
        <v>1</v>
      </c>
      <c r="F321" s="39">
        <v>0</v>
      </c>
    </row>
    <row r="322" spans="1:6" x14ac:dyDescent="0.25">
      <c r="A322" s="1">
        <v>4008520</v>
      </c>
      <c r="B322" s="1" t="s">
        <v>3171</v>
      </c>
      <c r="C322" s="1" t="s">
        <v>6063</v>
      </c>
      <c r="D322" s="39">
        <v>0</v>
      </c>
      <c r="E322" s="1" t="s">
        <v>1</v>
      </c>
      <c r="F322" s="39">
        <v>0</v>
      </c>
    </row>
    <row r="323" spans="1:6" x14ac:dyDescent="0.25">
      <c r="A323" s="1">
        <v>4008522</v>
      </c>
      <c r="B323" s="1" t="s">
        <v>3172</v>
      </c>
      <c r="C323" s="1" t="s">
        <v>6063</v>
      </c>
      <c r="D323" s="39">
        <v>0</v>
      </c>
      <c r="E323" s="1" t="s">
        <v>1</v>
      </c>
      <c r="F323" s="39">
        <v>0</v>
      </c>
    </row>
    <row r="324" spans="1:6" x14ac:dyDescent="0.25">
      <c r="A324" s="1">
        <v>4008524</v>
      </c>
      <c r="B324" s="1" t="s">
        <v>3173</v>
      </c>
      <c r="C324" s="1" t="s">
        <v>6063</v>
      </c>
      <c r="D324" s="39">
        <v>0</v>
      </c>
      <c r="E324" s="1" t="s">
        <v>1</v>
      </c>
      <c r="F324" s="39">
        <v>0</v>
      </c>
    </row>
    <row r="325" spans="1:6" x14ac:dyDescent="0.25">
      <c r="A325" s="1">
        <v>4008525</v>
      </c>
      <c r="B325" s="1" t="s">
        <v>3174</v>
      </c>
      <c r="C325" s="1" t="s">
        <v>6063</v>
      </c>
      <c r="D325" s="39">
        <v>0</v>
      </c>
      <c r="E325" s="1" t="s">
        <v>1</v>
      </c>
      <c r="F325" s="39">
        <v>0</v>
      </c>
    </row>
    <row r="326" spans="1:6" x14ac:dyDescent="0.25">
      <c r="A326" s="1">
        <v>4008527</v>
      </c>
      <c r="B326" s="1" t="s">
        <v>3175</v>
      </c>
      <c r="C326" s="1" t="s">
        <v>6063</v>
      </c>
      <c r="D326" s="39">
        <v>0</v>
      </c>
      <c r="E326" s="1" t="s">
        <v>1</v>
      </c>
      <c r="F326" s="39">
        <v>0</v>
      </c>
    </row>
    <row r="327" spans="1:6" x14ac:dyDescent="0.25">
      <c r="A327" s="1">
        <v>4008534</v>
      </c>
      <c r="B327" s="1" t="s">
        <v>3176</v>
      </c>
      <c r="C327" s="1" t="s">
        <v>6063</v>
      </c>
      <c r="D327" s="39">
        <v>0</v>
      </c>
      <c r="E327" s="1" t="s">
        <v>1</v>
      </c>
      <c r="F327" s="39">
        <v>0</v>
      </c>
    </row>
    <row r="328" spans="1:6" x14ac:dyDescent="0.25">
      <c r="A328" s="1">
        <v>4008536</v>
      </c>
      <c r="B328" s="1" t="s">
        <v>3177</v>
      </c>
      <c r="C328" s="1" t="s">
        <v>6063</v>
      </c>
      <c r="D328" s="39">
        <v>0</v>
      </c>
      <c r="E328" s="1" t="s">
        <v>1</v>
      </c>
      <c r="F328" s="39">
        <v>0</v>
      </c>
    </row>
    <row r="329" spans="1:6" x14ac:dyDescent="0.25">
      <c r="A329" s="1">
        <v>4008550</v>
      </c>
      <c r="B329" s="1" t="s">
        <v>3178</v>
      </c>
      <c r="C329" s="1" t="s">
        <v>6063</v>
      </c>
      <c r="D329" s="39">
        <v>0</v>
      </c>
      <c r="E329" s="1" t="s">
        <v>1</v>
      </c>
      <c r="F329" s="39">
        <v>0</v>
      </c>
    </row>
    <row r="330" spans="1:6" x14ac:dyDescent="0.25">
      <c r="A330" s="1">
        <v>4008673</v>
      </c>
      <c r="B330" s="1" t="s">
        <v>1420</v>
      </c>
      <c r="C330" s="1" t="s">
        <v>6063</v>
      </c>
      <c r="D330" s="39">
        <v>4</v>
      </c>
      <c r="E330" s="1" t="s">
        <v>1</v>
      </c>
      <c r="F330" s="3">
        <v>33.21</v>
      </c>
    </row>
    <row r="331" spans="1:6" x14ac:dyDescent="0.25">
      <c r="A331" s="1">
        <v>4008674</v>
      </c>
      <c r="B331" s="1" t="s">
        <v>1421</v>
      </c>
      <c r="C331" s="1" t="s">
        <v>6063</v>
      </c>
      <c r="D331" s="39">
        <v>0</v>
      </c>
      <c r="E331" s="1" t="s">
        <v>1</v>
      </c>
      <c r="F331" s="39">
        <v>0</v>
      </c>
    </row>
    <row r="332" spans="1:6" x14ac:dyDescent="0.25">
      <c r="A332" s="1">
        <v>4008676</v>
      </c>
      <c r="B332" s="1" t="s">
        <v>1422</v>
      </c>
      <c r="C332" s="1" t="s">
        <v>6063</v>
      </c>
      <c r="D332" s="39">
        <v>0</v>
      </c>
      <c r="E332" s="1" t="s">
        <v>1</v>
      </c>
      <c r="F332" s="39">
        <v>0</v>
      </c>
    </row>
    <row r="333" spans="1:6" x14ac:dyDescent="0.25">
      <c r="A333" s="1">
        <v>4008677</v>
      </c>
      <c r="B333" s="1" t="s">
        <v>1423</v>
      </c>
      <c r="C333" s="1" t="s">
        <v>6063</v>
      </c>
      <c r="D333" s="39">
        <v>1839</v>
      </c>
      <c r="E333" s="1" t="s">
        <v>1</v>
      </c>
      <c r="F333" s="3">
        <v>121.19</v>
      </c>
    </row>
    <row r="334" spans="1:6" x14ac:dyDescent="0.25">
      <c r="A334" s="1">
        <v>4008681</v>
      </c>
      <c r="B334" s="1" t="s">
        <v>869</v>
      </c>
      <c r="C334" s="1" t="s">
        <v>6063</v>
      </c>
      <c r="D334" s="39">
        <v>0</v>
      </c>
      <c r="E334" s="1" t="s">
        <v>3</v>
      </c>
      <c r="F334" s="39">
        <v>0</v>
      </c>
    </row>
    <row r="335" spans="1:6" x14ac:dyDescent="0.25">
      <c r="A335" s="1">
        <v>4008709</v>
      </c>
      <c r="B335" s="1" t="s">
        <v>137</v>
      </c>
      <c r="C335" s="1" t="s">
        <v>6063</v>
      </c>
      <c r="D335" s="39">
        <v>132</v>
      </c>
      <c r="E335" s="1" t="s">
        <v>1</v>
      </c>
      <c r="F335" s="3">
        <v>491.27</v>
      </c>
    </row>
    <row r="336" spans="1:6" x14ac:dyDescent="0.25">
      <c r="A336" s="1">
        <v>4008730</v>
      </c>
      <c r="B336" s="1" t="s">
        <v>138</v>
      </c>
      <c r="C336" s="1" t="s">
        <v>6063</v>
      </c>
      <c r="D336" s="39">
        <v>0</v>
      </c>
      <c r="E336" s="1" t="s">
        <v>1</v>
      </c>
      <c r="F336" s="39">
        <v>0</v>
      </c>
    </row>
    <row r="337" spans="1:6" x14ac:dyDescent="0.25">
      <c r="A337" s="1">
        <v>4008731</v>
      </c>
      <c r="B337" s="1" t="s">
        <v>139</v>
      </c>
      <c r="C337" s="1" t="s">
        <v>6063</v>
      </c>
      <c r="D337" s="39">
        <v>0</v>
      </c>
      <c r="E337" s="1" t="s">
        <v>1</v>
      </c>
      <c r="F337" s="39">
        <v>0</v>
      </c>
    </row>
    <row r="338" spans="1:6" x14ac:dyDescent="0.25">
      <c r="A338" s="1">
        <v>4008732</v>
      </c>
      <c r="B338" s="1" t="s">
        <v>550</v>
      </c>
      <c r="C338" s="1" t="s">
        <v>6063</v>
      </c>
      <c r="D338" s="39">
        <v>0</v>
      </c>
      <c r="E338" s="1" t="s">
        <v>1</v>
      </c>
      <c r="F338" s="39">
        <v>0</v>
      </c>
    </row>
    <row r="339" spans="1:6" x14ac:dyDescent="0.25">
      <c r="A339" s="1">
        <v>4008733</v>
      </c>
      <c r="B339" s="1" t="s">
        <v>551</v>
      </c>
      <c r="C339" s="1" t="s">
        <v>6063</v>
      </c>
      <c r="D339" s="39">
        <v>0</v>
      </c>
      <c r="E339" s="1" t="s">
        <v>1</v>
      </c>
      <c r="F339" s="39">
        <v>0</v>
      </c>
    </row>
    <row r="340" spans="1:6" x14ac:dyDescent="0.25">
      <c r="A340" s="1">
        <v>4008830</v>
      </c>
      <c r="B340" s="1" t="s">
        <v>1275</v>
      </c>
      <c r="C340" s="1" t="s">
        <v>6063</v>
      </c>
      <c r="D340" s="39">
        <v>0</v>
      </c>
      <c r="E340" s="1" t="s">
        <v>1</v>
      </c>
      <c r="F340" s="39">
        <v>0</v>
      </c>
    </row>
    <row r="341" spans="1:6" x14ac:dyDescent="0.25">
      <c r="A341" s="1">
        <v>4009012</v>
      </c>
      <c r="B341" s="1" t="s">
        <v>3184</v>
      </c>
      <c r="C341" s="1" t="s">
        <v>6063</v>
      </c>
      <c r="D341" s="39">
        <v>0</v>
      </c>
      <c r="E341" s="1" t="s">
        <v>1</v>
      </c>
      <c r="F341" s="39">
        <v>0</v>
      </c>
    </row>
    <row r="342" spans="1:6" x14ac:dyDescent="0.25">
      <c r="A342" s="1">
        <v>4009139</v>
      </c>
      <c r="B342" s="1" t="s">
        <v>1686</v>
      </c>
      <c r="C342" s="1" t="s">
        <v>6063</v>
      </c>
      <c r="D342" s="39">
        <v>0</v>
      </c>
      <c r="E342" s="1" t="s">
        <v>1</v>
      </c>
      <c r="F342" s="39">
        <v>0</v>
      </c>
    </row>
    <row r="343" spans="1:6" x14ac:dyDescent="0.25">
      <c r="A343" s="1">
        <v>4009387</v>
      </c>
      <c r="B343" s="1" t="s">
        <v>1687</v>
      </c>
      <c r="C343" s="1" t="s">
        <v>6063</v>
      </c>
      <c r="D343" s="39">
        <v>7079</v>
      </c>
      <c r="E343" s="1" t="s">
        <v>1</v>
      </c>
      <c r="F343" s="3">
        <v>802.05</v>
      </c>
    </row>
    <row r="344" spans="1:6" x14ac:dyDescent="0.25">
      <c r="A344" s="1">
        <v>4009652</v>
      </c>
      <c r="B344" s="1" t="s">
        <v>3203</v>
      </c>
      <c r="C344" s="1" t="s">
        <v>6063</v>
      </c>
      <c r="D344" s="39">
        <v>0</v>
      </c>
      <c r="E344" s="1" t="s">
        <v>1</v>
      </c>
      <c r="F344" s="39">
        <v>0</v>
      </c>
    </row>
    <row r="345" spans="1:6" x14ac:dyDescent="0.25">
      <c r="A345" s="1">
        <v>4009654</v>
      </c>
      <c r="B345" s="1" t="s">
        <v>3204</v>
      </c>
      <c r="C345" s="1" t="s">
        <v>6063</v>
      </c>
      <c r="D345" s="39">
        <v>0</v>
      </c>
      <c r="E345" s="1" t="s">
        <v>1</v>
      </c>
      <c r="F345" s="39">
        <v>0</v>
      </c>
    </row>
    <row r="346" spans="1:6" x14ac:dyDescent="0.25">
      <c r="A346" s="1">
        <v>4009656</v>
      </c>
      <c r="B346" s="1" t="s">
        <v>3205</v>
      </c>
      <c r="C346" s="1" t="s">
        <v>6063</v>
      </c>
      <c r="D346" s="39">
        <v>0</v>
      </c>
      <c r="E346" s="1" t="s">
        <v>1</v>
      </c>
      <c r="F346" s="39">
        <v>0</v>
      </c>
    </row>
    <row r="347" spans="1:6" x14ac:dyDescent="0.25">
      <c r="A347" s="1">
        <v>4009658</v>
      </c>
      <c r="B347" s="1" t="s">
        <v>3206</v>
      </c>
      <c r="C347" s="1" t="s">
        <v>6063</v>
      </c>
      <c r="D347" s="39">
        <v>0</v>
      </c>
      <c r="E347" s="1" t="s">
        <v>1</v>
      </c>
      <c r="F347" s="39">
        <v>0</v>
      </c>
    </row>
    <row r="348" spans="1:6" x14ac:dyDescent="0.25">
      <c r="A348" s="1">
        <v>4009659</v>
      </c>
      <c r="B348" s="1" t="s">
        <v>3207</v>
      </c>
      <c r="C348" s="1" t="s">
        <v>6063</v>
      </c>
      <c r="D348" s="39">
        <v>0</v>
      </c>
      <c r="E348" s="1" t="s">
        <v>1</v>
      </c>
      <c r="F348" s="39">
        <v>0</v>
      </c>
    </row>
    <row r="349" spans="1:6" x14ac:dyDescent="0.25">
      <c r="A349" s="1">
        <v>4009660</v>
      </c>
      <c r="B349" s="1" t="s">
        <v>3208</v>
      </c>
      <c r="C349" s="1" t="s">
        <v>6063</v>
      </c>
      <c r="D349" s="39">
        <v>0</v>
      </c>
      <c r="E349" s="1" t="s">
        <v>1</v>
      </c>
      <c r="F349" s="39">
        <v>0</v>
      </c>
    </row>
    <row r="350" spans="1:6" x14ac:dyDescent="0.25">
      <c r="A350" s="1">
        <v>4009661</v>
      </c>
      <c r="B350" s="1" t="s">
        <v>3209</v>
      </c>
      <c r="C350" s="1" t="s">
        <v>6063</v>
      </c>
      <c r="D350" s="39">
        <v>0</v>
      </c>
      <c r="E350" s="1" t="s">
        <v>1</v>
      </c>
      <c r="F350" s="39">
        <v>0</v>
      </c>
    </row>
    <row r="351" spans="1:6" x14ac:dyDescent="0.25">
      <c r="A351" s="1">
        <v>4009662</v>
      </c>
      <c r="B351" s="1" t="s">
        <v>3210</v>
      </c>
      <c r="C351" s="1" t="s">
        <v>6063</v>
      </c>
      <c r="D351" s="39">
        <v>0</v>
      </c>
      <c r="E351" s="1" t="s">
        <v>1</v>
      </c>
      <c r="F351" s="39">
        <v>0</v>
      </c>
    </row>
    <row r="352" spans="1:6" x14ac:dyDescent="0.25">
      <c r="A352" s="1">
        <v>4009663</v>
      </c>
      <c r="B352" s="1" t="s">
        <v>3211</v>
      </c>
      <c r="C352" s="1" t="s">
        <v>6063</v>
      </c>
      <c r="D352" s="39">
        <v>0</v>
      </c>
      <c r="E352" s="1" t="s">
        <v>1</v>
      </c>
      <c r="F352" s="39">
        <v>0</v>
      </c>
    </row>
    <row r="353" spans="1:6" x14ac:dyDescent="0.25">
      <c r="A353" s="1">
        <v>4009849</v>
      </c>
      <c r="B353" s="1" t="s">
        <v>623</v>
      </c>
      <c r="C353" s="1" t="s">
        <v>6063</v>
      </c>
      <c r="D353" s="39">
        <v>0</v>
      </c>
      <c r="E353" s="1" t="s">
        <v>1</v>
      </c>
      <c r="F353" s="39">
        <v>0</v>
      </c>
    </row>
    <row r="354" spans="1:6" x14ac:dyDescent="0.25">
      <c r="A354" s="1">
        <v>4009946</v>
      </c>
      <c r="B354" s="1" t="s">
        <v>1692</v>
      </c>
      <c r="C354" s="1" t="s">
        <v>6063</v>
      </c>
      <c r="D354" s="39">
        <v>1188</v>
      </c>
      <c r="E354" s="1" t="s">
        <v>1</v>
      </c>
      <c r="F354" s="3">
        <v>130.08000000000001</v>
      </c>
    </row>
    <row r="355" spans="1:6" x14ac:dyDescent="0.25">
      <c r="A355" s="1">
        <v>4009947</v>
      </c>
      <c r="B355" s="1" t="s">
        <v>1693</v>
      </c>
      <c r="C355" s="1" t="s">
        <v>6063</v>
      </c>
      <c r="D355" s="39">
        <v>23</v>
      </c>
      <c r="E355" s="1" t="s">
        <v>1</v>
      </c>
      <c r="F355" s="3">
        <v>94.1</v>
      </c>
    </row>
    <row r="356" spans="1:6" x14ac:dyDescent="0.25">
      <c r="A356" s="1">
        <v>4010020</v>
      </c>
      <c r="B356" s="1" t="s">
        <v>1622</v>
      </c>
      <c r="C356" s="1" t="s">
        <v>6063</v>
      </c>
      <c r="D356" s="39">
        <v>0</v>
      </c>
      <c r="E356" s="1" t="s">
        <v>1</v>
      </c>
      <c r="F356" s="39">
        <v>0</v>
      </c>
    </row>
    <row r="357" spans="1:6" x14ac:dyDescent="0.25">
      <c r="A357" s="1">
        <v>4010021</v>
      </c>
      <c r="B357" s="1" t="s">
        <v>1500</v>
      </c>
      <c r="C357" s="1" t="s">
        <v>6063</v>
      </c>
      <c r="D357" s="39">
        <v>0</v>
      </c>
      <c r="E357" s="1" t="s">
        <v>1</v>
      </c>
      <c r="F357" s="39">
        <v>0</v>
      </c>
    </row>
    <row r="358" spans="1:6" x14ac:dyDescent="0.25">
      <c r="A358" s="1">
        <v>4010022</v>
      </c>
      <c r="B358" s="1" t="s">
        <v>711</v>
      </c>
      <c r="C358" s="1" t="s">
        <v>6063</v>
      </c>
      <c r="D358" s="39">
        <v>0</v>
      </c>
      <c r="E358" s="1" t="s">
        <v>1</v>
      </c>
      <c r="F358" s="39">
        <v>0</v>
      </c>
    </row>
    <row r="359" spans="1:6" x14ac:dyDescent="0.25">
      <c r="A359" s="1">
        <v>4010023</v>
      </c>
      <c r="B359" s="1" t="s">
        <v>1575</v>
      </c>
      <c r="C359" s="1" t="s">
        <v>6063</v>
      </c>
      <c r="D359" s="39">
        <v>25</v>
      </c>
      <c r="E359" s="1" t="s">
        <v>1</v>
      </c>
      <c r="F359" s="3">
        <v>96.79</v>
      </c>
    </row>
    <row r="360" spans="1:6" x14ac:dyDescent="0.25">
      <c r="A360" s="1">
        <v>4010024</v>
      </c>
      <c r="B360" s="1" t="s">
        <v>1565</v>
      </c>
      <c r="C360" s="1" t="s">
        <v>6063</v>
      </c>
      <c r="D360" s="39">
        <v>25</v>
      </c>
      <c r="E360" s="1" t="s">
        <v>1</v>
      </c>
      <c r="F360" s="3">
        <v>116.4</v>
      </c>
    </row>
    <row r="361" spans="1:6" x14ac:dyDescent="0.25">
      <c r="A361" s="1">
        <v>4010025</v>
      </c>
      <c r="B361" s="1" t="s">
        <v>775</v>
      </c>
      <c r="C361" s="1" t="s">
        <v>6063</v>
      </c>
      <c r="D361" s="39">
        <v>4</v>
      </c>
      <c r="E361" s="1" t="s">
        <v>1</v>
      </c>
      <c r="F361" s="3">
        <v>34.72</v>
      </c>
    </row>
    <row r="362" spans="1:6" x14ac:dyDescent="0.25">
      <c r="A362" s="1">
        <v>4010026</v>
      </c>
      <c r="B362" s="1" t="s">
        <v>3217</v>
      </c>
      <c r="C362" s="1" t="s">
        <v>6063</v>
      </c>
      <c r="D362" s="39">
        <v>0</v>
      </c>
      <c r="E362" s="1" t="s">
        <v>1</v>
      </c>
      <c r="F362" s="39">
        <v>0</v>
      </c>
    </row>
    <row r="363" spans="1:6" x14ac:dyDescent="0.25">
      <c r="A363" s="1">
        <v>4010040</v>
      </c>
      <c r="B363" s="1" t="s">
        <v>1504</v>
      </c>
      <c r="C363" s="1" t="s">
        <v>6063</v>
      </c>
      <c r="D363" s="39">
        <v>2</v>
      </c>
      <c r="E363" s="1" t="s">
        <v>1</v>
      </c>
      <c r="F363" s="3">
        <v>6.29</v>
      </c>
    </row>
    <row r="364" spans="1:6" x14ac:dyDescent="0.25">
      <c r="A364" s="1">
        <v>4010177</v>
      </c>
      <c r="B364" s="1" t="s">
        <v>3218</v>
      </c>
      <c r="C364" s="1" t="s">
        <v>6063</v>
      </c>
      <c r="D364" s="39">
        <v>0</v>
      </c>
      <c r="E364" s="1" t="s">
        <v>1</v>
      </c>
      <c r="F364" s="39">
        <v>0</v>
      </c>
    </row>
    <row r="365" spans="1:6" x14ac:dyDescent="0.25">
      <c r="A365" s="1">
        <v>4010178</v>
      </c>
      <c r="B365" s="1" t="s">
        <v>3219</v>
      </c>
      <c r="C365" s="1" t="s">
        <v>6063</v>
      </c>
      <c r="D365" s="39">
        <v>0</v>
      </c>
      <c r="E365" s="1" t="s">
        <v>1</v>
      </c>
      <c r="F365" s="39">
        <v>0</v>
      </c>
    </row>
    <row r="366" spans="1:6" x14ac:dyDescent="0.25">
      <c r="A366" s="1">
        <v>4010181</v>
      </c>
      <c r="B366" s="1" t="s">
        <v>3220</v>
      </c>
      <c r="C366" s="1" t="s">
        <v>6063</v>
      </c>
      <c r="D366" s="39">
        <v>0</v>
      </c>
      <c r="E366" s="1" t="s">
        <v>1</v>
      </c>
      <c r="F366" s="39">
        <v>0</v>
      </c>
    </row>
    <row r="367" spans="1:6" x14ac:dyDescent="0.25">
      <c r="A367" s="1">
        <v>4010413</v>
      </c>
      <c r="B367" s="1" t="s">
        <v>1286</v>
      </c>
      <c r="C367" s="1" t="s">
        <v>6063</v>
      </c>
      <c r="D367" s="39">
        <v>0</v>
      </c>
      <c r="E367" s="1" t="s">
        <v>1</v>
      </c>
      <c r="F367" s="39">
        <v>0</v>
      </c>
    </row>
    <row r="368" spans="1:6" x14ac:dyDescent="0.25">
      <c r="A368" s="1">
        <v>4010500</v>
      </c>
      <c r="B368" s="1" t="s">
        <v>3221</v>
      </c>
      <c r="C368" s="1" t="s">
        <v>6063</v>
      </c>
      <c r="D368" s="39">
        <v>0</v>
      </c>
      <c r="E368" s="1" t="s">
        <v>1</v>
      </c>
      <c r="F368" s="39">
        <v>0</v>
      </c>
    </row>
    <row r="369" spans="1:6" x14ac:dyDescent="0.25">
      <c r="A369" s="1">
        <v>4010501</v>
      </c>
      <c r="B369" s="1" t="s">
        <v>3222</v>
      </c>
      <c r="C369" s="1" t="s">
        <v>6063</v>
      </c>
      <c r="D369" s="39">
        <v>0</v>
      </c>
      <c r="E369" s="1" t="s">
        <v>1</v>
      </c>
      <c r="F369" s="39">
        <v>0</v>
      </c>
    </row>
    <row r="370" spans="1:6" x14ac:dyDescent="0.25">
      <c r="A370" s="1">
        <v>4010502</v>
      </c>
      <c r="B370" s="1" t="s">
        <v>3223</v>
      </c>
      <c r="C370" s="1" t="s">
        <v>6063</v>
      </c>
      <c r="D370" s="39">
        <v>0</v>
      </c>
      <c r="E370" s="1" t="s">
        <v>1</v>
      </c>
      <c r="F370" s="39">
        <v>0</v>
      </c>
    </row>
    <row r="371" spans="1:6" x14ac:dyDescent="0.25">
      <c r="A371" s="1">
        <v>4010503</v>
      </c>
      <c r="B371" s="1" t="s">
        <v>3224</v>
      </c>
      <c r="C371" s="1" t="s">
        <v>6063</v>
      </c>
      <c r="D371" s="39">
        <v>0</v>
      </c>
      <c r="E371" s="1" t="s">
        <v>1</v>
      </c>
      <c r="F371" s="39">
        <v>0</v>
      </c>
    </row>
    <row r="372" spans="1:6" x14ac:dyDescent="0.25">
      <c r="A372" s="1">
        <v>4010504</v>
      </c>
      <c r="B372" s="1" t="s">
        <v>3225</v>
      </c>
      <c r="C372" s="1" t="s">
        <v>6063</v>
      </c>
      <c r="D372" s="39">
        <v>0</v>
      </c>
      <c r="E372" s="1" t="s">
        <v>1</v>
      </c>
      <c r="F372" s="39">
        <v>0</v>
      </c>
    </row>
    <row r="373" spans="1:6" x14ac:dyDescent="0.25">
      <c r="A373" s="1">
        <v>4010520</v>
      </c>
      <c r="B373" s="1" t="s">
        <v>1109</v>
      </c>
      <c r="C373" s="1" t="s">
        <v>6063</v>
      </c>
      <c r="D373" s="39">
        <v>9356</v>
      </c>
      <c r="E373" s="1" t="s">
        <v>1</v>
      </c>
      <c r="F373" s="3">
        <v>455.64</v>
      </c>
    </row>
    <row r="374" spans="1:6" x14ac:dyDescent="0.25">
      <c r="A374" s="1">
        <v>4010722</v>
      </c>
      <c r="B374" s="1" t="s">
        <v>764</v>
      </c>
      <c r="C374" s="1" t="s">
        <v>6063</v>
      </c>
      <c r="D374" s="39">
        <v>768</v>
      </c>
      <c r="E374" s="1" t="s">
        <v>1</v>
      </c>
      <c r="F374" s="3">
        <v>565.94000000000005</v>
      </c>
    </row>
    <row r="375" spans="1:6" x14ac:dyDescent="0.25">
      <c r="A375" s="1">
        <v>4010730</v>
      </c>
      <c r="B375" s="1" t="s">
        <v>1082</v>
      </c>
      <c r="C375" s="1" t="s">
        <v>6063</v>
      </c>
      <c r="D375" s="39">
        <v>1965</v>
      </c>
      <c r="E375" s="1" t="s">
        <v>1</v>
      </c>
      <c r="F375" s="3">
        <v>2897.59</v>
      </c>
    </row>
    <row r="376" spans="1:6" x14ac:dyDescent="0.25">
      <c r="A376" s="1">
        <v>4010764</v>
      </c>
      <c r="B376" s="1" t="s">
        <v>1710</v>
      </c>
      <c r="C376" s="1" t="s">
        <v>6063</v>
      </c>
      <c r="D376" s="39">
        <v>2481</v>
      </c>
      <c r="E376" s="1" t="s">
        <v>1</v>
      </c>
      <c r="F376" s="3">
        <v>163.75</v>
      </c>
    </row>
    <row r="377" spans="1:6" x14ac:dyDescent="0.25">
      <c r="A377" s="1">
        <v>4010765</v>
      </c>
      <c r="B377" s="1" t="s">
        <v>1130</v>
      </c>
      <c r="C377" s="1" t="s">
        <v>6063</v>
      </c>
      <c r="D377" s="39">
        <v>0</v>
      </c>
      <c r="E377" s="1" t="s">
        <v>1</v>
      </c>
      <c r="F377" s="39">
        <v>0</v>
      </c>
    </row>
    <row r="378" spans="1:6" x14ac:dyDescent="0.25">
      <c r="A378" s="1">
        <v>4010766</v>
      </c>
      <c r="B378" s="1" t="s">
        <v>1131</v>
      </c>
      <c r="C378" s="1" t="s">
        <v>6063</v>
      </c>
      <c r="D378" s="39">
        <v>0</v>
      </c>
      <c r="E378" s="1" t="s">
        <v>1</v>
      </c>
      <c r="F378" s="39">
        <v>0</v>
      </c>
    </row>
    <row r="379" spans="1:6" x14ac:dyDescent="0.25">
      <c r="A379" s="1">
        <v>4010773</v>
      </c>
      <c r="B379" s="1" t="s">
        <v>779</v>
      </c>
      <c r="C379" s="1" t="s">
        <v>6063</v>
      </c>
      <c r="D379" s="39">
        <v>0</v>
      </c>
      <c r="E379" s="1" t="s">
        <v>1</v>
      </c>
      <c r="F379" s="39">
        <v>0</v>
      </c>
    </row>
    <row r="380" spans="1:6" x14ac:dyDescent="0.25">
      <c r="A380" s="1">
        <v>4010777</v>
      </c>
      <c r="B380" s="1" t="s">
        <v>1099</v>
      </c>
      <c r="C380" s="1" t="s">
        <v>6063</v>
      </c>
      <c r="D380" s="39">
        <v>5865</v>
      </c>
      <c r="E380" s="1" t="s">
        <v>1</v>
      </c>
      <c r="F380" s="3">
        <v>264.51</v>
      </c>
    </row>
    <row r="381" spans="1:6" x14ac:dyDescent="0.25">
      <c r="A381" s="1">
        <v>4010848</v>
      </c>
      <c r="B381" s="1" t="s">
        <v>3228</v>
      </c>
      <c r="C381" s="1" t="s">
        <v>6063</v>
      </c>
      <c r="D381" s="39">
        <v>0</v>
      </c>
      <c r="E381" s="1" t="s">
        <v>1</v>
      </c>
      <c r="F381" s="39">
        <v>0</v>
      </c>
    </row>
    <row r="382" spans="1:6" x14ac:dyDescent="0.25">
      <c r="A382" s="1">
        <v>4010849</v>
      </c>
      <c r="B382" s="1" t="s">
        <v>1602</v>
      </c>
      <c r="C382" s="1" t="s">
        <v>6063</v>
      </c>
      <c r="D382" s="39">
        <v>0</v>
      </c>
      <c r="E382" s="1" t="s">
        <v>1</v>
      </c>
      <c r="F382" s="39">
        <v>0</v>
      </c>
    </row>
    <row r="383" spans="1:6" x14ac:dyDescent="0.25">
      <c r="A383" s="1">
        <v>4010866</v>
      </c>
      <c r="B383" s="1" t="s">
        <v>3229</v>
      </c>
      <c r="C383" s="1" t="s">
        <v>6063</v>
      </c>
      <c r="D383" s="39">
        <v>0</v>
      </c>
      <c r="E383" s="1" t="s">
        <v>1</v>
      </c>
      <c r="F383" s="39">
        <v>0</v>
      </c>
    </row>
    <row r="384" spans="1:6" x14ac:dyDescent="0.25">
      <c r="A384" s="1">
        <v>4011639</v>
      </c>
      <c r="B384" s="1" t="s">
        <v>1519</v>
      </c>
      <c r="C384" s="1" t="s">
        <v>6063</v>
      </c>
      <c r="D384" s="39">
        <v>8</v>
      </c>
      <c r="E384" s="1" t="s">
        <v>1</v>
      </c>
      <c r="F384" s="3">
        <v>71.08</v>
      </c>
    </row>
    <row r="385" spans="1:6" x14ac:dyDescent="0.25">
      <c r="A385" s="1">
        <v>4011640</v>
      </c>
      <c r="B385" s="1" t="s">
        <v>3232</v>
      </c>
      <c r="C385" s="1" t="s">
        <v>6063</v>
      </c>
      <c r="D385" s="39">
        <v>0</v>
      </c>
      <c r="E385" s="1" t="s">
        <v>1</v>
      </c>
      <c r="F385" s="39">
        <v>0</v>
      </c>
    </row>
    <row r="386" spans="1:6" x14ac:dyDescent="0.25">
      <c r="A386" s="1">
        <v>4011642</v>
      </c>
      <c r="B386" s="1" t="s">
        <v>6055</v>
      </c>
      <c r="C386" s="1" t="s">
        <v>6063</v>
      </c>
      <c r="D386" s="39">
        <v>0</v>
      </c>
      <c r="E386" s="1" t="s">
        <v>1</v>
      </c>
      <c r="F386" s="39">
        <v>0</v>
      </c>
    </row>
    <row r="387" spans="1:6" x14ac:dyDescent="0.25">
      <c r="A387" s="1">
        <v>4011643</v>
      </c>
      <c r="B387" s="1" t="s">
        <v>3233</v>
      </c>
      <c r="C387" s="1" t="s">
        <v>6063</v>
      </c>
      <c r="D387" s="39">
        <v>0</v>
      </c>
      <c r="E387" s="1" t="s">
        <v>1</v>
      </c>
      <c r="F387" s="39">
        <v>0</v>
      </c>
    </row>
    <row r="388" spans="1:6" x14ac:dyDescent="0.25">
      <c r="A388" s="1">
        <v>4011658</v>
      </c>
      <c r="B388" s="1" t="s">
        <v>3234</v>
      </c>
      <c r="C388" s="1" t="s">
        <v>6063</v>
      </c>
      <c r="D388" s="39">
        <v>0</v>
      </c>
      <c r="E388" s="1" t="s">
        <v>1</v>
      </c>
      <c r="F388" s="39">
        <v>0</v>
      </c>
    </row>
    <row r="389" spans="1:6" x14ac:dyDescent="0.25">
      <c r="A389" s="1">
        <v>4011659</v>
      </c>
      <c r="B389" s="1" t="s">
        <v>6056</v>
      </c>
      <c r="C389" s="1" t="s">
        <v>6063</v>
      </c>
      <c r="D389" s="39">
        <v>0</v>
      </c>
      <c r="E389" s="1" t="s">
        <v>1</v>
      </c>
      <c r="F389" s="39">
        <v>0</v>
      </c>
    </row>
    <row r="390" spans="1:6" x14ac:dyDescent="0.25">
      <c r="A390" s="1">
        <v>4011660</v>
      </c>
      <c r="B390" s="1" t="s">
        <v>3235</v>
      </c>
      <c r="C390" s="1" t="s">
        <v>6063</v>
      </c>
      <c r="D390" s="39">
        <v>0</v>
      </c>
      <c r="E390" s="1" t="s">
        <v>1</v>
      </c>
      <c r="F390" s="39">
        <v>0</v>
      </c>
    </row>
    <row r="391" spans="1:6" x14ac:dyDescent="0.25">
      <c r="A391" s="1">
        <v>4011704</v>
      </c>
      <c r="B391" s="1" t="s">
        <v>3238</v>
      </c>
      <c r="C391" s="1" t="s">
        <v>6063</v>
      </c>
      <c r="D391" s="39">
        <v>0</v>
      </c>
      <c r="E391" s="1" t="s">
        <v>1</v>
      </c>
      <c r="F391" s="39">
        <v>0</v>
      </c>
    </row>
    <row r="392" spans="1:6" x14ac:dyDescent="0.25">
      <c r="A392" s="1">
        <v>4011718</v>
      </c>
      <c r="B392" s="1" t="s">
        <v>3240</v>
      </c>
      <c r="C392" s="1" t="s">
        <v>6063</v>
      </c>
      <c r="D392" s="39">
        <v>0</v>
      </c>
      <c r="E392" s="1" t="s">
        <v>1</v>
      </c>
      <c r="F392" s="39">
        <v>0</v>
      </c>
    </row>
    <row r="393" spans="1:6" x14ac:dyDescent="0.25">
      <c r="A393" s="1">
        <v>4011811</v>
      </c>
      <c r="B393" s="1" t="s">
        <v>576</v>
      </c>
      <c r="C393" s="1" t="s">
        <v>6063</v>
      </c>
      <c r="D393" s="39">
        <v>0</v>
      </c>
      <c r="E393" s="1" t="s">
        <v>1</v>
      </c>
      <c r="F393" s="39">
        <v>0</v>
      </c>
    </row>
    <row r="394" spans="1:6" x14ac:dyDescent="0.25">
      <c r="A394" s="1">
        <v>4011815</v>
      </c>
      <c r="B394" s="1" t="s">
        <v>577</v>
      </c>
      <c r="C394" s="1" t="s">
        <v>6063</v>
      </c>
      <c r="D394" s="39">
        <v>0</v>
      </c>
      <c r="E394" s="1" t="s">
        <v>1</v>
      </c>
      <c r="F394" s="39">
        <v>0</v>
      </c>
    </row>
    <row r="395" spans="1:6" x14ac:dyDescent="0.25">
      <c r="A395" s="1">
        <v>4011860</v>
      </c>
      <c r="B395" s="1" t="s">
        <v>3245</v>
      </c>
      <c r="C395" s="1" t="s">
        <v>6063</v>
      </c>
      <c r="D395" s="39">
        <v>0</v>
      </c>
      <c r="E395" s="1" t="s">
        <v>1</v>
      </c>
      <c r="F395" s="39">
        <v>0</v>
      </c>
    </row>
    <row r="396" spans="1:6" x14ac:dyDescent="0.25">
      <c r="A396" s="1">
        <v>4012081</v>
      </c>
      <c r="B396" s="1" t="s">
        <v>3247</v>
      </c>
      <c r="C396" s="1" t="s">
        <v>6063</v>
      </c>
      <c r="D396" s="39">
        <v>0</v>
      </c>
      <c r="E396" s="1" t="s">
        <v>1</v>
      </c>
      <c r="F396" s="39">
        <v>0</v>
      </c>
    </row>
    <row r="397" spans="1:6" x14ac:dyDescent="0.25">
      <c r="A397" s="1">
        <v>4012100</v>
      </c>
      <c r="B397" s="1" t="s">
        <v>1509</v>
      </c>
      <c r="C397" s="1" t="s">
        <v>6063</v>
      </c>
      <c r="D397" s="39">
        <v>3</v>
      </c>
      <c r="E397" s="1" t="s">
        <v>1</v>
      </c>
      <c r="F397" s="3">
        <v>6.94</v>
      </c>
    </row>
    <row r="398" spans="1:6" x14ac:dyDescent="0.25">
      <c r="A398" s="1">
        <v>4012138</v>
      </c>
      <c r="B398" s="1" t="s">
        <v>27</v>
      </c>
      <c r="C398" s="1" t="s">
        <v>6063</v>
      </c>
      <c r="D398" s="40">
        <v>22.225999999999999</v>
      </c>
      <c r="E398" s="1" t="s">
        <v>3</v>
      </c>
      <c r="F398" s="3">
        <v>230.75</v>
      </c>
    </row>
    <row r="399" spans="1:6" x14ac:dyDescent="0.25">
      <c r="A399" s="1">
        <v>4012150</v>
      </c>
      <c r="B399" s="1" t="s">
        <v>220</v>
      </c>
      <c r="C399" s="1" t="s">
        <v>6063</v>
      </c>
      <c r="D399" s="40">
        <v>17.013999999999999</v>
      </c>
      <c r="E399" s="1" t="s">
        <v>3</v>
      </c>
      <c r="F399" s="3">
        <v>504.21</v>
      </c>
    </row>
    <row r="400" spans="1:6" x14ac:dyDescent="0.25">
      <c r="A400" s="1">
        <v>4012151</v>
      </c>
      <c r="B400" s="1" t="s">
        <v>209</v>
      </c>
      <c r="C400" s="1" t="s">
        <v>6063</v>
      </c>
      <c r="D400" s="39">
        <v>0</v>
      </c>
      <c r="E400" s="1" t="s">
        <v>3</v>
      </c>
      <c r="F400" s="39">
        <v>0</v>
      </c>
    </row>
    <row r="401" spans="1:6" x14ac:dyDescent="0.25">
      <c r="A401" s="1">
        <v>4012152</v>
      </c>
      <c r="B401" s="1" t="s">
        <v>252</v>
      </c>
      <c r="C401" s="1" t="s">
        <v>6063</v>
      </c>
      <c r="D401" s="39">
        <v>0</v>
      </c>
      <c r="E401" s="1" t="s">
        <v>3</v>
      </c>
      <c r="F401" s="39">
        <v>0</v>
      </c>
    </row>
    <row r="402" spans="1:6" x14ac:dyDescent="0.25">
      <c r="A402" s="1">
        <v>4012306</v>
      </c>
      <c r="B402" s="1" t="s">
        <v>1048</v>
      </c>
      <c r="C402" s="1" t="s">
        <v>6063</v>
      </c>
      <c r="D402" s="39">
        <v>0</v>
      </c>
      <c r="E402" s="1" t="s">
        <v>1</v>
      </c>
      <c r="F402" s="39">
        <v>0</v>
      </c>
    </row>
    <row r="403" spans="1:6" x14ac:dyDescent="0.25">
      <c r="A403" s="1">
        <v>4012308</v>
      </c>
      <c r="B403" s="1" t="s">
        <v>788</v>
      </c>
      <c r="C403" s="1" t="s">
        <v>6063</v>
      </c>
      <c r="D403" s="39">
        <v>62</v>
      </c>
      <c r="E403" s="1" t="s">
        <v>1</v>
      </c>
      <c r="F403" s="3">
        <v>101.01</v>
      </c>
    </row>
    <row r="404" spans="1:6" x14ac:dyDescent="0.25">
      <c r="A404" s="1">
        <v>4012454</v>
      </c>
      <c r="B404" s="1" t="s">
        <v>3260</v>
      </c>
      <c r="C404" s="1" t="s">
        <v>6063</v>
      </c>
      <c r="D404" s="39">
        <v>0</v>
      </c>
      <c r="E404" s="1" t="s">
        <v>1</v>
      </c>
      <c r="F404" s="39">
        <v>0</v>
      </c>
    </row>
    <row r="405" spans="1:6" x14ac:dyDescent="0.25">
      <c r="A405" s="1">
        <v>4012455</v>
      </c>
      <c r="B405" s="1" t="s">
        <v>3261</v>
      </c>
      <c r="C405" s="1" t="s">
        <v>6063</v>
      </c>
      <c r="D405" s="39">
        <v>0</v>
      </c>
      <c r="E405" s="1" t="s">
        <v>1</v>
      </c>
      <c r="F405" s="39">
        <v>0</v>
      </c>
    </row>
    <row r="406" spans="1:6" x14ac:dyDescent="0.25">
      <c r="A406" s="1">
        <v>4012456</v>
      </c>
      <c r="B406" s="1" t="s">
        <v>848</v>
      </c>
      <c r="C406" s="1" t="s">
        <v>6063</v>
      </c>
      <c r="D406" s="39">
        <v>0</v>
      </c>
      <c r="E406" s="1" t="s">
        <v>1</v>
      </c>
      <c r="F406" s="39">
        <v>0</v>
      </c>
    </row>
    <row r="407" spans="1:6" x14ac:dyDescent="0.25">
      <c r="A407" s="1">
        <v>4012457</v>
      </c>
      <c r="B407" s="1" t="s">
        <v>3262</v>
      </c>
      <c r="C407" s="1" t="s">
        <v>6063</v>
      </c>
      <c r="D407" s="39">
        <v>0</v>
      </c>
      <c r="E407" s="1" t="s">
        <v>1</v>
      </c>
      <c r="F407" s="39">
        <v>0</v>
      </c>
    </row>
    <row r="408" spans="1:6" x14ac:dyDescent="0.25">
      <c r="A408" s="1">
        <v>4012569</v>
      </c>
      <c r="B408" s="1" t="s">
        <v>806</v>
      </c>
      <c r="C408" s="1" t="s">
        <v>6063</v>
      </c>
      <c r="D408" s="39">
        <v>0</v>
      </c>
      <c r="E408" s="1" t="s">
        <v>1</v>
      </c>
      <c r="F408" s="39">
        <v>0</v>
      </c>
    </row>
    <row r="409" spans="1:6" x14ac:dyDescent="0.25">
      <c r="A409" s="1">
        <v>4012600</v>
      </c>
      <c r="B409" s="1" t="s">
        <v>793</v>
      </c>
      <c r="C409" s="1" t="s">
        <v>6063</v>
      </c>
      <c r="D409" s="39">
        <v>0</v>
      </c>
      <c r="E409" s="1" t="s">
        <v>1</v>
      </c>
      <c r="F409" s="39">
        <v>0</v>
      </c>
    </row>
    <row r="410" spans="1:6" x14ac:dyDescent="0.25">
      <c r="A410" s="1">
        <v>4012601</v>
      </c>
      <c r="B410" s="1" t="s">
        <v>836</v>
      </c>
      <c r="C410" s="1" t="s">
        <v>6063</v>
      </c>
      <c r="D410" s="39">
        <v>0</v>
      </c>
      <c r="E410" s="1" t="s">
        <v>1</v>
      </c>
      <c r="F410" s="39">
        <v>0</v>
      </c>
    </row>
    <row r="411" spans="1:6" x14ac:dyDescent="0.25">
      <c r="A411" s="1">
        <v>4012602</v>
      </c>
      <c r="B411" s="1" t="s">
        <v>821</v>
      </c>
      <c r="C411" s="1" t="s">
        <v>6063</v>
      </c>
      <c r="D411" s="39">
        <v>0</v>
      </c>
      <c r="E411" s="1" t="s">
        <v>1</v>
      </c>
      <c r="F411" s="39">
        <v>0</v>
      </c>
    </row>
    <row r="412" spans="1:6" x14ac:dyDescent="0.25">
      <c r="A412" s="1">
        <v>4012603</v>
      </c>
      <c r="B412" s="1" t="s">
        <v>807</v>
      </c>
      <c r="C412" s="1" t="s">
        <v>6063</v>
      </c>
      <c r="D412" s="39">
        <v>550</v>
      </c>
      <c r="E412" s="1" t="s">
        <v>1</v>
      </c>
      <c r="F412" s="3">
        <v>264.11</v>
      </c>
    </row>
    <row r="413" spans="1:6" x14ac:dyDescent="0.25">
      <c r="A413" s="1">
        <v>4012604</v>
      </c>
      <c r="B413" s="1" t="s">
        <v>855</v>
      </c>
      <c r="C413" s="1" t="s">
        <v>6063</v>
      </c>
      <c r="D413" s="39">
        <v>0</v>
      </c>
      <c r="E413" s="1" t="s">
        <v>1</v>
      </c>
      <c r="F413" s="39">
        <v>0</v>
      </c>
    </row>
    <row r="414" spans="1:6" x14ac:dyDescent="0.25">
      <c r="A414" s="1">
        <v>4012605</v>
      </c>
      <c r="B414" s="1" t="s">
        <v>794</v>
      </c>
      <c r="C414" s="1" t="s">
        <v>6063</v>
      </c>
      <c r="D414" s="39">
        <v>0</v>
      </c>
      <c r="E414" s="1" t="s">
        <v>1</v>
      </c>
      <c r="F414" s="39">
        <v>0</v>
      </c>
    </row>
    <row r="415" spans="1:6" x14ac:dyDescent="0.25">
      <c r="A415" s="1">
        <v>4012606</v>
      </c>
      <c r="B415" s="1" t="s">
        <v>822</v>
      </c>
      <c r="C415" s="1" t="s">
        <v>6063</v>
      </c>
      <c r="D415" s="39">
        <v>400</v>
      </c>
      <c r="E415" s="1" t="s">
        <v>1</v>
      </c>
      <c r="F415" s="3">
        <v>160.08000000000001</v>
      </c>
    </row>
    <row r="416" spans="1:6" x14ac:dyDescent="0.25">
      <c r="A416" s="1">
        <v>4012607</v>
      </c>
      <c r="B416" s="1" t="s">
        <v>856</v>
      </c>
      <c r="C416" s="1" t="s">
        <v>6063</v>
      </c>
      <c r="D416" s="39">
        <v>0</v>
      </c>
      <c r="E416" s="1" t="s">
        <v>1</v>
      </c>
      <c r="F416" s="39">
        <v>0</v>
      </c>
    </row>
    <row r="417" spans="1:6" x14ac:dyDescent="0.25">
      <c r="A417" s="1">
        <v>4012608</v>
      </c>
      <c r="B417" s="1" t="s">
        <v>3263</v>
      </c>
      <c r="C417" s="1" t="s">
        <v>6063</v>
      </c>
      <c r="D417" s="39">
        <v>0</v>
      </c>
      <c r="E417" s="1" t="s">
        <v>1</v>
      </c>
      <c r="F417" s="39">
        <v>0</v>
      </c>
    </row>
    <row r="418" spans="1:6" x14ac:dyDescent="0.25">
      <c r="A418" s="1">
        <v>4012609</v>
      </c>
      <c r="B418" s="1" t="s">
        <v>800</v>
      </c>
      <c r="C418" s="1" t="s">
        <v>6063</v>
      </c>
      <c r="D418" s="39">
        <v>0</v>
      </c>
      <c r="E418" s="1" t="s">
        <v>1</v>
      </c>
      <c r="F418" s="39">
        <v>0</v>
      </c>
    </row>
    <row r="419" spans="1:6" x14ac:dyDescent="0.25">
      <c r="A419" s="1">
        <v>4012610</v>
      </c>
      <c r="B419" s="1" t="s">
        <v>814</v>
      </c>
      <c r="C419" s="1" t="s">
        <v>6063</v>
      </c>
      <c r="D419" s="39">
        <v>1200</v>
      </c>
      <c r="E419" s="1" t="s">
        <v>1</v>
      </c>
      <c r="F419" s="3">
        <v>191.64</v>
      </c>
    </row>
    <row r="420" spans="1:6" x14ac:dyDescent="0.25">
      <c r="A420" s="1">
        <v>4012611</v>
      </c>
      <c r="B420" s="1" t="s">
        <v>829</v>
      </c>
      <c r="C420" s="1" t="s">
        <v>6063</v>
      </c>
      <c r="D420" s="39">
        <v>0</v>
      </c>
      <c r="E420" s="1" t="s">
        <v>1</v>
      </c>
      <c r="F420" s="39">
        <v>0</v>
      </c>
    </row>
    <row r="421" spans="1:6" x14ac:dyDescent="0.25">
      <c r="A421" s="1">
        <v>4012612</v>
      </c>
      <c r="B421" s="1" t="s">
        <v>3264</v>
      </c>
      <c r="C421" s="1" t="s">
        <v>6063</v>
      </c>
      <c r="D421" s="39">
        <v>0</v>
      </c>
      <c r="E421" s="1" t="s">
        <v>1</v>
      </c>
      <c r="F421" s="39">
        <v>0</v>
      </c>
    </row>
    <row r="422" spans="1:6" x14ac:dyDescent="0.25">
      <c r="A422" s="1">
        <v>4012613</v>
      </c>
      <c r="B422" s="1" t="s">
        <v>849</v>
      </c>
      <c r="C422" s="1" t="s">
        <v>6063</v>
      </c>
      <c r="D422" s="39">
        <v>0</v>
      </c>
      <c r="E422" s="1" t="s">
        <v>1</v>
      </c>
      <c r="F422" s="39">
        <v>0</v>
      </c>
    </row>
    <row r="423" spans="1:6" x14ac:dyDescent="0.25">
      <c r="A423" s="1">
        <v>4012614</v>
      </c>
      <c r="B423" s="1" t="s">
        <v>842</v>
      </c>
      <c r="C423" s="1" t="s">
        <v>6063</v>
      </c>
      <c r="D423" s="39">
        <v>0</v>
      </c>
      <c r="E423" s="1" t="s">
        <v>1</v>
      </c>
      <c r="F423" s="39">
        <v>0</v>
      </c>
    </row>
    <row r="424" spans="1:6" x14ac:dyDescent="0.25">
      <c r="A424" s="1">
        <v>4012615</v>
      </c>
      <c r="B424" s="1" t="s">
        <v>6057</v>
      </c>
      <c r="C424" s="1" t="s">
        <v>6063</v>
      </c>
      <c r="D424" s="39">
        <v>0</v>
      </c>
      <c r="E424" s="1" t="s">
        <v>1</v>
      </c>
      <c r="F424" s="39">
        <v>0</v>
      </c>
    </row>
    <row r="425" spans="1:6" x14ac:dyDescent="0.25">
      <c r="A425" s="1">
        <v>4012616</v>
      </c>
      <c r="B425" s="1" t="s">
        <v>795</v>
      </c>
      <c r="C425" s="1" t="s">
        <v>6063</v>
      </c>
      <c r="D425" s="39">
        <v>0</v>
      </c>
      <c r="E425" s="1" t="s">
        <v>1</v>
      </c>
      <c r="F425" s="39">
        <v>0</v>
      </c>
    </row>
    <row r="426" spans="1:6" x14ac:dyDescent="0.25">
      <c r="A426" s="1">
        <v>4012617</v>
      </c>
      <c r="B426" s="1" t="s">
        <v>808</v>
      </c>
      <c r="C426" s="1" t="s">
        <v>6063</v>
      </c>
      <c r="D426" s="39">
        <v>0</v>
      </c>
      <c r="E426" s="1" t="s">
        <v>1</v>
      </c>
      <c r="F426" s="39">
        <v>0</v>
      </c>
    </row>
    <row r="427" spans="1:6" x14ac:dyDescent="0.25">
      <c r="A427" s="1">
        <v>4012618</v>
      </c>
      <c r="B427" s="1" t="s">
        <v>823</v>
      </c>
      <c r="C427" s="1" t="s">
        <v>6063</v>
      </c>
      <c r="D427" s="39">
        <v>0</v>
      </c>
      <c r="E427" s="1" t="s">
        <v>1</v>
      </c>
      <c r="F427" s="39">
        <v>0</v>
      </c>
    </row>
    <row r="428" spans="1:6" x14ac:dyDescent="0.25">
      <c r="A428" s="1">
        <v>4012619</v>
      </c>
      <c r="B428" s="1" t="s">
        <v>837</v>
      </c>
      <c r="C428" s="1" t="s">
        <v>6063</v>
      </c>
      <c r="D428" s="39">
        <v>0</v>
      </c>
      <c r="E428" s="1" t="s">
        <v>1</v>
      </c>
      <c r="F428" s="39">
        <v>0</v>
      </c>
    </row>
    <row r="429" spans="1:6" x14ac:dyDescent="0.25">
      <c r="A429" s="1">
        <v>4012620</v>
      </c>
      <c r="B429" s="1" t="s">
        <v>857</v>
      </c>
      <c r="C429" s="1" t="s">
        <v>6063</v>
      </c>
      <c r="D429" s="39">
        <v>0</v>
      </c>
      <c r="E429" s="1" t="s">
        <v>1</v>
      </c>
      <c r="F429" s="39">
        <v>0</v>
      </c>
    </row>
    <row r="430" spans="1:6" x14ac:dyDescent="0.25">
      <c r="A430" s="1">
        <v>4012622</v>
      </c>
      <c r="B430" s="1" t="s">
        <v>3265</v>
      </c>
      <c r="C430" s="1" t="s">
        <v>6063</v>
      </c>
      <c r="D430" s="39">
        <v>0</v>
      </c>
      <c r="E430" s="1" t="s">
        <v>1</v>
      </c>
      <c r="F430" s="39">
        <v>0</v>
      </c>
    </row>
    <row r="431" spans="1:6" x14ac:dyDescent="0.25">
      <c r="A431" s="1">
        <v>4012623</v>
      </c>
      <c r="B431" s="1" t="s">
        <v>801</v>
      </c>
      <c r="C431" s="1" t="s">
        <v>6063</v>
      </c>
      <c r="D431" s="39">
        <v>0</v>
      </c>
      <c r="E431" s="1" t="s">
        <v>1</v>
      </c>
      <c r="F431" s="39">
        <v>0</v>
      </c>
    </row>
    <row r="432" spans="1:6" x14ac:dyDescent="0.25">
      <c r="A432" s="1">
        <v>4012624</v>
      </c>
      <c r="B432" s="1" t="s">
        <v>830</v>
      </c>
      <c r="C432" s="1" t="s">
        <v>6063</v>
      </c>
      <c r="D432" s="39">
        <v>0</v>
      </c>
      <c r="E432" s="1" t="s">
        <v>1</v>
      </c>
      <c r="F432" s="39">
        <v>0</v>
      </c>
    </row>
    <row r="433" spans="1:6" x14ac:dyDescent="0.25">
      <c r="A433" s="1">
        <v>4012625</v>
      </c>
      <c r="B433" s="1" t="s">
        <v>843</v>
      </c>
      <c r="C433" s="1" t="s">
        <v>6063</v>
      </c>
      <c r="D433" s="39">
        <v>0</v>
      </c>
      <c r="E433" s="1" t="s">
        <v>1</v>
      </c>
      <c r="F433" s="39">
        <v>0</v>
      </c>
    </row>
    <row r="434" spans="1:6" x14ac:dyDescent="0.25">
      <c r="A434" s="1">
        <v>4012674</v>
      </c>
      <c r="B434" s="1" t="s">
        <v>815</v>
      </c>
      <c r="C434" s="1" t="s">
        <v>6063</v>
      </c>
      <c r="D434" s="39">
        <v>150</v>
      </c>
      <c r="E434" s="1" t="s">
        <v>1</v>
      </c>
      <c r="F434" s="3">
        <v>15.73</v>
      </c>
    </row>
    <row r="435" spans="1:6" x14ac:dyDescent="0.25">
      <c r="A435" s="1">
        <v>4012795</v>
      </c>
      <c r="B435" s="1" t="s">
        <v>3266</v>
      </c>
      <c r="C435" s="1" t="s">
        <v>6063</v>
      </c>
      <c r="D435" s="39">
        <v>0</v>
      </c>
      <c r="E435" s="1" t="s">
        <v>1</v>
      </c>
      <c r="F435" s="39">
        <v>0</v>
      </c>
    </row>
    <row r="436" spans="1:6" x14ac:dyDescent="0.25">
      <c r="A436" s="1">
        <v>4012869</v>
      </c>
      <c r="B436" s="1" t="s">
        <v>1232</v>
      </c>
      <c r="C436" s="1" t="s">
        <v>6063</v>
      </c>
      <c r="D436" s="39">
        <v>24</v>
      </c>
      <c r="E436" s="1" t="s">
        <v>1</v>
      </c>
      <c r="F436" s="3">
        <v>3.62</v>
      </c>
    </row>
    <row r="437" spans="1:6" x14ac:dyDescent="0.25">
      <c r="A437" s="1">
        <v>4012955</v>
      </c>
      <c r="B437" s="1" t="s">
        <v>3271</v>
      </c>
      <c r="C437" s="1" t="s">
        <v>6063</v>
      </c>
      <c r="D437" s="39">
        <v>0</v>
      </c>
      <c r="E437" s="1" t="s">
        <v>1</v>
      </c>
      <c r="F437" s="39">
        <v>0</v>
      </c>
    </row>
    <row r="438" spans="1:6" x14ac:dyDescent="0.25">
      <c r="A438" s="1">
        <v>4012956</v>
      </c>
      <c r="B438" s="1" t="s">
        <v>6058</v>
      </c>
      <c r="C438" s="1" t="s">
        <v>6063</v>
      </c>
      <c r="D438" s="39">
        <v>0</v>
      </c>
      <c r="E438" s="1" t="s">
        <v>1</v>
      </c>
      <c r="F438" s="39">
        <v>0</v>
      </c>
    </row>
    <row r="439" spans="1:6" x14ac:dyDescent="0.25">
      <c r="A439" s="1">
        <v>4012957</v>
      </c>
      <c r="B439" s="1" t="s">
        <v>3272</v>
      </c>
      <c r="C439" s="1" t="s">
        <v>6063</v>
      </c>
      <c r="D439" s="39">
        <v>0</v>
      </c>
      <c r="E439" s="1" t="s">
        <v>1</v>
      </c>
      <c r="F439" s="39">
        <v>0</v>
      </c>
    </row>
    <row r="440" spans="1:6" x14ac:dyDescent="0.25">
      <c r="A440" s="1">
        <v>4012958</v>
      </c>
      <c r="B440" s="1" t="s">
        <v>3273</v>
      </c>
      <c r="C440" s="1" t="s">
        <v>6063</v>
      </c>
      <c r="D440" s="39">
        <v>0</v>
      </c>
      <c r="E440" s="1" t="s">
        <v>1</v>
      </c>
      <c r="F440" s="39">
        <v>0</v>
      </c>
    </row>
    <row r="441" spans="1:6" x14ac:dyDescent="0.25">
      <c r="A441" s="1">
        <v>4012959</v>
      </c>
      <c r="B441" s="1" t="s">
        <v>3274</v>
      </c>
      <c r="C441" s="1" t="s">
        <v>6063</v>
      </c>
      <c r="D441" s="39">
        <v>0</v>
      </c>
      <c r="E441" s="1" t="s">
        <v>1</v>
      </c>
      <c r="F441" s="39">
        <v>0</v>
      </c>
    </row>
    <row r="442" spans="1:6" x14ac:dyDescent="0.25">
      <c r="A442" s="1">
        <v>4012960</v>
      </c>
      <c r="B442" s="1" t="s">
        <v>3275</v>
      </c>
      <c r="C442" s="1" t="s">
        <v>6063</v>
      </c>
      <c r="D442" s="39">
        <v>0</v>
      </c>
      <c r="E442" s="1" t="s">
        <v>1</v>
      </c>
      <c r="F442" s="39">
        <v>0</v>
      </c>
    </row>
    <row r="443" spans="1:6" x14ac:dyDescent="0.25">
      <c r="A443" s="1">
        <v>4012961</v>
      </c>
      <c r="B443" s="1" t="s">
        <v>3276</v>
      </c>
      <c r="C443" s="1" t="s">
        <v>6063</v>
      </c>
      <c r="D443" s="39">
        <v>0</v>
      </c>
      <c r="E443" s="1" t="s">
        <v>1</v>
      </c>
      <c r="F443" s="39">
        <v>0</v>
      </c>
    </row>
    <row r="444" spans="1:6" x14ac:dyDescent="0.25">
      <c r="A444" s="1">
        <v>4012962</v>
      </c>
      <c r="B444" s="1" t="s">
        <v>3277</v>
      </c>
      <c r="C444" s="1" t="s">
        <v>6063</v>
      </c>
      <c r="D444" s="39">
        <v>0</v>
      </c>
      <c r="E444" s="1" t="s">
        <v>1</v>
      </c>
      <c r="F444" s="39">
        <v>0</v>
      </c>
    </row>
    <row r="445" spans="1:6" x14ac:dyDescent="0.25">
      <c r="A445" s="1">
        <v>4013164</v>
      </c>
      <c r="B445" s="1" t="s">
        <v>718</v>
      </c>
      <c r="C445" s="1" t="s">
        <v>6063</v>
      </c>
      <c r="D445" s="39">
        <v>432</v>
      </c>
      <c r="E445" s="1" t="s">
        <v>1</v>
      </c>
      <c r="F445" s="3">
        <v>686.15</v>
      </c>
    </row>
    <row r="446" spans="1:6" x14ac:dyDescent="0.25">
      <c r="A446" s="1">
        <v>4013205</v>
      </c>
      <c r="B446" s="1" t="s">
        <v>3278</v>
      </c>
      <c r="C446" s="1" t="s">
        <v>6063</v>
      </c>
      <c r="D446" s="39">
        <v>0</v>
      </c>
      <c r="E446" s="1" t="s">
        <v>1</v>
      </c>
      <c r="F446" s="39">
        <v>0</v>
      </c>
    </row>
    <row r="447" spans="1:6" x14ac:dyDescent="0.25">
      <c r="A447" s="1">
        <v>4013206</v>
      </c>
      <c r="B447" s="1" t="s">
        <v>1192</v>
      </c>
      <c r="C447" s="1" t="s">
        <v>6063</v>
      </c>
      <c r="D447" s="39">
        <v>0</v>
      </c>
      <c r="E447" s="1" t="s">
        <v>1</v>
      </c>
      <c r="F447" s="39">
        <v>0</v>
      </c>
    </row>
    <row r="448" spans="1:6" x14ac:dyDescent="0.25">
      <c r="A448" s="1">
        <v>4013310</v>
      </c>
      <c r="B448" s="1" t="s">
        <v>909</v>
      </c>
      <c r="C448" s="1" t="s">
        <v>6063</v>
      </c>
      <c r="D448" s="39">
        <v>0</v>
      </c>
      <c r="E448" s="1" t="s">
        <v>1</v>
      </c>
      <c r="F448" s="39">
        <v>0</v>
      </c>
    </row>
    <row r="449" spans="1:6" x14ac:dyDescent="0.25">
      <c r="A449" s="1">
        <v>4013371</v>
      </c>
      <c r="B449" s="1" t="s">
        <v>1237</v>
      </c>
      <c r="C449" s="1" t="s">
        <v>6063</v>
      </c>
      <c r="D449" s="39">
        <v>0</v>
      </c>
      <c r="E449" s="1" t="s">
        <v>1</v>
      </c>
      <c r="F449" s="39">
        <v>0</v>
      </c>
    </row>
    <row r="450" spans="1:6" x14ac:dyDescent="0.25">
      <c r="A450" s="1">
        <v>4013372</v>
      </c>
      <c r="B450" s="1" t="s">
        <v>1238</v>
      </c>
      <c r="C450" s="1" t="s">
        <v>6063</v>
      </c>
      <c r="D450" s="39">
        <v>0</v>
      </c>
      <c r="E450" s="1" t="s">
        <v>1</v>
      </c>
      <c r="F450" s="39">
        <v>0</v>
      </c>
    </row>
    <row r="451" spans="1:6" x14ac:dyDescent="0.25">
      <c r="A451" s="1">
        <v>4013544</v>
      </c>
      <c r="B451" s="1" t="s">
        <v>6059</v>
      </c>
      <c r="C451" s="1" t="s">
        <v>6063</v>
      </c>
      <c r="D451" s="39">
        <v>0</v>
      </c>
      <c r="E451" s="1" t="s">
        <v>1</v>
      </c>
      <c r="F451" s="39">
        <v>0</v>
      </c>
    </row>
    <row r="452" spans="1:6" x14ac:dyDescent="0.25">
      <c r="A452" s="1">
        <v>4013770</v>
      </c>
      <c r="B452" s="1" t="s">
        <v>3292</v>
      </c>
      <c r="C452" s="1" t="s">
        <v>6063</v>
      </c>
      <c r="D452" s="39">
        <v>2247</v>
      </c>
      <c r="E452" s="1" t="s">
        <v>1</v>
      </c>
      <c r="F452" s="3">
        <v>6141.05</v>
      </c>
    </row>
    <row r="453" spans="1:6" x14ac:dyDescent="0.25">
      <c r="A453" s="1">
        <v>4013780</v>
      </c>
      <c r="B453" s="1" t="s">
        <v>3293</v>
      </c>
      <c r="C453" s="1" t="s">
        <v>6063</v>
      </c>
      <c r="D453" s="39">
        <v>0</v>
      </c>
      <c r="E453" s="1" t="s">
        <v>1</v>
      </c>
      <c r="F453" s="39">
        <v>0</v>
      </c>
    </row>
    <row r="454" spans="1:6" x14ac:dyDescent="0.25">
      <c r="A454" s="1">
        <v>4013781</v>
      </c>
      <c r="B454" s="1" t="s">
        <v>3294</v>
      </c>
      <c r="C454" s="1" t="s">
        <v>6063</v>
      </c>
      <c r="D454" s="39">
        <v>0</v>
      </c>
      <c r="E454" s="1" t="s">
        <v>1</v>
      </c>
      <c r="F454" s="39">
        <v>0</v>
      </c>
    </row>
    <row r="455" spans="1:6" x14ac:dyDescent="0.25">
      <c r="A455" s="1">
        <v>4013782</v>
      </c>
      <c r="B455" s="1" t="s">
        <v>3295</v>
      </c>
      <c r="C455" s="1" t="s">
        <v>6063</v>
      </c>
      <c r="D455" s="39">
        <v>0</v>
      </c>
      <c r="E455" s="1" t="s">
        <v>1</v>
      </c>
      <c r="F455" s="39">
        <v>0</v>
      </c>
    </row>
    <row r="456" spans="1:6" x14ac:dyDescent="0.25">
      <c r="A456" s="1">
        <v>4013783</v>
      </c>
      <c r="B456" s="1" t="s">
        <v>3296</v>
      </c>
      <c r="C456" s="1" t="s">
        <v>6063</v>
      </c>
      <c r="D456" s="39">
        <v>0</v>
      </c>
      <c r="E456" s="1" t="s">
        <v>1</v>
      </c>
      <c r="F456" s="39">
        <v>0</v>
      </c>
    </row>
    <row r="457" spans="1:6" x14ac:dyDescent="0.25">
      <c r="A457" s="1">
        <v>4013793</v>
      </c>
      <c r="B457" s="1" t="s">
        <v>3297</v>
      </c>
      <c r="C457" s="1" t="s">
        <v>6063</v>
      </c>
      <c r="D457" s="39">
        <v>0</v>
      </c>
      <c r="E457" s="1" t="s">
        <v>1</v>
      </c>
      <c r="F457" s="39">
        <v>0</v>
      </c>
    </row>
    <row r="458" spans="1:6" x14ac:dyDescent="0.25">
      <c r="A458" s="1">
        <v>4013821</v>
      </c>
      <c r="B458" s="1" t="s">
        <v>1204</v>
      </c>
      <c r="C458" s="1" t="s">
        <v>6063</v>
      </c>
      <c r="D458" s="39">
        <v>222</v>
      </c>
      <c r="E458" s="1" t="s">
        <v>1</v>
      </c>
      <c r="F458" s="3">
        <v>47.62</v>
      </c>
    </row>
    <row r="459" spans="1:6" x14ac:dyDescent="0.25">
      <c r="A459" s="1">
        <v>4013886</v>
      </c>
      <c r="B459" s="1" t="s">
        <v>3299</v>
      </c>
      <c r="C459" s="1" t="s">
        <v>6063</v>
      </c>
      <c r="D459" s="39">
        <v>0</v>
      </c>
      <c r="E459" s="1" t="s">
        <v>1</v>
      </c>
      <c r="F459" s="39">
        <v>0</v>
      </c>
    </row>
    <row r="460" spans="1:6" x14ac:dyDescent="0.25">
      <c r="A460" s="1">
        <v>4014388</v>
      </c>
      <c r="B460" s="1" t="s">
        <v>1730</v>
      </c>
      <c r="C460" s="1" t="s">
        <v>6063</v>
      </c>
      <c r="D460" s="39">
        <v>0</v>
      </c>
      <c r="E460" s="1" t="s">
        <v>1</v>
      </c>
      <c r="F460" s="39">
        <v>0</v>
      </c>
    </row>
    <row r="461" spans="1:6" x14ac:dyDescent="0.25">
      <c r="A461" s="1">
        <v>4014389</v>
      </c>
      <c r="B461" s="1" t="s">
        <v>1731</v>
      </c>
      <c r="C461" s="1" t="s">
        <v>6063</v>
      </c>
      <c r="D461" s="39">
        <v>0</v>
      </c>
      <c r="E461" s="1" t="s">
        <v>1</v>
      </c>
      <c r="F461" s="39">
        <v>0</v>
      </c>
    </row>
    <row r="462" spans="1:6" x14ac:dyDescent="0.25">
      <c r="A462" s="1">
        <v>4014396</v>
      </c>
      <c r="B462" s="1" t="s">
        <v>1681</v>
      </c>
      <c r="C462" s="1" t="s">
        <v>6063</v>
      </c>
      <c r="D462" s="39">
        <v>0</v>
      </c>
      <c r="E462" s="1" t="s">
        <v>1</v>
      </c>
      <c r="F462" s="39">
        <v>0</v>
      </c>
    </row>
    <row r="463" spans="1:6" x14ac:dyDescent="0.25">
      <c r="A463" s="1">
        <v>4014452</v>
      </c>
      <c r="B463" s="1" t="s">
        <v>1732</v>
      </c>
      <c r="C463" s="1" t="s">
        <v>6063</v>
      </c>
      <c r="D463" s="39">
        <v>0</v>
      </c>
      <c r="E463" s="1" t="s">
        <v>1</v>
      </c>
      <c r="F463" s="39">
        <v>0</v>
      </c>
    </row>
    <row r="464" spans="1:6" x14ac:dyDescent="0.25">
      <c r="A464" s="1">
        <v>4014466</v>
      </c>
      <c r="B464" s="1" t="s">
        <v>1743</v>
      </c>
      <c r="C464" s="1" t="s">
        <v>6063</v>
      </c>
      <c r="D464" s="39">
        <v>0</v>
      </c>
      <c r="E464" s="1" t="s">
        <v>1</v>
      </c>
      <c r="F464" s="39">
        <v>0</v>
      </c>
    </row>
    <row r="465" spans="1:6" x14ac:dyDescent="0.25">
      <c r="A465" s="1">
        <v>4014467</v>
      </c>
      <c r="B465" s="1" t="s">
        <v>1738</v>
      </c>
      <c r="C465" s="1" t="s">
        <v>6063</v>
      </c>
      <c r="D465" s="39">
        <v>0</v>
      </c>
      <c r="E465" s="1" t="s">
        <v>1</v>
      </c>
      <c r="F465" s="39">
        <v>0</v>
      </c>
    </row>
    <row r="466" spans="1:6" x14ac:dyDescent="0.25">
      <c r="A466" s="1">
        <v>4014468</v>
      </c>
      <c r="B466" s="1" t="s">
        <v>1748</v>
      </c>
      <c r="C466" s="1" t="s">
        <v>6063</v>
      </c>
      <c r="D466" s="39">
        <v>0</v>
      </c>
      <c r="E466" s="1" t="s">
        <v>1</v>
      </c>
      <c r="F466" s="39">
        <v>0</v>
      </c>
    </row>
    <row r="467" spans="1:6" x14ac:dyDescent="0.25">
      <c r="A467" s="1">
        <v>4014469</v>
      </c>
      <c r="B467" s="1" t="s">
        <v>1733</v>
      </c>
      <c r="C467" s="1" t="s">
        <v>6063</v>
      </c>
      <c r="D467" s="39">
        <v>0</v>
      </c>
      <c r="E467" s="1" t="s">
        <v>1</v>
      </c>
      <c r="F467" s="39">
        <v>0</v>
      </c>
    </row>
    <row r="468" spans="1:6" x14ac:dyDescent="0.25">
      <c r="A468" s="1">
        <v>4014651</v>
      </c>
      <c r="B468" s="1" t="s">
        <v>3303</v>
      </c>
      <c r="C468" s="1" t="s">
        <v>6063</v>
      </c>
      <c r="D468" s="39">
        <v>0</v>
      </c>
      <c r="E468" s="1" t="s">
        <v>1</v>
      </c>
      <c r="F468" s="39">
        <v>0</v>
      </c>
    </row>
    <row r="469" spans="1:6" x14ac:dyDescent="0.25">
      <c r="A469" s="1">
        <v>4014652</v>
      </c>
      <c r="B469" s="1" t="s">
        <v>3304</v>
      </c>
      <c r="C469" s="1" t="s">
        <v>6063</v>
      </c>
      <c r="D469" s="39">
        <v>0</v>
      </c>
      <c r="E469" s="1" t="s">
        <v>1</v>
      </c>
      <c r="F469" s="39">
        <v>0</v>
      </c>
    </row>
    <row r="470" spans="1:6" x14ac:dyDescent="0.25">
      <c r="A470" s="1">
        <v>4014653</v>
      </c>
      <c r="B470" s="1" t="s">
        <v>3305</v>
      </c>
      <c r="C470" s="1" t="s">
        <v>6063</v>
      </c>
      <c r="D470" s="39">
        <v>0</v>
      </c>
      <c r="E470" s="1" t="s">
        <v>1</v>
      </c>
      <c r="F470" s="39">
        <v>0</v>
      </c>
    </row>
    <row r="471" spans="1:6" x14ac:dyDescent="0.25">
      <c r="A471" s="1">
        <v>4014654</v>
      </c>
      <c r="B471" s="1" t="s">
        <v>3306</v>
      </c>
      <c r="C471" s="1" t="s">
        <v>6063</v>
      </c>
      <c r="D471" s="39">
        <v>0</v>
      </c>
      <c r="E471" s="1" t="s">
        <v>1</v>
      </c>
      <c r="F471" s="39">
        <v>0</v>
      </c>
    </row>
    <row r="472" spans="1:6" x14ac:dyDescent="0.25">
      <c r="A472" s="1">
        <v>4014655</v>
      </c>
      <c r="B472" s="1" t="s">
        <v>3307</v>
      </c>
      <c r="C472" s="1" t="s">
        <v>6063</v>
      </c>
      <c r="D472" s="39">
        <v>0</v>
      </c>
      <c r="E472" s="1" t="s">
        <v>1</v>
      </c>
      <c r="F472" s="39">
        <v>0</v>
      </c>
    </row>
    <row r="473" spans="1:6" x14ac:dyDescent="0.25">
      <c r="A473" s="1">
        <v>4014845</v>
      </c>
      <c r="B473" s="1" t="s">
        <v>109</v>
      </c>
      <c r="C473" s="1" t="s">
        <v>6063</v>
      </c>
      <c r="D473" s="39">
        <v>0</v>
      </c>
      <c r="E473" s="1" t="s">
        <v>1</v>
      </c>
      <c r="F473" s="39">
        <v>0</v>
      </c>
    </row>
    <row r="474" spans="1:6" x14ac:dyDescent="0.25">
      <c r="A474" s="1">
        <v>4014880</v>
      </c>
      <c r="B474" s="1" t="s">
        <v>1385</v>
      </c>
      <c r="C474" s="1" t="s">
        <v>6063</v>
      </c>
      <c r="D474" s="39">
        <v>0</v>
      </c>
      <c r="E474" s="1" t="s">
        <v>1</v>
      </c>
      <c r="F474" s="39">
        <v>0</v>
      </c>
    </row>
    <row r="475" spans="1:6" x14ac:dyDescent="0.25">
      <c r="A475" s="1">
        <v>4014892</v>
      </c>
      <c r="B475" s="1" t="s">
        <v>1380</v>
      </c>
      <c r="C475" s="1" t="s">
        <v>6063</v>
      </c>
      <c r="D475" s="39">
        <v>0</v>
      </c>
      <c r="E475" s="1" t="s">
        <v>1</v>
      </c>
      <c r="F475" s="39">
        <v>0</v>
      </c>
    </row>
    <row r="476" spans="1:6" x14ac:dyDescent="0.25">
      <c r="A476" s="1">
        <v>4014893</v>
      </c>
      <c r="B476" s="1" t="s">
        <v>1395</v>
      </c>
      <c r="C476" s="1" t="s">
        <v>6063</v>
      </c>
      <c r="D476" s="39">
        <v>0</v>
      </c>
      <c r="E476" s="1" t="s">
        <v>1</v>
      </c>
      <c r="F476" s="39">
        <v>0</v>
      </c>
    </row>
    <row r="477" spans="1:6" x14ac:dyDescent="0.25">
      <c r="A477" s="1">
        <v>4014894</v>
      </c>
      <c r="B477" s="1" t="s">
        <v>1390</v>
      </c>
      <c r="C477" s="1" t="s">
        <v>6063</v>
      </c>
      <c r="D477" s="39">
        <v>0</v>
      </c>
      <c r="E477" s="1" t="s">
        <v>1</v>
      </c>
      <c r="F477" s="39">
        <v>0</v>
      </c>
    </row>
    <row r="478" spans="1:6" x14ac:dyDescent="0.25">
      <c r="A478" s="1">
        <v>4014895</v>
      </c>
      <c r="B478" s="1" t="s">
        <v>1405</v>
      </c>
      <c r="C478" s="1" t="s">
        <v>6063</v>
      </c>
      <c r="D478" s="39">
        <v>0</v>
      </c>
      <c r="E478" s="1" t="s">
        <v>1</v>
      </c>
      <c r="F478" s="39">
        <v>0</v>
      </c>
    </row>
    <row r="479" spans="1:6" x14ac:dyDescent="0.25">
      <c r="A479" s="1">
        <v>4014896</v>
      </c>
      <c r="B479" s="1" t="s">
        <v>1400</v>
      </c>
      <c r="C479" s="1" t="s">
        <v>6063</v>
      </c>
      <c r="D479" s="39">
        <v>0</v>
      </c>
      <c r="E479" s="1" t="s">
        <v>1</v>
      </c>
      <c r="F479" s="39">
        <v>0</v>
      </c>
    </row>
    <row r="480" spans="1:6" x14ac:dyDescent="0.25">
      <c r="A480" s="1">
        <v>4014897</v>
      </c>
      <c r="B480" s="1" t="s">
        <v>1415</v>
      </c>
      <c r="C480" s="1" t="s">
        <v>6063</v>
      </c>
      <c r="D480" s="39">
        <v>0</v>
      </c>
      <c r="E480" s="1" t="s">
        <v>1</v>
      </c>
      <c r="F480" s="39">
        <v>0</v>
      </c>
    </row>
    <row r="481" spans="1:6" x14ac:dyDescent="0.25">
      <c r="A481" s="1">
        <v>4014898</v>
      </c>
      <c r="B481" s="1" t="s">
        <v>1410</v>
      </c>
      <c r="C481" s="1" t="s">
        <v>6063</v>
      </c>
      <c r="D481" s="39">
        <v>0</v>
      </c>
      <c r="E481" s="1" t="s">
        <v>1</v>
      </c>
      <c r="F481" s="39">
        <v>0</v>
      </c>
    </row>
    <row r="482" spans="1:6" x14ac:dyDescent="0.25">
      <c r="A482" s="1">
        <v>4014899</v>
      </c>
      <c r="B482" s="1" t="s">
        <v>1359</v>
      </c>
      <c r="C482" s="1" t="s">
        <v>6063</v>
      </c>
      <c r="D482" s="39">
        <v>0</v>
      </c>
      <c r="E482" s="1" t="s">
        <v>1</v>
      </c>
      <c r="F482" s="39">
        <v>0</v>
      </c>
    </row>
    <row r="483" spans="1:6" x14ac:dyDescent="0.25">
      <c r="A483" s="1">
        <v>4014900</v>
      </c>
      <c r="B483" s="1" t="s">
        <v>1355</v>
      </c>
      <c r="C483" s="1" t="s">
        <v>6063</v>
      </c>
      <c r="D483" s="39">
        <v>0</v>
      </c>
      <c r="E483" s="1" t="s">
        <v>1</v>
      </c>
      <c r="F483" s="39">
        <v>0</v>
      </c>
    </row>
    <row r="484" spans="1:6" x14ac:dyDescent="0.25">
      <c r="A484" s="1">
        <v>4014901</v>
      </c>
      <c r="B484" s="1" t="s">
        <v>1367</v>
      </c>
      <c r="C484" s="1" t="s">
        <v>6063</v>
      </c>
      <c r="D484" s="39">
        <v>0</v>
      </c>
      <c r="E484" s="1" t="s">
        <v>1</v>
      </c>
      <c r="F484" s="39">
        <v>0</v>
      </c>
    </row>
    <row r="485" spans="1:6" x14ac:dyDescent="0.25">
      <c r="A485" s="1">
        <v>4014902</v>
      </c>
      <c r="B485" s="1" t="s">
        <v>1363</v>
      </c>
      <c r="C485" s="1" t="s">
        <v>6063</v>
      </c>
      <c r="D485" s="39">
        <v>0</v>
      </c>
      <c r="E485" s="1" t="s">
        <v>1</v>
      </c>
      <c r="F485" s="39">
        <v>0</v>
      </c>
    </row>
    <row r="486" spans="1:6" x14ac:dyDescent="0.25">
      <c r="A486" s="1">
        <v>4014903</v>
      </c>
      <c r="B486" s="1" t="s">
        <v>1649</v>
      </c>
      <c r="C486" s="1" t="s">
        <v>6063</v>
      </c>
      <c r="D486" s="39">
        <v>0</v>
      </c>
      <c r="E486" s="1" t="s">
        <v>1</v>
      </c>
      <c r="F486" s="39">
        <v>0</v>
      </c>
    </row>
    <row r="487" spans="1:6" x14ac:dyDescent="0.25">
      <c r="A487" s="1">
        <v>4014904</v>
      </c>
      <c r="B487" s="1" t="s">
        <v>1644</v>
      </c>
      <c r="C487" s="1" t="s">
        <v>6063</v>
      </c>
      <c r="D487" s="39">
        <v>0</v>
      </c>
      <c r="E487" s="1" t="s">
        <v>1</v>
      </c>
      <c r="F487" s="39">
        <v>0</v>
      </c>
    </row>
    <row r="488" spans="1:6" x14ac:dyDescent="0.25">
      <c r="A488" s="1">
        <v>4014905</v>
      </c>
      <c r="B488" s="1" t="s">
        <v>1659</v>
      </c>
      <c r="C488" s="1" t="s">
        <v>6063</v>
      </c>
      <c r="D488" s="39">
        <v>0</v>
      </c>
      <c r="E488" s="1" t="s">
        <v>1</v>
      </c>
      <c r="F488" s="39">
        <v>0</v>
      </c>
    </row>
    <row r="489" spans="1:6" x14ac:dyDescent="0.25">
      <c r="A489" s="1">
        <v>4014906</v>
      </c>
      <c r="B489" s="1" t="s">
        <v>1654</v>
      </c>
      <c r="C489" s="1" t="s">
        <v>6063</v>
      </c>
      <c r="D489" s="39">
        <v>0</v>
      </c>
      <c r="E489" s="1" t="s">
        <v>1</v>
      </c>
      <c r="F489" s="39">
        <v>0</v>
      </c>
    </row>
    <row r="490" spans="1:6" x14ac:dyDescent="0.25">
      <c r="A490" s="1">
        <v>4014907</v>
      </c>
      <c r="B490" s="1" t="s">
        <v>1255</v>
      </c>
      <c r="C490" s="1" t="s">
        <v>6063</v>
      </c>
      <c r="D490" s="39">
        <v>0</v>
      </c>
      <c r="E490" s="1" t="s">
        <v>1</v>
      </c>
      <c r="F490" s="39">
        <v>0</v>
      </c>
    </row>
    <row r="491" spans="1:6" x14ac:dyDescent="0.25">
      <c r="A491" s="1">
        <v>4014908</v>
      </c>
      <c r="B491" s="1" t="s">
        <v>1250</v>
      </c>
      <c r="C491" s="1" t="s">
        <v>6063</v>
      </c>
      <c r="D491" s="39">
        <v>0</v>
      </c>
      <c r="E491" s="1" t="s">
        <v>1</v>
      </c>
      <c r="F491" s="39">
        <v>0</v>
      </c>
    </row>
    <row r="492" spans="1:6" x14ac:dyDescent="0.25">
      <c r="A492" s="1">
        <v>4014909</v>
      </c>
      <c r="B492" s="1" t="s">
        <v>1260</v>
      </c>
      <c r="C492" s="1" t="s">
        <v>6063</v>
      </c>
      <c r="D492" s="39">
        <v>0</v>
      </c>
      <c r="E492" s="1" t="s">
        <v>1</v>
      </c>
      <c r="F492" s="39">
        <v>0</v>
      </c>
    </row>
    <row r="493" spans="1:6" x14ac:dyDescent="0.25">
      <c r="A493" s="1">
        <v>4014910</v>
      </c>
      <c r="B493" s="1" t="s">
        <v>1214</v>
      </c>
      <c r="C493" s="1" t="s">
        <v>6063</v>
      </c>
      <c r="D493" s="39">
        <v>3058</v>
      </c>
      <c r="E493" s="1" t="s">
        <v>1</v>
      </c>
      <c r="F493" s="3">
        <v>197.85</v>
      </c>
    </row>
    <row r="494" spans="1:6" x14ac:dyDescent="0.25">
      <c r="A494" s="1">
        <v>4014911</v>
      </c>
      <c r="B494" s="1" t="s">
        <v>1209</v>
      </c>
      <c r="C494" s="1" t="s">
        <v>6063</v>
      </c>
      <c r="D494" s="39">
        <v>0</v>
      </c>
      <c r="E494" s="1" t="s">
        <v>1</v>
      </c>
      <c r="F494" s="39">
        <v>0</v>
      </c>
    </row>
    <row r="495" spans="1:6" x14ac:dyDescent="0.25">
      <c r="A495" s="1">
        <v>4014912</v>
      </c>
      <c r="B495" s="1" t="s">
        <v>1224</v>
      </c>
      <c r="C495" s="1" t="s">
        <v>6063</v>
      </c>
      <c r="D495" s="39">
        <v>0</v>
      </c>
      <c r="E495" s="1" t="s">
        <v>1</v>
      </c>
      <c r="F495" s="39">
        <v>0</v>
      </c>
    </row>
    <row r="496" spans="1:6" x14ac:dyDescent="0.25">
      <c r="A496" s="1">
        <v>4014913</v>
      </c>
      <c r="B496" s="1" t="s">
        <v>1219</v>
      </c>
      <c r="C496" s="1" t="s">
        <v>6063</v>
      </c>
      <c r="D496" s="39">
        <v>0</v>
      </c>
      <c r="E496" s="1" t="s">
        <v>1</v>
      </c>
      <c r="F496" s="39">
        <v>0</v>
      </c>
    </row>
    <row r="497" spans="1:6" x14ac:dyDescent="0.25">
      <c r="A497" s="1">
        <v>4014919</v>
      </c>
      <c r="B497" s="1" t="s">
        <v>1549</v>
      </c>
      <c r="C497" s="1" t="s">
        <v>6063</v>
      </c>
      <c r="D497" s="39">
        <v>507</v>
      </c>
      <c r="E497" s="1" t="s">
        <v>1</v>
      </c>
      <c r="F497" s="3">
        <v>643.38</v>
      </c>
    </row>
    <row r="498" spans="1:6" x14ac:dyDescent="0.25">
      <c r="A498" s="1">
        <v>4015222</v>
      </c>
      <c r="B498" s="1" t="s">
        <v>1550</v>
      </c>
      <c r="C498" s="1" t="s">
        <v>6063</v>
      </c>
      <c r="D498" s="40">
        <v>14.17</v>
      </c>
      <c r="E498" s="1" t="s">
        <v>3</v>
      </c>
      <c r="F498" s="3">
        <v>643.1</v>
      </c>
    </row>
    <row r="499" spans="1:6" x14ac:dyDescent="0.25">
      <c r="A499" s="1">
        <v>4016390</v>
      </c>
      <c r="B499" s="1" t="s">
        <v>1122</v>
      </c>
      <c r="C499" s="1" t="s">
        <v>6063</v>
      </c>
      <c r="D499" s="39">
        <v>5250</v>
      </c>
      <c r="E499" s="1" t="s">
        <v>1</v>
      </c>
      <c r="F499" s="3">
        <v>255.68</v>
      </c>
    </row>
    <row r="500" spans="1:6" x14ac:dyDescent="0.25">
      <c r="A500" s="1">
        <v>4016568</v>
      </c>
      <c r="B500" s="1" t="s">
        <v>1094</v>
      </c>
      <c r="C500" s="1" t="s">
        <v>6063</v>
      </c>
      <c r="D500" s="39">
        <v>1121</v>
      </c>
      <c r="E500" s="1" t="s">
        <v>1</v>
      </c>
      <c r="F500" s="3">
        <v>159.30000000000001</v>
      </c>
    </row>
    <row r="501" spans="1:6" x14ac:dyDescent="0.25">
      <c r="A501" s="1">
        <v>4016700</v>
      </c>
      <c r="B501" s="1" t="s">
        <v>850</v>
      </c>
      <c r="C501" s="1" t="s">
        <v>6063</v>
      </c>
      <c r="D501" s="39">
        <v>0</v>
      </c>
      <c r="E501" s="1" t="s">
        <v>1</v>
      </c>
      <c r="F501" s="39">
        <v>0</v>
      </c>
    </row>
    <row r="502" spans="1:6" x14ac:dyDescent="0.25">
      <c r="A502" s="1">
        <v>4016701</v>
      </c>
      <c r="B502" s="1" t="s">
        <v>831</v>
      </c>
      <c r="C502" s="1" t="s">
        <v>6063</v>
      </c>
      <c r="D502" s="39">
        <v>0</v>
      </c>
      <c r="E502" s="1" t="s">
        <v>1</v>
      </c>
      <c r="F502" s="39">
        <v>0</v>
      </c>
    </row>
    <row r="503" spans="1:6" x14ac:dyDescent="0.25">
      <c r="A503" s="1">
        <v>4016880</v>
      </c>
      <c r="B503" s="1" t="s">
        <v>495</v>
      </c>
      <c r="C503" s="1" t="s">
        <v>6063</v>
      </c>
      <c r="D503" s="39">
        <v>1608</v>
      </c>
      <c r="E503" s="1" t="s">
        <v>1</v>
      </c>
      <c r="F503" s="3">
        <v>124.62</v>
      </c>
    </row>
    <row r="504" spans="1:6" x14ac:dyDescent="0.25">
      <c r="A504" s="1">
        <v>4016890</v>
      </c>
      <c r="B504" s="1" t="s">
        <v>496</v>
      </c>
      <c r="C504" s="1" t="s">
        <v>6063</v>
      </c>
      <c r="D504" s="39">
        <v>404</v>
      </c>
      <c r="E504" s="1" t="s">
        <v>1</v>
      </c>
      <c r="F504" s="3">
        <v>100.68</v>
      </c>
    </row>
    <row r="505" spans="1:6" x14ac:dyDescent="0.25">
      <c r="A505" s="1">
        <v>4016901</v>
      </c>
      <c r="B505" s="1" t="s">
        <v>809</v>
      </c>
      <c r="C505" s="1" t="s">
        <v>6063</v>
      </c>
      <c r="D505" s="39">
        <v>0</v>
      </c>
      <c r="E505" s="1" t="s">
        <v>1</v>
      </c>
      <c r="F505" s="39">
        <v>0</v>
      </c>
    </row>
    <row r="506" spans="1:6" x14ac:dyDescent="0.25">
      <c r="A506" s="1">
        <v>4016902</v>
      </c>
      <c r="B506" s="1" t="s">
        <v>816</v>
      </c>
      <c r="C506" s="1" t="s">
        <v>6063</v>
      </c>
      <c r="D506" s="39">
        <v>1500</v>
      </c>
      <c r="E506" s="1" t="s">
        <v>1</v>
      </c>
      <c r="F506" s="3">
        <v>168</v>
      </c>
    </row>
    <row r="507" spans="1:6" x14ac:dyDescent="0.25">
      <c r="A507" s="1">
        <v>4016903</v>
      </c>
      <c r="B507" s="1" t="s">
        <v>824</v>
      </c>
      <c r="C507" s="1" t="s">
        <v>6063</v>
      </c>
      <c r="D507" s="39">
        <v>0</v>
      </c>
      <c r="E507" s="1" t="s">
        <v>1</v>
      </c>
      <c r="F507" s="39">
        <v>0</v>
      </c>
    </row>
    <row r="508" spans="1:6" x14ac:dyDescent="0.25">
      <c r="A508" s="1">
        <v>4016904</v>
      </c>
      <c r="B508" s="1" t="s">
        <v>6060</v>
      </c>
      <c r="C508" s="1" t="s">
        <v>6063</v>
      </c>
      <c r="D508" s="39">
        <v>0</v>
      </c>
      <c r="E508" s="1" t="s">
        <v>1</v>
      </c>
      <c r="F508" s="39">
        <v>0</v>
      </c>
    </row>
    <row r="509" spans="1:6" x14ac:dyDescent="0.25">
      <c r="A509" s="1">
        <v>4016905</v>
      </c>
      <c r="B509" s="1" t="s">
        <v>6061</v>
      </c>
      <c r="C509" s="1" t="s">
        <v>6063</v>
      </c>
      <c r="D509" s="39">
        <v>0</v>
      </c>
      <c r="E509" s="1" t="s">
        <v>1</v>
      </c>
      <c r="F509" s="39">
        <v>0</v>
      </c>
    </row>
    <row r="510" spans="1:6" x14ac:dyDescent="0.25">
      <c r="A510" s="1">
        <v>4016923</v>
      </c>
      <c r="B510" s="1" t="s">
        <v>783</v>
      </c>
      <c r="C510" s="1" t="s">
        <v>6063</v>
      </c>
      <c r="D510" s="39">
        <v>0</v>
      </c>
      <c r="E510" s="1" t="s">
        <v>1</v>
      </c>
      <c r="F510" s="39">
        <v>0</v>
      </c>
    </row>
    <row r="511" spans="1:6" x14ac:dyDescent="0.25">
      <c r="A511" s="1">
        <v>4016983</v>
      </c>
      <c r="B511" s="1" t="s">
        <v>6062</v>
      </c>
      <c r="C511" s="1" t="s">
        <v>6063</v>
      </c>
      <c r="D511" s="39">
        <v>0</v>
      </c>
      <c r="E511" s="1" t="s">
        <v>1</v>
      </c>
      <c r="F511" s="39">
        <v>0</v>
      </c>
    </row>
    <row r="512" spans="1:6" x14ac:dyDescent="0.25">
      <c r="A512" s="1">
        <v>4016984</v>
      </c>
      <c r="B512" s="1" t="s">
        <v>784</v>
      </c>
      <c r="C512" s="1" t="s">
        <v>6063</v>
      </c>
      <c r="D512" s="39">
        <v>0</v>
      </c>
      <c r="E512" s="1" t="s">
        <v>1</v>
      </c>
      <c r="F512" s="39">
        <v>0</v>
      </c>
    </row>
    <row r="513" spans="1:6" x14ac:dyDescent="0.25">
      <c r="A513" s="1" t="s">
        <v>726</v>
      </c>
      <c r="B513" s="1" t="s">
        <v>727</v>
      </c>
      <c r="C513" s="1" t="s">
        <v>6063</v>
      </c>
      <c r="D513" s="39">
        <v>0</v>
      </c>
      <c r="E513" s="1" t="s">
        <v>1</v>
      </c>
      <c r="F513" s="39">
        <v>0</v>
      </c>
    </row>
    <row r="514" spans="1:6" x14ac:dyDescent="0.25">
      <c r="A514" s="1" t="s">
        <v>3999</v>
      </c>
      <c r="B514" s="1" t="s">
        <v>4000</v>
      </c>
      <c r="C514" s="1" t="s">
        <v>6063</v>
      </c>
      <c r="D514" s="39">
        <v>0</v>
      </c>
      <c r="E514" s="1" t="s">
        <v>1</v>
      </c>
      <c r="F514" s="39">
        <v>0</v>
      </c>
    </row>
    <row r="515" spans="1:6" x14ac:dyDescent="0.25">
      <c r="A515" s="1" t="s">
        <v>1205</v>
      </c>
      <c r="B515" s="1" t="s">
        <v>4420</v>
      </c>
      <c r="C515" s="1" t="s">
        <v>6063</v>
      </c>
      <c r="D515" s="39">
        <v>0</v>
      </c>
      <c r="E515" s="1" t="s">
        <v>1</v>
      </c>
      <c r="F515" s="39">
        <v>0</v>
      </c>
    </row>
    <row r="516" spans="1:6" x14ac:dyDescent="0.25">
      <c r="A516" s="1" t="s">
        <v>1566</v>
      </c>
      <c r="B516" s="1" t="s">
        <v>1567</v>
      </c>
      <c r="C516" s="1" t="s">
        <v>6063</v>
      </c>
      <c r="D516" s="39">
        <v>0</v>
      </c>
      <c r="E516" s="1" t="s">
        <v>1</v>
      </c>
      <c r="F516" s="39">
        <v>0</v>
      </c>
    </row>
    <row r="517" spans="1:6" x14ac:dyDescent="0.25">
      <c r="A517" s="1" t="s">
        <v>740</v>
      </c>
      <c r="B517" s="1" t="s">
        <v>741</v>
      </c>
      <c r="C517" s="1" t="s">
        <v>6063</v>
      </c>
      <c r="D517" s="39">
        <v>0</v>
      </c>
      <c r="E517" s="1" t="s">
        <v>1</v>
      </c>
      <c r="F517" s="39">
        <v>0</v>
      </c>
    </row>
    <row r="518" spans="1:6" x14ac:dyDescent="0.25">
      <c r="A518" s="1" t="s">
        <v>5092</v>
      </c>
      <c r="B518" s="1" t="s">
        <v>5093</v>
      </c>
      <c r="C518" s="1" t="s">
        <v>6063</v>
      </c>
      <c r="D518" s="39">
        <v>0</v>
      </c>
      <c r="E518" s="1" t="s">
        <v>1</v>
      </c>
      <c r="F518" s="39">
        <v>0</v>
      </c>
    </row>
    <row r="519" spans="1:6" x14ac:dyDescent="0.25">
      <c r="A519" s="1" t="s">
        <v>5094</v>
      </c>
      <c r="B519" s="1" t="s">
        <v>5095</v>
      </c>
      <c r="C519" s="1" t="s">
        <v>6063</v>
      </c>
      <c r="D519" s="39">
        <v>0</v>
      </c>
      <c r="E519" s="1" t="s">
        <v>1</v>
      </c>
      <c r="F519" s="39">
        <v>0</v>
      </c>
    </row>
    <row r="520" spans="1:6" x14ac:dyDescent="0.25">
      <c r="A520" s="1" t="s">
        <v>6064</v>
      </c>
      <c r="B520" s="1" t="s">
        <v>6065</v>
      </c>
      <c r="C520" s="1" t="s">
        <v>6063</v>
      </c>
      <c r="D520" s="39">
        <v>0</v>
      </c>
      <c r="E520" s="1" t="s">
        <v>1</v>
      </c>
      <c r="F520" s="39">
        <v>0</v>
      </c>
    </row>
    <row r="521" spans="1:6" x14ac:dyDescent="0.25">
      <c r="A521" s="1" t="s">
        <v>6066</v>
      </c>
      <c r="B521" s="1" t="s">
        <v>6067</v>
      </c>
      <c r="C521" s="1" t="s">
        <v>6063</v>
      </c>
      <c r="D521" s="39">
        <v>0</v>
      </c>
      <c r="E521" s="1" t="s">
        <v>1</v>
      </c>
      <c r="F521" s="39">
        <v>0</v>
      </c>
    </row>
    <row r="522" spans="1:6" x14ac:dyDescent="0.25">
      <c r="A522" s="1" t="s">
        <v>1684</v>
      </c>
      <c r="B522" s="1" t="s">
        <v>1685</v>
      </c>
      <c r="C522" s="1" t="s">
        <v>6063</v>
      </c>
      <c r="D522" s="39">
        <v>0</v>
      </c>
      <c r="E522" s="1" t="s">
        <v>1</v>
      </c>
      <c r="F522" s="39">
        <v>0</v>
      </c>
    </row>
    <row r="523" spans="1:6" x14ac:dyDescent="0.25">
      <c r="A523" s="1" t="s">
        <v>6007</v>
      </c>
      <c r="B523" s="1" t="s">
        <v>6008</v>
      </c>
      <c r="C523" s="1" t="s">
        <v>6063</v>
      </c>
      <c r="D523" s="39">
        <v>0</v>
      </c>
      <c r="E523" s="1" t="s">
        <v>1</v>
      </c>
      <c r="F523" s="39">
        <v>0</v>
      </c>
    </row>
    <row r="524" spans="1:6" x14ac:dyDescent="0.25">
      <c r="A524" s="41" t="s">
        <v>185</v>
      </c>
      <c r="B524" s="41" t="s">
        <v>185</v>
      </c>
      <c r="C524" s="41" t="s">
        <v>185</v>
      </c>
      <c r="D524" s="42">
        <v>378.923</v>
      </c>
      <c r="E524" s="41" t="s">
        <v>3</v>
      </c>
      <c r="F524" s="43">
        <v>86426.59</v>
      </c>
    </row>
    <row r="525" spans="1:6" x14ac:dyDescent="0.25">
      <c r="A525" s="41" t="s">
        <v>185</v>
      </c>
      <c r="B525" s="41" t="s">
        <v>185</v>
      </c>
      <c r="C525" s="41" t="s">
        <v>185</v>
      </c>
      <c r="D525" s="44">
        <v>0</v>
      </c>
      <c r="E525" s="41" t="s">
        <v>2</v>
      </c>
      <c r="F525" s="41" t="s">
        <v>185</v>
      </c>
    </row>
    <row r="526" spans="1:6" x14ac:dyDescent="0.25">
      <c r="A526" s="41" t="s">
        <v>185</v>
      </c>
      <c r="B526" s="41" t="s">
        <v>185</v>
      </c>
      <c r="C526" s="41" t="s">
        <v>185</v>
      </c>
      <c r="D526" s="44">
        <v>421002</v>
      </c>
      <c r="E526" s="41" t="s">
        <v>1</v>
      </c>
      <c r="F526" s="41" t="s">
        <v>185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LISTA TECNICA</vt:lpstr>
      <vt:lpstr>PROGRAMA MES </vt:lpstr>
      <vt:lpstr>STATUS</vt:lpstr>
      <vt:lpstr>0802</vt:lpstr>
      <vt:lpstr>0805</vt:lpstr>
      <vt:lpstr>0806</vt:lpstr>
    </vt:vector>
  </TitlesOfParts>
  <Company>Inbetta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Ian de Oliveira</dc:creator>
  <cp:lastModifiedBy>Leonardo Ian de Oliveira</cp:lastModifiedBy>
  <dcterms:created xsi:type="dcterms:W3CDTF">2026-08-05T13:40:49Z</dcterms:created>
  <dcterms:modified xsi:type="dcterms:W3CDTF">2026-08-06T17:22:11Z</dcterms:modified>
</cp:coreProperties>
</file>